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5D21CB00-685C-404A-893C-AC80B3A39A35}" xr6:coauthVersionLast="47" xr6:coauthVersionMax="47" xr10:uidLastSave="{00000000-0000-0000-0000-000000000000}"/>
  <bookViews>
    <workbookView xWindow="12615" yWindow="975" windowWidth="18525" windowHeight="14715" firstSheet="4" activeTab="7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6" l="1"/>
  <c r="E15" i="6"/>
  <c r="C14" i="6"/>
  <c r="D14" i="6" s="1"/>
  <c r="C16" i="6"/>
  <c r="D16" i="6" s="1"/>
  <c r="E16" i="6" s="1"/>
  <c r="F16" i="6" s="1"/>
  <c r="G16" i="6" s="1"/>
  <c r="H16" i="6" s="1"/>
  <c r="E14" i="6" l="1"/>
  <c r="F14" i="6" s="1"/>
  <c r="E17" i="6"/>
  <c r="G14" i="6" l="1"/>
  <c r="H14" i="6" l="1"/>
  <c r="F15" i="6" l="1"/>
  <c r="F17" i="6" s="1"/>
  <c r="B22" i="2"/>
  <c r="D31" i="6"/>
  <c r="B9" i="2"/>
  <c r="C37" i="6" s="1"/>
  <c r="D28" i="6"/>
  <c r="D29" i="6"/>
  <c r="D10" i="7"/>
  <c r="E10" i="7"/>
  <c r="F10" i="7"/>
  <c r="G10" i="7"/>
  <c r="H10" i="7"/>
  <c r="C12" i="7"/>
  <c r="D12" i="7"/>
  <c r="E12" i="7"/>
  <c r="F12" i="7"/>
  <c r="G12" i="7"/>
  <c r="J7" i="4"/>
  <c r="D19" i="9"/>
  <c r="E19" i="9"/>
  <c r="F19" i="9"/>
  <c r="G19" i="9"/>
  <c r="H19" i="9"/>
  <c r="C14" i="9"/>
  <c r="C9" i="9"/>
  <c r="C21" i="9" s="1"/>
  <c r="H14" i="9"/>
  <c r="H15" i="9" s="1"/>
  <c r="G14" i="9"/>
  <c r="G15" i="9" s="1"/>
  <c r="F14" i="9"/>
  <c r="F15" i="9" s="1"/>
  <c r="E14" i="9"/>
  <c r="E15" i="9" s="1"/>
  <c r="D14" i="9"/>
  <c r="D15" i="9" s="1"/>
  <c r="C15" i="9"/>
  <c r="C28" i="8"/>
  <c r="C29" i="8" s="1"/>
  <c r="C7" i="9" s="1"/>
  <c r="H22" i="8"/>
  <c r="H9" i="9" s="1"/>
  <c r="H21" i="9" s="1"/>
  <c r="C20" i="8"/>
  <c r="C16" i="8"/>
  <c r="C10" i="8"/>
  <c r="C9" i="8"/>
  <c r="C6" i="8"/>
  <c r="H24" i="8"/>
  <c r="G24" i="8"/>
  <c r="F24" i="8"/>
  <c r="E24" i="8"/>
  <c r="D24" i="8"/>
  <c r="C24" i="8"/>
  <c r="H15" i="8"/>
  <c r="G15" i="8"/>
  <c r="F15" i="8"/>
  <c r="E15" i="8"/>
  <c r="D15" i="8"/>
  <c r="H14" i="8"/>
  <c r="G14" i="8"/>
  <c r="F14" i="8"/>
  <c r="E14" i="8"/>
  <c r="D14" i="8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C8" i="8"/>
  <c r="H7" i="8"/>
  <c r="G7" i="8"/>
  <c r="F7" i="8"/>
  <c r="E7" i="8"/>
  <c r="D7" i="8"/>
  <c r="C7" i="8"/>
  <c r="D13" i="7"/>
  <c r="D28" i="8" s="1"/>
  <c r="D29" i="8" s="1"/>
  <c r="D7" i="9" s="1"/>
  <c r="E13" i="7"/>
  <c r="E28" i="8" s="1"/>
  <c r="E29" i="8" s="1"/>
  <c r="E7" i="9" s="1"/>
  <c r="F13" i="7"/>
  <c r="F28" i="8" s="1"/>
  <c r="F29" i="8" s="1"/>
  <c r="F7" i="9" s="1"/>
  <c r="G13" i="7"/>
  <c r="G28" i="8" s="1"/>
  <c r="G29" i="8" s="1"/>
  <c r="G7" i="9" s="1"/>
  <c r="H13" i="7"/>
  <c r="H28" i="8" s="1"/>
  <c r="H29" i="8" s="1"/>
  <c r="H7" i="9" s="1"/>
  <c r="C7" i="6"/>
  <c r="C6" i="7" s="1"/>
  <c r="H24" i="7"/>
  <c r="G24" i="7"/>
  <c r="F24" i="7"/>
  <c r="E24" i="7"/>
  <c r="D24" i="7"/>
  <c r="C24" i="7"/>
  <c r="H23" i="7"/>
  <c r="G23" i="7"/>
  <c r="F23" i="7"/>
  <c r="E23" i="7"/>
  <c r="D23" i="7"/>
  <c r="C23" i="7"/>
  <c r="H12" i="7"/>
  <c r="C11" i="4"/>
  <c r="C10" i="4"/>
  <c r="C31" i="6"/>
  <c r="H30" i="6"/>
  <c r="H21" i="8" s="1"/>
  <c r="H8" i="9" s="1"/>
  <c r="H20" i="9" s="1"/>
  <c r="C30" i="6"/>
  <c r="C21" i="8" s="1"/>
  <c r="C8" i="9" s="1"/>
  <c r="C20" i="9" s="1"/>
  <c r="C29" i="6"/>
  <c r="C28" i="6"/>
  <c r="C17" i="6"/>
  <c r="G15" i="6"/>
  <c r="G17" i="6" s="1"/>
  <c r="H15" i="6"/>
  <c r="H17" i="6" s="1"/>
  <c r="D15" i="6"/>
  <c r="D17" i="6" s="1"/>
  <c r="H37" i="6"/>
  <c r="G37" i="6"/>
  <c r="F37" i="6"/>
  <c r="E37" i="6"/>
  <c r="D37" i="6"/>
  <c r="H23" i="6"/>
  <c r="G23" i="6"/>
  <c r="F23" i="6"/>
  <c r="E23" i="6"/>
  <c r="D23" i="6"/>
  <c r="C23" i="6"/>
  <c r="C8" i="6"/>
  <c r="G21" i="5"/>
  <c r="F24" i="5"/>
  <c r="F23" i="5"/>
  <c r="F22" i="5"/>
  <c r="F21" i="5"/>
  <c r="F15" i="5"/>
  <c r="F14" i="5"/>
  <c r="J14" i="5" s="1"/>
  <c r="F13" i="5"/>
  <c r="G13" i="5" s="1"/>
  <c r="F12" i="5"/>
  <c r="G12" i="5"/>
  <c r="B4" i="5"/>
  <c r="E3" i="5" s="1"/>
  <c r="I3" i="5" s="1"/>
  <c r="E4" i="5" s="1"/>
  <c r="F4" i="5" s="1"/>
  <c r="D22" i="8" s="1"/>
  <c r="D9" i="9" s="1"/>
  <c r="D21" i="9" s="1"/>
  <c r="K24" i="5"/>
  <c r="J23" i="5"/>
  <c r="K22" i="5"/>
  <c r="K21" i="5"/>
  <c r="K15" i="5"/>
  <c r="G7" i="5"/>
  <c r="G30" i="6" s="1"/>
  <c r="G6" i="5"/>
  <c r="F30" i="6" s="1"/>
  <c r="G5" i="5"/>
  <c r="E30" i="6" s="1"/>
  <c r="G4" i="5"/>
  <c r="D30" i="6" s="1"/>
  <c r="J6" i="4"/>
  <c r="K6" i="4"/>
  <c r="D11" i="4"/>
  <c r="F11" i="4" s="1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E7" i="10" l="1"/>
  <c r="C10" i="7"/>
  <c r="C11" i="6"/>
  <c r="C11" i="7"/>
  <c r="D21" i="8"/>
  <c r="D8" i="9" s="1"/>
  <c r="D20" i="9" s="1"/>
  <c r="C23" i="8"/>
  <c r="C25" i="8" s="1"/>
  <c r="C11" i="8"/>
  <c r="D11" i="8"/>
  <c r="E11" i="8"/>
  <c r="F11" i="8"/>
  <c r="G11" i="8"/>
  <c r="H11" i="8"/>
  <c r="C7" i="7"/>
  <c r="C12" i="4"/>
  <c r="I14" i="5"/>
  <c r="K13" i="5"/>
  <c r="J13" i="5"/>
  <c r="I13" i="5"/>
  <c r="H14" i="5"/>
  <c r="K12" i="5"/>
  <c r="J12" i="5"/>
  <c r="I12" i="5"/>
  <c r="H12" i="5"/>
  <c r="G14" i="5"/>
  <c r="H13" i="5"/>
  <c r="K14" i="5"/>
  <c r="K16" i="5" s="1"/>
  <c r="H23" i="5"/>
  <c r="I23" i="5"/>
  <c r="K23" i="5"/>
  <c r="K25" i="5" s="1"/>
  <c r="G23" i="5"/>
  <c r="H4" i="5"/>
  <c r="I4" i="5" s="1"/>
  <c r="E5" i="5" s="1"/>
  <c r="F5" i="5" s="1"/>
  <c r="E22" i="8" s="1"/>
  <c r="E9" i="9" s="1"/>
  <c r="E21" i="9" s="1"/>
  <c r="H21" i="5"/>
  <c r="I21" i="5"/>
  <c r="G24" i="5"/>
  <c r="J21" i="5"/>
  <c r="H24" i="5"/>
  <c r="I24" i="5"/>
  <c r="G15" i="5"/>
  <c r="J24" i="5"/>
  <c r="H15" i="5"/>
  <c r="G22" i="5"/>
  <c r="I15" i="5"/>
  <c r="H22" i="5"/>
  <c r="J15" i="5"/>
  <c r="I22" i="5"/>
  <c r="J22" i="5"/>
  <c r="D10" i="4"/>
  <c r="D12" i="4" s="1"/>
  <c r="E11" i="4"/>
  <c r="E9" i="4"/>
  <c r="C14" i="7" l="1"/>
  <c r="C15" i="7" s="1"/>
  <c r="E21" i="8"/>
  <c r="E8" i="9" s="1"/>
  <c r="E20" i="9" s="1"/>
  <c r="F10" i="4"/>
  <c r="F12" i="4" s="1"/>
  <c r="D16" i="8" s="1"/>
  <c r="D17" i="8" s="1"/>
  <c r="E10" i="4"/>
  <c r="E12" i="4" s="1"/>
  <c r="G25" i="5"/>
  <c r="G16" i="5"/>
  <c r="H16" i="5"/>
  <c r="H5" i="5"/>
  <c r="I5" i="5" s="1"/>
  <c r="E6" i="5" s="1"/>
  <c r="H25" i="5"/>
  <c r="J16" i="5"/>
  <c r="J25" i="5"/>
  <c r="I25" i="5"/>
  <c r="I16" i="5"/>
  <c r="K7" i="4" l="1"/>
  <c r="E16" i="8" s="1"/>
  <c r="E17" i="8" s="1"/>
  <c r="D7" i="6"/>
  <c r="L7" i="4"/>
  <c r="F16" i="8" s="1"/>
  <c r="F17" i="8" s="1"/>
  <c r="E7" i="6"/>
  <c r="F6" i="5"/>
  <c r="H6" i="5" l="1"/>
  <c r="I6" i="5" s="1"/>
  <c r="E7" i="5" s="1"/>
  <c r="F22" i="8"/>
  <c r="E11" i="6"/>
  <c r="E6" i="7"/>
  <c r="E7" i="7" s="1"/>
  <c r="D11" i="6"/>
  <c r="D6" i="7"/>
  <c r="D7" i="7" s="1"/>
  <c r="M7" i="4"/>
  <c r="G16" i="8" s="1"/>
  <c r="G17" i="8" s="1"/>
  <c r="F7" i="6"/>
  <c r="F7" i="5"/>
  <c r="F9" i="9" l="1"/>
  <c r="F21" i="9" s="1"/>
  <c r="F21" i="8"/>
  <c r="F8" i="9" s="1"/>
  <c r="F20" i="9" s="1"/>
  <c r="H7" i="5"/>
  <c r="I7" i="5" s="1"/>
  <c r="E8" i="5" s="1"/>
  <c r="G22" i="8"/>
  <c r="F11" i="6"/>
  <c r="F6" i="7"/>
  <c r="F7" i="7" s="1"/>
  <c r="N7" i="4"/>
  <c r="G7" i="6"/>
  <c r="F8" i="5"/>
  <c r="H8" i="5" s="1"/>
  <c r="I8" i="5" s="1"/>
  <c r="G9" i="9" l="1"/>
  <c r="G21" i="9" s="1"/>
  <c r="G21" i="8"/>
  <c r="G8" i="9" s="1"/>
  <c r="G20" i="9" s="1"/>
  <c r="H7" i="6"/>
  <c r="H16" i="8"/>
  <c r="H17" i="8" s="1"/>
  <c r="G11" i="6"/>
  <c r="G6" i="7"/>
  <c r="G7" i="7" s="1"/>
  <c r="H11" i="6" l="1"/>
  <c r="H6" i="7"/>
  <c r="H7" i="7" s="1"/>
  <c r="B40" i="3"/>
  <c r="C6" i="3"/>
  <c r="B36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60" i="2"/>
  <c r="B8" i="2" s="1"/>
  <c r="B52" i="2"/>
  <c r="B45" i="2"/>
  <c r="B37" i="2"/>
  <c r="B4" i="2" s="1"/>
  <c r="B29" i="2"/>
  <c r="B3" i="2" s="1"/>
  <c r="D16" i="2"/>
  <c r="D15" i="2"/>
  <c r="D14" i="2"/>
  <c r="D13" i="2"/>
  <c r="D17" i="2" s="1"/>
  <c r="B5" i="2" s="1"/>
  <c r="B7" i="2"/>
  <c r="B6" i="2"/>
  <c r="B41" i="3" l="1"/>
  <c r="B42" i="3" s="1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C42" i="6"/>
  <c r="C14" i="8" l="1"/>
  <c r="D42" i="6"/>
  <c r="C18" i="9"/>
  <c r="C22" i="9" s="1"/>
  <c r="J15" i="3"/>
  <c r="K7" i="3"/>
  <c r="K10" i="3"/>
  <c r="D20" i="8"/>
  <c r="C18" i="7"/>
  <c r="C20" i="7" s="1"/>
  <c r="C25" i="7" s="1"/>
  <c r="B17" i="4"/>
  <c r="B16" i="4"/>
  <c r="K4" i="3"/>
  <c r="L4" i="3"/>
  <c r="D25" i="3"/>
  <c r="D26" i="3" s="1"/>
  <c r="F13" i="3" s="1"/>
  <c r="I13" i="3" s="1"/>
  <c r="I15" i="3" s="1"/>
  <c r="C26" i="3"/>
  <c r="B21" i="2"/>
  <c r="C15" i="8" s="1"/>
  <c r="C19" i="9" s="1"/>
  <c r="E42" i="6" l="1"/>
  <c r="D18" i="9"/>
  <c r="D22" i="9" s="1"/>
  <c r="C17" i="8"/>
  <c r="B18" i="4"/>
  <c r="E4" i="10"/>
  <c r="D18" i="7"/>
  <c r="L10" i="3"/>
  <c r="E20" i="8"/>
  <c r="E29" i="6"/>
  <c r="E18" i="7" s="1"/>
  <c r="E31" i="6"/>
  <c r="K15" i="3"/>
  <c r="D11" i="7"/>
  <c r="L7" i="3"/>
  <c r="E28" i="6"/>
  <c r="D23" i="8"/>
  <c r="D25" i="8" s="1"/>
  <c r="F31" i="6"/>
  <c r="M4" i="3"/>
  <c r="F42" i="6" l="1"/>
  <c r="E18" i="9"/>
  <c r="E22" i="9" s="1"/>
  <c r="D14" i="7"/>
  <c r="D15" i="7" s="1"/>
  <c r="D20" i="7" s="1"/>
  <c r="M7" i="3"/>
  <c r="F28" i="6"/>
  <c r="E11" i="7"/>
  <c r="E23" i="8"/>
  <c r="E25" i="8" s="1"/>
  <c r="M10" i="3"/>
  <c r="F20" i="8"/>
  <c r="F29" i="6"/>
  <c r="F18" i="7" s="1"/>
  <c r="E9" i="10"/>
  <c r="C5" i="10"/>
  <c r="M15" i="3"/>
  <c r="G31" i="6"/>
  <c r="L15" i="3"/>
  <c r="N4" i="3"/>
  <c r="E14" i="7" l="1"/>
  <c r="E15" i="7" s="1"/>
  <c r="E20" i="7" s="1"/>
  <c r="G42" i="6"/>
  <c r="F18" i="9"/>
  <c r="F22" i="9" s="1"/>
  <c r="D25" i="7"/>
  <c r="C6" i="12"/>
  <c r="H31" i="6"/>
  <c r="E10" i="10"/>
  <c r="E11" i="10" s="1"/>
  <c r="C15" i="10" s="1"/>
  <c r="N10" i="3"/>
  <c r="G20" i="8"/>
  <c r="G29" i="6"/>
  <c r="G18" i="7" s="1"/>
  <c r="F11" i="7"/>
  <c r="F23" i="8"/>
  <c r="F25" i="8" s="1"/>
  <c r="N7" i="3"/>
  <c r="H28" i="6" s="1"/>
  <c r="G28" i="6"/>
  <c r="G23" i="8" s="1"/>
  <c r="D6" i="12" l="1"/>
  <c r="E25" i="7"/>
  <c r="F14" i="7"/>
  <c r="F15" i="7" s="1"/>
  <c r="F20" i="7" s="1"/>
  <c r="H42" i="6"/>
  <c r="H18" i="9" s="1"/>
  <c r="H22" i="9" s="1"/>
  <c r="G18" i="9"/>
  <c r="G22" i="9" s="1"/>
  <c r="G11" i="7"/>
  <c r="G25" i="8"/>
  <c r="N15" i="3"/>
  <c r="H11" i="7"/>
  <c r="H20" i="8"/>
  <c r="H29" i="6"/>
  <c r="H18" i="7" s="1"/>
  <c r="H23" i="8"/>
  <c r="F25" i="7" l="1"/>
  <c r="E6" i="12"/>
  <c r="H14" i="7"/>
  <c r="H15" i="7" s="1"/>
  <c r="H20" i="7" s="1"/>
  <c r="G14" i="7"/>
  <c r="G15" i="7" s="1"/>
  <c r="G20" i="7" s="1"/>
  <c r="H25" i="8"/>
  <c r="G25" i="7" l="1"/>
  <c r="F6" i="12"/>
  <c r="G6" i="12"/>
  <c r="H25" i="7"/>
  <c r="G25" i="6"/>
  <c r="G32" i="6" s="1"/>
  <c r="H25" i="6"/>
  <c r="H32" i="6" s="1"/>
  <c r="F25" i="6"/>
  <c r="F32" i="6" s="1"/>
  <c r="E25" i="6"/>
  <c r="E32" i="6" s="1"/>
  <c r="D25" i="6"/>
  <c r="D32" i="6" s="1"/>
  <c r="C25" i="6"/>
  <c r="C32" i="6" s="1"/>
  <c r="D33" i="6" l="1"/>
  <c r="D28" i="7"/>
  <c r="H28" i="7"/>
  <c r="H33" i="6"/>
  <c r="C33" i="6"/>
  <c r="C39" i="6" s="1"/>
  <c r="C28" i="7"/>
  <c r="E33" i="6"/>
  <c r="E28" i="7"/>
  <c r="F33" i="6"/>
  <c r="F28" i="7"/>
  <c r="G33" i="6"/>
  <c r="G28" i="7"/>
  <c r="G29" i="7" l="1"/>
  <c r="G31" i="7" s="1"/>
  <c r="G32" i="8"/>
  <c r="E4" i="12"/>
  <c r="F39" i="6"/>
  <c r="F29" i="7"/>
  <c r="F31" i="7" s="1"/>
  <c r="F32" i="8"/>
  <c r="E29" i="7"/>
  <c r="E31" i="7" s="1"/>
  <c r="E32" i="8"/>
  <c r="D4" i="12"/>
  <c r="E39" i="6"/>
  <c r="C29" i="7"/>
  <c r="C31" i="7" s="1"/>
  <c r="C32" i="8"/>
  <c r="H32" i="8"/>
  <c r="H29" i="7"/>
  <c r="H31" i="7" s="1"/>
  <c r="F4" i="12"/>
  <c r="G39" i="6"/>
  <c r="G4" i="12"/>
  <c r="H39" i="6"/>
  <c r="D6" i="10"/>
  <c r="D9" i="10" s="1"/>
  <c r="D29" i="7"/>
  <c r="D31" i="7" s="1"/>
  <c r="D32" i="8"/>
  <c r="C4" i="12"/>
  <c r="D39" i="6"/>
  <c r="C10" i="9" l="1"/>
  <c r="C33" i="8"/>
  <c r="C35" i="8" s="1"/>
  <c r="J4" i="12" s="1"/>
  <c r="F5" i="12"/>
  <c r="H10" i="9"/>
  <c r="H33" i="8"/>
  <c r="H35" i="8" s="1"/>
  <c r="J9" i="12" s="1"/>
  <c r="E10" i="9"/>
  <c r="E33" i="8"/>
  <c r="E35" i="8" s="1"/>
  <c r="J6" i="12" s="1"/>
  <c r="F33" i="8"/>
  <c r="F35" i="8" s="1"/>
  <c r="J7" i="12" s="1"/>
  <c r="F10" i="9"/>
  <c r="G8" i="12"/>
  <c r="G7" i="12"/>
  <c r="H6" i="9"/>
  <c r="H11" i="9" s="1"/>
  <c r="H43" i="6"/>
  <c r="H45" i="6" s="1"/>
  <c r="H47" i="6" s="1"/>
  <c r="D5" i="12"/>
  <c r="D8" i="12"/>
  <c r="D7" i="12"/>
  <c r="E43" i="6"/>
  <c r="E45" i="6" s="1"/>
  <c r="E47" i="6" s="1"/>
  <c r="E6" i="9"/>
  <c r="E8" i="12"/>
  <c r="F43" i="6"/>
  <c r="F45" i="6" s="1"/>
  <c r="F47" i="6" s="1"/>
  <c r="E7" i="12"/>
  <c r="F6" i="9"/>
  <c r="D10" i="10"/>
  <c r="D11" i="10" s="1"/>
  <c r="G5" i="12"/>
  <c r="G10" i="9"/>
  <c r="G33" i="8"/>
  <c r="G35" i="8" s="1"/>
  <c r="J8" i="12" s="1"/>
  <c r="C6" i="9"/>
  <c r="C11" i="9" s="1"/>
  <c r="C43" i="6"/>
  <c r="C45" i="6" s="1"/>
  <c r="C47" i="6" s="1"/>
  <c r="C5" i="12"/>
  <c r="D33" i="8"/>
  <c r="D35" i="8" s="1"/>
  <c r="J5" i="12" s="1"/>
  <c r="D10" i="9"/>
  <c r="C8" i="12"/>
  <c r="D43" i="6"/>
  <c r="D45" i="6" s="1"/>
  <c r="D47" i="6" s="1"/>
  <c r="D6" i="9"/>
  <c r="C7" i="12"/>
  <c r="E5" i="12"/>
  <c r="F8" i="12"/>
  <c r="G43" i="6"/>
  <c r="G45" i="6" s="1"/>
  <c r="G47" i="6" s="1"/>
  <c r="G6" i="9"/>
  <c r="F7" i="12"/>
  <c r="G11" i="9" l="1"/>
  <c r="D11" i="9"/>
  <c r="C1" i="11"/>
  <c r="C16" i="10"/>
  <c r="E11" i="9"/>
  <c r="M7" i="12"/>
  <c r="F11" i="9"/>
  <c r="M8" i="12"/>
  <c r="M6" i="12"/>
  <c r="M5" i="12" s="1"/>
  <c r="C2" i="11" l="1"/>
  <c r="C17" i="10"/>
  <c r="C18" i="10" s="1"/>
  <c r="C22" i="10" l="1"/>
  <c r="C24" i="10" s="1"/>
  <c r="D2" i="11"/>
  <c r="C19" i="10"/>
  <c r="C75" i="11"/>
  <c r="C155" i="11"/>
  <c r="C298" i="11"/>
  <c r="C288" i="11"/>
  <c r="C41" i="11"/>
  <c r="C132" i="11"/>
  <c r="C51" i="11"/>
  <c r="C203" i="11"/>
  <c r="C232" i="11"/>
  <c r="C273" i="11"/>
  <c r="C169" i="11"/>
  <c r="C138" i="11"/>
  <c r="C206" i="11"/>
  <c r="C281" i="11"/>
  <c r="C23" i="11"/>
  <c r="C71" i="11"/>
  <c r="C212" i="11"/>
  <c r="C79" i="11"/>
  <c r="C43" i="11"/>
  <c r="C133" i="11"/>
  <c r="C98" i="11"/>
  <c r="C5" i="11"/>
  <c r="C52" i="11"/>
  <c r="C223" i="11"/>
  <c r="C96" i="11"/>
  <c r="C266" i="11"/>
  <c r="C28" i="11"/>
  <c r="C129" i="11"/>
  <c r="C77" i="11"/>
  <c r="C201" i="11"/>
  <c r="C173" i="11"/>
  <c r="C36" i="11"/>
  <c r="C225" i="11"/>
  <c r="C25" i="11"/>
  <c r="C54" i="11"/>
  <c r="C11" i="11"/>
  <c r="C136" i="11"/>
  <c r="C48" i="11"/>
  <c r="C97" i="11"/>
  <c r="C61" i="11"/>
  <c r="C167" i="11"/>
  <c r="C183" i="11"/>
  <c r="C87" i="11"/>
  <c r="C72" i="11"/>
  <c r="C258" i="11"/>
  <c r="C227" i="11"/>
  <c r="C59" i="11"/>
  <c r="C131" i="11"/>
  <c r="C253" i="11"/>
  <c r="C190" i="11"/>
  <c r="C107" i="11"/>
  <c r="C277" i="11"/>
  <c r="C222" i="11"/>
  <c r="C160" i="11"/>
  <c r="C156" i="11"/>
  <c r="C230" i="11"/>
  <c r="C85" i="11"/>
  <c r="C300" i="11"/>
  <c r="C115" i="11"/>
  <c r="C291" i="11"/>
  <c r="C186" i="11"/>
  <c r="C19" i="11"/>
  <c r="C267" i="11"/>
  <c r="C171" i="11"/>
  <c r="C248" i="11"/>
  <c r="C9" i="11"/>
  <c r="C121" i="11"/>
  <c r="C34" i="11"/>
  <c r="C278" i="11"/>
  <c r="C247" i="11"/>
  <c r="C217" i="11"/>
  <c r="C168" i="11"/>
  <c r="C37" i="11"/>
  <c r="C35" i="11"/>
  <c r="C106" i="11"/>
  <c r="C60" i="11"/>
  <c r="C228" i="11"/>
  <c r="C191" i="11"/>
  <c r="C30" i="11"/>
  <c r="C268" i="11"/>
  <c r="C279" i="11"/>
  <c r="C162" i="11"/>
  <c r="C182" i="11"/>
  <c r="C147" i="11"/>
  <c r="C44" i="11"/>
  <c r="C175" i="11"/>
  <c r="C257" i="11"/>
  <c r="C285" i="11"/>
  <c r="C188" i="11"/>
  <c r="C303" i="11"/>
  <c r="C284" i="11"/>
  <c r="C229" i="11"/>
  <c r="C20" i="11"/>
  <c r="C296" i="11"/>
  <c r="C57" i="11"/>
  <c r="C49" i="11"/>
  <c r="C269" i="11"/>
  <c r="C220" i="11"/>
  <c r="C178" i="11"/>
  <c r="C200" i="11"/>
  <c r="C205" i="11"/>
  <c r="C68" i="11"/>
  <c r="C251" i="11"/>
  <c r="C290" i="11"/>
  <c r="C239" i="11"/>
  <c r="C158" i="11"/>
  <c r="C292" i="11"/>
  <c r="C275" i="11"/>
  <c r="C270" i="11"/>
  <c r="C14" i="11"/>
  <c r="C141" i="11"/>
  <c r="C159" i="11"/>
  <c r="C282" i="11"/>
  <c r="C294" i="11"/>
  <c r="C274" i="11"/>
  <c r="C21" i="11"/>
  <c r="C4" i="11"/>
  <c r="C32" i="11"/>
  <c r="C238" i="11"/>
  <c r="C176" i="11"/>
  <c r="C110" i="11"/>
  <c r="C192" i="11"/>
  <c r="C42" i="11"/>
  <c r="C245" i="11"/>
  <c r="C99" i="11"/>
  <c r="C47" i="11"/>
  <c r="C153" i="11"/>
  <c r="C295" i="11"/>
  <c r="C118" i="11"/>
  <c r="C259" i="11"/>
  <c r="C289" i="11"/>
  <c r="C197" i="11"/>
  <c r="C119" i="11"/>
  <c r="C187" i="11"/>
  <c r="C66" i="11"/>
  <c r="C134" i="11"/>
  <c r="C117" i="11"/>
  <c r="C301" i="11"/>
  <c r="C209" i="11"/>
  <c r="C177" i="11"/>
  <c r="C164" i="11"/>
  <c r="C8" i="11"/>
  <c r="C111" i="11"/>
  <c r="C6" i="11"/>
  <c r="C161" i="11"/>
  <c r="C272" i="11"/>
  <c r="C86" i="11"/>
  <c r="C31" i="11"/>
  <c r="C198" i="11"/>
  <c r="C194" i="11"/>
  <c r="C24" i="11"/>
  <c r="C123" i="11"/>
  <c r="C299" i="11"/>
  <c r="C240" i="11"/>
  <c r="C226" i="11"/>
  <c r="C13" i="11"/>
  <c r="C113" i="11"/>
  <c r="C211" i="11"/>
  <c r="C91" i="11"/>
  <c r="C271" i="11"/>
  <c r="C195" i="11"/>
  <c r="C144" i="11"/>
  <c r="C235" i="11"/>
  <c r="C80" i="11"/>
  <c r="C116" i="11"/>
  <c r="C154" i="11"/>
  <c r="C215" i="11"/>
  <c r="C100" i="11"/>
  <c r="C304" i="11"/>
  <c r="C105" i="11"/>
  <c r="C7" i="11"/>
  <c r="C101" i="11"/>
  <c r="C213" i="11"/>
  <c r="C81" i="11"/>
  <c r="C69" i="11"/>
  <c r="C246" i="11"/>
  <c r="C181" i="11"/>
  <c r="C165" i="11"/>
  <c r="C263" i="11"/>
  <c r="C196" i="11"/>
  <c r="C76" i="11"/>
  <c r="C255" i="11"/>
  <c r="C125" i="11"/>
  <c r="C276" i="11"/>
  <c r="C143" i="11"/>
  <c r="C140" i="11"/>
  <c r="C218" i="11"/>
  <c r="C29" i="11"/>
  <c r="C293" i="11"/>
  <c r="C65" i="11"/>
  <c r="C112" i="11"/>
  <c r="C114" i="11"/>
  <c r="C124" i="11"/>
  <c r="C262" i="11"/>
  <c r="C88" i="11"/>
  <c r="C302" i="11"/>
  <c r="C78" i="11"/>
  <c r="C149" i="11"/>
  <c r="C12" i="11"/>
  <c r="C26" i="11"/>
  <c r="C210" i="11"/>
  <c r="C83" i="11"/>
  <c r="C172" i="11"/>
  <c r="C73" i="11"/>
  <c r="C280" i="11"/>
  <c r="C244" i="11"/>
  <c r="C224" i="11"/>
  <c r="C103" i="11"/>
  <c r="C84" i="11"/>
  <c r="C104" i="11"/>
  <c r="C92" i="11"/>
  <c r="C265" i="11"/>
  <c r="C89" i="11"/>
  <c r="C67" i="11"/>
  <c r="C179" i="11"/>
  <c r="C204" i="11"/>
  <c r="C18" i="11"/>
  <c r="C180" i="11"/>
  <c r="C95" i="11"/>
  <c r="C237" i="11"/>
  <c r="C40" i="11"/>
  <c r="C260" i="11"/>
  <c r="C208" i="11"/>
  <c r="C252" i="11"/>
  <c r="C74" i="11"/>
  <c r="C56" i="11"/>
  <c r="C233" i="11"/>
  <c r="C145" i="11"/>
  <c r="C157" i="11"/>
  <c r="C184" i="11"/>
  <c r="C286" i="11"/>
  <c r="C82" i="11"/>
  <c r="C146" i="11"/>
  <c r="C287" i="11"/>
  <c r="C139" i="11"/>
  <c r="C93" i="11"/>
  <c r="C130" i="11"/>
  <c r="C120" i="11"/>
  <c r="C46" i="11"/>
  <c r="C94" i="11"/>
  <c r="C216" i="11"/>
  <c r="C150" i="11"/>
  <c r="C122" i="11"/>
  <c r="C17" i="11"/>
  <c r="C193" i="11"/>
  <c r="C214" i="11"/>
  <c r="C151" i="11"/>
  <c r="C63" i="11"/>
  <c r="C127" i="11"/>
  <c r="C45" i="11"/>
  <c r="C234" i="11"/>
  <c r="C126" i="11"/>
  <c r="C62" i="11"/>
  <c r="C102" i="11"/>
  <c r="C90" i="11"/>
  <c r="C70" i="11"/>
  <c r="C202" i="11"/>
  <c r="C170" i="11"/>
  <c r="C128" i="11"/>
  <c r="C10" i="11"/>
  <c r="C33" i="11"/>
  <c r="C50" i="11"/>
  <c r="C249" i="11"/>
  <c r="C297" i="11"/>
  <c r="C22" i="11"/>
  <c r="C283" i="11"/>
  <c r="C142" i="11"/>
  <c r="C137" i="11"/>
  <c r="C55" i="11"/>
  <c r="C256" i="11"/>
  <c r="C58" i="11"/>
  <c r="C242" i="11"/>
  <c r="C207" i="11"/>
  <c r="C38" i="11"/>
  <c r="C166" i="11"/>
  <c r="C15" i="11"/>
  <c r="C185" i="11"/>
  <c r="C199" i="11"/>
  <c r="C108" i="11"/>
  <c r="C250" i="11"/>
  <c r="C241" i="11"/>
  <c r="C243" i="11"/>
  <c r="C163" i="11"/>
  <c r="C219" i="11"/>
  <c r="C135" i="11"/>
  <c r="C236" i="11"/>
  <c r="C231" i="11"/>
  <c r="C152" i="11"/>
  <c r="C39" i="11"/>
  <c r="C264" i="11"/>
  <c r="C27" i="11"/>
  <c r="C189" i="11"/>
  <c r="C53" i="11"/>
  <c r="C64" i="11"/>
  <c r="C109" i="11"/>
  <c r="C148" i="11"/>
  <c r="C174" i="11"/>
  <c r="C221" i="11"/>
  <c r="C261" i="11"/>
  <c r="C16" i="11"/>
  <c r="C254" i="11"/>
  <c r="D73" i="11" l="1"/>
  <c r="D70" i="11"/>
  <c r="D159" i="11"/>
  <c r="D293" i="11"/>
  <c r="D110" i="11"/>
  <c r="D66" i="11"/>
  <c r="D259" i="11"/>
  <c r="D74" i="11"/>
  <c r="D78" i="11"/>
  <c r="D245" i="11"/>
  <c r="D22" i="11"/>
  <c r="D126" i="11"/>
  <c r="D123" i="11"/>
  <c r="D54" i="11"/>
  <c r="D289" i="11"/>
  <c r="D223" i="11"/>
  <c r="D146" i="11"/>
  <c r="D111" i="11"/>
  <c r="D261" i="11"/>
  <c r="D295" i="11"/>
  <c r="D85" i="11"/>
  <c r="D76" i="11"/>
  <c r="D127" i="11"/>
  <c r="D287" i="11"/>
  <c r="D140" i="11"/>
  <c r="D212" i="11"/>
  <c r="D182" i="11"/>
  <c r="D7" i="11"/>
  <c r="D44" i="11"/>
  <c r="D129" i="11"/>
  <c r="D282" i="11"/>
  <c r="D51" i="11"/>
  <c r="D133" i="11"/>
  <c r="D226" i="11"/>
  <c r="D281" i="11"/>
  <c r="D298" i="11"/>
  <c r="D169" i="11"/>
  <c r="D91" i="11"/>
  <c r="D131" i="11"/>
  <c r="D63" i="11"/>
  <c r="D221" i="11"/>
  <c r="D205" i="11"/>
  <c r="D217" i="11"/>
  <c r="D216" i="11"/>
  <c r="D19" i="11"/>
  <c r="D170" i="11"/>
  <c r="D81" i="11"/>
  <c r="D107" i="11"/>
  <c r="D14" i="11"/>
  <c r="D294" i="11"/>
  <c r="D40" i="11"/>
  <c r="D218" i="11"/>
  <c r="D192" i="11"/>
  <c r="D13" i="11"/>
  <c r="D130" i="11"/>
  <c r="D28" i="11"/>
  <c r="D84" i="11"/>
  <c r="D151" i="11"/>
  <c r="D275" i="11"/>
  <c r="D77" i="11"/>
  <c r="D113" i="11"/>
  <c r="D59" i="11"/>
  <c r="D121" i="11"/>
  <c r="D134" i="11"/>
  <c r="D232" i="11"/>
  <c r="D162" i="11"/>
  <c r="D290" i="11"/>
  <c r="D58" i="11"/>
  <c r="D203" i="11"/>
  <c r="D128" i="11"/>
  <c r="D71" i="11"/>
  <c r="D229" i="11"/>
  <c r="D235" i="11"/>
  <c r="D190" i="11"/>
  <c r="D156" i="11"/>
  <c r="D253" i="11"/>
  <c r="D88" i="11"/>
  <c r="D87" i="11"/>
  <c r="D35" i="11"/>
  <c r="D136" i="11"/>
  <c r="D105" i="11"/>
  <c r="D191" i="11"/>
  <c r="D116" i="11"/>
  <c r="D300" i="11"/>
  <c r="D45" i="11"/>
  <c r="D252" i="11"/>
  <c r="D119" i="11"/>
  <c r="D95" i="11"/>
  <c r="D174" i="11"/>
  <c r="D99" i="11"/>
  <c r="D220" i="11"/>
  <c r="D62" i="11"/>
  <c r="D132" i="11"/>
  <c r="D92" i="11"/>
  <c r="D104" i="11"/>
  <c r="D41" i="11"/>
  <c r="D148" i="11"/>
  <c r="D96" i="11"/>
  <c r="D251" i="11"/>
  <c r="D114" i="11"/>
  <c r="D138" i="11"/>
  <c r="D30" i="11"/>
  <c r="D168" i="11"/>
  <c r="D304" i="11"/>
  <c r="D86" i="11"/>
  <c r="D15" i="11"/>
  <c r="D18" i="11"/>
  <c r="D254" i="11"/>
  <c r="D292" i="11"/>
  <c r="D145" i="11"/>
  <c r="D8" i="11"/>
  <c r="D65" i="11"/>
  <c r="D296" i="11"/>
  <c r="D225" i="11"/>
  <c r="D178" i="11"/>
  <c r="D270" i="11"/>
  <c r="D175" i="11"/>
  <c r="D206" i="11"/>
  <c r="D233" i="11"/>
  <c r="D118" i="11"/>
  <c r="D236" i="11"/>
  <c r="D271" i="11"/>
  <c r="D263" i="11"/>
  <c r="D279" i="11"/>
  <c r="D201" i="11"/>
  <c r="D193" i="11"/>
  <c r="D204" i="11"/>
  <c r="D94" i="11"/>
  <c r="D194" i="11"/>
  <c r="D272" i="11"/>
  <c r="D276" i="11"/>
  <c r="D195" i="11"/>
  <c r="D83" i="11"/>
  <c r="D299" i="11"/>
  <c r="D181" i="11"/>
  <c r="D120" i="11"/>
  <c r="D209" i="11"/>
  <c r="D49" i="11"/>
  <c r="D103" i="11"/>
  <c r="D64" i="11"/>
  <c r="D198" i="11"/>
  <c r="D137" i="11"/>
  <c r="D188" i="11"/>
  <c r="D150" i="11"/>
  <c r="D101" i="11"/>
  <c r="D149" i="11"/>
  <c r="D75" i="11"/>
  <c r="D172" i="11"/>
  <c r="D4" i="11"/>
  <c r="D161" i="11"/>
  <c r="D125" i="11"/>
  <c r="D55" i="11"/>
  <c r="D143" i="11"/>
  <c r="D5" i="11"/>
  <c r="D12" i="11"/>
  <c r="D93" i="11"/>
  <c r="D29" i="11"/>
  <c r="D202" i="11"/>
  <c r="D50" i="11"/>
  <c r="D219" i="11"/>
  <c r="D214" i="11"/>
  <c r="D260" i="11"/>
  <c r="D277" i="11"/>
  <c r="D60" i="11"/>
  <c r="D215" i="11"/>
  <c r="D284" i="11"/>
  <c r="D26" i="11"/>
  <c r="D196" i="11"/>
  <c r="D258" i="11"/>
  <c r="D117" i="11"/>
  <c r="D163" i="11"/>
  <c r="D152" i="11"/>
  <c r="D53" i="11"/>
  <c r="D52" i="11"/>
  <c r="D106" i="11"/>
  <c r="D43" i="11"/>
  <c r="D166" i="11"/>
  <c r="D302" i="11"/>
  <c r="D273" i="11"/>
  <c r="D246" i="11"/>
  <c r="D79" i="11"/>
  <c r="D265" i="11"/>
  <c r="D80" i="11"/>
  <c r="D210" i="11"/>
  <c r="D187" i="11"/>
  <c r="D285" i="11"/>
  <c r="D67" i="11"/>
  <c r="D222" i="11"/>
  <c r="D244" i="11"/>
  <c r="D112" i="11"/>
  <c r="D109" i="11"/>
  <c r="D56" i="11"/>
  <c r="D38" i="11"/>
  <c r="D164" i="11"/>
  <c r="D240" i="11"/>
  <c r="D288" i="11"/>
  <c r="D17" i="11"/>
  <c r="D32" i="11"/>
  <c r="D141" i="11"/>
  <c r="D165" i="11"/>
  <c r="D47" i="11"/>
  <c r="D180" i="11"/>
  <c r="D158" i="11"/>
  <c r="D249" i="11"/>
  <c r="D23" i="11"/>
  <c r="D155" i="11"/>
  <c r="D6" i="11"/>
  <c r="D199" i="11"/>
  <c r="D241" i="11"/>
  <c r="D303" i="11"/>
  <c r="D142" i="11"/>
  <c r="D48" i="11"/>
  <c r="D264" i="11"/>
  <c r="D224" i="11"/>
  <c r="D231" i="11"/>
  <c r="D286" i="11"/>
  <c r="D147" i="11"/>
  <c r="D255" i="11"/>
  <c r="D184" i="11"/>
  <c r="D274" i="11"/>
  <c r="D57" i="11"/>
  <c r="D301" i="11"/>
  <c r="D37" i="11"/>
  <c r="D211" i="11"/>
  <c r="D247" i="11"/>
  <c r="D33" i="11"/>
  <c r="D10" i="11"/>
  <c r="D115" i="11"/>
  <c r="D39" i="11"/>
  <c r="D108" i="11"/>
  <c r="D46" i="11"/>
  <c r="D267" i="11"/>
  <c r="D20" i="11"/>
  <c r="D11" i="11"/>
  <c r="D256" i="11"/>
  <c r="D230" i="11"/>
  <c r="D207" i="11"/>
  <c r="D291" i="11"/>
  <c r="D102" i="11"/>
  <c r="D16" i="11"/>
  <c r="D239" i="11"/>
  <c r="D242" i="11"/>
  <c r="D278" i="11"/>
  <c r="D42" i="11"/>
  <c r="D297" i="11"/>
  <c r="D185" i="11"/>
  <c r="D176" i="11"/>
  <c r="D153" i="11"/>
  <c r="D248" i="11"/>
  <c r="D227" i="11"/>
  <c r="D139" i="11"/>
  <c r="D238" i="11"/>
  <c r="D208" i="11"/>
  <c r="D61" i="11"/>
  <c r="D98" i="11"/>
  <c r="D171" i="11"/>
  <c r="D82" i="11"/>
  <c r="D177" i="11"/>
  <c r="D68" i="11"/>
  <c r="D9" i="11"/>
  <c r="D266" i="11"/>
  <c r="D90" i="11"/>
  <c r="D189" i="11"/>
  <c r="D34" i="11"/>
  <c r="D234" i="11"/>
  <c r="D257" i="11"/>
  <c r="D122" i="11"/>
  <c r="D24" i="11"/>
  <c r="D200" i="11"/>
  <c r="D97" i="11"/>
  <c r="D197" i="11"/>
  <c r="D21" i="11"/>
  <c r="D228" i="11"/>
  <c r="D167" i="11"/>
  <c r="D269" i="11"/>
  <c r="D69" i="11"/>
  <c r="D160" i="11"/>
  <c r="D36" i="11"/>
  <c r="D283" i="11"/>
  <c r="D89" i="11"/>
  <c r="D186" i="11"/>
  <c r="D124" i="11"/>
  <c r="D144" i="11"/>
  <c r="D250" i="11"/>
  <c r="D25" i="11"/>
  <c r="D243" i="11"/>
  <c r="D280" i="11"/>
  <c r="D27" i="11"/>
  <c r="D183" i="11"/>
  <c r="D237" i="11"/>
  <c r="D31" i="11"/>
  <c r="D173" i="11"/>
  <c r="D179" i="11"/>
  <c r="D213" i="11"/>
  <c r="D135" i="11"/>
  <c r="D268" i="11"/>
  <c r="D154" i="11"/>
  <c r="D262" i="11"/>
  <c r="D100" i="11"/>
  <c r="D72" i="11"/>
  <c r="D157" i="11"/>
</calcChain>
</file>

<file path=xl/sharedStrings.xml><?xml version="1.0" encoding="utf-8"?>
<sst xmlns="http://schemas.openxmlformats.org/spreadsheetml/2006/main" count="456" uniqueCount="277">
  <si>
    <t>Inversión Inicial</t>
  </si>
  <si>
    <t>Tipo de inversión</t>
  </si>
  <si>
    <t>Valor</t>
  </si>
  <si>
    <t>Diseño UX/UI</t>
  </si>
  <si>
    <t>Producción de contenidos interactivos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</si>
  <si>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</si>
  <si>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</si>
  <si>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</si>
  <si>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</si>
  <si>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</si>
  <si>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Activos Tangibles</t>
  </si>
  <si>
    <t>Concepto</t>
  </si>
  <si>
    <t>Cantidad</t>
  </si>
  <si>
    <t>Valor Unitario</t>
  </si>
  <si>
    <t>Valor Total</t>
  </si>
  <si>
    <t>Computadoras/Laptops</t>
  </si>
  <si>
    <t>Monitores</t>
  </si>
  <si>
    <t>Perifericos (Mouse, Teclados, Audifonos)</t>
  </si>
  <si>
    <t>Accesorios (Papeleria, etc)</t>
  </si>
  <si>
    <t>Capital Social</t>
  </si>
  <si>
    <t>Financiamiento por Deuda</t>
  </si>
  <si>
    <t>Inversión en Diseño UX/UI</t>
  </si>
  <si>
    <t>Investigación UX (Tesis y Entrevistas)</t>
  </si>
  <si>
    <t>Diseño UI (Mockups y Prototipos)</t>
  </si>
  <si>
    <t>Prubeas de Usabilidad y Ajustes</t>
  </si>
  <si>
    <t>Inversión en Producción de Contenidos Interactivos</t>
  </si>
  <si>
    <t>Guión y Diseño</t>
  </si>
  <si>
    <t>Desarrollo de Simuladores</t>
  </si>
  <si>
    <t>Licencias y Recursos (Stock y Assets)</t>
  </si>
  <si>
    <t>Producción Multimedia (Audios y Videos)</t>
  </si>
  <si>
    <t>Inversión en Marketing, Lanzamiento y Proyección</t>
  </si>
  <si>
    <t>Estrategia y Branding (Diseño y Marca)</t>
  </si>
  <si>
    <t>Campañas digitales (Google Ads o RRSS)</t>
  </si>
  <si>
    <t>Producción Audiovisual Promocional</t>
  </si>
  <si>
    <t>Eventos y Demostraciones (Material Físico)</t>
  </si>
  <si>
    <t>Inversión en Consultoría Especializada</t>
  </si>
  <si>
    <t>Asesoría Legal y Cumplimiento</t>
  </si>
  <si>
    <t>Seguridad de la Información / Datos</t>
  </si>
  <si>
    <t>Mentoría Estratégica y Producto</t>
  </si>
  <si>
    <t>Inversión en Creación de Infraestructura y Arquitectura de Software</t>
  </si>
  <si>
    <t>Setup Inicial de la Nube (Arquitectura y Deploy)</t>
  </si>
  <si>
    <t>Licencias de Software (Herramientas)</t>
  </si>
  <si>
    <t>Dominios y Certificados de SSL</t>
  </si>
  <si>
    <t>Implementación / DevOPS</t>
  </si>
  <si>
    <t>Costos de Operación Gravables</t>
  </si>
  <si>
    <t>Costos de Operación Gravables (valor trimestral)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</si>
  <si>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</si>
  <si>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</si>
  <si>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</si>
  <si>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</si>
  <si>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</si>
  <si>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</si>
  <si>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</si>
  <si>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</si>
  <si>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</si>
  <si>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</si>
  <si>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</si>
  <si>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</si>
  <si>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</si>
  <si>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</si>
  <si>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</si>
  <si>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</si>
  <si>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</si>
  <si>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</si>
  <si>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</si>
  <si>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</si>
  <si>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</si>
  <si>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Infraestructuras</t>
  </si>
  <si>
    <t>Servicios de Infraestructura/Hosting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</si>
  <si>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</si>
  <si>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</si>
  <si>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</si>
  <si>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</si>
  <si>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</si>
  <si>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</si>
  <si>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</si>
  <si>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Activos Fijos Tangibles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</si>
  <si>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</si>
  <si>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</si>
  <si>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</si>
  <si>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</si>
  <si>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</si>
  <si>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</si>
  <si>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</si>
  <si>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</si>
  <si>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</si>
  <si>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</si>
  <si>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</si>
  <si>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</si>
  <si>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</si>
  <si>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</si>
  <si>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</si>
  <si>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</si>
  <si>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</si>
  <si>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</si>
  <si>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</si>
  <si>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</si>
  <si>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</si>
  <si>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</si>
  <si>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</si>
  <si>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</si>
  <si>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</si>
  <si>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</si>
  <si>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</si>
  <si>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</si>
  <si>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</si>
  <si>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Financiamiento Externo</t>
  </si>
  <si>
    <t>Aportes Sociales</t>
  </si>
  <si>
    <t>Amortización y Depreciación</t>
  </si>
  <si>
    <t>Amortización de Crédito</t>
  </si>
  <si>
    <t>Préstamo (en Banco GNB Sudameris)</t>
  </si>
  <si>
    <t>Período</t>
  </si>
  <si>
    <t>Saldo</t>
  </si>
  <si>
    <t>Interes</t>
  </si>
  <si>
    <t>Amortización</t>
  </si>
  <si>
    <t xml:space="preserve">Pago al Crédito </t>
  </si>
  <si>
    <t>Saldo Final</t>
  </si>
  <si>
    <t>Valor del Préstamo</t>
  </si>
  <si>
    <t>Cuota Inicial</t>
  </si>
  <si>
    <t>Plazo</t>
  </si>
  <si>
    <t>Tasa de Interés (trimestralmente)</t>
  </si>
  <si>
    <t>Pago Mensual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</si>
  <si>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</si>
  <si>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</si>
  <si>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</si>
  <si>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</si>
  <si>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</si>
  <si>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</si>
  <si>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</si>
  <si>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</si>
  <si>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</si>
  <si>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</si>
  <si>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</si>
  <si>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</si>
  <si>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</si>
  <si>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</si>
  <si>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</si>
  <si>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</si>
  <si>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</si>
  <si>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</si>
  <si>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</si>
  <si>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</si>
  <si>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</si>
  <si>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</si>
  <si>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</si>
  <si>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</si>
  <si>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</si>
  <si>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</si>
  <si>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</si>
  <si>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</si>
  <si>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</si>
  <si>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</si>
  <si>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</si>
  <si>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</si>
  <si>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</si>
  <si>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</si>
  <si>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</si>
  <si>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</si>
  <si>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</si>
  <si>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</si>
  <si>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</si>
  <si>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</si>
  <si>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</si>
  <si>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</si>
  <si>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</si>
  <si>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</si>
  <si>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</si>
  <si>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</si>
  <si>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</si>
  <si>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</si>
  <si>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ESTADO DE RESULTADOS</t>
  </si>
  <si>
    <t>Efectivo y equivalente de efectivo</t>
  </si>
  <si>
    <t>Total Ventas Netas</t>
  </si>
  <si>
    <t>UTILIDAD</t>
  </si>
  <si>
    <t>Mano de Obra Fija</t>
  </si>
  <si>
    <t>Diferidos</t>
  </si>
  <si>
    <t>Total Costo de Ventas</t>
  </si>
  <si>
    <t>Utilidad Bruta (Ventas - Costo de Ventas)</t>
  </si>
  <si>
    <t>UTILIDAD OPERACIONAL</t>
  </si>
  <si>
    <t>Gastos Administrativos</t>
  </si>
  <si>
    <t>Gastos de Ventas</t>
  </si>
  <si>
    <t>Total Utilidad Operacional</t>
  </si>
  <si>
    <t>OTRAS UTILIDADES</t>
  </si>
  <si>
    <t>Otros Egresos</t>
  </si>
  <si>
    <t>Gastos Financieros</t>
  </si>
  <si>
    <t>Total Otras Utilidades</t>
  </si>
  <si>
    <t>IMPUESTOS</t>
  </si>
  <si>
    <t>Impuestos</t>
  </si>
  <si>
    <t>Total Impuestos</t>
  </si>
  <si>
    <t>UTILIDAD NETA</t>
  </si>
  <si>
    <t>FLUJO DE CAJA</t>
  </si>
  <si>
    <t>INVERSIÓN INICIAL</t>
  </si>
  <si>
    <t>Equipos de Cómputo</t>
  </si>
  <si>
    <t>Equipos de Oficina</t>
  </si>
  <si>
    <t>Capital de Trabajo</t>
  </si>
  <si>
    <t>Preoperativos</t>
  </si>
  <si>
    <t>Costos de Infraestructura Iniciales</t>
  </si>
  <si>
    <t>Total de Inversión Inicial</t>
  </si>
  <si>
    <t>ENTRADAS E INGRESOS</t>
  </si>
  <si>
    <t>Aportaciones de Socios</t>
  </si>
  <si>
    <t>Aportes de Financiamiento</t>
  </si>
  <si>
    <t>Total de Entradas</t>
  </si>
  <si>
    <t>EGRESOS</t>
  </si>
  <si>
    <t>Mantenimiento de Infraestructura</t>
  </si>
  <si>
    <t>Intereses</t>
  </si>
  <si>
    <t>Nómina y Prestaciones</t>
  </si>
  <si>
    <t>Remuneraciones y Participaciones por Pagar</t>
  </si>
  <si>
    <t>DEPRECIACIÓN</t>
  </si>
  <si>
    <t>Total Depreciación</t>
  </si>
  <si>
    <t>FLUJO DE OPERACIÓN</t>
  </si>
  <si>
    <t>Total Flujo de Operación</t>
  </si>
  <si>
    <t>FLUJO DE CAJA LIBRE</t>
  </si>
  <si>
    <t>FLUJO DE EFECTIVO</t>
  </si>
  <si>
    <t>FLUJO DE CAJA DE OPERACIÓN</t>
  </si>
  <si>
    <t>Utilidad del Ejercicio</t>
  </si>
  <si>
    <t>Depreciaciones</t>
  </si>
  <si>
    <t>Impuestos de la Renta</t>
  </si>
  <si>
    <t>Flujo de Caja Operativo Neto</t>
  </si>
  <si>
    <t>FLUJO DE CAJA DE INVERSIÓN</t>
  </si>
  <si>
    <t>Inversión de Equipos de Computación</t>
  </si>
  <si>
    <t>Flujo de Caja de Inversión Neto</t>
  </si>
  <si>
    <t>FLUJO DE CAJA DE FINANCIAMIENTO</t>
  </si>
  <si>
    <t>Desembolso Pasivo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</si>
  <si>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</si>
  <si>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</si>
  <si>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</si>
  <si>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</si>
  <si>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</si>
  <si>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</si>
  <si>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</si>
  <si>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</si>
  <si>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</si>
  <si>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</si>
  <si>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</si>
  <si>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</si>
  <si>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</si>
  <si>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</si>
  <si>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</si>
  <si>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</si>
  <si>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</si>
  <si>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</si>
  <si>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</si>
  <si>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</si>
  <si>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</si>
  <si>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</si>
  <si>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</si>
  <si>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</si>
  <si>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</si>
  <si>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</si>
  <si>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</si>
  <si>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</si>
  <si>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</si>
  <si>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</si>
  <si>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</si>
  <si>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</si>
  <si>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</si>
  <si>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</si>
  <si>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</si>
  <si>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</si>
  <si>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</si>
  <si>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</si>
  <si>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</si>
  <si>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</si>
  <si>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</si>
  <si>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</si>
  <si>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</si>
  <si>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</si>
  <si>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</si>
  <si>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</si>
  <si>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</si>
  <si>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Inversion Inicial</t>
  </si>
  <si>
    <t>Equipos</t>
  </si>
  <si>
    <t>Intangibles</t>
  </si>
  <si>
    <t>Préstamo</t>
  </si>
  <si>
    <t>Servicio de Internet</t>
  </si>
  <si>
    <t>Registros y Estatutos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</si>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</sst>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7" fillId="4" borderId="17" xfId="0" applyFont="1" applyFill="1" applyBorder="1"/>
    <xf numFmtId="164" fontId="0" fillId="4" borderId="17" xfId="0" applyNumberForma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/>
    </xf>
    <xf numFmtId="0" fontId="1" fillId="13" borderId="27" xfId="0" applyFont="1" applyFill="1" applyBorder="1" applyAlignment="1">
      <alignment horizontal="center"/>
    </xf>
    <xf numFmtId="0" fontId="1" fillId="0" borderId="17" xfId="0" applyFont="1" applyFill="1" applyBorder="1"/>
    <xf numFmtId="164" fontId="0" fillId="0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14590374.120000001</c:v>
                </c:pt>
                <c:pt idx="1">
                  <c:v>15037612.542666668</c:v>
                </c:pt>
                <c:pt idx="2">
                  <c:v>15484850.965333335</c:v>
                </c:pt>
                <c:pt idx="3">
                  <c:v>15932089.388</c:v>
                </c:pt>
                <c:pt idx="4">
                  <c:v>16379327.810666667</c:v>
                </c:pt>
                <c:pt idx="5">
                  <c:v>16826566.233333334</c:v>
                </c:pt>
                <c:pt idx="6">
                  <c:v>17273804.656000003</c:v>
                </c:pt>
                <c:pt idx="7">
                  <c:v>17721043.078666668</c:v>
                </c:pt>
                <c:pt idx="8">
                  <c:v>18168281.501333334</c:v>
                </c:pt>
                <c:pt idx="9">
                  <c:v>18615519.924000002</c:v>
                </c:pt>
                <c:pt idx="10">
                  <c:v>19062758.346666668</c:v>
                </c:pt>
                <c:pt idx="11">
                  <c:v>19509996.769333333</c:v>
                </c:pt>
                <c:pt idx="12">
                  <c:v>19957235.192000002</c:v>
                </c:pt>
                <c:pt idx="13">
                  <c:v>20404473.614666667</c:v>
                </c:pt>
                <c:pt idx="14">
                  <c:v>20851712.037333336</c:v>
                </c:pt>
                <c:pt idx="15">
                  <c:v>21298950.460000001</c:v>
                </c:pt>
                <c:pt idx="16">
                  <c:v>21746188.88266667</c:v>
                </c:pt>
                <c:pt idx="17">
                  <c:v>22193427.305333335</c:v>
                </c:pt>
                <c:pt idx="18">
                  <c:v>22640665.728</c:v>
                </c:pt>
                <c:pt idx="19">
                  <c:v>23087904.150666669</c:v>
                </c:pt>
                <c:pt idx="20">
                  <c:v>23535142.573333334</c:v>
                </c:pt>
                <c:pt idx="21">
                  <c:v>23982380.995999999</c:v>
                </c:pt>
                <c:pt idx="22">
                  <c:v>24429619.418666668</c:v>
                </c:pt>
                <c:pt idx="23">
                  <c:v>24876857.841333337</c:v>
                </c:pt>
                <c:pt idx="24">
                  <c:v>25324096.264000002</c:v>
                </c:pt>
                <c:pt idx="25">
                  <c:v>25771334.686666667</c:v>
                </c:pt>
                <c:pt idx="26">
                  <c:v>26218573.109333336</c:v>
                </c:pt>
                <c:pt idx="27">
                  <c:v>26665811.532000002</c:v>
                </c:pt>
                <c:pt idx="28">
                  <c:v>27113049.954666667</c:v>
                </c:pt>
                <c:pt idx="29">
                  <c:v>27560288.377333336</c:v>
                </c:pt>
                <c:pt idx="30">
                  <c:v>28007526.800000001</c:v>
                </c:pt>
                <c:pt idx="31">
                  <c:v>28454765.222666666</c:v>
                </c:pt>
                <c:pt idx="32">
                  <c:v>28902003.645333335</c:v>
                </c:pt>
                <c:pt idx="33">
                  <c:v>29349242.068000004</c:v>
                </c:pt>
                <c:pt idx="34">
                  <c:v>29796480.490666669</c:v>
                </c:pt>
                <c:pt idx="35">
                  <c:v>30243718.913333334</c:v>
                </c:pt>
                <c:pt idx="36">
                  <c:v>30690957.336000003</c:v>
                </c:pt>
                <c:pt idx="37">
                  <c:v>31138195.758666668</c:v>
                </c:pt>
                <c:pt idx="38">
                  <c:v>31585434.181333333</c:v>
                </c:pt>
                <c:pt idx="39">
                  <c:v>32032672.604000002</c:v>
                </c:pt>
                <c:pt idx="40">
                  <c:v>32479911.026666667</c:v>
                </c:pt>
                <c:pt idx="41">
                  <c:v>32927149.449333336</c:v>
                </c:pt>
                <c:pt idx="42">
                  <c:v>33374387.872000001</c:v>
                </c:pt>
                <c:pt idx="43">
                  <c:v>33821626.294666663</c:v>
                </c:pt>
                <c:pt idx="44">
                  <c:v>34268864.717333332</c:v>
                </c:pt>
                <c:pt idx="45">
                  <c:v>34716103.140000001</c:v>
                </c:pt>
                <c:pt idx="46">
                  <c:v>35163341.562666669</c:v>
                </c:pt>
                <c:pt idx="47">
                  <c:v>35610579.985333338</c:v>
                </c:pt>
                <c:pt idx="48">
                  <c:v>36057818.408000007</c:v>
                </c:pt>
                <c:pt idx="49">
                  <c:v>36505056.830666669</c:v>
                </c:pt>
                <c:pt idx="50">
                  <c:v>36952295.25333333</c:v>
                </c:pt>
                <c:pt idx="51">
                  <c:v>37399533.675999999</c:v>
                </c:pt>
                <c:pt idx="52">
                  <c:v>37846772.098666668</c:v>
                </c:pt>
                <c:pt idx="53">
                  <c:v>38294010.521333337</c:v>
                </c:pt>
                <c:pt idx="54">
                  <c:v>38741248.944000006</c:v>
                </c:pt>
                <c:pt idx="55">
                  <c:v>39188487.366666667</c:v>
                </c:pt>
                <c:pt idx="56">
                  <c:v>39635725.789333336</c:v>
                </c:pt>
                <c:pt idx="57">
                  <c:v>40082964.211999997</c:v>
                </c:pt>
                <c:pt idx="58">
                  <c:v>40530202.634666666</c:v>
                </c:pt>
                <c:pt idx="59">
                  <c:v>40977441.057333335</c:v>
                </c:pt>
                <c:pt idx="60">
                  <c:v>41424679.480000004</c:v>
                </c:pt>
                <c:pt idx="61">
                  <c:v>41871917.902666673</c:v>
                </c:pt>
                <c:pt idx="62">
                  <c:v>42319156.325333335</c:v>
                </c:pt>
                <c:pt idx="63">
                  <c:v>42766394.748000003</c:v>
                </c:pt>
                <c:pt idx="64">
                  <c:v>43213633.170666665</c:v>
                </c:pt>
                <c:pt idx="65">
                  <c:v>43660871.593333334</c:v>
                </c:pt>
                <c:pt idx="66">
                  <c:v>44108110.016000003</c:v>
                </c:pt>
                <c:pt idx="67">
                  <c:v>44555348.438666672</c:v>
                </c:pt>
                <c:pt idx="68">
                  <c:v>45002586.86133334</c:v>
                </c:pt>
                <c:pt idx="69">
                  <c:v>45449825.284000002</c:v>
                </c:pt>
                <c:pt idx="70">
                  <c:v>45897063.706666663</c:v>
                </c:pt>
                <c:pt idx="71">
                  <c:v>46344302.129333332</c:v>
                </c:pt>
                <c:pt idx="72">
                  <c:v>46791540.552000001</c:v>
                </c:pt>
                <c:pt idx="73">
                  <c:v>47238778.97466667</c:v>
                </c:pt>
                <c:pt idx="74">
                  <c:v>47686017.397333339</c:v>
                </c:pt>
                <c:pt idx="75">
                  <c:v>48133255.82</c:v>
                </c:pt>
                <c:pt idx="76">
                  <c:v>48580494.242666662</c:v>
                </c:pt>
                <c:pt idx="77">
                  <c:v>49027732.665333331</c:v>
                </c:pt>
                <c:pt idx="78">
                  <c:v>49474971.088</c:v>
                </c:pt>
                <c:pt idx="79">
                  <c:v>49922209.510666668</c:v>
                </c:pt>
                <c:pt idx="80">
                  <c:v>50369447.933333337</c:v>
                </c:pt>
                <c:pt idx="81">
                  <c:v>50816686.356000006</c:v>
                </c:pt>
                <c:pt idx="82">
                  <c:v>51263924.778666675</c:v>
                </c:pt>
                <c:pt idx="83">
                  <c:v>51711163.201333329</c:v>
                </c:pt>
                <c:pt idx="84">
                  <c:v>52158401.623999998</c:v>
                </c:pt>
                <c:pt idx="85">
                  <c:v>52605640.046666667</c:v>
                </c:pt>
                <c:pt idx="86">
                  <c:v>53052878.469333336</c:v>
                </c:pt>
                <c:pt idx="87">
                  <c:v>53500116.892000005</c:v>
                </c:pt>
                <c:pt idx="88">
                  <c:v>53947355.314666674</c:v>
                </c:pt>
                <c:pt idx="89">
                  <c:v>54394593.737333342</c:v>
                </c:pt>
                <c:pt idx="90">
                  <c:v>54841832.159999996</c:v>
                </c:pt>
                <c:pt idx="91">
                  <c:v>55289070.582666665</c:v>
                </c:pt>
                <c:pt idx="92">
                  <c:v>55736309.005333334</c:v>
                </c:pt>
                <c:pt idx="93">
                  <c:v>56183547.428000003</c:v>
                </c:pt>
                <c:pt idx="94">
                  <c:v>56630785.850666672</c:v>
                </c:pt>
                <c:pt idx="95">
                  <c:v>57078024.273333341</c:v>
                </c:pt>
                <c:pt idx="96">
                  <c:v>57525262.69600001</c:v>
                </c:pt>
                <c:pt idx="97">
                  <c:v>57972501.118666664</c:v>
                </c:pt>
                <c:pt idx="98">
                  <c:v>58419739.541333333</c:v>
                </c:pt>
                <c:pt idx="99">
                  <c:v>58866977.964000002</c:v>
                </c:pt>
                <c:pt idx="100">
                  <c:v>59314216.38666667</c:v>
                </c:pt>
                <c:pt idx="101">
                  <c:v>59761454.809333339</c:v>
                </c:pt>
                <c:pt idx="102">
                  <c:v>60208693.232000008</c:v>
                </c:pt>
                <c:pt idx="103">
                  <c:v>60655931.654666662</c:v>
                </c:pt>
                <c:pt idx="104">
                  <c:v>61103170.077333331</c:v>
                </c:pt>
                <c:pt idx="105">
                  <c:v>61550408.5</c:v>
                </c:pt>
                <c:pt idx="106">
                  <c:v>61997646.922666669</c:v>
                </c:pt>
                <c:pt idx="107">
                  <c:v>62444885.345333338</c:v>
                </c:pt>
                <c:pt idx="108">
                  <c:v>62892123.768000007</c:v>
                </c:pt>
                <c:pt idx="109">
                  <c:v>63339362.190666676</c:v>
                </c:pt>
                <c:pt idx="110">
                  <c:v>63786600.61333333</c:v>
                </c:pt>
                <c:pt idx="111">
                  <c:v>64233839.035999998</c:v>
                </c:pt>
                <c:pt idx="112">
                  <c:v>64681077.458666667</c:v>
                </c:pt>
                <c:pt idx="113">
                  <c:v>65128315.881333336</c:v>
                </c:pt>
                <c:pt idx="114">
                  <c:v>65575554.304000005</c:v>
                </c:pt>
                <c:pt idx="115">
                  <c:v>66022792.726666674</c:v>
                </c:pt>
                <c:pt idx="116">
                  <c:v>66470031.149333343</c:v>
                </c:pt>
                <c:pt idx="117">
                  <c:v>66917269.571999997</c:v>
                </c:pt>
                <c:pt idx="118">
                  <c:v>67364507.994666666</c:v>
                </c:pt>
                <c:pt idx="119">
                  <c:v>67811746.417333335</c:v>
                </c:pt>
                <c:pt idx="120">
                  <c:v>68258984.840000004</c:v>
                </c:pt>
                <c:pt idx="121">
                  <c:v>68706223.262666672</c:v>
                </c:pt>
                <c:pt idx="122">
                  <c:v>69153461.685333341</c:v>
                </c:pt>
                <c:pt idx="123">
                  <c:v>69600700.107999995</c:v>
                </c:pt>
                <c:pt idx="124">
                  <c:v>70047938.530666664</c:v>
                </c:pt>
                <c:pt idx="125">
                  <c:v>70495176.953333333</c:v>
                </c:pt>
                <c:pt idx="126">
                  <c:v>70942415.376000002</c:v>
                </c:pt>
                <c:pt idx="127">
                  <c:v>71389653.798666671</c:v>
                </c:pt>
                <c:pt idx="128">
                  <c:v>71836892.22133334</c:v>
                </c:pt>
                <c:pt idx="129">
                  <c:v>72284130.644000009</c:v>
                </c:pt>
                <c:pt idx="130">
                  <c:v>72731369.066666663</c:v>
                </c:pt>
                <c:pt idx="131">
                  <c:v>73178607.489333332</c:v>
                </c:pt>
                <c:pt idx="132">
                  <c:v>73625845.912</c:v>
                </c:pt>
                <c:pt idx="133">
                  <c:v>74073084.334666669</c:v>
                </c:pt>
                <c:pt idx="134">
                  <c:v>74520322.757333338</c:v>
                </c:pt>
                <c:pt idx="135">
                  <c:v>74967561.180000007</c:v>
                </c:pt>
                <c:pt idx="136">
                  <c:v>75414799.602666676</c:v>
                </c:pt>
                <c:pt idx="137">
                  <c:v>75862038.02533333</c:v>
                </c:pt>
                <c:pt idx="138">
                  <c:v>76309276.447999999</c:v>
                </c:pt>
                <c:pt idx="139">
                  <c:v>76756514.870666668</c:v>
                </c:pt>
                <c:pt idx="140">
                  <c:v>77203753.293333337</c:v>
                </c:pt>
                <c:pt idx="141">
                  <c:v>77650991.716000006</c:v>
                </c:pt>
                <c:pt idx="142">
                  <c:v>78098230.138666674</c:v>
                </c:pt>
                <c:pt idx="143">
                  <c:v>78545468.561333343</c:v>
                </c:pt>
                <c:pt idx="144">
                  <c:v>78992706.983999997</c:v>
                </c:pt>
                <c:pt idx="145">
                  <c:v>79439945.406666666</c:v>
                </c:pt>
                <c:pt idx="146">
                  <c:v>79887183.829333335</c:v>
                </c:pt>
                <c:pt idx="147">
                  <c:v>80334422.252000004</c:v>
                </c:pt>
                <c:pt idx="148">
                  <c:v>80781660.674666673</c:v>
                </c:pt>
                <c:pt idx="149">
                  <c:v>81228899.097333342</c:v>
                </c:pt>
                <c:pt idx="150">
                  <c:v>81676137.519999996</c:v>
                </c:pt>
                <c:pt idx="151">
                  <c:v>82123375.94266668</c:v>
                </c:pt>
                <c:pt idx="152">
                  <c:v>82570614.365333334</c:v>
                </c:pt>
                <c:pt idx="153">
                  <c:v>83017852.788000003</c:v>
                </c:pt>
                <c:pt idx="154">
                  <c:v>83465091.210666671</c:v>
                </c:pt>
                <c:pt idx="155">
                  <c:v>83912329.63333334</c:v>
                </c:pt>
                <c:pt idx="156">
                  <c:v>84359568.056000009</c:v>
                </c:pt>
                <c:pt idx="157">
                  <c:v>84806806.478666678</c:v>
                </c:pt>
                <c:pt idx="158">
                  <c:v>85254044.901333347</c:v>
                </c:pt>
                <c:pt idx="159">
                  <c:v>85701283.324000001</c:v>
                </c:pt>
                <c:pt idx="160">
                  <c:v>86148521.74666667</c:v>
                </c:pt>
                <c:pt idx="161">
                  <c:v>86595760.169333339</c:v>
                </c:pt>
                <c:pt idx="162">
                  <c:v>87042998.592000008</c:v>
                </c:pt>
                <c:pt idx="163">
                  <c:v>87490237.014666677</c:v>
                </c:pt>
                <c:pt idx="164">
                  <c:v>87937475.437333345</c:v>
                </c:pt>
                <c:pt idx="165">
                  <c:v>88384713.860000014</c:v>
                </c:pt>
                <c:pt idx="166">
                  <c:v>88831952.282666668</c:v>
                </c:pt>
                <c:pt idx="167">
                  <c:v>89279190.705333337</c:v>
                </c:pt>
                <c:pt idx="168">
                  <c:v>89726429.128000006</c:v>
                </c:pt>
                <c:pt idx="169">
                  <c:v>90173667.550666675</c:v>
                </c:pt>
                <c:pt idx="170">
                  <c:v>90620905.973333344</c:v>
                </c:pt>
                <c:pt idx="171">
                  <c:v>91068144.396000013</c:v>
                </c:pt>
                <c:pt idx="172">
                  <c:v>91515382.818666667</c:v>
                </c:pt>
                <c:pt idx="173">
                  <c:v>91962621.241333336</c:v>
                </c:pt>
                <c:pt idx="174">
                  <c:v>92409859.664000005</c:v>
                </c:pt>
                <c:pt idx="175">
                  <c:v>92857098.086666673</c:v>
                </c:pt>
                <c:pt idx="176">
                  <c:v>93304336.509333342</c:v>
                </c:pt>
                <c:pt idx="177">
                  <c:v>93751574.932000011</c:v>
                </c:pt>
                <c:pt idx="178">
                  <c:v>94198813.35466668</c:v>
                </c:pt>
                <c:pt idx="179">
                  <c:v>94646051.777333334</c:v>
                </c:pt>
                <c:pt idx="180">
                  <c:v>95093290.200000003</c:v>
                </c:pt>
                <c:pt idx="181">
                  <c:v>95540528.622666672</c:v>
                </c:pt>
                <c:pt idx="182">
                  <c:v>95987767.045333341</c:v>
                </c:pt>
                <c:pt idx="183">
                  <c:v>96435005.46800001</c:v>
                </c:pt>
                <c:pt idx="184">
                  <c:v>96882243.890666679</c:v>
                </c:pt>
                <c:pt idx="185">
                  <c:v>97329482.313333347</c:v>
                </c:pt>
                <c:pt idx="186">
                  <c:v>97776720.736000001</c:v>
                </c:pt>
                <c:pt idx="187">
                  <c:v>98223959.15866667</c:v>
                </c:pt>
                <c:pt idx="188">
                  <c:v>98671197.581333339</c:v>
                </c:pt>
                <c:pt idx="189">
                  <c:v>99118436.004000008</c:v>
                </c:pt>
                <c:pt idx="190">
                  <c:v>99565674.426666677</c:v>
                </c:pt>
                <c:pt idx="191">
                  <c:v>100012912.84933335</c:v>
                </c:pt>
                <c:pt idx="192">
                  <c:v>100460151.27200001</c:v>
                </c:pt>
                <c:pt idx="193">
                  <c:v>100907389.69466667</c:v>
                </c:pt>
                <c:pt idx="194">
                  <c:v>101354628.11733334</c:v>
                </c:pt>
                <c:pt idx="195">
                  <c:v>101801866.54000001</c:v>
                </c:pt>
                <c:pt idx="196">
                  <c:v>102249104.96266668</c:v>
                </c:pt>
                <c:pt idx="197">
                  <c:v>102696343.38533334</c:v>
                </c:pt>
                <c:pt idx="198">
                  <c:v>103143581.80800001</c:v>
                </c:pt>
                <c:pt idx="199">
                  <c:v>103590820.23066667</c:v>
                </c:pt>
                <c:pt idx="200">
                  <c:v>104038058.65333334</c:v>
                </c:pt>
                <c:pt idx="201">
                  <c:v>104485297.07600001</c:v>
                </c:pt>
                <c:pt idx="202">
                  <c:v>104932535.49866667</c:v>
                </c:pt>
                <c:pt idx="203">
                  <c:v>105379773.92133334</c:v>
                </c:pt>
                <c:pt idx="204">
                  <c:v>105827012.34400001</c:v>
                </c:pt>
                <c:pt idx="205">
                  <c:v>106274250.76666668</c:v>
                </c:pt>
                <c:pt idx="206">
                  <c:v>106721489.18933333</c:v>
                </c:pt>
                <c:pt idx="207">
                  <c:v>107168727.612</c:v>
                </c:pt>
                <c:pt idx="208">
                  <c:v>107615966.03466667</c:v>
                </c:pt>
                <c:pt idx="209">
                  <c:v>108063204.45733334</c:v>
                </c:pt>
                <c:pt idx="210">
                  <c:v>108510442.88000001</c:v>
                </c:pt>
                <c:pt idx="211">
                  <c:v>108957681.30266668</c:v>
                </c:pt>
                <c:pt idx="212">
                  <c:v>109404919.72533335</c:v>
                </c:pt>
                <c:pt idx="213">
                  <c:v>109852158.148</c:v>
                </c:pt>
                <c:pt idx="214">
                  <c:v>110299396.57066667</c:v>
                </c:pt>
                <c:pt idx="215">
                  <c:v>110746634.99333334</c:v>
                </c:pt>
                <c:pt idx="216">
                  <c:v>111193873.41600001</c:v>
                </c:pt>
                <c:pt idx="217">
                  <c:v>111641111.83866668</c:v>
                </c:pt>
                <c:pt idx="218">
                  <c:v>112088350.26133335</c:v>
                </c:pt>
                <c:pt idx="219">
                  <c:v>112535588.684</c:v>
                </c:pt>
                <c:pt idx="220">
                  <c:v>112982827.10666667</c:v>
                </c:pt>
                <c:pt idx="221">
                  <c:v>113430065.52933334</c:v>
                </c:pt>
                <c:pt idx="222">
                  <c:v>113877303.95200001</c:v>
                </c:pt>
                <c:pt idx="223">
                  <c:v>114324542.37466668</c:v>
                </c:pt>
                <c:pt idx="224">
                  <c:v>114771780.79733334</c:v>
                </c:pt>
                <c:pt idx="225">
                  <c:v>115219019.22000001</c:v>
                </c:pt>
                <c:pt idx="226">
                  <c:v>115666257.64266667</c:v>
                </c:pt>
                <c:pt idx="227">
                  <c:v>116113496.06533334</c:v>
                </c:pt>
                <c:pt idx="228">
                  <c:v>116560734.48800001</c:v>
                </c:pt>
                <c:pt idx="229">
                  <c:v>117007972.91066667</c:v>
                </c:pt>
                <c:pt idx="230">
                  <c:v>117455211.33333334</c:v>
                </c:pt>
                <c:pt idx="231">
                  <c:v>117902449.75600001</c:v>
                </c:pt>
                <c:pt idx="232">
                  <c:v>118349688.17866668</c:v>
                </c:pt>
                <c:pt idx="233">
                  <c:v>118796926.60133334</c:v>
                </c:pt>
                <c:pt idx="234">
                  <c:v>119244165.024</c:v>
                </c:pt>
                <c:pt idx="235">
                  <c:v>119691403.44666667</c:v>
                </c:pt>
                <c:pt idx="236">
                  <c:v>120138641.86933334</c:v>
                </c:pt>
                <c:pt idx="237">
                  <c:v>120585880.29200001</c:v>
                </c:pt>
                <c:pt idx="238">
                  <c:v>121033118.71466668</c:v>
                </c:pt>
                <c:pt idx="239">
                  <c:v>121480357.13733335</c:v>
                </c:pt>
                <c:pt idx="240">
                  <c:v>121927595.56</c:v>
                </c:pt>
                <c:pt idx="241">
                  <c:v>122374833.98266667</c:v>
                </c:pt>
                <c:pt idx="242">
                  <c:v>122822072.40533334</c:v>
                </c:pt>
                <c:pt idx="243">
                  <c:v>123269310.82800001</c:v>
                </c:pt>
                <c:pt idx="244">
                  <c:v>123716549.25066668</c:v>
                </c:pt>
                <c:pt idx="245">
                  <c:v>124163787.67333335</c:v>
                </c:pt>
                <c:pt idx="246">
                  <c:v>124611026.096</c:v>
                </c:pt>
                <c:pt idx="247">
                  <c:v>125058264.51866667</c:v>
                </c:pt>
                <c:pt idx="248">
                  <c:v>125505502.94133334</c:v>
                </c:pt>
                <c:pt idx="249">
                  <c:v>125952741.36400001</c:v>
                </c:pt>
                <c:pt idx="250">
                  <c:v>126399979.78666668</c:v>
                </c:pt>
                <c:pt idx="251">
                  <c:v>126847218.20933335</c:v>
                </c:pt>
                <c:pt idx="252">
                  <c:v>127294456.63200001</c:v>
                </c:pt>
                <c:pt idx="253">
                  <c:v>127741695.05466667</c:v>
                </c:pt>
                <c:pt idx="254">
                  <c:v>128188933.47733334</c:v>
                </c:pt>
                <c:pt idx="255">
                  <c:v>128636171.90000001</c:v>
                </c:pt>
                <c:pt idx="256">
                  <c:v>129083410.32266667</c:v>
                </c:pt>
                <c:pt idx="257">
                  <c:v>129530648.74533334</c:v>
                </c:pt>
                <c:pt idx="258">
                  <c:v>129977887.16800001</c:v>
                </c:pt>
                <c:pt idx="259">
                  <c:v>130425125.59066668</c:v>
                </c:pt>
                <c:pt idx="260">
                  <c:v>130872364.01333334</c:v>
                </c:pt>
                <c:pt idx="261">
                  <c:v>131319602.436</c:v>
                </c:pt>
                <c:pt idx="262">
                  <c:v>131766840.85866667</c:v>
                </c:pt>
                <c:pt idx="263">
                  <c:v>132214079.28133334</c:v>
                </c:pt>
                <c:pt idx="264">
                  <c:v>132661317.70400001</c:v>
                </c:pt>
                <c:pt idx="265">
                  <c:v>133108556.12666668</c:v>
                </c:pt>
                <c:pt idx="266">
                  <c:v>133555794.54933335</c:v>
                </c:pt>
                <c:pt idx="267">
                  <c:v>134003032.972</c:v>
                </c:pt>
                <c:pt idx="268">
                  <c:v>134450271.39466667</c:v>
                </c:pt>
                <c:pt idx="269">
                  <c:v>134897509.81733334</c:v>
                </c:pt>
                <c:pt idx="270">
                  <c:v>135344748.24000001</c:v>
                </c:pt>
                <c:pt idx="271">
                  <c:v>135791986.66266668</c:v>
                </c:pt>
                <c:pt idx="272">
                  <c:v>136239225.08533335</c:v>
                </c:pt>
                <c:pt idx="273">
                  <c:v>136686463.50799999</c:v>
                </c:pt>
                <c:pt idx="274">
                  <c:v>137133701.93066666</c:v>
                </c:pt>
                <c:pt idx="275">
                  <c:v>137580940.35333332</c:v>
                </c:pt>
                <c:pt idx="276">
                  <c:v>138028178.77599999</c:v>
                </c:pt>
                <c:pt idx="277">
                  <c:v>138475417.19866666</c:v>
                </c:pt>
                <c:pt idx="278">
                  <c:v>138922655.62133333</c:v>
                </c:pt>
                <c:pt idx="279">
                  <c:v>139369894.044</c:v>
                </c:pt>
                <c:pt idx="280">
                  <c:v>139817132.46666667</c:v>
                </c:pt>
                <c:pt idx="281">
                  <c:v>140264370.88933334</c:v>
                </c:pt>
                <c:pt idx="282">
                  <c:v>140711609.31200001</c:v>
                </c:pt>
                <c:pt idx="283">
                  <c:v>141158847.73466668</c:v>
                </c:pt>
                <c:pt idx="284">
                  <c:v>141606086.15733334</c:v>
                </c:pt>
                <c:pt idx="285">
                  <c:v>142053324.58000001</c:v>
                </c:pt>
                <c:pt idx="286">
                  <c:v>142500563.00266668</c:v>
                </c:pt>
                <c:pt idx="287">
                  <c:v>142947801.42533332</c:v>
                </c:pt>
                <c:pt idx="288">
                  <c:v>143395039.84799999</c:v>
                </c:pt>
                <c:pt idx="289">
                  <c:v>143842278.27066666</c:v>
                </c:pt>
                <c:pt idx="290">
                  <c:v>144289516.69333333</c:v>
                </c:pt>
                <c:pt idx="291">
                  <c:v>144736755.116</c:v>
                </c:pt>
                <c:pt idx="292">
                  <c:v>145183993.53866667</c:v>
                </c:pt>
                <c:pt idx="293">
                  <c:v>145631231.96133333</c:v>
                </c:pt>
                <c:pt idx="294">
                  <c:v>146078470.384</c:v>
                </c:pt>
                <c:pt idx="295">
                  <c:v>146525708.80666667</c:v>
                </c:pt>
                <c:pt idx="296">
                  <c:v>146972947.22933334</c:v>
                </c:pt>
                <c:pt idx="297">
                  <c:v>147420185.65200001</c:v>
                </c:pt>
                <c:pt idx="298">
                  <c:v>147867424.07466668</c:v>
                </c:pt>
                <c:pt idx="299">
                  <c:v>148314662.49733335</c:v>
                </c:pt>
                <c:pt idx="300">
                  <c:v>148761900.91999999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532213.72297333332</c:v>
                </c:pt>
                <c:pt idx="2">
                  <c:v>1064427.4459466666</c:v>
                </c:pt>
                <c:pt idx="3">
                  <c:v>1596641.1689200001</c:v>
                </c:pt>
                <c:pt idx="4">
                  <c:v>2128854.8918933333</c:v>
                </c:pt>
                <c:pt idx="5">
                  <c:v>2661068.6148666665</c:v>
                </c:pt>
                <c:pt idx="6">
                  <c:v>3193282.3378400002</c:v>
                </c:pt>
                <c:pt idx="7">
                  <c:v>3725496.0608133334</c:v>
                </c:pt>
                <c:pt idx="8">
                  <c:v>4257709.7837866666</c:v>
                </c:pt>
                <c:pt idx="9">
                  <c:v>4789923.5067600003</c:v>
                </c:pt>
                <c:pt idx="10">
                  <c:v>5322137.229733333</c:v>
                </c:pt>
                <c:pt idx="11">
                  <c:v>5854350.9527066667</c:v>
                </c:pt>
                <c:pt idx="12">
                  <c:v>6386564.6756800003</c:v>
                </c:pt>
                <c:pt idx="13">
                  <c:v>6918778.3986533331</c:v>
                </c:pt>
                <c:pt idx="14">
                  <c:v>7450992.1216266667</c:v>
                </c:pt>
                <c:pt idx="15">
                  <c:v>7983205.8445999995</c:v>
                </c:pt>
                <c:pt idx="16">
                  <c:v>8515419.5675733332</c:v>
                </c:pt>
                <c:pt idx="17">
                  <c:v>9047633.2905466668</c:v>
                </c:pt>
                <c:pt idx="18">
                  <c:v>9579847.0135200005</c:v>
                </c:pt>
                <c:pt idx="19">
                  <c:v>10112060.736493332</c:v>
                </c:pt>
                <c:pt idx="20">
                  <c:v>10644274.459466666</c:v>
                </c:pt>
                <c:pt idx="21">
                  <c:v>11176488.18244</c:v>
                </c:pt>
                <c:pt idx="22">
                  <c:v>11708701.905413333</c:v>
                </c:pt>
                <c:pt idx="23">
                  <c:v>12240915.628386667</c:v>
                </c:pt>
                <c:pt idx="24">
                  <c:v>12773129.351360001</c:v>
                </c:pt>
                <c:pt idx="25">
                  <c:v>13305343.074333332</c:v>
                </c:pt>
                <c:pt idx="26">
                  <c:v>13837556.797306666</c:v>
                </c:pt>
                <c:pt idx="27">
                  <c:v>14369770.52028</c:v>
                </c:pt>
                <c:pt idx="28">
                  <c:v>14901984.243253333</c:v>
                </c:pt>
                <c:pt idx="29">
                  <c:v>15434197.966226667</c:v>
                </c:pt>
                <c:pt idx="30">
                  <c:v>15966411.689199999</c:v>
                </c:pt>
                <c:pt idx="31">
                  <c:v>16498625.412173333</c:v>
                </c:pt>
                <c:pt idx="32">
                  <c:v>17030839.135146666</c:v>
                </c:pt>
                <c:pt idx="33">
                  <c:v>17563052.858119998</c:v>
                </c:pt>
                <c:pt idx="34">
                  <c:v>18095266.581093334</c:v>
                </c:pt>
                <c:pt idx="35">
                  <c:v>18627480.304066665</c:v>
                </c:pt>
                <c:pt idx="36">
                  <c:v>19159694.027040001</c:v>
                </c:pt>
                <c:pt idx="37">
                  <c:v>19691907.750013333</c:v>
                </c:pt>
                <c:pt idx="38">
                  <c:v>20224121.472986665</c:v>
                </c:pt>
                <c:pt idx="39">
                  <c:v>20756335.19596</c:v>
                </c:pt>
                <c:pt idx="40">
                  <c:v>21288548.918933332</c:v>
                </c:pt>
                <c:pt idx="41">
                  <c:v>21820762.641906668</c:v>
                </c:pt>
                <c:pt idx="42">
                  <c:v>22352976.364879999</c:v>
                </c:pt>
                <c:pt idx="43">
                  <c:v>22885190.087853331</c:v>
                </c:pt>
                <c:pt idx="44">
                  <c:v>23417403.810826667</c:v>
                </c:pt>
                <c:pt idx="45">
                  <c:v>23949617.533799998</c:v>
                </c:pt>
                <c:pt idx="46">
                  <c:v>24481831.256773334</c:v>
                </c:pt>
                <c:pt idx="47">
                  <c:v>25014044.979746666</c:v>
                </c:pt>
                <c:pt idx="48">
                  <c:v>25546258.702720001</c:v>
                </c:pt>
                <c:pt idx="49">
                  <c:v>26078472.425693333</c:v>
                </c:pt>
                <c:pt idx="50">
                  <c:v>26610686.148666665</c:v>
                </c:pt>
                <c:pt idx="51">
                  <c:v>27142899.87164</c:v>
                </c:pt>
                <c:pt idx="52">
                  <c:v>27675113.594613332</c:v>
                </c:pt>
                <c:pt idx="53">
                  <c:v>28207327.317586668</c:v>
                </c:pt>
                <c:pt idx="54">
                  <c:v>28739541.04056</c:v>
                </c:pt>
                <c:pt idx="55">
                  <c:v>29271754.763533331</c:v>
                </c:pt>
                <c:pt idx="56">
                  <c:v>29803968.486506667</c:v>
                </c:pt>
                <c:pt idx="57">
                  <c:v>30336182.209479999</c:v>
                </c:pt>
                <c:pt idx="58">
                  <c:v>30868395.932453334</c:v>
                </c:pt>
                <c:pt idx="59">
                  <c:v>31400609.655426666</c:v>
                </c:pt>
                <c:pt idx="60">
                  <c:v>31932823.378399998</c:v>
                </c:pt>
                <c:pt idx="61">
                  <c:v>32465037.101373333</c:v>
                </c:pt>
                <c:pt idx="62">
                  <c:v>32997250.824346665</c:v>
                </c:pt>
                <c:pt idx="63">
                  <c:v>33529464.547320001</c:v>
                </c:pt>
                <c:pt idx="64">
                  <c:v>34061678.270293333</c:v>
                </c:pt>
                <c:pt idx="65">
                  <c:v>34593891.993266664</c:v>
                </c:pt>
                <c:pt idx="66">
                  <c:v>35126105.716239996</c:v>
                </c:pt>
                <c:pt idx="67">
                  <c:v>35658319.439213336</c:v>
                </c:pt>
                <c:pt idx="68">
                  <c:v>36190533.162186667</c:v>
                </c:pt>
                <c:pt idx="69">
                  <c:v>36722746.885159999</c:v>
                </c:pt>
                <c:pt idx="70">
                  <c:v>37254960.608133331</c:v>
                </c:pt>
                <c:pt idx="71">
                  <c:v>37787174.331106663</c:v>
                </c:pt>
                <c:pt idx="72">
                  <c:v>38319388.054080002</c:v>
                </c:pt>
                <c:pt idx="73">
                  <c:v>38851601.777053334</c:v>
                </c:pt>
                <c:pt idx="74">
                  <c:v>39383815.500026666</c:v>
                </c:pt>
                <c:pt idx="75">
                  <c:v>39916029.222999997</c:v>
                </c:pt>
                <c:pt idx="76">
                  <c:v>40448242.945973329</c:v>
                </c:pt>
                <c:pt idx="77">
                  <c:v>40980456.668946669</c:v>
                </c:pt>
                <c:pt idx="78">
                  <c:v>41512670.39192</c:v>
                </c:pt>
                <c:pt idx="79">
                  <c:v>42044884.114893332</c:v>
                </c:pt>
                <c:pt idx="80">
                  <c:v>42577097.837866664</c:v>
                </c:pt>
                <c:pt idx="81">
                  <c:v>43109311.560839996</c:v>
                </c:pt>
                <c:pt idx="82">
                  <c:v>43641525.283813335</c:v>
                </c:pt>
                <c:pt idx="83">
                  <c:v>44173739.006786667</c:v>
                </c:pt>
                <c:pt idx="84">
                  <c:v>44705952.729759999</c:v>
                </c:pt>
                <c:pt idx="85">
                  <c:v>45238166.45273333</c:v>
                </c:pt>
                <c:pt idx="86">
                  <c:v>45770380.175706662</c:v>
                </c:pt>
                <c:pt idx="87">
                  <c:v>46302593.898680001</c:v>
                </c:pt>
                <c:pt idx="88">
                  <c:v>46834807.621653333</c:v>
                </c:pt>
                <c:pt idx="89">
                  <c:v>47367021.344626665</c:v>
                </c:pt>
                <c:pt idx="90">
                  <c:v>47899235.067599997</c:v>
                </c:pt>
                <c:pt idx="91">
                  <c:v>48431448.790573329</c:v>
                </c:pt>
                <c:pt idx="92">
                  <c:v>48963662.513546668</c:v>
                </c:pt>
                <c:pt idx="93">
                  <c:v>49495876.23652</c:v>
                </c:pt>
                <c:pt idx="94">
                  <c:v>50028089.959493332</c:v>
                </c:pt>
                <c:pt idx="95">
                  <c:v>50560303.682466663</c:v>
                </c:pt>
                <c:pt idx="96">
                  <c:v>51092517.405440003</c:v>
                </c:pt>
                <c:pt idx="97">
                  <c:v>51624731.128413334</c:v>
                </c:pt>
                <c:pt idx="98">
                  <c:v>52156944.851386666</c:v>
                </c:pt>
                <c:pt idx="99">
                  <c:v>52689158.574359998</c:v>
                </c:pt>
                <c:pt idx="100">
                  <c:v>53221372.29733333</c:v>
                </c:pt>
                <c:pt idx="101">
                  <c:v>53753586.020306669</c:v>
                </c:pt>
                <c:pt idx="102">
                  <c:v>54285799.743280001</c:v>
                </c:pt>
                <c:pt idx="103">
                  <c:v>54818013.466253333</c:v>
                </c:pt>
                <c:pt idx="104">
                  <c:v>55350227.189226665</c:v>
                </c:pt>
                <c:pt idx="105">
                  <c:v>55882440.912199996</c:v>
                </c:pt>
                <c:pt idx="106">
                  <c:v>56414654.635173336</c:v>
                </c:pt>
                <c:pt idx="107">
                  <c:v>56946868.358146667</c:v>
                </c:pt>
                <c:pt idx="108">
                  <c:v>57479082.081119999</c:v>
                </c:pt>
                <c:pt idx="109">
                  <c:v>58011295.804093331</c:v>
                </c:pt>
                <c:pt idx="110">
                  <c:v>58543509.527066663</c:v>
                </c:pt>
                <c:pt idx="111">
                  <c:v>59075723.250040002</c:v>
                </c:pt>
                <c:pt idx="112">
                  <c:v>59607936.973013334</c:v>
                </c:pt>
                <c:pt idx="113">
                  <c:v>60140150.695986666</c:v>
                </c:pt>
                <c:pt idx="114">
                  <c:v>60672364.418959998</c:v>
                </c:pt>
                <c:pt idx="115">
                  <c:v>61204578.141933329</c:v>
                </c:pt>
                <c:pt idx="116">
                  <c:v>61736791.864906669</c:v>
                </c:pt>
                <c:pt idx="117">
                  <c:v>62269005.58788</c:v>
                </c:pt>
                <c:pt idx="118">
                  <c:v>62801219.310853332</c:v>
                </c:pt>
                <c:pt idx="119">
                  <c:v>63333433.033826664</c:v>
                </c:pt>
                <c:pt idx="120">
                  <c:v>63865646.756799996</c:v>
                </c:pt>
                <c:pt idx="121">
                  <c:v>64397860.479773335</c:v>
                </c:pt>
                <c:pt idx="122">
                  <c:v>64930074.202746667</c:v>
                </c:pt>
                <c:pt idx="123">
                  <c:v>65462287.925719999</c:v>
                </c:pt>
                <c:pt idx="124">
                  <c:v>65994501.648693331</c:v>
                </c:pt>
                <c:pt idx="125">
                  <c:v>66526715.371666662</c:v>
                </c:pt>
                <c:pt idx="126">
                  <c:v>67058929.094640002</c:v>
                </c:pt>
                <c:pt idx="127">
                  <c:v>67591142.817613333</c:v>
                </c:pt>
                <c:pt idx="128">
                  <c:v>68123356.540586665</c:v>
                </c:pt>
                <c:pt idx="129">
                  <c:v>68655570.263559997</c:v>
                </c:pt>
                <c:pt idx="130">
                  <c:v>69187783.986533329</c:v>
                </c:pt>
                <c:pt idx="131">
                  <c:v>69719997.709506661</c:v>
                </c:pt>
                <c:pt idx="132">
                  <c:v>70252211.432479993</c:v>
                </c:pt>
                <c:pt idx="133">
                  <c:v>70784425.155453339</c:v>
                </c:pt>
                <c:pt idx="134">
                  <c:v>71316638.878426671</c:v>
                </c:pt>
                <c:pt idx="135">
                  <c:v>71848852.601400003</c:v>
                </c:pt>
                <c:pt idx="136">
                  <c:v>72381066.324373335</c:v>
                </c:pt>
                <c:pt idx="137">
                  <c:v>72913280.047346666</c:v>
                </c:pt>
                <c:pt idx="138">
                  <c:v>73445493.770319998</c:v>
                </c:pt>
                <c:pt idx="139">
                  <c:v>73977707.49329333</c:v>
                </c:pt>
                <c:pt idx="140">
                  <c:v>74509921.216266662</c:v>
                </c:pt>
                <c:pt idx="141">
                  <c:v>75042134.939239994</c:v>
                </c:pt>
                <c:pt idx="142">
                  <c:v>75574348.662213326</c:v>
                </c:pt>
                <c:pt idx="143">
                  <c:v>76106562.385186672</c:v>
                </c:pt>
                <c:pt idx="144">
                  <c:v>76638776.108160004</c:v>
                </c:pt>
                <c:pt idx="145">
                  <c:v>77170989.831133336</c:v>
                </c:pt>
                <c:pt idx="146">
                  <c:v>77703203.554106668</c:v>
                </c:pt>
                <c:pt idx="147">
                  <c:v>78235417.277079999</c:v>
                </c:pt>
                <c:pt idx="148">
                  <c:v>78767631.000053331</c:v>
                </c:pt>
                <c:pt idx="149">
                  <c:v>79299844.723026663</c:v>
                </c:pt>
                <c:pt idx="150">
                  <c:v>79832058.445999995</c:v>
                </c:pt>
                <c:pt idx="151">
                  <c:v>80364272.168973327</c:v>
                </c:pt>
                <c:pt idx="152">
                  <c:v>80896485.891946658</c:v>
                </c:pt>
                <c:pt idx="153">
                  <c:v>81428699.614920005</c:v>
                </c:pt>
                <c:pt idx="154">
                  <c:v>81960913.337893337</c:v>
                </c:pt>
                <c:pt idx="155">
                  <c:v>82493127.060866669</c:v>
                </c:pt>
                <c:pt idx="156">
                  <c:v>83025340.783840001</c:v>
                </c:pt>
                <c:pt idx="157">
                  <c:v>83557554.506813332</c:v>
                </c:pt>
                <c:pt idx="158">
                  <c:v>84089768.229786664</c:v>
                </c:pt>
                <c:pt idx="159">
                  <c:v>84621981.952759996</c:v>
                </c:pt>
                <c:pt idx="160">
                  <c:v>85154195.675733328</c:v>
                </c:pt>
                <c:pt idx="161">
                  <c:v>85686409.39870666</c:v>
                </c:pt>
                <c:pt idx="162">
                  <c:v>86218623.121679991</c:v>
                </c:pt>
                <c:pt idx="163">
                  <c:v>86750836.844653338</c:v>
                </c:pt>
                <c:pt idx="164">
                  <c:v>87283050.56762667</c:v>
                </c:pt>
                <c:pt idx="165">
                  <c:v>87815264.290600002</c:v>
                </c:pt>
                <c:pt idx="166">
                  <c:v>88347478.013573334</c:v>
                </c:pt>
                <c:pt idx="167">
                  <c:v>88879691.736546665</c:v>
                </c:pt>
                <c:pt idx="168">
                  <c:v>89411905.459519997</c:v>
                </c:pt>
                <c:pt idx="169">
                  <c:v>89944119.182493329</c:v>
                </c:pt>
                <c:pt idx="170">
                  <c:v>90476332.905466661</c:v>
                </c:pt>
                <c:pt idx="171">
                  <c:v>91008546.628439993</c:v>
                </c:pt>
                <c:pt idx="172">
                  <c:v>91540760.351413324</c:v>
                </c:pt>
                <c:pt idx="173">
                  <c:v>92072974.074386671</c:v>
                </c:pt>
                <c:pt idx="174">
                  <c:v>92605187.797360003</c:v>
                </c:pt>
                <c:pt idx="175">
                  <c:v>93137401.520333335</c:v>
                </c:pt>
                <c:pt idx="176">
                  <c:v>93669615.243306667</c:v>
                </c:pt>
                <c:pt idx="177">
                  <c:v>94201828.966279998</c:v>
                </c:pt>
                <c:pt idx="178">
                  <c:v>94734042.68925333</c:v>
                </c:pt>
                <c:pt idx="179">
                  <c:v>95266256.412226662</c:v>
                </c:pt>
                <c:pt idx="180">
                  <c:v>95798470.135199994</c:v>
                </c:pt>
                <c:pt idx="181">
                  <c:v>96330683.858173326</c:v>
                </c:pt>
                <c:pt idx="182">
                  <c:v>96862897.581146657</c:v>
                </c:pt>
                <c:pt idx="183">
                  <c:v>97395111.304120004</c:v>
                </c:pt>
                <c:pt idx="184">
                  <c:v>97927325.027093336</c:v>
                </c:pt>
                <c:pt idx="185">
                  <c:v>98459538.750066668</c:v>
                </c:pt>
                <c:pt idx="186">
                  <c:v>98991752.47304</c:v>
                </c:pt>
                <c:pt idx="187">
                  <c:v>99523966.196013331</c:v>
                </c:pt>
                <c:pt idx="188">
                  <c:v>100056179.91898666</c:v>
                </c:pt>
                <c:pt idx="189">
                  <c:v>100588393.64196</c:v>
                </c:pt>
                <c:pt idx="190">
                  <c:v>101120607.36493333</c:v>
                </c:pt>
                <c:pt idx="191">
                  <c:v>101652821.08790666</c:v>
                </c:pt>
                <c:pt idx="192">
                  <c:v>102185034.81088001</c:v>
                </c:pt>
                <c:pt idx="193">
                  <c:v>102717248.53385334</c:v>
                </c:pt>
                <c:pt idx="194">
                  <c:v>103249462.25682667</c:v>
                </c:pt>
                <c:pt idx="195">
                  <c:v>103781675.9798</c:v>
                </c:pt>
                <c:pt idx="196">
                  <c:v>104313889.70277333</c:v>
                </c:pt>
                <c:pt idx="197">
                  <c:v>104846103.42574666</c:v>
                </c:pt>
                <c:pt idx="198">
                  <c:v>105378317.14872</c:v>
                </c:pt>
                <c:pt idx="199">
                  <c:v>105910530.87169333</c:v>
                </c:pt>
                <c:pt idx="200">
                  <c:v>106442744.59466666</c:v>
                </c:pt>
                <c:pt idx="201">
                  <c:v>106974958.31763999</c:v>
                </c:pt>
                <c:pt idx="202">
                  <c:v>107507172.04061334</c:v>
                </c:pt>
                <c:pt idx="203">
                  <c:v>108039385.76358667</c:v>
                </c:pt>
                <c:pt idx="204">
                  <c:v>108571599.48656</c:v>
                </c:pt>
                <c:pt idx="205">
                  <c:v>109103813.20953333</c:v>
                </c:pt>
                <c:pt idx="206">
                  <c:v>109636026.93250667</c:v>
                </c:pt>
                <c:pt idx="207">
                  <c:v>110168240.65548</c:v>
                </c:pt>
                <c:pt idx="208">
                  <c:v>110700454.37845333</c:v>
                </c:pt>
                <c:pt idx="209">
                  <c:v>111232668.10142666</c:v>
                </c:pt>
                <c:pt idx="210">
                  <c:v>111764881.82439999</c:v>
                </c:pt>
                <c:pt idx="211">
                  <c:v>112297095.54737332</c:v>
                </c:pt>
                <c:pt idx="212">
                  <c:v>112829309.27034667</c:v>
                </c:pt>
                <c:pt idx="213">
                  <c:v>113361522.99332</c:v>
                </c:pt>
                <c:pt idx="214">
                  <c:v>113893736.71629333</c:v>
                </c:pt>
                <c:pt idx="215">
                  <c:v>114425950.43926667</c:v>
                </c:pt>
                <c:pt idx="216">
                  <c:v>114958164.16224</c:v>
                </c:pt>
                <c:pt idx="217">
                  <c:v>115490377.88521333</c:v>
                </c:pt>
                <c:pt idx="218">
                  <c:v>116022591.60818666</c:v>
                </c:pt>
                <c:pt idx="219">
                  <c:v>116554805.33115999</c:v>
                </c:pt>
                <c:pt idx="220">
                  <c:v>117087019.05413333</c:v>
                </c:pt>
                <c:pt idx="221">
                  <c:v>117619232.77710666</c:v>
                </c:pt>
                <c:pt idx="222">
                  <c:v>118151446.50008</c:v>
                </c:pt>
                <c:pt idx="223">
                  <c:v>118683660.22305334</c:v>
                </c:pt>
                <c:pt idx="224">
                  <c:v>119215873.94602667</c:v>
                </c:pt>
                <c:pt idx="225">
                  <c:v>119748087.669</c:v>
                </c:pt>
                <c:pt idx="226">
                  <c:v>120280301.39197333</c:v>
                </c:pt>
                <c:pt idx="227">
                  <c:v>120812515.11494666</c:v>
                </c:pt>
                <c:pt idx="228">
                  <c:v>121344728.83792</c:v>
                </c:pt>
                <c:pt idx="229">
                  <c:v>121876942.56089333</c:v>
                </c:pt>
                <c:pt idx="230">
                  <c:v>122409156.28386666</c:v>
                </c:pt>
                <c:pt idx="231">
                  <c:v>122941370.00683999</c:v>
                </c:pt>
                <c:pt idx="232">
                  <c:v>123473583.72981334</c:v>
                </c:pt>
                <c:pt idx="233">
                  <c:v>124005797.45278667</c:v>
                </c:pt>
                <c:pt idx="234">
                  <c:v>124538011.17576</c:v>
                </c:pt>
                <c:pt idx="235">
                  <c:v>125070224.89873333</c:v>
                </c:pt>
                <c:pt idx="236">
                  <c:v>125602438.62170666</c:v>
                </c:pt>
                <c:pt idx="237">
                  <c:v>126134652.34468</c:v>
                </c:pt>
                <c:pt idx="238">
                  <c:v>126666866.06765333</c:v>
                </c:pt>
                <c:pt idx="239">
                  <c:v>127199079.79062666</c:v>
                </c:pt>
                <c:pt idx="240">
                  <c:v>127731293.51359999</c:v>
                </c:pt>
                <c:pt idx="241">
                  <c:v>128263507.23657332</c:v>
                </c:pt>
                <c:pt idx="242">
                  <c:v>128795720.95954667</c:v>
                </c:pt>
                <c:pt idx="243">
                  <c:v>129327934.68252</c:v>
                </c:pt>
                <c:pt idx="244">
                  <c:v>129860148.40549333</c:v>
                </c:pt>
                <c:pt idx="245">
                  <c:v>130392362.12846667</c:v>
                </c:pt>
                <c:pt idx="246">
                  <c:v>130924575.85144</c:v>
                </c:pt>
                <c:pt idx="247">
                  <c:v>131456789.57441333</c:v>
                </c:pt>
                <c:pt idx="248">
                  <c:v>131989003.29738666</c:v>
                </c:pt>
                <c:pt idx="249">
                  <c:v>132521217.02035999</c:v>
                </c:pt>
                <c:pt idx="250">
                  <c:v>133053430.74333332</c:v>
                </c:pt>
                <c:pt idx="251">
                  <c:v>133585644.46630666</c:v>
                </c:pt>
                <c:pt idx="252">
                  <c:v>134117858.18928</c:v>
                </c:pt>
                <c:pt idx="253">
                  <c:v>134650071.91225332</c:v>
                </c:pt>
                <c:pt idx="254">
                  <c:v>135182285.63522667</c:v>
                </c:pt>
                <c:pt idx="255">
                  <c:v>135714499.35819998</c:v>
                </c:pt>
                <c:pt idx="256">
                  <c:v>136246713.08117333</c:v>
                </c:pt>
                <c:pt idx="257">
                  <c:v>136778926.80414668</c:v>
                </c:pt>
                <c:pt idx="258">
                  <c:v>137311140.52711999</c:v>
                </c:pt>
                <c:pt idx="259">
                  <c:v>137843354.25009334</c:v>
                </c:pt>
                <c:pt idx="260">
                  <c:v>138375567.97306666</c:v>
                </c:pt>
                <c:pt idx="261">
                  <c:v>138907781.69604</c:v>
                </c:pt>
                <c:pt idx="262">
                  <c:v>139439995.41901332</c:v>
                </c:pt>
                <c:pt idx="263">
                  <c:v>139972209.14198667</c:v>
                </c:pt>
                <c:pt idx="264">
                  <c:v>140504422.86495999</c:v>
                </c:pt>
                <c:pt idx="265">
                  <c:v>141036636.58793333</c:v>
                </c:pt>
                <c:pt idx="266">
                  <c:v>141568850.31090668</c:v>
                </c:pt>
                <c:pt idx="267">
                  <c:v>142101064.03388</c:v>
                </c:pt>
                <c:pt idx="268">
                  <c:v>142633277.75685334</c:v>
                </c:pt>
                <c:pt idx="269">
                  <c:v>143165491.47982666</c:v>
                </c:pt>
                <c:pt idx="270">
                  <c:v>143697705.20280001</c:v>
                </c:pt>
                <c:pt idx="271">
                  <c:v>144229918.92577332</c:v>
                </c:pt>
                <c:pt idx="272">
                  <c:v>144762132.64874667</c:v>
                </c:pt>
                <c:pt idx="273">
                  <c:v>145294346.37171999</c:v>
                </c:pt>
                <c:pt idx="274">
                  <c:v>145826560.09469333</c:v>
                </c:pt>
                <c:pt idx="275">
                  <c:v>146358773.81766665</c:v>
                </c:pt>
                <c:pt idx="276">
                  <c:v>146890987.54064</c:v>
                </c:pt>
                <c:pt idx="277">
                  <c:v>147423201.26361334</c:v>
                </c:pt>
                <c:pt idx="278">
                  <c:v>147955414.98658666</c:v>
                </c:pt>
                <c:pt idx="279">
                  <c:v>148487628.70956001</c:v>
                </c:pt>
                <c:pt idx="280">
                  <c:v>149019842.43253332</c:v>
                </c:pt>
                <c:pt idx="281">
                  <c:v>149552056.15550667</c:v>
                </c:pt>
                <c:pt idx="282">
                  <c:v>150084269.87847999</c:v>
                </c:pt>
                <c:pt idx="283">
                  <c:v>150616483.60145333</c:v>
                </c:pt>
                <c:pt idx="284">
                  <c:v>151148697.32442665</c:v>
                </c:pt>
                <c:pt idx="285">
                  <c:v>151680911.0474</c:v>
                </c:pt>
                <c:pt idx="286">
                  <c:v>152213124.77037334</c:v>
                </c:pt>
                <c:pt idx="287">
                  <c:v>152745338.49334666</c:v>
                </c:pt>
                <c:pt idx="288">
                  <c:v>153277552.21632001</c:v>
                </c:pt>
                <c:pt idx="289">
                  <c:v>153809765.93929332</c:v>
                </c:pt>
                <c:pt idx="290">
                  <c:v>154341979.66226667</c:v>
                </c:pt>
                <c:pt idx="291">
                  <c:v>154874193.38523999</c:v>
                </c:pt>
                <c:pt idx="292">
                  <c:v>155406407.10821334</c:v>
                </c:pt>
                <c:pt idx="293">
                  <c:v>155938620.83118665</c:v>
                </c:pt>
                <c:pt idx="294">
                  <c:v>156470834.55416</c:v>
                </c:pt>
                <c:pt idx="295">
                  <c:v>157003048.27713332</c:v>
                </c:pt>
                <c:pt idx="296">
                  <c:v>157535262.00010666</c:v>
                </c:pt>
                <c:pt idx="297">
                  <c:v>158067475.72308001</c:v>
                </c:pt>
                <c:pt idx="298">
                  <c:v>158599689.44605333</c:v>
                </c:pt>
                <c:pt idx="299">
                  <c:v>159131903.16902667</c:v>
                </c:pt>
                <c:pt idx="300">
                  <c:v>159664116.89199999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>
        <row r="23">
          <cell r="B23" t="str">
            <v>Total Activos Diferidos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0"/>
  <sheetViews>
    <sheetView showGridLines="0" topLeftCell="A4" zoomScale="145" zoomScaleNormal="145" workbookViewId="0">
      <selection activeCell="B21" sqref="B21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11" t="s">
        <v>0</v>
      </c>
      <c r="B1" s="112"/>
    </row>
    <row r="2" spans="1:4" x14ac:dyDescent="0.25">
      <c r="A2" s="1" t="s">
        <v>1</v>
      </c>
      <c r="B2" s="1" t="s">
        <v>2</v>
      </c>
    </row>
    <row r="3" spans="1:4" x14ac:dyDescent="0.25">
      <c r="A3" s="2" t="s">
        <v>3</v>
      </c>
      <c r="B3" s="3">
        <f>B29</f>
        <v>5000000</v>
      </c>
    </row>
    <row r="4" spans="1:4" x14ac:dyDescent="0.25">
      <c r="A4" s="2" t="s">
        <v>4</v>
      </c>
      <c r="B4" s="3">
        <f>B37</f>
        <v>3740000</v>
      </c>
    </row>
    <row r="5" spans="1:4" x14ac:dyDescent="0.25">
      <c r="A5" s="2" t="s">
        <v>5</v>
      </c>
      <c r="B5" s="3">
        <f>D17</f>
        <v>9100000</v>
      </c>
    </row>
    <row r="6" spans="1:4" x14ac:dyDescent="0.25">
      <c r="A6" s="2" t="s">
        <v>6</v>
      </c>
      <c r="B6" s="3">
        <f>B45</f>
        <v>16000000</v>
      </c>
    </row>
    <row r="7" spans="1:4" x14ac:dyDescent="0.25">
      <c r="A7" s="2" t="s">
        <v>7</v>
      </c>
      <c r="B7" s="3">
        <f>B52</f>
        <v>6000000</v>
      </c>
    </row>
    <row r="8" spans="1:4" x14ac:dyDescent="0.25">
      <c r="A8" s="2" t="s">
        <v>8</v>
      </c>
      <c r="B8" s="3">
        <f>B60</f>
        <v>3700000</v>
      </c>
    </row>
    <row r="9" spans="1:4" x14ac:dyDescent="0.25">
      <c r="A9" s="4" t="s">
        <v>9</v>
      </c>
      <c r="B9" s="5">
        <f>SUM(B3:B8)</f>
        <v>43540000</v>
      </c>
    </row>
    <row r="10" spans="1:4" ht="15.75" thickBot="1" x14ac:dyDescent="0.3"/>
    <row r="11" spans="1:4" ht="15.75" thickBot="1" x14ac:dyDescent="0.3">
      <c r="A11" s="113" t="s">
        <v>10</v>
      </c>
      <c r="B11" s="114"/>
      <c r="C11" s="114"/>
      <c r="D11" s="115"/>
    </row>
    <row r="12" spans="1:4" x14ac:dyDescent="0.25">
      <c r="A12" s="1" t="s">
        <v>11</v>
      </c>
      <c r="B12" s="1" t="s">
        <v>12</v>
      </c>
      <c r="C12" s="1" t="s">
        <v>13</v>
      </c>
      <c r="D12" s="1" t="s">
        <v>14</v>
      </c>
    </row>
    <row r="13" spans="1:4" x14ac:dyDescent="0.25">
      <c r="A13" s="6" t="s">
        <v>15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16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17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6" t="s">
        <v>18</v>
      </c>
      <c r="B16" s="6">
        <v>2</v>
      </c>
      <c r="C16" s="7">
        <v>450000</v>
      </c>
      <c r="D16" s="7">
        <f>C16*B16</f>
        <v>900000</v>
      </c>
    </row>
    <row r="17" spans="1:4" x14ac:dyDescent="0.25">
      <c r="A17" s="116" t="s">
        <v>9</v>
      </c>
      <c r="B17" s="117"/>
      <c r="C17" s="118"/>
      <c r="D17" s="5">
        <f>SUM(D13:D16)</f>
        <v>9100000</v>
      </c>
    </row>
    <row r="18" spans="1:4" ht="15.75" thickBot="1" x14ac:dyDescent="0.3"/>
    <row r="19" spans="1:4" ht="15.75" thickBot="1" x14ac:dyDescent="0.3">
      <c r="A19" s="111" t="s">
        <v>19</v>
      </c>
      <c r="B19" s="112"/>
    </row>
    <row r="20" spans="1:4" x14ac:dyDescent="0.25">
      <c r="A20" s="1" t="s">
        <v>1</v>
      </c>
      <c r="B20" s="1" t="s">
        <v>2</v>
      </c>
    </row>
    <row r="21" spans="1:4" x14ac:dyDescent="0.25">
      <c r="A21" s="8" t="s">
        <v>20</v>
      </c>
      <c r="B21" s="3">
        <f>B9*0.65</f>
        <v>28301000</v>
      </c>
    </row>
    <row r="22" spans="1:4" x14ac:dyDescent="0.25">
      <c r="A22" s="8" t="s">
        <v>19</v>
      </c>
      <c r="B22" s="3">
        <f>B9*0.35</f>
        <v>15238999.999999998</v>
      </c>
    </row>
    <row r="23" spans="1:4" ht="15.75" thickBot="1" x14ac:dyDescent="0.3"/>
    <row r="24" spans="1:4" ht="15.75" thickBot="1" x14ac:dyDescent="0.3">
      <c r="A24" s="111" t="s">
        <v>21</v>
      </c>
      <c r="B24" s="112"/>
    </row>
    <row r="25" spans="1:4" x14ac:dyDescent="0.25">
      <c r="A25" s="1" t="s">
        <v>11</v>
      </c>
      <c r="B25" s="1" t="s">
        <v>2</v>
      </c>
    </row>
    <row r="26" spans="1:4" x14ac:dyDescent="0.25">
      <c r="A26" s="8" t="s">
        <v>22</v>
      </c>
      <c r="B26" s="7">
        <v>1500000</v>
      </c>
    </row>
    <row r="27" spans="1:4" x14ac:dyDescent="0.25">
      <c r="A27" s="8" t="s">
        <v>23</v>
      </c>
      <c r="B27" s="7">
        <v>2000000</v>
      </c>
    </row>
    <row r="28" spans="1:4" x14ac:dyDescent="0.25">
      <c r="A28" s="8" t="s">
        <v>24</v>
      </c>
      <c r="B28" s="7">
        <v>1500000</v>
      </c>
    </row>
    <row r="29" spans="1:4" x14ac:dyDescent="0.25">
      <c r="A29" s="9" t="s">
        <v>9</v>
      </c>
      <c r="B29" s="10">
        <f>SUM(B26:B28)</f>
        <v>5000000</v>
      </c>
    </row>
    <row r="30" spans="1:4" ht="15.75" thickBot="1" x14ac:dyDescent="0.3"/>
    <row r="31" spans="1:4" ht="15.75" thickBot="1" x14ac:dyDescent="0.3">
      <c r="A31" s="111" t="s">
        <v>25</v>
      </c>
      <c r="B31" s="112"/>
    </row>
    <row r="32" spans="1:4" x14ac:dyDescent="0.25">
      <c r="A32" s="1" t="s">
        <v>11</v>
      </c>
      <c r="B32" s="1" t="s">
        <v>2</v>
      </c>
    </row>
    <row r="33" spans="1:2" x14ac:dyDescent="0.25">
      <c r="A33" s="8" t="s">
        <v>26</v>
      </c>
      <c r="B33" s="7">
        <v>920000</v>
      </c>
    </row>
    <row r="34" spans="1:2" x14ac:dyDescent="0.25">
      <c r="A34" s="8" t="s">
        <v>27</v>
      </c>
      <c r="B34" s="7">
        <v>1300000</v>
      </c>
    </row>
    <row r="35" spans="1:2" x14ac:dyDescent="0.25">
      <c r="A35" s="8" t="s">
        <v>28</v>
      </c>
      <c r="B35" s="7">
        <v>600000</v>
      </c>
    </row>
    <row r="36" spans="1:2" x14ac:dyDescent="0.25">
      <c r="A36" s="8" t="s">
        <v>29</v>
      </c>
      <c r="B36" s="7">
        <v>920000</v>
      </c>
    </row>
    <row r="37" spans="1:2" x14ac:dyDescent="0.25">
      <c r="A37" s="9" t="s">
        <v>9</v>
      </c>
      <c r="B37" s="10">
        <f>SUM(B33:B36)</f>
        <v>3740000</v>
      </c>
    </row>
    <row r="38" spans="1:2" ht="15.75" thickBot="1" x14ac:dyDescent="0.3"/>
    <row r="39" spans="1:2" ht="15.75" thickBot="1" x14ac:dyDescent="0.3">
      <c r="A39" s="111" t="s">
        <v>30</v>
      </c>
      <c r="B39" s="112"/>
    </row>
    <row r="40" spans="1:2" x14ac:dyDescent="0.25">
      <c r="A40" s="1" t="s">
        <v>11</v>
      </c>
      <c r="B40" s="1" t="s">
        <v>2</v>
      </c>
    </row>
    <row r="41" spans="1:2" x14ac:dyDescent="0.25">
      <c r="A41" s="8" t="s">
        <v>31</v>
      </c>
      <c r="B41" s="7">
        <v>3500000</v>
      </c>
    </row>
    <row r="42" spans="1:2" x14ac:dyDescent="0.25">
      <c r="A42" s="8" t="s">
        <v>32</v>
      </c>
      <c r="B42" s="7">
        <v>7000000</v>
      </c>
    </row>
    <row r="43" spans="1:2" x14ac:dyDescent="0.25">
      <c r="A43" s="8" t="s">
        <v>33</v>
      </c>
      <c r="B43" s="7">
        <v>3500000</v>
      </c>
    </row>
    <row r="44" spans="1:2" x14ac:dyDescent="0.25">
      <c r="A44" s="8" t="s">
        <v>34</v>
      </c>
      <c r="B44" s="7">
        <v>2000000</v>
      </c>
    </row>
    <row r="45" spans="1:2" x14ac:dyDescent="0.25">
      <c r="A45" s="9" t="s">
        <v>9</v>
      </c>
      <c r="B45" s="10">
        <f>SUM(B41:B44)</f>
        <v>16000000</v>
      </c>
    </row>
    <row r="46" spans="1:2" ht="15.75" thickBot="1" x14ac:dyDescent="0.3"/>
    <row r="47" spans="1:2" ht="15.75" thickBot="1" x14ac:dyDescent="0.3">
      <c r="A47" s="111" t="s">
        <v>35</v>
      </c>
      <c r="B47" s="112"/>
    </row>
    <row r="48" spans="1:2" x14ac:dyDescent="0.25">
      <c r="A48" s="1" t="s">
        <v>11</v>
      </c>
      <c r="B48" s="1" t="s">
        <v>2</v>
      </c>
    </row>
    <row r="49" spans="1:2" x14ac:dyDescent="0.25">
      <c r="A49" s="8" t="s">
        <v>36</v>
      </c>
      <c r="B49" s="7">
        <v>2000000</v>
      </c>
    </row>
    <row r="50" spans="1:2" x14ac:dyDescent="0.25">
      <c r="A50" s="8" t="s">
        <v>37</v>
      </c>
      <c r="B50" s="7">
        <v>2000000</v>
      </c>
    </row>
    <row r="51" spans="1:2" x14ac:dyDescent="0.25">
      <c r="A51" s="8" t="s">
        <v>38</v>
      </c>
      <c r="B51" s="7">
        <v>2000000</v>
      </c>
    </row>
    <row r="52" spans="1:2" x14ac:dyDescent="0.25">
      <c r="A52" s="9" t="s">
        <v>9</v>
      </c>
      <c r="B52" s="10">
        <f>SUM(B49:B51)</f>
        <v>6000000</v>
      </c>
    </row>
    <row r="53" spans="1:2" ht="15.75" thickBot="1" x14ac:dyDescent="0.3"/>
    <row r="54" spans="1:2" ht="15.75" thickBot="1" x14ac:dyDescent="0.3">
      <c r="A54" s="111" t="s">
        <v>39</v>
      </c>
      <c r="B54" s="112"/>
    </row>
    <row r="55" spans="1:2" x14ac:dyDescent="0.25">
      <c r="A55" s="1" t="s">
        <v>11</v>
      </c>
      <c r="B55" s="1" t="s">
        <v>2</v>
      </c>
    </row>
    <row r="56" spans="1:2" x14ac:dyDescent="0.25">
      <c r="A56" s="8" t="s">
        <v>40</v>
      </c>
      <c r="B56" s="7">
        <v>1500000</v>
      </c>
    </row>
    <row r="57" spans="1:2" x14ac:dyDescent="0.25">
      <c r="A57" s="8" t="s">
        <v>41</v>
      </c>
      <c r="B57" s="7">
        <v>1000000</v>
      </c>
    </row>
    <row r="58" spans="1:2" x14ac:dyDescent="0.25">
      <c r="A58" s="8" t="s">
        <v>42</v>
      </c>
      <c r="B58" s="7">
        <v>200000</v>
      </c>
    </row>
    <row r="59" spans="1:2" x14ac:dyDescent="0.25">
      <c r="A59" s="8" t="s">
        <v>43</v>
      </c>
      <c r="B59" s="7">
        <v>1000000</v>
      </c>
    </row>
    <row r="60" spans="1:2" x14ac:dyDescent="0.25">
      <c r="A60" s="9" t="s">
        <v>9</v>
      </c>
      <c r="B60" s="10">
        <f>SUM(B56:B59)</f>
        <v>3700000</v>
      </c>
    </row>
  </sheetData>
  <mergeCells count="9">
    <mergeCell ref="A39:B39"/>
    <mergeCell ref="A47:B47"/>
    <mergeCell ref="A54:B54"/>
    <mergeCell ref="A1:B1"/>
    <mergeCell ref="A11:D11"/>
    <mergeCell ref="A17:C17"/>
    <mergeCell ref="A19:B19"/>
    <mergeCell ref="A24:B24"/>
    <mergeCell ref="A31:B3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2"/>
  <sheetViews>
    <sheetView showGridLines="0" topLeftCell="A9" zoomScale="160" zoomScaleNormal="160" workbookViewId="0">
      <selection activeCell="A12" sqref="A12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21" t="s">
        <v>44</v>
      </c>
      <c r="B1" s="122"/>
      <c r="C1" s="122"/>
      <c r="D1" s="123"/>
      <c r="F1" s="119" t="s">
        <v>45</v>
      </c>
      <c r="G1" s="122"/>
      <c r="H1" s="122"/>
      <c r="I1" s="122"/>
      <c r="J1" s="122"/>
      <c r="K1" s="122"/>
      <c r="L1" s="122"/>
      <c r="M1" s="122"/>
      <c r="N1" s="120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24" t="s">
        <v>46</v>
      </c>
      <c r="B2" s="124"/>
      <c r="C2" s="124"/>
      <c r="D2" s="124"/>
      <c r="F2" s="129" t="s">
        <v>46</v>
      </c>
      <c r="G2" s="130"/>
      <c r="H2" s="130"/>
      <c r="I2" s="130"/>
      <c r="J2" s="130"/>
      <c r="K2" s="130"/>
      <c r="L2" s="130"/>
      <c r="M2" s="130"/>
      <c r="N2" s="130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47</v>
      </c>
      <c r="C3" s="1" t="s">
        <v>48</v>
      </c>
      <c r="D3" s="1" t="s">
        <v>49</v>
      </c>
      <c r="F3" s="4" t="s">
        <v>50</v>
      </c>
      <c r="G3" s="9" t="s">
        <v>77</v>
      </c>
      <c r="H3" s="9" t="s">
        <v>51</v>
      </c>
      <c r="I3" s="4" t="s">
        <v>78</v>
      </c>
      <c r="J3" s="4" t="s">
        <v>79</v>
      </c>
      <c r="K3" s="4" t="s">
        <v>80</v>
      </c>
      <c r="L3" s="4" t="s">
        <v>81</v>
      </c>
      <c r="M3" s="4" t="s">
        <v>82</v>
      </c>
      <c r="N3" s="4" t="s">
        <v>83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54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55</v>
      </c>
      <c r="B5" s="8">
        <v>1</v>
      </c>
      <c r="C5" s="3">
        <v>3000000</v>
      </c>
      <c r="D5" s="12">
        <f>C5*B5</f>
        <v>3000000</v>
      </c>
      <c r="F5" s="131" t="s">
        <v>53</v>
      </c>
      <c r="G5" s="131"/>
      <c r="H5" s="131"/>
      <c r="I5" s="131"/>
      <c r="J5" s="131"/>
      <c r="K5" s="131"/>
      <c r="L5" s="131"/>
      <c r="M5" s="131"/>
      <c r="N5" s="131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28" t="s">
        <v>56</v>
      </c>
      <c r="B6" s="128"/>
      <c r="C6" s="5">
        <f>SUM(C4:C5)</f>
        <v>6000000</v>
      </c>
      <c r="D6" s="14">
        <f>SUM(D4:D5)</f>
        <v>6000000</v>
      </c>
      <c r="F6" s="4" t="s">
        <v>50</v>
      </c>
      <c r="G6" s="9" t="s">
        <v>77</v>
      </c>
      <c r="H6" s="9" t="s">
        <v>51</v>
      </c>
      <c r="I6" s="4" t="s">
        <v>78</v>
      </c>
      <c r="J6" s="4" t="s">
        <v>79</v>
      </c>
      <c r="K6" s="4" t="s">
        <v>80</v>
      </c>
      <c r="L6" s="4" t="s">
        <v>81</v>
      </c>
      <c r="M6" s="4" t="s">
        <v>82</v>
      </c>
      <c r="N6" s="4" t="s">
        <v>83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25" t="s">
        <v>53</v>
      </c>
      <c r="B7" s="126"/>
      <c r="C7" s="126"/>
      <c r="D7" s="127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47</v>
      </c>
      <c r="C8" s="1" t="s">
        <v>48</v>
      </c>
      <c r="D8" s="1" t="s">
        <v>49</v>
      </c>
      <c r="F8" s="131" t="s">
        <v>67</v>
      </c>
      <c r="G8" s="131"/>
      <c r="H8" s="131"/>
      <c r="I8" s="131"/>
      <c r="J8" s="131"/>
      <c r="K8" s="131"/>
      <c r="L8" s="131"/>
      <c r="M8" s="131"/>
      <c r="N8" s="13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57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50</v>
      </c>
      <c r="G9" s="9" t="s">
        <v>77</v>
      </c>
      <c r="H9" s="9" t="s">
        <v>51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83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58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59</v>
      </c>
      <c r="B11" s="6">
        <f t="shared" si="1"/>
        <v>2</v>
      </c>
      <c r="C11" s="3">
        <v>166600</v>
      </c>
      <c r="D11" s="12">
        <f t="shared" si="2"/>
        <v>333200</v>
      </c>
      <c r="F11" s="131" t="s">
        <v>61</v>
      </c>
      <c r="G11" s="131"/>
      <c r="H11" s="131"/>
      <c r="I11" s="131"/>
      <c r="J11" s="131"/>
      <c r="K11" s="131"/>
      <c r="L11" s="131"/>
      <c r="M11" s="131"/>
      <c r="N11" s="1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60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50</v>
      </c>
      <c r="G12" s="9" t="s">
        <v>77</v>
      </c>
      <c r="H12" s="9" t="s">
        <v>51</v>
      </c>
      <c r="I12" s="4" t="s">
        <v>78</v>
      </c>
      <c r="J12" s="4" t="s">
        <v>79</v>
      </c>
      <c r="K12" s="4" t="s">
        <v>80</v>
      </c>
      <c r="L12" s="4" t="s">
        <v>81</v>
      </c>
      <c r="M12" s="4" t="s">
        <v>82</v>
      </c>
      <c r="N12" s="4" t="s">
        <v>83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62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52</v>
      </c>
      <c r="H13" s="13" t="s">
        <v>52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63</v>
      </c>
      <c r="B14" s="6">
        <f t="shared" si="1"/>
        <v>2</v>
      </c>
      <c r="C14" s="3">
        <v>148827</v>
      </c>
      <c r="D14" s="12">
        <f t="shared" si="2"/>
        <v>297654</v>
      </c>
      <c r="F14" s="132" t="s">
        <v>65</v>
      </c>
      <c r="G14" s="133"/>
      <c r="H14" s="133"/>
      <c r="I14" s="133"/>
      <c r="J14" s="133"/>
      <c r="K14" s="133"/>
      <c r="L14" s="133"/>
      <c r="M14" s="133"/>
      <c r="N14" s="133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64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x14ac:dyDescent="0.25">
      <c r="A16" s="15" t="s">
        <v>66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x14ac:dyDescent="0.25">
      <c r="A17" s="116" t="s">
        <v>56</v>
      </c>
      <c r="B17" s="118"/>
      <c r="C17" s="5">
        <f>SUM(C9:C16)</f>
        <v>894289</v>
      </c>
      <c r="D17" s="14">
        <f>SUM(D9:D16)</f>
        <v>1788578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34" t="s">
        <v>67</v>
      </c>
      <c r="B18" s="134"/>
      <c r="C18" s="134"/>
      <c r="D18" s="13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47</v>
      </c>
      <c r="C19" s="1" t="s">
        <v>48</v>
      </c>
      <c r="D19" s="1" t="s">
        <v>49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274</v>
      </c>
      <c r="B20" s="8">
        <v>1</v>
      </c>
      <c r="C20" s="3">
        <v>220000</v>
      </c>
      <c r="D20" s="12">
        <f>C20*B20</f>
        <v>220000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68</v>
      </c>
      <c r="B21" s="8">
        <v>1</v>
      </c>
      <c r="C21" s="3">
        <v>3500000</v>
      </c>
      <c r="D21" s="12">
        <f t="shared" ref="D21" si="4">C21*B21</f>
        <v>3500000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16" t="s">
        <v>56</v>
      </c>
      <c r="B22" s="118"/>
      <c r="C22" s="5">
        <f>SUM(C20:C21)</f>
        <v>3720000</v>
      </c>
      <c r="D22" s="14">
        <f>SUM(D20:D21)</f>
        <v>3720000</v>
      </c>
    </row>
    <row r="23" spans="1:30" x14ac:dyDescent="0.25">
      <c r="A23" s="134" t="s">
        <v>61</v>
      </c>
      <c r="B23" s="134"/>
      <c r="C23" s="134"/>
      <c r="D23" s="134"/>
    </row>
    <row r="24" spans="1:30" x14ac:dyDescent="0.25">
      <c r="A24" s="11" t="s">
        <v>1</v>
      </c>
      <c r="B24" s="1" t="s">
        <v>47</v>
      </c>
      <c r="C24" s="1" t="s">
        <v>48</v>
      </c>
      <c r="D24" s="1" t="s">
        <v>49</v>
      </c>
    </row>
    <row r="25" spans="1:30" x14ac:dyDescent="0.25">
      <c r="A25" s="15" t="s">
        <v>275</v>
      </c>
      <c r="B25" s="8">
        <v>1</v>
      </c>
      <c r="C25" s="3">
        <f>B36</f>
        <v>1451000</v>
      </c>
      <c r="D25" s="12">
        <f>C25*B25</f>
        <v>1451000</v>
      </c>
    </row>
    <row r="26" spans="1:30" x14ac:dyDescent="0.25">
      <c r="A26" s="116" t="s">
        <v>56</v>
      </c>
      <c r="B26" s="118"/>
      <c r="C26" s="5">
        <f>SUM(C25)</f>
        <v>1451000</v>
      </c>
      <c r="D26" s="14">
        <f>SUM(D25)</f>
        <v>1451000</v>
      </c>
    </row>
    <row r="27" spans="1:30" ht="15.75" thickBot="1" x14ac:dyDescent="0.3"/>
    <row r="28" spans="1:30" ht="15.75" thickBot="1" x14ac:dyDescent="0.3">
      <c r="A28" s="119" t="s">
        <v>69</v>
      </c>
      <c r="B28" s="120"/>
    </row>
    <row r="29" spans="1:30" x14ac:dyDescent="0.25">
      <c r="A29" s="1" t="s">
        <v>11</v>
      </c>
      <c r="B29" s="1" t="s">
        <v>2</v>
      </c>
    </row>
    <row r="30" spans="1:30" x14ac:dyDescent="0.25">
      <c r="A30" s="15" t="s">
        <v>70</v>
      </c>
      <c r="B30" s="12">
        <v>1288000</v>
      </c>
    </row>
    <row r="31" spans="1:30" x14ac:dyDescent="0.25">
      <c r="A31" s="15" t="s">
        <v>71</v>
      </c>
      <c r="B31" s="12">
        <v>30000</v>
      </c>
    </row>
    <row r="32" spans="1:30" x14ac:dyDescent="0.25">
      <c r="A32" s="15" t="s">
        <v>72</v>
      </c>
      <c r="B32" s="12">
        <v>69000</v>
      </c>
    </row>
    <row r="33" spans="1:4" x14ac:dyDescent="0.25">
      <c r="A33" s="15" t="s">
        <v>73</v>
      </c>
      <c r="B33" s="12">
        <v>64000</v>
      </c>
      <c r="C33" s="17"/>
      <c r="D33" s="17"/>
    </row>
    <row r="34" spans="1:4" x14ac:dyDescent="0.25">
      <c r="A34" s="15" t="s">
        <v>74</v>
      </c>
      <c r="B34" s="12" t="s">
        <v>52</v>
      </c>
      <c r="C34" s="18"/>
      <c r="D34" s="18"/>
    </row>
    <row r="35" spans="1:4" x14ac:dyDescent="0.25">
      <c r="A35" s="15" t="s">
        <v>75</v>
      </c>
      <c r="B35" s="12" t="s">
        <v>52</v>
      </c>
    </row>
    <row r="36" spans="1:4" x14ac:dyDescent="0.25">
      <c r="A36" s="19" t="s">
        <v>56</v>
      </c>
      <c r="B36" s="5">
        <f>SUM(B30:B33)</f>
        <v>1451000</v>
      </c>
    </row>
    <row r="37" spans="1:4" ht="15.75" thickBot="1" x14ac:dyDescent="0.3"/>
    <row r="38" spans="1:4" ht="15.75" thickBot="1" x14ac:dyDescent="0.3">
      <c r="A38" s="119" t="s">
        <v>123</v>
      </c>
      <c r="B38" s="120"/>
    </row>
    <row r="39" spans="1:4" x14ac:dyDescent="0.25">
      <c r="A39" s="84" t="s">
        <v>11</v>
      </c>
      <c r="B39" s="84" t="s">
        <v>2</v>
      </c>
    </row>
    <row r="40" spans="1:4" x14ac:dyDescent="0.25">
      <c r="A40" s="15" t="s">
        <v>76</v>
      </c>
      <c r="B40" s="12">
        <f>'Inversión Inicial'!D17</f>
        <v>9100000</v>
      </c>
    </row>
    <row r="41" spans="1:4" x14ac:dyDescent="0.25">
      <c r="A41" s="15" t="s">
        <v>69</v>
      </c>
      <c r="B41" s="12">
        <f>B36</f>
        <v>1451000</v>
      </c>
    </row>
    <row r="42" spans="1:4" x14ac:dyDescent="0.25">
      <c r="A42" s="19" t="s">
        <v>56</v>
      </c>
      <c r="B42" s="5">
        <f>SUM(B40:B41)</f>
        <v>10551000</v>
      </c>
    </row>
  </sheetData>
  <mergeCells count="17">
    <mergeCell ref="F14:N14"/>
    <mergeCell ref="A17:B17"/>
    <mergeCell ref="A18:D18"/>
    <mergeCell ref="A22:B22"/>
    <mergeCell ref="A23:D23"/>
    <mergeCell ref="F1:N1"/>
    <mergeCell ref="F2:N2"/>
    <mergeCell ref="F5:N5"/>
    <mergeCell ref="F8:N8"/>
    <mergeCell ref="F11:N11"/>
    <mergeCell ref="A38:B38"/>
    <mergeCell ref="A1:D1"/>
    <mergeCell ref="A2:D2"/>
    <mergeCell ref="A7:D7"/>
    <mergeCell ref="A28:B28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N31"/>
  <sheetViews>
    <sheetView showGridLines="0" zoomScale="115" zoomScaleNormal="115" workbookViewId="0">
      <selection activeCell="N7" sqref="N7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</cols>
  <sheetData>
    <row r="1" spans="1:14" ht="15.75" thickBot="1" x14ac:dyDescent="0.3">
      <c r="A1" s="135" t="s">
        <v>84</v>
      </c>
      <c r="B1" s="136"/>
      <c r="C1" s="136"/>
      <c r="D1" s="136"/>
      <c r="E1" s="136"/>
      <c r="F1" s="137"/>
      <c r="H1" s="138" t="s">
        <v>85</v>
      </c>
      <c r="I1" s="139"/>
      <c r="J1" s="139"/>
      <c r="K1" s="139"/>
      <c r="L1" s="139"/>
      <c r="M1" s="139"/>
      <c r="N1" s="140"/>
    </row>
    <row r="2" spans="1:14" x14ac:dyDescent="0.25">
      <c r="A2" s="141" t="s">
        <v>86</v>
      </c>
      <c r="B2" s="141"/>
      <c r="C2" s="141"/>
      <c r="D2" s="141"/>
      <c r="E2" s="141"/>
      <c r="F2" s="141"/>
      <c r="H2" s="142" t="s">
        <v>87</v>
      </c>
      <c r="I2" s="143"/>
      <c r="J2" s="143"/>
      <c r="K2" s="143"/>
      <c r="L2" s="143"/>
      <c r="M2" s="143"/>
      <c r="N2" s="144"/>
    </row>
    <row r="3" spans="1:14" x14ac:dyDescent="0.25">
      <c r="A3" s="145" t="s">
        <v>11</v>
      </c>
      <c r="B3" s="145"/>
      <c r="C3" s="1" t="s">
        <v>47</v>
      </c>
      <c r="D3" s="1" t="s">
        <v>88</v>
      </c>
      <c r="E3" s="1" t="s">
        <v>89</v>
      </c>
      <c r="F3" s="1" t="s">
        <v>90</v>
      </c>
      <c r="H3" s="20" t="s">
        <v>91</v>
      </c>
      <c r="I3" s="20" t="s">
        <v>78</v>
      </c>
      <c r="J3" s="20" t="s">
        <v>263</v>
      </c>
      <c r="K3" s="20" t="s">
        <v>264</v>
      </c>
      <c r="L3" s="20" t="s">
        <v>265</v>
      </c>
      <c r="M3" s="20" t="s">
        <v>266</v>
      </c>
      <c r="N3" s="20" t="s">
        <v>267</v>
      </c>
    </row>
    <row r="4" spans="1:14" x14ac:dyDescent="0.25">
      <c r="A4" s="146" t="s">
        <v>92</v>
      </c>
      <c r="B4" s="146"/>
      <c r="C4" s="8" t="s">
        <v>52</v>
      </c>
      <c r="D4" s="3">
        <v>0</v>
      </c>
      <c r="E4" s="12">
        <f>D4*3</f>
        <v>0</v>
      </c>
      <c r="F4" s="12">
        <f>D4*12</f>
        <v>0</v>
      </c>
      <c r="H4" s="28" t="s">
        <v>93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46" t="s">
        <v>94</v>
      </c>
      <c r="B5" s="146"/>
      <c r="C5" s="8" t="s">
        <v>52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95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46" t="s">
        <v>96</v>
      </c>
      <c r="B6" s="146"/>
      <c r="C6" s="8" t="s">
        <v>52</v>
      </c>
      <c r="D6" s="3">
        <v>300</v>
      </c>
      <c r="E6" s="12">
        <f t="shared" si="0"/>
        <v>900</v>
      </c>
      <c r="F6" s="12">
        <f>D6*12</f>
        <v>3600</v>
      </c>
      <c r="H6" s="2" t="s">
        <v>97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47" t="s">
        <v>98</v>
      </c>
      <c r="B7" s="147"/>
      <c r="C7" s="147"/>
      <c r="D7" s="147"/>
      <c r="E7" s="147"/>
      <c r="F7" s="147"/>
      <c r="H7" s="31" t="s">
        <v>99</v>
      </c>
      <c r="I7" s="32"/>
      <c r="J7" s="55">
        <f>F12*(1+J6)</f>
        <v>139968000</v>
      </c>
      <c r="K7" s="55">
        <f>J7*(1+K6)</f>
        <v>176219712</v>
      </c>
      <c r="L7" s="55">
        <f>K7*(1+L6)</f>
        <v>226794769.34399998</v>
      </c>
      <c r="M7" s="55">
        <f>L7*(1+M6)</f>
        <v>300503069.38079995</v>
      </c>
      <c r="N7" s="55">
        <f>M7*(1+N6)</f>
        <v>412891217.32921916</v>
      </c>
    </row>
    <row r="8" spans="1:14" x14ac:dyDescent="0.25">
      <c r="A8" s="11" t="s">
        <v>100</v>
      </c>
      <c r="B8" s="1" t="s">
        <v>88</v>
      </c>
      <c r="C8" s="1" t="s">
        <v>101</v>
      </c>
      <c r="D8" s="1" t="s">
        <v>102</v>
      </c>
      <c r="E8" s="1" t="s">
        <v>103</v>
      </c>
      <c r="F8" s="1" t="s">
        <v>104</v>
      </c>
      <c r="G8" s="34"/>
      <c r="H8" s="148"/>
      <c r="I8" s="148"/>
      <c r="J8" s="148"/>
      <c r="K8" s="148"/>
      <c r="L8" s="148"/>
      <c r="M8" s="148"/>
      <c r="N8" s="148"/>
    </row>
    <row r="9" spans="1:14" x14ac:dyDescent="0.25">
      <c r="A9" s="35" t="s">
        <v>92</v>
      </c>
      <c r="B9" s="7">
        <f>D4</f>
        <v>0</v>
      </c>
      <c r="C9" s="36">
        <v>3000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18"/>
      <c r="I9" s="18"/>
      <c r="J9" s="18"/>
      <c r="K9" s="18"/>
      <c r="L9" s="18"/>
      <c r="M9" s="18"/>
      <c r="N9" s="18"/>
    </row>
    <row r="10" spans="1:14" x14ac:dyDescent="0.25">
      <c r="A10" s="38" t="s">
        <v>94</v>
      </c>
      <c r="B10" s="7">
        <f>D5</f>
        <v>30000</v>
      </c>
      <c r="C10" s="36">
        <f>C9*0.09</f>
        <v>270</v>
      </c>
      <c r="D10" s="37">
        <f>B10*$C$10</f>
        <v>8100000</v>
      </c>
      <c r="E10" s="12">
        <f t="shared" si="3"/>
        <v>24300000</v>
      </c>
      <c r="F10" s="37">
        <f>D10*12</f>
        <v>97200000</v>
      </c>
      <c r="H10" s="39"/>
      <c r="I10" s="40"/>
      <c r="J10" s="40"/>
      <c r="K10" s="40"/>
      <c r="L10" s="40"/>
    </row>
    <row r="11" spans="1:14" x14ac:dyDescent="0.25">
      <c r="A11" s="38" t="s">
        <v>96</v>
      </c>
      <c r="B11" s="3">
        <v>300</v>
      </c>
      <c r="C11" s="36">
        <f>C9</f>
        <v>3000</v>
      </c>
      <c r="D11" s="37">
        <f>B11*$C$11</f>
        <v>900000</v>
      </c>
      <c r="E11" s="12">
        <f t="shared" si="3"/>
        <v>2700000</v>
      </c>
      <c r="F11" s="37">
        <f>D11*12</f>
        <v>10800000</v>
      </c>
      <c r="H11" s="148"/>
      <c r="I11" s="148"/>
      <c r="J11" s="148"/>
      <c r="K11" s="148"/>
      <c r="L11" s="148"/>
      <c r="M11" s="148"/>
      <c r="N11" s="148"/>
    </row>
    <row r="12" spans="1:14" x14ac:dyDescent="0.25">
      <c r="A12" s="128" t="s">
        <v>56</v>
      </c>
      <c r="B12" s="128"/>
      <c r="C12" s="41">
        <f>SUM(C10:C11)</f>
        <v>3270</v>
      </c>
      <c r="D12" s="10">
        <f>SUM(D9:D11)</f>
        <v>9000000</v>
      </c>
      <c r="E12" s="10">
        <f t="shared" ref="E12:F12" si="4">SUM(E9:E11)</f>
        <v>27000000</v>
      </c>
      <c r="F12" s="33">
        <f t="shared" si="4"/>
        <v>108000000</v>
      </c>
      <c r="H12" s="18"/>
      <c r="I12" s="18"/>
      <c r="J12" s="18"/>
      <c r="K12" s="18"/>
      <c r="L12" s="18"/>
      <c r="M12" s="18"/>
      <c r="N12" s="18"/>
    </row>
    <row r="13" spans="1:14" ht="15.75" thickBot="1" x14ac:dyDescent="0.3">
      <c r="A13" s="42"/>
      <c r="B13" s="18"/>
      <c r="C13" s="18"/>
      <c r="D13" s="18"/>
      <c r="E13" s="18"/>
      <c r="H13" s="39"/>
      <c r="I13" s="40"/>
      <c r="L13" s="40"/>
      <c r="M13" s="40"/>
      <c r="N13" s="40"/>
    </row>
    <row r="14" spans="1:14" ht="15.75" thickBot="1" x14ac:dyDescent="0.3">
      <c r="A14" s="149" t="s">
        <v>105</v>
      </c>
      <c r="B14" s="150"/>
      <c r="C14" s="39"/>
      <c r="D14" s="43"/>
      <c r="E14" s="43"/>
      <c r="H14" s="148"/>
      <c r="I14" s="148"/>
      <c r="J14" s="148"/>
      <c r="K14" s="148"/>
      <c r="L14" s="148"/>
      <c r="M14" s="148"/>
      <c r="N14" s="148"/>
    </row>
    <row r="15" spans="1:14" x14ac:dyDescent="0.25">
      <c r="A15" s="11" t="s">
        <v>11</v>
      </c>
      <c r="B15" s="1" t="s">
        <v>2</v>
      </c>
      <c r="C15" s="39"/>
      <c r="D15" s="43"/>
      <c r="E15" s="43"/>
      <c r="H15" s="18"/>
      <c r="I15" s="18"/>
      <c r="J15" s="18"/>
      <c r="K15" s="18"/>
      <c r="L15" s="18"/>
      <c r="M15" s="18"/>
      <c r="N15" s="18"/>
    </row>
    <row r="16" spans="1:14" x14ac:dyDescent="0.25">
      <c r="A16" s="2" t="s">
        <v>106</v>
      </c>
      <c r="B16" s="3">
        <f>'Costos de Operación Gravables'!$B$42*0.65</f>
        <v>6858150</v>
      </c>
      <c r="C16" s="39"/>
      <c r="D16" s="43"/>
      <c r="E16" s="43"/>
      <c r="H16" s="39"/>
      <c r="I16" s="40"/>
      <c r="L16" s="40"/>
      <c r="M16" s="40"/>
      <c r="N16" s="40"/>
    </row>
    <row r="17" spans="1:14" x14ac:dyDescent="0.25">
      <c r="A17" s="2" t="s">
        <v>107</v>
      </c>
      <c r="B17" s="3">
        <f>'Costos de Operación Gravables'!$B$42*0.35</f>
        <v>3692849.9999999995</v>
      </c>
      <c r="C17" s="39"/>
      <c r="D17" s="43"/>
      <c r="E17" s="43"/>
      <c r="H17" s="148"/>
      <c r="I17" s="148"/>
      <c r="J17" s="148"/>
      <c r="K17" s="148"/>
      <c r="L17" s="148"/>
      <c r="M17" s="148"/>
      <c r="N17" s="148"/>
    </row>
    <row r="18" spans="1:14" x14ac:dyDescent="0.25">
      <c r="A18" s="9" t="s">
        <v>56</v>
      </c>
      <c r="B18" s="10">
        <f>SUM(B16:B17)</f>
        <v>10551000</v>
      </c>
      <c r="C18" s="39"/>
      <c r="D18" s="43"/>
      <c r="E18" s="43"/>
      <c r="H18" s="18"/>
      <c r="I18" s="18"/>
      <c r="J18" s="18"/>
      <c r="K18" s="18"/>
      <c r="L18" s="18"/>
      <c r="M18" s="18"/>
      <c r="N18" s="18"/>
    </row>
    <row r="19" spans="1:14" x14ac:dyDescent="0.25">
      <c r="B19" s="44"/>
      <c r="C19" s="39"/>
      <c r="D19" s="43"/>
      <c r="E19" s="43"/>
      <c r="H19" s="39"/>
      <c r="I19" s="40"/>
    </row>
    <row r="20" spans="1:14" x14ac:dyDescent="0.25">
      <c r="B20" s="44"/>
      <c r="C20" s="39"/>
      <c r="D20" s="43"/>
      <c r="E20" s="43"/>
      <c r="H20" s="148"/>
      <c r="I20" s="148"/>
      <c r="J20" s="148"/>
      <c r="K20" s="148"/>
      <c r="L20" s="148"/>
      <c r="M20" s="148"/>
      <c r="N20" s="148"/>
    </row>
    <row r="21" spans="1:14" x14ac:dyDescent="0.25">
      <c r="B21" s="44"/>
      <c r="C21" s="39"/>
      <c r="D21" s="43"/>
      <c r="E21" s="43"/>
      <c r="I21" s="45"/>
      <c r="J21" s="45"/>
      <c r="K21" s="45"/>
      <c r="L21" s="45"/>
      <c r="M21" s="45"/>
      <c r="N21" s="45"/>
    </row>
    <row r="22" spans="1:14" x14ac:dyDescent="0.25">
      <c r="A22" s="46"/>
      <c r="B22" s="46"/>
      <c r="C22" s="45"/>
      <c r="D22" s="47"/>
      <c r="E22" s="47"/>
    </row>
    <row r="23" spans="1:14" x14ac:dyDescent="0.25">
      <c r="A23" s="48"/>
      <c r="B23" s="48"/>
      <c r="C23" s="48"/>
      <c r="D23" s="48"/>
      <c r="E23" s="49"/>
    </row>
    <row r="24" spans="1:14" x14ac:dyDescent="0.25">
      <c r="A24" s="42"/>
      <c r="B24" s="18"/>
      <c r="C24" s="18"/>
      <c r="D24" s="18"/>
      <c r="E24" s="18"/>
    </row>
    <row r="25" spans="1:14" x14ac:dyDescent="0.25">
      <c r="B25" s="50"/>
      <c r="C25" s="39"/>
      <c r="D25" s="43"/>
      <c r="E25" s="43"/>
    </row>
    <row r="26" spans="1:14" x14ac:dyDescent="0.25">
      <c r="B26" s="50"/>
      <c r="C26" s="39"/>
      <c r="D26" s="43"/>
      <c r="E26" s="43"/>
    </row>
    <row r="27" spans="1:14" x14ac:dyDescent="0.25">
      <c r="A27" s="46"/>
      <c r="B27" s="46"/>
      <c r="C27" s="45"/>
      <c r="D27" s="47"/>
      <c r="E27" s="47"/>
    </row>
    <row r="28" spans="1:14" x14ac:dyDescent="0.25">
      <c r="A28" s="48"/>
      <c r="B28" s="48"/>
      <c r="C28" s="48"/>
      <c r="D28" s="48"/>
      <c r="E28" s="49"/>
    </row>
    <row r="29" spans="1:14" x14ac:dyDescent="0.25">
      <c r="A29" s="42"/>
      <c r="B29" s="18"/>
      <c r="C29" s="18"/>
      <c r="D29" s="18"/>
      <c r="E29" s="18"/>
    </row>
    <row r="30" spans="1:14" x14ac:dyDescent="0.25">
      <c r="B30" s="50"/>
      <c r="C30" s="39"/>
      <c r="D30" s="39"/>
      <c r="E30" s="39"/>
    </row>
    <row r="31" spans="1:14" x14ac:dyDescent="0.25">
      <c r="A31" s="151"/>
      <c r="B31" s="151"/>
      <c r="C31" s="45"/>
      <c r="D31" s="47"/>
      <c r="E31" s="47"/>
    </row>
  </sheetData>
  <mergeCells count="17">
    <mergeCell ref="A14:B14"/>
    <mergeCell ref="H14:N14"/>
    <mergeCell ref="H17:N17"/>
    <mergeCell ref="H20:N20"/>
    <mergeCell ref="A31:B31"/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H11:N11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C1" zoomScale="130" zoomScaleNormal="130" workbookViewId="0">
      <selection activeCell="G4" sqref="G4:G7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52" t="s">
        <v>108</v>
      </c>
      <c r="B1" s="153"/>
      <c r="D1" s="154" t="s">
        <v>109</v>
      </c>
      <c r="E1" s="155"/>
      <c r="F1" s="155"/>
      <c r="G1" s="155"/>
      <c r="H1" s="155"/>
      <c r="I1" s="155"/>
      <c r="J1" s="17"/>
      <c r="K1" s="17"/>
      <c r="L1" s="17"/>
      <c r="M1" s="17"/>
      <c r="N1" s="17"/>
      <c r="O1" s="17"/>
      <c r="P1" s="17"/>
    </row>
    <row r="2" spans="1:16" x14ac:dyDescent="0.25">
      <c r="A2" s="156" t="s">
        <v>110</v>
      </c>
      <c r="B2" s="156"/>
      <c r="D2" s="56" t="s">
        <v>111</v>
      </c>
      <c r="E2" s="56" t="s">
        <v>112</v>
      </c>
      <c r="F2" s="56" t="s">
        <v>113</v>
      </c>
      <c r="G2" s="56" t="s">
        <v>114</v>
      </c>
      <c r="H2" s="56" t="s">
        <v>115</v>
      </c>
      <c r="I2" s="56" t="s">
        <v>116</v>
      </c>
      <c r="J2" s="46"/>
      <c r="K2" s="46"/>
      <c r="L2" s="46"/>
      <c r="M2" s="46"/>
      <c r="N2" s="46"/>
      <c r="O2" s="46"/>
      <c r="P2" s="46"/>
    </row>
    <row r="3" spans="1:16" x14ac:dyDescent="0.25">
      <c r="A3" s="57" t="s">
        <v>11</v>
      </c>
      <c r="B3" s="1" t="s">
        <v>47</v>
      </c>
      <c r="D3" s="20" t="s">
        <v>78</v>
      </c>
      <c r="E3" s="3">
        <f>B4</f>
        <v>28301000</v>
      </c>
      <c r="F3" s="3">
        <v>0</v>
      </c>
      <c r="G3" s="3">
        <v>0</v>
      </c>
      <c r="H3" s="3">
        <v>0</v>
      </c>
      <c r="I3" s="5">
        <f>E3</f>
        <v>28301000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117</v>
      </c>
      <c r="B4" s="3">
        <f>'Inversión Inicial'!B9*0.65</f>
        <v>28301000</v>
      </c>
      <c r="D4" s="20" t="s">
        <v>79</v>
      </c>
      <c r="E4" s="3">
        <f>I3</f>
        <v>28301000</v>
      </c>
      <c r="F4" s="3">
        <f>E4*$B$7</f>
        <v>4709286.3999999994</v>
      </c>
      <c r="G4" s="3">
        <f>$B$8</f>
        <v>10243566.800000001</v>
      </c>
      <c r="H4" s="3">
        <f>G4-F4</f>
        <v>5534280.4000000013</v>
      </c>
      <c r="I4" s="5">
        <f t="shared" ref="I4:I8" si="0">E4-H4</f>
        <v>22766719.599999998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118</v>
      </c>
      <c r="B5" s="3">
        <v>0</v>
      </c>
      <c r="D5" s="20" t="s">
        <v>80</v>
      </c>
      <c r="E5" s="3">
        <f>I4</f>
        <v>22766719.599999998</v>
      </c>
      <c r="F5" s="3">
        <f>E5*$B$7</f>
        <v>3788382.1414399995</v>
      </c>
      <c r="G5" s="3">
        <f t="shared" ref="G5:G7" si="1">$B$8</f>
        <v>10243566.800000001</v>
      </c>
      <c r="H5" s="3">
        <f t="shared" ref="H5:H8" si="2">G5-F5</f>
        <v>6455184.6585600013</v>
      </c>
      <c r="I5" s="5">
        <f t="shared" si="0"/>
        <v>16311534.941439997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119</v>
      </c>
      <c r="B6" s="8" t="s">
        <v>133</v>
      </c>
      <c r="D6" s="20" t="s">
        <v>81</v>
      </c>
      <c r="E6" s="3">
        <f t="shared" ref="E6:E8" si="3">I5</f>
        <v>16311534.941439997</v>
      </c>
      <c r="F6" s="3">
        <f t="shared" ref="F6:F8" si="4">E6*$B$7</f>
        <v>2714239.4142556153</v>
      </c>
      <c r="G6" s="3">
        <f t="shared" si="1"/>
        <v>10243566.800000001</v>
      </c>
      <c r="H6" s="3">
        <f t="shared" si="2"/>
        <v>7529327.3857443854</v>
      </c>
      <c r="I6" s="5">
        <f t="shared" si="0"/>
        <v>8782207.555695612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120</v>
      </c>
      <c r="B7" s="60">
        <v>0.16639999999999999</v>
      </c>
      <c r="D7" s="20" t="s">
        <v>82</v>
      </c>
      <c r="E7" s="3">
        <f t="shared" si="3"/>
        <v>8782207.555695612</v>
      </c>
      <c r="F7" s="3">
        <f t="shared" si="4"/>
        <v>1461359.3372677497</v>
      </c>
      <c r="G7" s="3">
        <f t="shared" si="1"/>
        <v>10243566.800000001</v>
      </c>
      <c r="H7" s="3">
        <f t="shared" si="2"/>
        <v>8782207.4627322517</v>
      </c>
      <c r="I7" s="5">
        <f t="shared" si="0"/>
        <v>9.2963360249996185E-2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121</v>
      </c>
      <c r="B8" s="3">
        <v>10243566.800000001</v>
      </c>
      <c r="D8" s="20" t="s">
        <v>83</v>
      </c>
      <c r="E8" s="3">
        <f t="shared" si="3"/>
        <v>9.2963360249996185E-2</v>
      </c>
      <c r="F8" s="3">
        <f t="shared" si="4"/>
        <v>1.5469103145599364E-2</v>
      </c>
      <c r="G8" s="3">
        <v>0</v>
      </c>
      <c r="H8" s="3">
        <f t="shared" si="2"/>
        <v>-1.5469103145599364E-2</v>
      </c>
      <c r="I8" s="5">
        <f t="shared" si="0"/>
        <v>0.10843246339559555</v>
      </c>
    </row>
    <row r="9" spans="1:16" ht="15.75" thickBot="1" x14ac:dyDescent="0.3">
      <c r="A9" s="42"/>
      <c r="B9" s="18"/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57" t="s">
        <v>122</v>
      </c>
      <c r="E10" s="158"/>
      <c r="F10" s="158"/>
      <c r="G10" s="158"/>
      <c r="H10" s="158"/>
      <c r="I10" s="158"/>
      <c r="J10" s="158"/>
      <c r="K10" s="159"/>
    </row>
    <row r="11" spans="1:16" x14ac:dyDescent="0.25">
      <c r="A11" s="62"/>
      <c r="B11" s="61"/>
      <c r="D11" s="64" t="s">
        <v>123</v>
      </c>
      <c r="E11" s="64" t="s">
        <v>124</v>
      </c>
      <c r="F11" s="64" t="s">
        <v>125</v>
      </c>
      <c r="G11" s="64" t="s">
        <v>79</v>
      </c>
      <c r="H11" s="64" t="s">
        <v>80</v>
      </c>
      <c r="I11" s="64" t="s">
        <v>81</v>
      </c>
      <c r="J11" s="65" t="s">
        <v>82</v>
      </c>
      <c r="K11" s="64" t="s">
        <v>83</v>
      </c>
    </row>
    <row r="12" spans="1:16" x14ac:dyDescent="0.25">
      <c r="A12" s="62"/>
      <c r="B12" s="61"/>
      <c r="C12" s="48"/>
      <c r="D12" s="20" t="s">
        <v>126</v>
      </c>
      <c r="E12" s="8" t="s">
        <v>127</v>
      </c>
      <c r="F12" s="3">
        <f>'Inversión Inicial'!$C$13</f>
        <v>3000000</v>
      </c>
      <c r="G12" s="3">
        <f t="shared" ref="G12:K15" si="5">$F12*G$17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3"/>
      <c r="C13" s="18"/>
      <c r="D13" s="5" t="s">
        <v>128</v>
      </c>
      <c r="E13" s="8" t="s">
        <v>127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2"/>
      <c r="B14" s="18"/>
      <c r="C14" s="40"/>
      <c r="D14" s="20" t="s">
        <v>129</v>
      </c>
      <c r="E14" s="8" t="s">
        <v>127</v>
      </c>
      <c r="F14" s="3">
        <f>'Inversión Inicial'!$C$13</f>
        <v>3000000</v>
      </c>
      <c r="G14" s="3">
        <f t="shared" si="5"/>
        <v>600000</v>
      </c>
      <c r="H14" s="3">
        <f t="shared" si="5"/>
        <v>1200000</v>
      </c>
      <c r="I14" s="3">
        <f t="shared" si="5"/>
        <v>1800000</v>
      </c>
      <c r="J14" s="3">
        <f t="shared" si="5"/>
        <v>2400000</v>
      </c>
      <c r="K14" s="3">
        <f t="shared" si="5"/>
        <v>3000000</v>
      </c>
    </row>
    <row r="15" spans="1:16" x14ac:dyDescent="0.25">
      <c r="B15" s="39"/>
      <c r="C15" s="48"/>
      <c r="D15" s="5" t="s">
        <v>130</v>
      </c>
      <c r="E15" s="8" t="s">
        <v>127</v>
      </c>
      <c r="F15" s="3">
        <f>'Inversión Inicial'!$C$15</f>
        <v>300000</v>
      </c>
      <c r="G15" s="3">
        <f t="shared" si="5"/>
        <v>60000</v>
      </c>
      <c r="H15" s="3">
        <f t="shared" si="5"/>
        <v>120000</v>
      </c>
      <c r="I15" s="3">
        <f t="shared" si="5"/>
        <v>180000</v>
      </c>
      <c r="J15" s="3">
        <f t="shared" si="5"/>
        <v>240000</v>
      </c>
      <c r="K15" s="3">
        <f t="shared" si="5"/>
        <v>300000</v>
      </c>
    </row>
    <row r="16" spans="1:16" x14ac:dyDescent="0.25">
      <c r="B16" s="39"/>
      <c r="D16" s="160" t="s">
        <v>131</v>
      </c>
      <c r="E16" s="161"/>
      <c r="F16" s="162"/>
      <c r="G16" s="10">
        <f>SUM(G12:G15)</f>
        <v>1320000</v>
      </c>
      <c r="H16" s="10">
        <f>SUM(H12:H15)</f>
        <v>2640000</v>
      </c>
      <c r="I16" s="10">
        <f>SUM(I12:I15)</f>
        <v>3960000</v>
      </c>
      <c r="J16" s="10">
        <f>SUM(J12:J15)</f>
        <v>5280000</v>
      </c>
      <c r="K16" s="10">
        <f>SUM(K12:K15)</f>
        <v>6600000</v>
      </c>
    </row>
    <row r="17" spans="1:16" x14ac:dyDescent="0.25">
      <c r="B17" s="39"/>
      <c r="D17" s="116" t="s">
        <v>132</v>
      </c>
      <c r="E17" s="117"/>
      <c r="F17" s="118"/>
      <c r="G17" s="66">
        <v>0.2</v>
      </c>
      <c r="H17" s="66">
        <v>0.4</v>
      </c>
      <c r="I17" s="66">
        <v>0.6</v>
      </c>
      <c r="J17" s="66">
        <v>0.8</v>
      </c>
      <c r="K17" s="66">
        <v>1</v>
      </c>
    </row>
    <row r="18" spans="1:16" ht="15.75" thickBot="1" x14ac:dyDescent="0.3">
      <c r="B18" s="39"/>
    </row>
    <row r="19" spans="1:16" ht="15.75" thickBot="1" x14ac:dyDescent="0.3">
      <c r="B19" s="39"/>
      <c r="D19" s="157" t="s">
        <v>122</v>
      </c>
      <c r="E19" s="158"/>
      <c r="F19" s="158"/>
      <c r="G19" s="158"/>
      <c r="H19" s="158"/>
      <c r="I19" s="158"/>
      <c r="J19" s="158"/>
      <c r="K19" s="159"/>
    </row>
    <row r="20" spans="1:16" x14ac:dyDescent="0.25">
      <c r="B20" s="39"/>
      <c r="D20" s="64" t="s">
        <v>123</v>
      </c>
      <c r="E20" s="64" t="s">
        <v>124</v>
      </c>
      <c r="F20" s="64" t="s">
        <v>125</v>
      </c>
      <c r="G20" s="64" t="s">
        <v>79</v>
      </c>
      <c r="H20" s="64" t="s">
        <v>80</v>
      </c>
      <c r="I20" s="64" t="s">
        <v>81</v>
      </c>
      <c r="J20" s="65" t="s">
        <v>82</v>
      </c>
      <c r="K20" s="64" t="s">
        <v>83</v>
      </c>
    </row>
    <row r="21" spans="1:16" x14ac:dyDescent="0.25">
      <c r="B21" s="39"/>
      <c r="D21" s="20" t="s">
        <v>126</v>
      </c>
      <c r="E21" s="8" t="s">
        <v>127</v>
      </c>
      <c r="F21" s="3">
        <f>'Inversión Inicial'!$C$13</f>
        <v>3000000</v>
      </c>
      <c r="G21" s="3">
        <f t="shared" ref="G21:K24" si="6">$F21-($F21*G$26)</f>
        <v>2400000</v>
      </c>
      <c r="H21" s="3">
        <f t="shared" si="6"/>
        <v>1800000</v>
      </c>
      <c r="I21" s="3">
        <f t="shared" si="6"/>
        <v>1200000</v>
      </c>
      <c r="J21" s="3">
        <f t="shared" si="6"/>
        <v>600000</v>
      </c>
      <c r="K21" s="3">
        <f t="shared" si="6"/>
        <v>0</v>
      </c>
      <c r="M21" s="48"/>
      <c r="N21" s="48"/>
      <c r="O21" s="48"/>
      <c r="P21" s="48"/>
    </row>
    <row r="22" spans="1:16" x14ac:dyDescent="0.25">
      <c r="B22" s="39"/>
      <c r="D22" s="5" t="s">
        <v>128</v>
      </c>
      <c r="E22" s="8" t="s">
        <v>127</v>
      </c>
      <c r="F22" s="3">
        <f>'Inversión Inicial'!$C$15</f>
        <v>300000</v>
      </c>
      <c r="G22" s="3">
        <f t="shared" si="6"/>
        <v>240000</v>
      </c>
      <c r="H22" s="3">
        <f t="shared" si="6"/>
        <v>180000</v>
      </c>
      <c r="I22" s="3">
        <f t="shared" si="6"/>
        <v>120000</v>
      </c>
      <c r="J22" s="3">
        <f t="shared" si="6"/>
        <v>60000</v>
      </c>
      <c r="K22" s="3">
        <f t="shared" si="6"/>
        <v>0</v>
      </c>
      <c r="M22" s="45"/>
      <c r="N22" s="45"/>
      <c r="O22" s="45"/>
      <c r="P22" s="45"/>
    </row>
    <row r="23" spans="1:16" x14ac:dyDescent="0.25">
      <c r="A23" s="18"/>
      <c r="B23" s="45"/>
      <c r="D23" s="20" t="s">
        <v>129</v>
      </c>
      <c r="E23" s="8" t="s">
        <v>127</v>
      </c>
      <c r="F23" s="3">
        <f>'Inversión Inicial'!$C$13</f>
        <v>3000000</v>
      </c>
      <c r="G23" s="3">
        <f t="shared" si="6"/>
        <v>2400000</v>
      </c>
      <c r="H23" s="3">
        <f t="shared" si="6"/>
        <v>1800000</v>
      </c>
      <c r="I23" s="3">
        <f t="shared" si="6"/>
        <v>1200000</v>
      </c>
      <c r="J23" s="3">
        <f t="shared" si="6"/>
        <v>600000</v>
      </c>
      <c r="K23" s="3">
        <f t="shared" si="6"/>
        <v>0</v>
      </c>
    </row>
    <row r="24" spans="1:16" x14ac:dyDescent="0.25">
      <c r="A24" s="148"/>
      <c r="B24" s="148"/>
      <c r="D24" s="5" t="s">
        <v>130</v>
      </c>
      <c r="E24" s="8" t="s">
        <v>127</v>
      </c>
      <c r="F24" s="3">
        <f>'Inversión Inicial'!$C$15</f>
        <v>300000</v>
      </c>
      <c r="G24" s="3">
        <f t="shared" si="6"/>
        <v>240000</v>
      </c>
      <c r="H24" s="3">
        <f t="shared" si="6"/>
        <v>180000</v>
      </c>
      <c r="I24" s="3">
        <f t="shared" si="6"/>
        <v>120000</v>
      </c>
      <c r="J24" s="3">
        <f t="shared" si="6"/>
        <v>60000</v>
      </c>
      <c r="K24" s="3">
        <f t="shared" si="6"/>
        <v>0</v>
      </c>
    </row>
    <row r="25" spans="1:16" x14ac:dyDescent="0.25">
      <c r="A25" s="42"/>
      <c r="B25" s="18"/>
      <c r="D25" s="160" t="s">
        <v>131</v>
      </c>
      <c r="E25" s="161"/>
      <c r="F25" s="162"/>
      <c r="G25" s="10">
        <f>SUM(G21:G24)</f>
        <v>5280000</v>
      </c>
      <c r="H25" s="10">
        <f>SUM(H21:H24)</f>
        <v>3960000</v>
      </c>
      <c r="I25" s="10">
        <f>SUM(I21:I24)</f>
        <v>2640000</v>
      </c>
      <c r="J25" s="10">
        <f>SUM(J21:J24)</f>
        <v>1320000</v>
      </c>
      <c r="K25" s="10">
        <f>SUM(K21:K24)</f>
        <v>0</v>
      </c>
    </row>
    <row r="26" spans="1:16" x14ac:dyDescent="0.25">
      <c r="B26" s="39"/>
      <c r="D26" s="116" t="s">
        <v>132</v>
      </c>
      <c r="E26" s="117"/>
      <c r="F26" s="118"/>
      <c r="G26" s="66">
        <v>0.2</v>
      </c>
      <c r="H26" s="66">
        <v>0.4</v>
      </c>
      <c r="I26" s="66">
        <v>0.6</v>
      </c>
      <c r="J26" s="66">
        <v>0.8</v>
      </c>
      <c r="K26" s="66">
        <v>1</v>
      </c>
    </row>
    <row r="27" spans="1:16" x14ac:dyDescent="0.25">
      <c r="B27" s="39"/>
    </row>
    <row r="28" spans="1:16" x14ac:dyDescent="0.25">
      <c r="A28" s="18"/>
      <c r="B28" s="45"/>
    </row>
    <row r="29" spans="1:16" x14ac:dyDescent="0.25">
      <c r="A29" s="148"/>
      <c r="B29" s="148"/>
    </row>
    <row r="30" spans="1:16" x14ac:dyDescent="0.25">
      <c r="A30" s="42"/>
      <c r="B30" s="18"/>
    </row>
    <row r="31" spans="1:16" x14ac:dyDescent="0.25">
      <c r="B31" s="39"/>
    </row>
    <row r="32" spans="1:16" x14ac:dyDescent="0.25">
      <c r="A32" s="18"/>
      <c r="B32" s="45"/>
    </row>
  </sheetData>
  <mergeCells count="11">
    <mergeCell ref="A1:B1"/>
    <mergeCell ref="D1:I1"/>
    <mergeCell ref="A2:B2"/>
    <mergeCell ref="A24:B24"/>
    <mergeCell ref="A29:B29"/>
    <mergeCell ref="D10:K10"/>
    <mergeCell ref="D16:F16"/>
    <mergeCell ref="D17:F17"/>
    <mergeCell ref="D26:F26"/>
    <mergeCell ref="D19:K19"/>
    <mergeCell ref="D25:F25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7"/>
  <sheetViews>
    <sheetView showGridLines="0" zoomScaleNormal="100" workbookViewId="0">
      <selection activeCell="B30" sqref="B30:H30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64" t="s">
        <v>134</v>
      </c>
      <c r="B1" s="165"/>
      <c r="C1" s="165"/>
      <c r="D1" s="165"/>
      <c r="E1" s="165"/>
      <c r="F1" s="165"/>
      <c r="G1" s="165"/>
      <c r="H1" s="165"/>
    </row>
    <row r="2" spans="1:8" ht="22.5" customHeight="1" thickBot="1" x14ac:dyDescent="0.4">
      <c r="A2" s="166" t="s">
        <v>135</v>
      </c>
      <c r="B2" s="167"/>
      <c r="C2" s="167"/>
      <c r="D2" s="167"/>
      <c r="E2" s="167"/>
      <c r="F2" s="167"/>
      <c r="G2" s="167"/>
      <c r="H2" s="167"/>
    </row>
    <row r="3" spans="1:8" ht="15.75" thickBot="1" x14ac:dyDescent="0.3"/>
    <row r="4" spans="1:8" ht="22.5" customHeight="1" thickBot="1" x14ac:dyDescent="0.3">
      <c r="A4" s="168" t="s">
        <v>136</v>
      </c>
      <c r="B4" s="169"/>
      <c r="C4" s="67" t="s">
        <v>164</v>
      </c>
      <c r="D4" s="67" t="s">
        <v>165</v>
      </c>
      <c r="E4" s="67" t="s">
        <v>166</v>
      </c>
      <c r="F4" s="67" t="s">
        <v>167</v>
      </c>
      <c r="G4" s="67" t="s">
        <v>168</v>
      </c>
      <c r="H4" s="67" t="s">
        <v>169</v>
      </c>
    </row>
    <row r="5" spans="1:8" ht="15.75" thickBot="1" x14ac:dyDescent="0.3">
      <c r="A5" s="170" t="s">
        <v>137</v>
      </c>
      <c r="B5" s="171"/>
    </row>
    <row r="6" spans="1:8" x14ac:dyDescent="0.25">
      <c r="A6" s="172" t="s">
        <v>138</v>
      </c>
      <c r="B6" s="172"/>
    </row>
    <row r="7" spans="1:8" x14ac:dyDescent="0.25">
      <c r="B7" s="68" t="s">
        <v>139</v>
      </c>
      <c r="C7" s="3">
        <f>'Proyección de Ventas e Incremen'!I7</f>
        <v>0</v>
      </c>
      <c r="D7" s="3">
        <f>'Proyección de Ventas e Incremen'!J7</f>
        <v>139968000</v>
      </c>
      <c r="E7" s="3">
        <f>'Proyección de Ventas e Incremen'!K7</f>
        <v>176219712</v>
      </c>
      <c r="F7" s="3">
        <f>'Proyección de Ventas e Incremen'!L7</f>
        <v>226794769.34399998</v>
      </c>
      <c r="G7" s="3">
        <f>'Proyección de Ventas e Incremen'!M7</f>
        <v>300503069.38079995</v>
      </c>
      <c r="H7" s="3">
        <f>'Proyección de Ventas e Incremen'!N7</f>
        <v>412891217.32921916</v>
      </c>
    </row>
    <row r="8" spans="1:8" x14ac:dyDescent="0.25">
      <c r="B8" s="68" t="s">
        <v>140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141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142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143</v>
      </c>
      <c r="C11" s="72">
        <f>SUM(C7:C10)</f>
        <v>0</v>
      </c>
      <c r="D11" s="72">
        <f t="shared" ref="D11:H11" si="0">SUM(D7:D10)</f>
        <v>139968000</v>
      </c>
      <c r="E11" s="72">
        <f t="shared" si="0"/>
        <v>176219712</v>
      </c>
      <c r="F11" s="72">
        <f t="shared" si="0"/>
        <v>226794769.34399998</v>
      </c>
      <c r="G11" s="72">
        <f t="shared" si="0"/>
        <v>300503069.38079995</v>
      </c>
      <c r="H11" s="72">
        <f t="shared" si="0"/>
        <v>412891217.32921916</v>
      </c>
    </row>
    <row r="13" spans="1:8" x14ac:dyDescent="0.25">
      <c r="A13" s="163" t="s">
        <v>144</v>
      </c>
      <c r="B13" s="163"/>
    </row>
    <row r="14" spans="1:8" x14ac:dyDescent="0.25">
      <c r="B14" s="68" t="s">
        <v>271</v>
      </c>
      <c r="C14" s="3">
        <f>'Inversión Inicial'!D17</f>
        <v>9100000</v>
      </c>
      <c r="D14" s="3">
        <f>C14</f>
        <v>9100000</v>
      </c>
      <c r="E14" s="3">
        <f t="shared" ref="E14:H14" si="1">D14</f>
        <v>9100000</v>
      </c>
      <c r="F14" s="3">
        <f t="shared" si="1"/>
        <v>9100000</v>
      </c>
      <c r="G14" s="3">
        <f t="shared" si="1"/>
        <v>9100000</v>
      </c>
      <c r="H14" s="3">
        <f t="shared" si="1"/>
        <v>9100000</v>
      </c>
    </row>
    <row r="15" spans="1:8" x14ac:dyDescent="0.25">
      <c r="B15" s="196" t="s">
        <v>145</v>
      </c>
      <c r="C15" s="197">
        <v>0</v>
      </c>
      <c r="D15" s="197">
        <f>'Amortización y Depreciación'!G16</f>
        <v>1320000</v>
      </c>
      <c r="E15" s="197">
        <f>'Amortización y Depreciación'!H16</f>
        <v>2640000</v>
      </c>
      <c r="F15" s="197">
        <f>'Amortización y Depreciación'!I16</f>
        <v>3960000</v>
      </c>
      <c r="G15" s="197">
        <f>'Amortización y Depreciación'!J16</f>
        <v>5280000</v>
      </c>
      <c r="H15" s="197">
        <f>'Amortización y Depreciación'!K16</f>
        <v>6600000</v>
      </c>
    </row>
    <row r="16" spans="1:8" ht="15.75" thickBot="1" x14ac:dyDescent="0.3">
      <c r="B16" s="68" t="s">
        <v>272</v>
      </c>
      <c r="C16" s="7">
        <f>'Costos de Operación Gravables'!B36</f>
        <v>1451000</v>
      </c>
      <c r="D16" s="7">
        <f>C16</f>
        <v>1451000</v>
      </c>
      <c r="E16" s="7">
        <f t="shared" ref="E16:H16" si="2">D16</f>
        <v>1451000</v>
      </c>
      <c r="F16" s="7">
        <f t="shared" si="2"/>
        <v>1451000</v>
      </c>
      <c r="G16" s="7">
        <f t="shared" si="2"/>
        <v>1451000</v>
      </c>
      <c r="H16" s="7">
        <f t="shared" si="2"/>
        <v>1451000</v>
      </c>
    </row>
    <row r="17" spans="1:8" ht="16.5" thickBot="1" x14ac:dyDescent="0.3">
      <c r="B17" s="71" t="s">
        <v>146</v>
      </c>
      <c r="C17" s="72">
        <f>C14+C16</f>
        <v>10551000</v>
      </c>
      <c r="D17" s="72">
        <f>D14+D16-D15</f>
        <v>9231000</v>
      </c>
      <c r="E17" s="72">
        <f t="shared" ref="E17:H17" si="3">E14+E16-E15</f>
        <v>7911000</v>
      </c>
      <c r="F17" s="72">
        <f t="shared" si="3"/>
        <v>6591000</v>
      </c>
      <c r="G17" s="72">
        <f t="shared" si="3"/>
        <v>5271000</v>
      </c>
      <c r="H17" s="72">
        <f t="shared" si="3"/>
        <v>3951000</v>
      </c>
    </row>
    <row r="19" spans="1:8" x14ac:dyDescent="0.25">
      <c r="A19" s="163" t="s">
        <v>147</v>
      </c>
      <c r="B19" s="175"/>
    </row>
    <row r="20" spans="1:8" x14ac:dyDescent="0.25">
      <c r="B20" s="68" t="s">
        <v>148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149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150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</row>
    <row r="23" spans="1:8" ht="16.5" thickBot="1" x14ac:dyDescent="0.3">
      <c r="B23" s="71" t="s">
        <v>151</v>
      </c>
      <c r="C23" s="72">
        <f>SUM(C20:C22)</f>
        <v>0</v>
      </c>
      <c r="D23" s="72">
        <f t="shared" ref="D23:H23" si="4">SUM(D20:D22)</f>
        <v>0</v>
      </c>
      <c r="E23" s="72">
        <f t="shared" si="4"/>
        <v>0</v>
      </c>
      <c r="F23" s="72">
        <f t="shared" si="4"/>
        <v>0</v>
      </c>
      <c r="G23" s="72">
        <f t="shared" si="4"/>
        <v>0</v>
      </c>
      <c r="H23" s="72">
        <f t="shared" si="4"/>
        <v>0</v>
      </c>
    </row>
    <row r="24" spans="1:8" ht="15.75" thickBot="1" x14ac:dyDescent="0.3"/>
    <row r="25" spans="1:8" ht="22.5" customHeight="1" thickBot="1" x14ac:dyDescent="0.3">
      <c r="A25" s="168" t="s">
        <v>152</v>
      </c>
      <c r="B25" s="169"/>
      <c r="C25" s="74">
        <f>SUM(C11,C17,C23)</f>
        <v>10551000</v>
      </c>
      <c r="D25" s="74">
        <f>SUM(D11,D17,D23)</f>
        <v>149199000</v>
      </c>
      <c r="E25" s="74">
        <f>SUM(E11,E17,E23)</f>
        <v>184130712</v>
      </c>
      <c r="F25" s="74">
        <f>SUM(F11,F17,F23)</f>
        <v>233385769.34399998</v>
      </c>
      <c r="G25" s="74">
        <f>SUM(G11,G17,G23)</f>
        <v>305774069.38079995</v>
      </c>
      <c r="H25" s="74">
        <f>SUM(H11,H17,H23)</f>
        <v>416842217.32921916</v>
      </c>
    </row>
    <row r="26" spans="1:8" ht="15.75" thickBot="1" x14ac:dyDescent="0.3">
      <c r="A26" s="170" t="s">
        <v>153</v>
      </c>
      <c r="B26" s="171"/>
    </row>
    <row r="27" spans="1:8" x14ac:dyDescent="0.25">
      <c r="A27" s="172" t="s">
        <v>154</v>
      </c>
      <c r="B27" s="172"/>
    </row>
    <row r="28" spans="1:8" x14ac:dyDescent="0.25">
      <c r="B28" s="68" t="s">
        <v>53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155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114</v>
      </c>
      <c r="C30" s="3">
        <f>'Amortización y Depreciación'!G3</f>
        <v>0</v>
      </c>
      <c r="D30" s="3">
        <f>'Amortización y Depreciación'!G4</f>
        <v>10243566.800000001</v>
      </c>
      <c r="E30" s="3">
        <f>'Amortización y Depreciación'!G5</f>
        <v>10243566.800000001</v>
      </c>
      <c r="F30" s="3">
        <f>'Amortización y Depreciación'!G6</f>
        <v>10243566.800000001</v>
      </c>
      <c r="G30" s="3">
        <f>'Amortización y Depreciación'!G7</f>
        <v>10243566.800000001</v>
      </c>
      <c r="H30" s="3">
        <f>'Amortización y Depreciación'!G8</f>
        <v>0</v>
      </c>
    </row>
    <row r="31" spans="1:8" x14ac:dyDescent="0.25">
      <c r="B31" s="68" t="s">
        <v>156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157</v>
      </c>
      <c r="C32" s="70">
        <f>C25*0.04</f>
        <v>422040</v>
      </c>
      <c r="D32" s="70">
        <f>D25*0.04</f>
        <v>5967960</v>
      </c>
      <c r="E32" s="70">
        <f>E25*0.04</f>
        <v>7365228.4800000004</v>
      </c>
      <c r="F32" s="70">
        <f>F25*0.04</f>
        <v>9335430.7737600002</v>
      </c>
      <c r="G32" s="70">
        <f>G25*0.04</f>
        <v>12230962.775231998</v>
      </c>
      <c r="H32" s="70">
        <f>H25*0.04</f>
        <v>16673688.693168767</v>
      </c>
    </row>
    <row r="33" spans="1:10" ht="16.5" thickBot="1" x14ac:dyDescent="0.3">
      <c r="B33" s="71" t="s">
        <v>158</v>
      </c>
      <c r="C33" s="72">
        <f>SUM(C28:C32)</f>
        <v>422040</v>
      </c>
      <c r="D33" s="72">
        <f>SUM(D28:D32)</f>
        <v>154314462.80000001</v>
      </c>
      <c r="E33" s="72">
        <f>SUM(E28:E32)</f>
        <v>167736424.87999997</v>
      </c>
      <c r="F33" s="72">
        <f>SUM(F28:F32)</f>
        <v>184719390.13376001</v>
      </c>
      <c r="G33" s="72">
        <f>SUM(G28:G32)</f>
        <v>204128961.39123201</v>
      </c>
      <c r="H33" s="72">
        <f>SUM(H28:H32)</f>
        <v>216493563.69076881</v>
      </c>
    </row>
    <row r="35" spans="1:10" x14ac:dyDescent="0.25">
      <c r="A35" s="163" t="s">
        <v>159</v>
      </c>
      <c r="B35" s="163"/>
    </row>
    <row r="36" spans="1:10" ht="15.75" thickBot="1" x14ac:dyDescent="0.3">
      <c r="B36" s="69" t="s">
        <v>273</v>
      </c>
      <c r="C36" s="70">
        <f>'Inversión Inicial'!B21</f>
        <v>28301000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160</v>
      </c>
      <c r="C37" s="72">
        <f>SUM(C36)</f>
        <v>28301000</v>
      </c>
      <c r="D37" s="72">
        <f t="shared" ref="D37:H37" si="5">SUM(D36)</f>
        <v>0</v>
      </c>
      <c r="E37" s="72">
        <f t="shared" si="5"/>
        <v>0</v>
      </c>
      <c r="F37" s="72">
        <f t="shared" si="5"/>
        <v>0</v>
      </c>
      <c r="G37" s="72">
        <f t="shared" si="5"/>
        <v>0</v>
      </c>
      <c r="H37" s="72">
        <f t="shared" si="5"/>
        <v>0</v>
      </c>
    </row>
    <row r="38" spans="1:10" ht="15.75" thickBot="1" x14ac:dyDescent="0.3"/>
    <row r="39" spans="1:10" ht="22.5" customHeight="1" thickBot="1" x14ac:dyDescent="0.3">
      <c r="A39" s="168" t="s">
        <v>161</v>
      </c>
      <c r="B39" s="169"/>
      <c r="C39" s="74">
        <f>C33+C37</f>
        <v>28723040</v>
      </c>
      <c r="D39" s="74">
        <f t="shared" ref="D39:H39" si="6">D33+D37</f>
        <v>154314462.80000001</v>
      </c>
      <c r="E39" s="74">
        <f>E33+E37</f>
        <v>167736424.87999997</v>
      </c>
      <c r="F39" s="74">
        <f t="shared" si="6"/>
        <v>184719390.13376001</v>
      </c>
      <c r="G39" s="74">
        <f t="shared" si="6"/>
        <v>204128961.39123201</v>
      </c>
      <c r="H39" s="74">
        <f t="shared" si="6"/>
        <v>216493563.69076881</v>
      </c>
    </row>
    <row r="40" spans="1:10" ht="15.75" thickBot="1" x14ac:dyDescent="0.3"/>
    <row r="41" spans="1:10" ht="15.75" thickBot="1" x14ac:dyDescent="0.3">
      <c r="A41" s="173" t="s">
        <v>162</v>
      </c>
      <c r="B41" s="174"/>
    </row>
    <row r="42" spans="1:10" x14ac:dyDescent="0.25">
      <c r="B42" s="75" t="s">
        <v>19</v>
      </c>
      <c r="C42" s="7">
        <f>'Inversión Inicial'!B22</f>
        <v>15238999.999999998</v>
      </c>
      <c r="D42" s="7">
        <f>C42</f>
        <v>15238999.999999998</v>
      </c>
      <c r="E42" s="7">
        <f t="shared" ref="E42:H42" si="7">D42</f>
        <v>15238999.999999998</v>
      </c>
      <c r="F42" s="7">
        <f t="shared" si="7"/>
        <v>15238999.999999998</v>
      </c>
      <c r="G42" s="7">
        <f t="shared" si="7"/>
        <v>15238999.999999998</v>
      </c>
      <c r="H42" s="7">
        <f t="shared" si="7"/>
        <v>15238999.999999998</v>
      </c>
    </row>
    <row r="43" spans="1:10" x14ac:dyDescent="0.25">
      <c r="B43" s="68" t="s">
        <v>268</v>
      </c>
      <c r="C43" s="3">
        <f>'Estado de Resultados'!C31</f>
        <v>-30174040</v>
      </c>
      <c r="D43" s="3">
        <f>'Estado de Resultados'!D31</f>
        <v>-15666462.799999997</v>
      </c>
      <c r="E43" s="3">
        <f>'Estado de Resultados'!E31</f>
        <v>7163287.1200000085</v>
      </c>
      <c r="F43" s="3">
        <f>'Estado de Resultados'!F31</f>
        <v>40755379.210239969</v>
      </c>
      <c r="G43" s="3">
        <f>'Estado de Resultados'!G31</f>
        <v>95054107.989567921</v>
      </c>
      <c r="H43" s="3">
        <f>'Estado de Resultados'!H31</f>
        <v>195077653.63845032</v>
      </c>
    </row>
    <row r="44" spans="1:10" ht="15.75" thickBot="1" x14ac:dyDescent="0.3">
      <c r="B44" s="48"/>
    </row>
    <row r="45" spans="1:10" ht="22.5" customHeight="1" thickBot="1" x14ac:dyDescent="0.3">
      <c r="A45" s="194" t="s">
        <v>163</v>
      </c>
      <c r="B45" s="195"/>
      <c r="C45" s="74">
        <f>SUM(C42:C43)</f>
        <v>-14935040.000000002</v>
      </c>
      <c r="D45" s="74">
        <f>SUM(D42:D43)</f>
        <v>-427462.79999999888</v>
      </c>
      <c r="E45" s="74">
        <f>SUM(E42:E43)</f>
        <v>22402287.120000005</v>
      </c>
      <c r="F45" s="74">
        <f>SUM(F42:F43)</f>
        <v>55994379.210239969</v>
      </c>
      <c r="G45" s="74">
        <f>SUM(G42:G43)</f>
        <v>110293107.98956792</v>
      </c>
      <c r="H45" s="74">
        <f>SUM(H42:H43)</f>
        <v>210316653.63845032</v>
      </c>
    </row>
    <row r="46" spans="1:10" ht="15.75" thickBot="1" x14ac:dyDescent="0.3"/>
    <row r="47" spans="1:10" ht="22.5" customHeight="1" thickBot="1" x14ac:dyDescent="0.3">
      <c r="A47" s="194" t="s">
        <v>269</v>
      </c>
      <c r="B47" s="195"/>
      <c r="C47" s="74">
        <f>C39+C45</f>
        <v>13787999.999999998</v>
      </c>
      <c r="D47" s="74">
        <f>D39+D45</f>
        <v>153887000</v>
      </c>
      <c r="E47" s="74">
        <f>E39+E45</f>
        <v>190138711.99999997</v>
      </c>
      <c r="F47" s="74">
        <f>F39+F45</f>
        <v>240713769.34399998</v>
      </c>
      <c r="G47" s="74">
        <f>G39+G45</f>
        <v>314422069.38079995</v>
      </c>
      <c r="H47" s="74">
        <f>H39+H45</f>
        <v>426810217.3292191</v>
      </c>
      <c r="J47" s="40"/>
    </row>
  </sheetData>
  <mergeCells count="15">
    <mergeCell ref="A41:B41"/>
    <mergeCell ref="A19:B19"/>
    <mergeCell ref="A25:B25"/>
    <mergeCell ref="A26:B26"/>
    <mergeCell ref="A27:B27"/>
    <mergeCell ref="A35:B35"/>
    <mergeCell ref="A39:B39"/>
    <mergeCell ref="A45:B45"/>
    <mergeCell ref="A47:B47"/>
    <mergeCell ref="A13:B13"/>
    <mergeCell ref="A1:H1"/>
    <mergeCell ref="A2:H2"/>
    <mergeCell ref="A4:B4"/>
    <mergeCell ref="A5:B5"/>
    <mergeCell ref="A6:B6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5:E15 F15:H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1"/>
  <sheetViews>
    <sheetView showGridLines="0" topLeftCell="A4" zoomScaleNormal="100" workbookViewId="0">
      <selection activeCell="A8" sqref="A8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64" t="s">
        <v>170</v>
      </c>
      <c r="B1" s="165"/>
      <c r="C1" s="165"/>
      <c r="D1" s="165"/>
      <c r="E1" s="165"/>
      <c r="F1" s="165"/>
      <c r="G1" s="165"/>
      <c r="H1" s="165"/>
    </row>
    <row r="2" spans="1:8" ht="22.5" customHeight="1" thickBot="1" x14ac:dyDescent="0.4">
      <c r="A2" s="166" t="s">
        <v>135</v>
      </c>
      <c r="B2" s="167"/>
      <c r="C2" s="167"/>
      <c r="D2" s="167"/>
      <c r="E2" s="167"/>
      <c r="F2" s="167"/>
      <c r="G2" s="167"/>
      <c r="H2" s="167"/>
    </row>
    <row r="3" spans="1:8" ht="15.75" thickBot="1" x14ac:dyDescent="0.3"/>
    <row r="4" spans="1:8" ht="22.5" customHeight="1" thickBot="1" x14ac:dyDescent="0.3">
      <c r="A4" s="168" t="s">
        <v>136</v>
      </c>
      <c r="B4" s="169"/>
      <c r="C4" s="67" t="s">
        <v>164</v>
      </c>
      <c r="D4" s="67" t="s">
        <v>165</v>
      </c>
      <c r="E4" s="67" t="s">
        <v>166</v>
      </c>
      <c r="F4" s="67" t="s">
        <v>167</v>
      </c>
      <c r="G4" s="67" t="s">
        <v>168</v>
      </c>
      <c r="H4" s="67" t="s">
        <v>169</v>
      </c>
    </row>
    <row r="5" spans="1:8" ht="15.75" thickBot="1" x14ac:dyDescent="0.3">
      <c r="A5" s="170" t="s">
        <v>276</v>
      </c>
      <c r="B5" s="171"/>
    </row>
    <row r="6" spans="1:8" ht="15.75" thickBot="1" x14ac:dyDescent="0.3">
      <c r="B6" s="68" t="s">
        <v>171</v>
      </c>
      <c r="C6" s="3">
        <f>'Balance General'!C7</f>
        <v>0</v>
      </c>
      <c r="D6" s="3">
        <f>'Balance General'!D7</f>
        <v>139968000</v>
      </c>
      <c r="E6" s="3">
        <f>'Balance General'!E7</f>
        <v>176219712</v>
      </c>
      <c r="F6" s="3">
        <f>'Balance General'!F7</f>
        <v>226794769.34399998</v>
      </c>
      <c r="G6" s="3">
        <f>'Balance General'!G7</f>
        <v>300503069.38079995</v>
      </c>
      <c r="H6" s="3">
        <f>'Balance General'!H7</f>
        <v>412891217.32921916</v>
      </c>
    </row>
    <row r="7" spans="1:8" ht="16.5" thickBot="1" x14ac:dyDescent="0.3">
      <c r="B7" s="71" t="s">
        <v>172</v>
      </c>
      <c r="C7" s="72">
        <f>SUM(C6:C6)</f>
        <v>0</v>
      </c>
      <c r="D7" s="72">
        <f>SUM(D6:D6)</f>
        <v>139968000</v>
      </c>
      <c r="E7" s="72">
        <f>SUM(E6:E6)</f>
        <v>176219712</v>
      </c>
      <c r="F7" s="72">
        <f>SUM(F6:F6)</f>
        <v>226794769.34399998</v>
      </c>
      <c r="G7" s="72">
        <f>SUM(G6:G6)</f>
        <v>300503069.38079995</v>
      </c>
      <c r="H7" s="72">
        <f>SUM(H6:H6)</f>
        <v>412891217.32921916</v>
      </c>
    </row>
    <row r="8" spans="1:8" ht="15.75" thickBot="1" x14ac:dyDescent="0.3"/>
    <row r="9" spans="1:8" ht="15.75" thickBot="1" x14ac:dyDescent="0.3">
      <c r="A9" s="176" t="s">
        <v>173</v>
      </c>
      <c r="B9" s="177"/>
    </row>
    <row r="10" spans="1:8" x14ac:dyDescent="0.25">
      <c r="B10" s="68" t="s">
        <v>270</v>
      </c>
      <c r="C10" s="7">
        <f>'Balance General'!C36</f>
        <v>28301000</v>
      </c>
      <c r="D10" s="7">
        <f>'Balance General'!D36</f>
        <v>0</v>
      </c>
      <c r="E10" s="7">
        <f>'Balance General'!E36</f>
        <v>0</v>
      </c>
      <c r="F10" s="7">
        <f>'Balance General'!F36</f>
        <v>0</v>
      </c>
      <c r="G10" s="7">
        <f>'Balance General'!G36</f>
        <v>0</v>
      </c>
      <c r="H10" s="7">
        <f>'Balance General'!H36</f>
        <v>0</v>
      </c>
    </row>
    <row r="11" spans="1:8" x14ac:dyDescent="0.25">
      <c r="B11" s="68" t="s">
        <v>174</v>
      </c>
      <c r="C11" s="7">
        <f>'Balance General'!C28+'Balance General'!C31</f>
        <v>0</v>
      </c>
      <c r="D11" s="7">
        <f>'Balance General'!D28+'Balance General'!D31</f>
        <v>93462936</v>
      </c>
      <c r="E11" s="7">
        <f>'Balance General'!E28+'Balance General'!E31</f>
        <v>102809229.59999999</v>
      </c>
      <c r="F11" s="7">
        <f>'Balance General'!F28+'Balance General'!F31</f>
        <v>113090152.56</v>
      </c>
      <c r="G11" s="7">
        <f>'Balance General'!G28+'Balance General'!G31</f>
        <v>124399167.81600001</v>
      </c>
      <c r="H11" s="7">
        <f>'Balance General'!H28+'Balance General'!H31</f>
        <v>136839084.59760004</v>
      </c>
    </row>
    <row r="12" spans="1:8" x14ac:dyDescent="0.25">
      <c r="B12" s="69" t="s">
        <v>175</v>
      </c>
      <c r="C12" s="7">
        <f>'[1]Balance General'!C23</f>
        <v>0</v>
      </c>
      <c r="D12" s="7">
        <f>'[1]Balance General'!D23</f>
        <v>0</v>
      </c>
      <c r="E12" s="7">
        <f>'[1]Balance General'!E23</f>
        <v>0</v>
      </c>
      <c r="F12" s="7">
        <f>'[1]Balance General'!F23</f>
        <v>0</v>
      </c>
      <c r="G12" s="7">
        <f>'[1]Balance General'!G23</f>
        <v>0</v>
      </c>
      <c r="H12" s="7">
        <f>'[1]Balance General'!H23</f>
        <v>0</v>
      </c>
    </row>
    <row r="13" spans="1:8" x14ac:dyDescent="0.25">
      <c r="B13" s="69" t="s">
        <v>122</v>
      </c>
      <c r="C13" s="73">
        <v>0</v>
      </c>
      <c r="D13" s="73">
        <f>'Amortización y Depreciación'!$G$16</f>
        <v>1320000</v>
      </c>
      <c r="E13" s="73">
        <f>'Amortización y Depreciación'!$G$16</f>
        <v>1320000</v>
      </c>
      <c r="F13" s="73">
        <f>'Amortización y Depreciación'!$G$16</f>
        <v>1320000</v>
      </c>
      <c r="G13" s="73">
        <f>'Amortización y Depreciación'!$G$16</f>
        <v>1320000</v>
      </c>
      <c r="H13" s="73">
        <f>'Amortización y Depreciación'!$G$16</f>
        <v>1320000</v>
      </c>
    </row>
    <row r="14" spans="1:8" ht="16.5" thickBot="1" x14ac:dyDescent="0.3">
      <c r="B14" s="76" t="s">
        <v>176</v>
      </c>
      <c r="C14" s="77">
        <f>SUM(C10:C13)</f>
        <v>28301000</v>
      </c>
      <c r="D14" s="77">
        <f t="shared" ref="D14:H14" si="0">SUM(D10:D13)</f>
        <v>94782936</v>
      </c>
      <c r="E14" s="77">
        <f t="shared" si="0"/>
        <v>104129229.59999999</v>
      </c>
      <c r="F14" s="77">
        <f t="shared" si="0"/>
        <v>114410152.56</v>
      </c>
      <c r="G14" s="77">
        <f t="shared" si="0"/>
        <v>125719167.81600001</v>
      </c>
      <c r="H14" s="77">
        <f t="shared" si="0"/>
        <v>138159084.59760004</v>
      </c>
    </row>
    <row r="15" spans="1:8" ht="16.5" thickBot="1" x14ac:dyDescent="0.3">
      <c r="B15" s="71" t="s">
        <v>177</v>
      </c>
      <c r="C15" s="72">
        <f>C7-C14</f>
        <v>-28301000</v>
      </c>
      <c r="D15" s="72">
        <f>D7-D14</f>
        <v>45185064</v>
      </c>
      <c r="E15" s="72">
        <f>E7-E14</f>
        <v>72090482.400000006</v>
      </c>
      <c r="F15" s="72">
        <f>F7-F14</f>
        <v>112384616.78399998</v>
      </c>
      <c r="G15" s="72">
        <f>G7-G14</f>
        <v>174783901.56479993</v>
      </c>
      <c r="H15" s="72">
        <f>H7-H14</f>
        <v>274732132.73161912</v>
      </c>
    </row>
    <row r="16" spans="1:8" ht="15.75" thickBot="1" x14ac:dyDescent="0.3"/>
    <row r="17" spans="1:8" ht="15.75" thickBot="1" x14ac:dyDescent="0.3">
      <c r="A17" s="176" t="s">
        <v>178</v>
      </c>
      <c r="B17" s="177"/>
    </row>
    <row r="18" spans="1:8" x14ac:dyDescent="0.25">
      <c r="B18" s="75" t="s">
        <v>179</v>
      </c>
      <c r="C18" s="7">
        <f>'Balance General'!C30+'Balance General'!C29+'Balance General'!C16</f>
        <v>1451000</v>
      </c>
      <c r="D18" s="7">
        <f>'Balance General'!D30+'Balance General'!D29</f>
        <v>54883566.799999997</v>
      </c>
      <c r="E18" s="7">
        <f>'Balance General'!E30+'Balance General'!E29</f>
        <v>57561966.799999997</v>
      </c>
      <c r="F18" s="7">
        <f>'Balance General'!F30+'Balance General'!F29</f>
        <v>62293806.800000012</v>
      </c>
      <c r="G18" s="7">
        <f>'Balance General'!G30+'Balance General'!G29</f>
        <v>67498830.800000012</v>
      </c>
      <c r="H18" s="7">
        <f>'Balance General'!H30+'Balance General'!H29</f>
        <v>62980790.400000021</v>
      </c>
    </row>
    <row r="19" spans="1:8" ht="15.75" thickBot="1" x14ac:dyDescent="0.3">
      <c r="B19" s="68" t="s">
        <v>180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ht="16.5" thickBot="1" x14ac:dyDescent="0.3">
      <c r="B20" s="71" t="s">
        <v>181</v>
      </c>
      <c r="C20" s="72">
        <f>C15-SUM(C18:C19)</f>
        <v>-29752000</v>
      </c>
      <c r="D20" s="72">
        <f>D15-SUM(D18:D19)</f>
        <v>-9698502.799999997</v>
      </c>
      <c r="E20" s="72">
        <f>E15-SUM(E18:E19)</f>
        <v>14528515.600000009</v>
      </c>
      <c r="F20" s="72">
        <f>F15-SUM(F18:F19)</f>
        <v>50090809.983999968</v>
      </c>
      <c r="G20" s="72">
        <f>G15-SUM(G18:G19)</f>
        <v>107285070.76479992</v>
      </c>
      <c r="H20" s="72">
        <f>H15-SUM(H18:H19)</f>
        <v>211751342.33161908</v>
      </c>
    </row>
    <row r="21" spans="1:8" ht="15.75" thickBot="1" x14ac:dyDescent="0.3"/>
    <row r="22" spans="1:8" ht="15.75" thickBot="1" x14ac:dyDescent="0.3">
      <c r="A22" s="176" t="s">
        <v>182</v>
      </c>
      <c r="B22" s="177"/>
    </row>
    <row r="23" spans="1:8" x14ac:dyDescent="0.25">
      <c r="B23" s="75" t="s">
        <v>183</v>
      </c>
      <c r="C23" s="3">
        <f>0</f>
        <v>0</v>
      </c>
      <c r="D23" s="3">
        <f>0</f>
        <v>0</v>
      </c>
      <c r="E23" s="3">
        <f>0</f>
        <v>0</v>
      </c>
      <c r="F23" s="3">
        <f>0</f>
        <v>0</v>
      </c>
      <c r="G23" s="3">
        <f>0</f>
        <v>0</v>
      </c>
      <c r="H23" s="3">
        <f>0</f>
        <v>0</v>
      </c>
    </row>
    <row r="24" spans="1:8" ht="15.75" thickBot="1" x14ac:dyDescent="0.3">
      <c r="B24" s="68" t="s">
        <v>184</v>
      </c>
      <c r="C24" s="3">
        <f>0</f>
        <v>0</v>
      </c>
      <c r="D24" s="3">
        <f>0</f>
        <v>0</v>
      </c>
      <c r="E24" s="3">
        <f>0</f>
        <v>0</v>
      </c>
      <c r="F24" s="3">
        <f>0</f>
        <v>0</v>
      </c>
      <c r="G24" s="3">
        <f>0</f>
        <v>0</v>
      </c>
      <c r="H24" s="3">
        <f>0</f>
        <v>0</v>
      </c>
    </row>
    <row r="25" spans="1:8" ht="16.5" thickBot="1" x14ac:dyDescent="0.3">
      <c r="B25" s="71" t="s">
        <v>185</v>
      </c>
      <c r="C25" s="72">
        <f>C20-SUM(C23:C24)</f>
        <v>-29752000</v>
      </c>
      <c r="D25" s="72">
        <f t="shared" ref="D25:H25" si="1">D20-SUM(D23:D24)</f>
        <v>-9698502.799999997</v>
      </c>
      <c r="E25" s="72">
        <f t="shared" si="1"/>
        <v>14528515.600000009</v>
      </c>
      <c r="F25" s="72">
        <f t="shared" si="1"/>
        <v>50090809.983999968</v>
      </c>
      <c r="G25" s="72">
        <f t="shared" si="1"/>
        <v>107285070.76479992</v>
      </c>
      <c r="H25" s="72">
        <f t="shared" si="1"/>
        <v>211751342.33161908</v>
      </c>
    </row>
    <row r="26" spans="1:8" ht="15.75" thickBot="1" x14ac:dyDescent="0.3"/>
    <row r="27" spans="1:8" ht="15.75" thickBot="1" x14ac:dyDescent="0.3">
      <c r="A27" s="176" t="s">
        <v>186</v>
      </c>
      <c r="B27" s="177"/>
    </row>
    <row r="28" spans="1:8" ht="15.75" thickBot="1" x14ac:dyDescent="0.3">
      <c r="B28" s="78" t="s">
        <v>187</v>
      </c>
      <c r="C28" s="70">
        <f>'Balance General'!C32</f>
        <v>422040</v>
      </c>
      <c r="D28" s="70">
        <f>'Balance General'!D32</f>
        <v>5967960</v>
      </c>
      <c r="E28" s="70">
        <f>'Balance General'!E32</f>
        <v>7365228.4800000004</v>
      </c>
      <c r="F28" s="70">
        <f>'Balance General'!F32</f>
        <v>9335430.7737600002</v>
      </c>
      <c r="G28" s="70">
        <f>'Balance General'!G32</f>
        <v>12230962.775231998</v>
      </c>
      <c r="H28" s="70">
        <f>'Balance General'!H32</f>
        <v>16673688.693168767</v>
      </c>
    </row>
    <row r="29" spans="1:8" ht="16.5" thickBot="1" x14ac:dyDescent="0.3">
      <c r="B29" s="71" t="s">
        <v>188</v>
      </c>
      <c r="C29" s="72">
        <f>SUM(C28)</f>
        <v>422040</v>
      </c>
      <c r="D29" s="72">
        <f t="shared" ref="D29:H29" si="2">SUM(D28)</f>
        <v>5967960</v>
      </c>
      <c r="E29" s="72">
        <f t="shared" si="2"/>
        <v>7365228.4800000004</v>
      </c>
      <c r="F29" s="72">
        <f t="shared" si="2"/>
        <v>9335430.7737600002</v>
      </c>
      <c r="G29" s="72">
        <f t="shared" si="2"/>
        <v>12230962.775231998</v>
      </c>
      <c r="H29" s="72">
        <f t="shared" si="2"/>
        <v>16673688.693168767</v>
      </c>
    </row>
    <row r="30" spans="1:8" ht="15.75" thickBot="1" x14ac:dyDescent="0.3"/>
    <row r="31" spans="1:8" ht="22.5" customHeight="1" thickBot="1" x14ac:dyDescent="0.3">
      <c r="A31" s="168" t="s">
        <v>189</v>
      </c>
      <c r="B31" s="169"/>
      <c r="C31" s="74">
        <f>C25-C29</f>
        <v>-30174040</v>
      </c>
      <c r="D31" s="74">
        <f>D25-D29</f>
        <v>-15666462.799999997</v>
      </c>
      <c r="E31" s="74">
        <f>E25-E29</f>
        <v>7163287.1200000085</v>
      </c>
      <c r="F31" s="74">
        <f t="shared" ref="F31:H31" si="3">F25-F29</f>
        <v>40755379.210239969</v>
      </c>
      <c r="G31" s="74">
        <f t="shared" si="3"/>
        <v>95054107.989567921</v>
      </c>
      <c r="H31" s="74">
        <f t="shared" si="3"/>
        <v>195077653.63845032</v>
      </c>
    </row>
  </sheetData>
  <mergeCells count="9">
    <mergeCell ref="A22:B22"/>
    <mergeCell ref="A27:B27"/>
    <mergeCell ref="A31:B31"/>
    <mergeCell ref="A1:H1"/>
    <mergeCell ref="A2:H2"/>
    <mergeCell ref="A4:B4"/>
    <mergeCell ref="A5:B5"/>
    <mergeCell ref="A9:B9"/>
    <mergeCell ref="A17:B17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Normal="100" workbookViewId="0">
      <selection activeCell="A2" sqref="A2:H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64" t="s">
        <v>190</v>
      </c>
      <c r="B1" s="165"/>
      <c r="C1" s="165"/>
      <c r="D1" s="165"/>
      <c r="E1" s="165"/>
      <c r="F1" s="165"/>
      <c r="G1" s="165"/>
      <c r="H1" s="165"/>
    </row>
    <row r="2" spans="1:8" ht="22.5" customHeight="1" thickBot="1" x14ac:dyDescent="0.4">
      <c r="A2" s="166" t="s">
        <v>135</v>
      </c>
      <c r="B2" s="167"/>
      <c r="C2" s="167"/>
      <c r="D2" s="167"/>
      <c r="E2" s="167"/>
      <c r="F2" s="167"/>
      <c r="G2" s="167"/>
      <c r="H2" s="167"/>
    </row>
    <row r="3" spans="1:8" ht="15.75" thickBot="1" x14ac:dyDescent="0.3"/>
    <row r="4" spans="1:8" ht="22.5" customHeight="1" thickBot="1" x14ac:dyDescent="0.3">
      <c r="A4" s="168" t="s">
        <v>136</v>
      </c>
      <c r="B4" s="169"/>
      <c r="C4" s="67" t="s">
        <v>164</v>
      </c>
      <c r="D4" s="67" t="s">
        <v>165</v>
      </c>
      <c r="E4" s="67" t="s">
        <v>166</v>
      </c>
      <c r="F4" s="67" t="s">
        <v>167</v>
      </c>
      <c r="G4" s="67" t="s">
        <v>168</v>
      </c>
      <c r="H4" s="67" t="s">
        <v>169</v>
      </c>
    </row>
    <row r="5" spans="1:8" ht="15.75" thickBot="1" x14ac:dyDescent="0.3">
      <c r="A5" s="173" t="s">
        <v>191</v>
      </c>
      <c r="B5" s="174"/>
    </row>
    <row r="6" spans="1:8" x14ac:dyDescent="0.25">
      <c r="B6" s="75" t="s">
        <v>192</v>
      </c>
      <c r="C6" s="70">
        <f>'Inversión Inicial'!B5</f>
        <v>9100000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25">
      <c r="B7" s="68" t="s">
        <v>193</v>
      </c>
      <c r="C7" s="7">
        <f>0</f>
        <v>0</v>
      </c>
      <c r="D7" s="7">
        <f>0</f>
        <v>0</v>
      </c>
      <c r="E7" s="7">
        <f>0</f>
        <v>0</v>
      </c>
      <c r="F7" s="7">
        <f>0</f>
        <v>0</v>
      </c>
      <c r="G7" s="7">
        <f>0</f>
        <v>0</v>
      </c>
      <c r="H7" s="7">
        <f>0</f>
        <v>0</v>
      </c>
    </row>
    <row r="8" spans="1:8" x14ac:dyDescent="0.25">
      <c r="B8" s="69" t="s">
        <v>194</v>
      </c>
      <c r="C8" s="7">
        <f>0</f>
        <v>0</v>
      </c>
      <c r="D8" s="7">
        <f>0</f>
        <v>0</v>
      </c>
      <c r="E8" s="7">
        <f>0</f>
        <v>0</v>
      </c>
      <c r="F8" s="7">
        <f>0</f>
        <v>0</v>
      </c>
      <c r="G8" s="7">
        <f>0</f>
        <v>0</v>
      </c>
      <c r="H8" s="7">
        <f>0</f>
        <v>0</v>
      </c>
    </row>
    <row r="9" spans="1:8" x14ac:dyDescent="0.25">
      <c r="B9" s="69" t="s">
        <v>195</v>
      </c>
      <c r="C9" s="73">
        <f>SUM('Inversión Inicial'!B3:B4,'Inversión Inicial'!B6:B7)</f>
        <v>30740000</v>
      </c>
      <c r="D9" s="73">
        <f>0</f>
        <v>0</v>
      </c>
      <c r="E9" s="73">
        <f>0</f>
        <v>0</v>
      </c>
      <c r="F9" s="73">
        <f>0</f>
        <v>0</v>
      </c>
      <c r="G9" s="73">
        <f>0</f>
        <v>0</v>
      </c>
      <c r="H9" s="73">
        <f>0</f>
        <v>0</v>
      </c>
    </row>
    <row r="10" spans="1:8" ht="15.75" thickBot="1" x14ac:dyDescent="0.3">
      <c r="B10" s="69" t="s">
        <v>196</v>
      </c>
      <c r="C10" s="73">
        <f>'Inversión Inicial'!B8</f>
        <v>3700000</v>
      </c>
      <c r="D10" s="73">
        <f>0</f>
        <v>0</v>
      </c>
      <c r="E10" s="73">
        <f>0</f>
        <v>0</v>
      </c>
      <c r="F10" s="73">
        <f>0</f>
        <v>0</v>
      </c>
      <c r="G10" s="73">
        <f>0</f>
        <v>0</v>
      </c>
      <c r="H10" s="73">
        <f>0</f>
        <v>0</v>
      </c>
    </row>
    <row r="11" spans="1:8" ht="16.5" thickBot="1" x14ac:dyDescent="0.3">
      <c r="B11" s="71" t="s">
        <v>197</v>
      </c>
      <c r="C11" s="72">
        <f>SUM(C6:C10)</f>
        <v>43540000</v>
      </c>
      <c r="D11" s="72">
        <f t="shared" ref="D11:H11" si="0">SUM(D6:D10)</f>
        <v>0</v>
      </c>
      <c r="E11" s="72">
        <f t="shared" si="0"/>
        <v>0</v>
      </c>
      <c r="F11" s="72">
        <f t="shared" si="0"/>
        <v>0</v>
      </c>
      <c r="G11" s="72">
        <f t="shared" si="0"/>
        <v>0</v>
      </c>
      <c r="H11" s="72">
        <f t="shared" si="0"/>
        <v>0</v>
      </c>
    </row>
    <row r="12" spans="1:8" ht="15.75" thickBot="1" x14ac:dyDescent="0.3"/>
    <row r="13" spans="1:8" ht="15.75" thickBot="1" x14ac:dyDescent="0.3">
      <c r="A13" s="173" t="s">
        <v>198</v>
      </c>
      <c r="B13" s="174"/>
    </row>
    <row r="14" spans="1:8" x14ac:dyDescent="0.25">
      <c r="B14" s="68" t="s">
        <v>199</v>
      </c>
      <c r="C14" s="70">
        <f>'Balance General'!C42</f>
        <v>15238999.999999998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x14ac:dyDescent="0.25">
      <c r="B15" s="68" t="s">
        <v>200</v>
      </c>
      <c r="C15" s="3">
        <f>'Inversión Inicial'!B21</f>
        <v>28301000</v>
      </c>
      <c r="D15" s="3">
        <f>0</f>
        <v>0</v>
      </c>
      <c r="E15" s="3">
        <f>0</f>
        <v>0</v>
      </c>
      <c r="F15" s="3">
        <f>0</f>
        <v>0</v>
      </c>
      <c r="G15" s="3">
        <f>0</f>
        <v>0</v>
      </c>
      <c r="H15" s="3">
        <f>0</f>
        <v>0</v>
      </c>
    </row>
    <row r="16" spans="1:8" ht="15.75" thickBot="1" x14ac:dyDescent="0.3">
      <c r="B16" s="79" t="s">
        <v>86</v>
      </c>
      <c r="C16" s="80">
        <f>'Proyección de Ventas e Incremen'!I7</f>
        <v>0</v>
      </c>
      <c r="D16" s="80">
        <f>'Proyección de Ventas e Incremen'!J7</f>
        <v>139968000</v>
      </c>
      <c r="E16" s="80">
        <f>'Proyección de Ventas e Incremen'!K7</f>
        <v>176219712</v>
      </c>
      <c r="F16" s="80">
        <f>'Proyección de Ventas e Incremen'!L7</f>
        <v>226794769.34399998</v>
      </c>
      <c r="G16" s="80">
        <f>'Proyección de Ventas e Incremen'!M7</f>
        <v>300503069.38079995</v>
      </c>
      <c r="H16" s="80">
        <f>'Proyección de Ventas e Incremen'!N7</f>
        <v>412891217.32921916</v>
      </c>
    </row>
    <row r="17" spans="1:8" ht="16.5" thickBot="1" x14ac:dyDescent="0.3">
      <c r="B17" s="71" t="s">
        <v>201</v>
      </c>
      <c r="C17" s="72">
        <f>SUM(C14:C16)</f>
        <v>43540000</v>
      </c>
      <c r="D17" s="72">
        <f t="shared" ref="D17:H17" si="1">SUM(D14:D16)</f>
        <v>139968000</v>
      </c>
      <c r="E17" s="72">
        <f t="shared" si="1"/>
        <v>176219712</v>
      </c>
      <c r="F17" s="72">
        <f t="shared" si="1"/>
        <v>226794769.34399998</v>
      </c>
      <c r="G17" s="72">
        <f t="shared" si="1"/>
        <v>300503069.38079995</v>
      </c>
      <c r="H17" s="72">
        <f t="shared" si="1"/>
        <v>412891217.32921916</v>
      </c>
    </row>
    <row r="18" spans="1:8" ht="15.75" thickBot="1" x14ac:dyDescent="0.3"/>
    <row r="19" spans="1:8" ht="15.75" thickBot="1" x14ac:dyDescent="0.3">
      <c r="A19" s="173" t="s">
        <v>202</v>
      </c>
      <c r="B19" s="174"/>
    </row>
    <row r="20" spans="1:8" x14ac:dyDescent="0.25">
      <c r="B20" s="75" t="s">
        <v>203</v>
      </c>
      <c r="C20" s="7">
        <f>0</f>
        <v>0</v>
      </c>
      <c r="D20" s="7">
        <f>'Costos de Operación Gravables'!J10</f>
        <v>44640000</v>
      </c>
      <c r="E20" s="7">
        <f>'Costos de Operación Gravables'!K10</f>
        <v>47318400</v>
      </c>
      <c r="F20" s="7">
        <f>'Costos de Operación Gravables'!L10</f>
        <v>52050240.000000007</v>
      </c>
      <c r="G20" s="7">
        <f>'Costos de Operación Gravables'!M10</f>
        <v>57255264.000000015</v>
      </c>
      <c r="H20" s="7">
        <f>'Costos de Operación Gravables'!N10</f>
        <v>62980790.400000021</v>
      </c>
    </row>
    <row r="21" spans="1:8" x14ac:dyDescent="0.25">
      <c r="B21" s="68" t="s">
        <v>114</v>
      </c>
      <c r="C21" s="7">
        <f>'Balance General'!C30</f>
        <v>0</v>
      </c>
      <c r="D21" s="7">
        <f>'Balance General'!D30-D22</f>
        <v>5534280.4000000013</v>
      </c>
      <c r="E21" s="7">
        <f>'Balance General'!E30-E22</f>
        <v>6455184.6585600013</v>
      </c>
      <c r="F21" s="7">
        <f>'Balance General'!F30-F22</f>
        <v>7529327.3857443854</v>
      </c>
      <c r="G21" s="7">
        <f>'Balance General'!G30-G22</f>
        <v>8782207.4627322517</v>
      </c>
      <c r="H21" s="7">
        <f>'Balance General'!H30</f>
        <v>0</v>
      </c>
    </row>
    <row r="22" spans="1:8" x14ac:dyDescent="0.25">
      <c r="B22" s="68" t="s">
        <v>204</v>
      </c>
      <c r="C22" s="7">
        <v>0</v>
      </c>
      <c r="D22" s="7">
        <f>'Amortización y Depreciación'!F4</f>
        <v>4709286.3999999994</v>
      </c>
      <c r="E22" s="7">
        <f>'Amortización y Depreciación'!F5</f>
        <v>3788382.1414399995</v>
      </c>
      <c r="F22" s="7">
        <f>'Amortización y Depreciación'!F6</f>
        <v>2714239.4142556153</v>
      </c>
      <c r="G22" s="7">
        <f>'Amortización y Depreciación'!F7</f>
        <v>1461359.3372677497</v>
      </c>
      <c r="H22" s="7">
        <f>0</f>
        <v>0</v>
      </c>
    </row>
    <row r="23" spans="1:8" x14ac:dyDescent="0.25">
      <c r="B23" s="68" t="s">
        <v>205</v>
      </c>
      <c r="C23" s="7">
        <f>'Balance General'!C31+'Balance General'!C28</f>
        <v>0</v>
      </c>
      <c r="D23" s="7">
        <f>'Balance General'!D31+'Balance General'!D28</f>
        <v>93462936</v>
      </c>
      <c r="E23" s="7">
        <f>'Balance General'!E31+'Balance General'!E28</f>
        <v>102809229.59999999</v>
      </c>
      <c r="F23" s="7">
        <f>'Balance General'!F31+'Balance General'!F28</f>
        <v>113090152.56</v>
      </c>
      <c r="G23" s="7">
        <f>'Balance General'!G31+'Balance General'!G28</f>
        <v>124399167.81600001</v>
      </c>
      <c r="H23" s="7">
        <f>'Balance General'!H31+'Balance General'!H28</f>
        <v>136839084.59760004</v>
      </c>
    </row>
    <row r="24" spans="1:8" ht="15.75" thickBot="1" x14ac:dyDescent="0.3">
      <c r="B24" s="69" t="s">
        <v>206</v>
      </c>
      <c r="C24" s="81">
        <f>0</f>
        <v>0</v>
      </c>
      <c r="D24" s="81">
        <f>0</f>
        <v>0</v>
      </c>
      <c r="E24" s="81">
        <f>0</f>
        <v>0</v>
      </c>
      <c r="F24" s="81">
        <f>0</f>
        <v>0</v>
      </c>
      <c r="G24" s="81">
        <f>0</f>
        <v>0</v>
      </c>
      <c r="H24" s="81">
        <f>0</f>
        <v>0</v>
      </c>
    </row>
    <row r="25" spans="1:8" ht="16.5" thickBot="1" x14ac:dyDescent="0.3">
      <c r="B25" s="71" t="s">
        <v>181</v>
      </c>
      <c r="C25" s="72">
        <f>SUM(C20:C24)</f>
        <v>0</v>
      </c>
      <c r="D25" s="72">
        <f t="shared" ref="D25:H25" si="2">SUM(D20:D24)</f>
        <v>148346502.80000001</v>
      </c>
      <c r="E25" s="72">
        <f t="shared" si="2"/>
        <v>160371196.39999998</v>
      </c>
      <c r="F25" s="72">
        <f t="shared" si="2"/>
        <v>175383959.36000001</v>
      </c>
      <c r="G25" s="72">
        <f t="shared" si="2"/>
        <v>191897998.61600006</v>
      </c>
      <c r="H25" s="72">
        <f t="shared" si="2"/>
        <v>199819874.99760008</v>
      </c>
    </row>
    <row r="26" spans="1:8" ht="15.75" thickBot="1" x14ac:dyDescent="0.3"/>
    <row r="27" spans="1:8" ht="15.75" thickBot="1" x14ac:dyDescent="0.3">
      <c r="A27" s="173" t="s">
        <v>207</v>
      </c>
      <c r="B27" s="178"/>
    </row>
    <row r="28" spans="1:8" ht="15.75" thickBot="1" x14ac:dyDescent="0.3">
      <c r="B28" s="69" t="s">
        <v>192</v>
      </c>
      <c r="C28" s="70">
        <f>'Estado de Resultados'!C13</f>
        <v>0</v>
      </c>
      <c r="D28" s="70">
        <f>'Estado de Resultados'!D13</f>
        <v>1320000</v>
      </c>
      <c r="E28" s="70">
        <f>'Estado de Resultados'!E13</f>
        <v>1320000</v>
      </c>
      <c r="F28" s="70">
        <f>'Estado de Resultados'!F13</f>
        <v>1320000</v>
      </c>
      <c r="G28" s="70">
        <f>'Estado de Resultados'!G13</f>
        <v>1320000</v>
      </c>
      <c r="H28" s="70">
        <f>'Estado de Resultados'!H13</f>
        <v>1320000</v>
      </c>
    </row>
    <row r="29" spans="1:8" ht="16.5" thickBot="1" x14ac:dyDescent="0.3">
      <c r="B29" s="71" t="s">
        <v>208</v>
      </c>
      <c r="C29" s="72">
        <f>C28</f>
        <v>0</v>
      </c>
      <c r="D29" s="72">
        <f t="shared" ref="D29:H29" si="3">D28</f>
        <v>1320000</v>
      </c>
      <c r="E29" s="72">
        <f t="shared" si="3"/>
        <v>1320000</v>
      </c>
      <c r="F29" s="72">
        <f t="shared" si="3"/>
        <v>1320000</v>
      </c>
      <c r="G29" s="72">
        <f t="shared" si="3"/>
        <v>1320000</v>
      </c>
      <c r="H29" s="72">
        <f t="shared" si="3"/>
        <v>1320000</v>
      </c>
    </row>
    <row r="30" spans="1:8" ht="15.75" thickBot="1" x14ac:dyDescent="0.3"/>
    <row r="31" spans="1:8" ht="15.75" thickBot="1" x14ac:dyDescent="0.3">
      <c r="A31" s="173" t="s">
        <v>209</v>
      </c>
      <c r="B31" s="178"/>
    </row>
    <row r="32" spans="1:8" ht="15.75" thickBot="1" x14ac:dyDescent="0.3">
      <c r="B32" s="69" t="s">
        <v>187</v>
      </c>
      <c r="C32" s="73">
        <f>'Estado de Resultados'!C28</f>
        <v>422040</v>
      </c>
      <c r="D32" s="73">
        <f>'Estado de Resultados'!D28</f>
        <v>5967960</v>
      </c>
      <c r="E32" s="73">
        <f>'Estado de Resultados'!E28</f>
        <v>7365228.4800000004</v>
      </c>
      <c r="F32" s="73">
        <f>'Estado de Resultados'!F28</f>
        <v>9335430.7737600002</v>
      </c>
      <c r="G32" s="73">
        <f>'Estado de Resultados'!G28</f>
        <v>12230962.775231998</v>
      </c>
      <c r="H32" s="73">
        <f>'Estado de Resultados'!H28</f>
        <v>16673688.693168767</v>
      </c>
    </row>
    <row r="33" spans="1:8" ht="16.5" thickBot="1" x14ac:dyDescent="0.3">
      <c r="B33" s="71" t="s">
        <v>210</v>
      </c>
      <c r="C33" s="72">
        <f>C32</f>
        <v>422040</v>
      </c>
      <c r="D33" s="72">
        <f t="shared" ref="D33:H33" si="4">D32</f>
        <v>5967960</v>
      </c>
      <c r="E33" s="72">
        <f t="shared" si="4"/>
        <v>7365228.4800000004</v>
      </c>
      <c r="F33" s="72">
        <f t="shared" si="4"/>
        <v>9335430.7737600002</v>
      </c>
      <c r="G33" s="72">
        <f t="shared" si="4"/>
        <v>12230962.775231998</v>
      </c>
      <c r="H33" s="72">
        <f t="shared" si="4"/>
        <v>16673688.693168767</v>
      </c>
    </row>
    <row r="34" spans="1:8" ht="15.75" thickBot="1" x14ac:dyDescent="0.3"/>
    <row r="35" spans="1:8" ht="22.5" customHeight="1" thickBot="1" x14ac:dyDescent="0.3">
      <c r="A35" s="168" t="s">
        <v>211</v>
      </c>
      <c r="B35" s="169"/>
      <c r="C35" s="74">
        <f>C17-(SUM(C11,C25,C29,C33))</f>
        <v>-422040</v>
      </c>
      <c r="D35" s="74">
        <f t="shared" ref="D35:H35" si="5">D17-(SUM(D11,D25,D29,D33))</f>
        <v>-15666462.800000012</v>
      </c>
      <c r="E35" s="74">
        <f t="shared" si="5"/>
        <v>7163287.1200000346</v>
      </c>
      <c r="F35" s="74">
        <f t="shared" si="5"/>
        <v>40755379.210239977</v>
      </c>
      <c r="G35" s="74">
        <f t="shared" si="5"/>
        <v>95054107.989567906</v>
      </c>
      <c r="H35" s="74">
        <f t="shared" si="5"/>
        <v>195077653.63845032</v>
      </c>
    </row>
    <row r="36" spans="1:8" ht="15" customHeight="1" x14ac:dyDescent="0.25"/>
  </sheetData>
  <mergeCells count="9">
    <mergeCell ref="A27:B27"/>
    <mergeCell ref="A31:B31"/>
    <mergeCell ref="A35:B35"/>
    <mergeCell ref="A1:H1"/>
    <mergeCell ref="A2:H2"/>
    <mergeCell ref="A4:B4"/>
    <mergeCell ref="A5:B5"/>
    <mergeCell ref="A13:B13"/>
    <mergeCell ref="A19:B19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2"/>
  <sheetViews>
    <sheetView showGridLines="0" tabSelected="1" zoomScale="115" zoomScaleNormal="115" workbookViewId="0">
      <selection activeCell="C20" sqref="C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64" t="s">
        <v>212</v>
      </c>
      <c r="B1" s="165"/>
      <c r="C1" s="165"/>
      <c r="D1" s="165"/>
      <c r="E1" s="165"/>
      <c r="F1" s="165"/>
      <c r="G1" s="165"/>
      <c r="H1" s="165"/>
    </row>
    <row r="2" spans="1:8" ht="22.5" customHeight="1" thickBot="1" x14ac:dyDescent="0.4">
      <c r="A2" s="166" t="s">
        <v>135</v>
      </c>
      <c r="B2" s="167"/>
      <c r="C2" s="167"/>
      <c r="D2" s="167"/>
      <c r="E2" s="167"/>
      <c r="F2" s="167"/>
      <c r="G2" s="167"/>
      <c r="H2" s="167"/>
    </row>
    <row r="3" spans="1:8" ht="15.75" thickBot="1" x14ac:dyDescent="0.3"/>
    <row r="4" spans="1:8" ht="22.5" customHeight="1" thickBot="1" x14ac:dyDescent="0.3">
      <c r="A4" s="168" t="s">
        <v>136</v>
      </c>
      <c r="B4" s="169"/>
      <c r="C4" s="67" t="s">
        <v>164</v>
      </c>
      <c r="D4" s="67" t="s">
        <v>165</v>
      </c>
      <c r="E4" s="67" t="s">
        <v>166</v>
      </c>
      <c r="F4" s="67" t="s">
        <v>167</v>
      </c>
      <c r="G4" s="67" t="s">
        <v>168</v>
      </c>
      <c r="H4" s="67" t="s">
        <v>169</v>
      </c>
    </row>
    <row r="5" spans="1:8" ht="15.75" thickBot="1" x14ac:dyDescent="0.3">
      <c r="A5" s="173" t="s">
        <v>213</v>
      </c>
      <c r="B5" s="174"/>
    </row>
    <row r="6" spans="1:8" x14ac:dyDescent="0.25">
      <c r="B6" s="75" t="s">
        <v>214</v>
      </c>
      <c r="C6" s="70">
        <f>'Estado de Resultados'!C31</f>
        <v>-30174040</v>
      </c>
      <c r="D6" s="70">
        <f>'Estado de Resultados'!D31</f>
        <v>-15666462.799999997</v>
      </c>
      <c r="E6" s="70">
        <f>'Estado de Resultados'!E31</f>
        <v>7163287.1200000085</v>
      </c>
      <c r="F6" s="70">
        <f>'Estado de Resultados'!F31</f>
        <v>40755379.210239969</v>
      </c>
      <c r="G6" s="70">
        <f>'Estado de Resultados'!G31</f>
        <v>95054107.989567921</v>
      </c>
      <c r="H6" s="70">
        <f>'Estado de Resultados'!H31</f>
        <v>195077653.63845032</v>
      </c>
    </row>
    <row r="7" spans="1:8" x14ac:dyDescent="0.25">
      <c r="B7" s="68" t="s">
        <v>215</v>
      </c>
      <c r="C7" s="7">
        <f>'Flujo de Caja'!C29</f>
        <v>0</v>
      </c>
      <c r="D7" s="7">
        <f>'Flujo de Caja'!D29</f>
        <v>1320000</v>
      </c>
      <c r="E7" s="7">
        <f>'Flujo de Caja'!E29</f>
        <v>1320000</v>
      </c>
      <c r="F7" s="7">
        <f>'Flujo de Caja'!F29</f>
        <v>1320000</v>
      </c>
      <c r="G7" s="7">
        <f>'Flujo de Caja'!G29</f>
        <v>1320000</v>
      </c>
      <c r="H7" s="7">
        <f>'Flujo de Caja'!H29</f>
        <v>1320000</v>
      </c>
    </row>
    <row r="8" spans="1:8" x14ac:dyDescent="0.25">
      <c r="B8" s="69" t="s">
        <v>114</v>
      </c>
      <c r="C8" s="7">
        <f>'Flujo de Caja'!C21</f>
        <v>0</v>
      </c>
      <c r="D8" s="7">
        <f>'Flujo de Caja'!D21</f>
        <v>5534280.4000000013</v>
      </c>
      <c r="E8" s="7">
        <f>'Flujo de Caja'!E21</f>
        <v>6455184.6585600013</v>
      </c>
      <c r="F8" s="7">
        <f>'Flujo de Caja'!F21</f>
        <v>7529327.3857443854</v>
      </c>
      <c r="G8" s="7">
        <f>'Flujo de Caja'!G21</f>
        <v>8782207.4627322517</v>
      </c>
      <c r="H8" s="7">
        <f>'Flujo de Caja'!H21</f>
        <v>0</v>
      </c>
    </row>
    <row r="9" spans="1:8" x14ac:dyDescent="0.25">
      <c r="B9" s="69" t="s">
        <v>204</v>
      </c>
      <c r="C9" s="73">
        <f>'Flujo de Caja'!C22</f>
        <v>0</v>
      </c>
      <c r="D9" s="73">
        <f>'Flujo de Caja'!D22</f>
        <v>4709286.3999999994</v>
      </c>
      <c r="E9" s="73">
        <f>'Flujo de Caja'!E22</f>
        <v>3788382.1414399995</v>
      </c>
      <c r="F9" s="73">
        <f>'Flujo de Caja'!F22</f>
        <v>2714239.4142556153</v>
      </c>
      <c r="G9" s="73">
        <f>'Flujo de Caja'!G22</f>
        <v>1461359.3372677497</v>
      </c>
      <c r="H9" s="73">
        <f>'Flujo de Caja'!H22</f>
        <v>0</v>
      </c>
    </row>
    <row r="10" spans="1:8" ht="15.75" thickBot="1" x14ac:dyDescent="0.3">
      <c r="B10" s="69" t="s">
        <v>216</v>
      </c>
      <c r="C10" s="73">
        <f>'Flujo de Caja'!C32</f>
        <v>422040</v>
      </c>
      <c r="D10" s="73">
        <f>'Flujo de Caja'!D32</f>
        <v>5967960</v>
      </c>
      <c r="E10" s="73">
        <f>'Flujo de Caja'!E32</f>
        <v>7365228.4800000004</v>
      </c>
      <c r="F10" s="73">
        <f>'Flujo de Caja'!F32</f>
        <v>9335430.7737600002</v>
      </c>
      <c r="G10" s="73">
        <f>'Flujo de Caja'!G32</f>
        <v>12230962.775231998</v>
      </c>
      <c r="H10" s="73">
        <f>'Flujo de Caja'!H32</f>
        <v>16673688.693168767</v>
      </c>
    </row>
    <row r="11" spans="1:8" ht="16.5" thickBot="1" x14ac:dyDescent="0.3">
      <c r="B11" s="71" t="s">
        <v>217</v>
      </c>
      <c r="C11" s="72">
        <f>SUM(C6:C10)</f>
        <v>-29752000</v>
      </c>
      <c r="D11" s="72">
        <f t="shared" ref="D11:H11" si="0">SUM(D6:D10)</f>
        <v>1865064.0000000047</v>
      </c>
      <c r="E11" s="72">
        <f t="shared" si="0"/>
        <v>26092082.40000001</v>
      </c>
      <c r="F11" s="72">
        <f t="shared" si="0"/>
        <v>61654376.783999972</v>
      </c>
      <c r="G11" s="72">
        <f t="shared" si="0"/>
        <v>118848637.56479993</v>
      </c>
      <c r="H11" s="72">
        <f t="shared" si="0"/>
        <v>213071342.33161908</v>
      </c>
    </row>
    <row r="12" spans="1:8" ht="15.75" thickBot="1" x14ac:dyDescent="0.3"/>
    <row r="13" spans="1:8" ht="15.75" thickBot="1" x14ac:dyDescent="0.3">
      <c r="A13" s="173" t="s">
        <v>218</v>
      </c>
      <c r="B13" s="174"/>
    </row>
    <row r="14" spans="1:8" ht="15.75" thickBot="1" x14ac:dyDescent="0.3">
      <c r="B14" s="68" t="s">
        <v>219</v>
      </c>
      <c r="C14" s="70">
        <f>'Inversión Inicial'!B5</f>
        <v>9100000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220</v>
      </c>
      <c r="C15" s="72">
        <f t="shared" ref="C15:H15" si="1">SUM(C14:C14)</f>
        <v>9100000</v>
      </c>
      <c r="D15" s="72">
        <f t="shared" si="1"/>
        <v>0</v>
      </c>
      <c r="E15" s="72">
        <f t="shared" si="1"/>
        <v>0</v>
      </c>
      <c r="F15" s="72">
        <f t="shared" si="1"/>
        <v>0</v>
      </c>
      <c r="G15" s="72">
        <f t="shared" si="1"/>
        <v>0</v>
      </c>
      <c r="H15" s="72">
        <f t="shared" si="1"/>
        <v>0</v>
      </c>
    </row>
    <row r="16" spans="1:8" ht="15.75" thickBot="1" x14ac:dyDescent="0.3"/>
    <row r="17" spans="1:8" ht="15.75" thickBot="1" x14ac:dyDescent="0.3">
      <c r="A17" s="173" t="s">
        <v>221</v>
      </c>
      <c r="B17" s="174"/>
    </row>
    <row r="18" spans="1:8" x14ac:dyDescent="0.25">
      <c r="B18" s="75" t="s">
        <v>19</v>
      </c>
      <c r="C18" s="7">
        <f>'Balance General'!C42</f>
        <v>15238999.999999998</v>
      </c>
      <c r="D18" s="7">
        <f>'Balance General'!D42</f>
        <v>15238999.999999998</v>
      </c>
      <c r="E18" s="7">
        <f>'Balance General'!E42</f>
        <v>15238999.999999998</v>
      </c>
      <c r="F18" s="7">
        <f>'Balance General'!F42</f>
        <v>15238999.999999998</v>
      </c>
      <c r="G18" s="7">
        <f>'Balance General'!G42</f>
        <v>15238999.999999998</v>
      </c>
      <c r="H18" s="7">
        <f>'Balance General'!H42</f>
        <v>15238999.999999998</v>
      </c>
    </row>
    <row r="19" spans="1:8" x14ac:dyDescent="0.25">
      <c r="B19" s="68" t="s">
        <v>222</v>
      </c>
      <c r="C19" s="7">
        <f>'Flujo de Caja'!C15</f>
        <v>28301000</v>
      </c>
      <c r="D19" s="7">
        <f>'Flujo de Caja'!D15</f>
        <v>0</v>
      </c>
      <c r="E19" s="7">
        <f>'Flujo de Caja'!E15</f>
        <v>0</v>
      </c>
      <c r="F19" s="7">
        <f>'Flujo de Caja'!F15</f>
        <v>0</v>
      </c>
      <c r="G19" s="7">
        <f>'Flujo de Caja'!G15</f>
        <v>0</v>
      </c>
      <c r="H19" s="7">
        <f>'Flujo de Caja'!H15</f>
        <v>0</v>
      </c>
    </row>
    <row r="20" spans="1:8" x14ac:dyDescent="0.25">
      <c r="B20" s="68" t="s">
        <v>223</v>
      </c>
      <c r="C20" s="7">
        <f>C8</f>
        <v>0</v>
      </c>
      <c r="D20" s="7">
        <f t="shared" ref="D20:H21" si="2">D8</f>
        <v>5534280.4000000013</v>
      </c>
      <c r="E20" s="7">
        <f t="shared" si="2"/>
        <v>6455184.6585600013</v>
      </c>
      <c r="F20" s="7">
        <f t="shared" si="2"/>
        <v>7529327.3857443854</v>
      </c>
      <c r="G20" s="7">
        <f t="shared" si="2"/>
        <v>8782207.4627322517</v>
      </c>
      <c r="H20" s="7">
        <f t="shared" si="2"/>
        <v>0</v>
      </c>
    </row>
    <row r="21" spans="1:8" ht="15.75" thickBot="1" x14ac:dyDescent="0.3">
      <c r="B21" s="68" t="s">
        <v>204</v>
      </c>
      <c r="C21" s="7">
        <f>C9</f>
        <v>0</v>
      </c>
      <c r="D21" s="7">
        <f t="shared" si="2"/>
        <v>4709286.3999999994</v>
      </c>
      <c r="E21" s="7">
        <f t="shared" si="2"/>
        <v>3788382.1414399995</v>
      </c>
      <c r="F21" s="7">
        <f t="shared" si="2"/>
        <v>2714239.4142556153</v>
      </c>
      <c r="G21" s="7">
        <f t="shared" si="2"/>
        <v>1461359.3372677497</v>
      </c>
      <c r="H21" s="7">
        <f t="shared" si="2"/>
        <v>0</v>
      </c>
    </row>
    <row r="22" spans="1:8" ht="16.5" thickBot="1" x14ac:dyDescent="0.3">
      <c r="B22" s="71" t="s">
        <v>224</v>
      </c>
      <c r="C22" s="72">
        <f t="shared" ref="C22:H22" si="3">SUM(C18:C21)</f>
        <v>43540000</v>
      </c>
      <c r="D22" s="72">
        <f t="shared" si="3"/>
        <v>25482566.799999997</v>
      </c>
      <c r="E22" s="72">
        <f t="shared" si="3"/>
        <v>25482566.800000001</v>
      </c>
      <c r="F22" s="72">
        <f t="shared" si="3"/>
        <v>25482566.800000001</v>
      </c>
      <c r="G22" s="72">
        <f t="shared" si="3"/>
        <v>25482566.799999997</v>
      </c>
      <c r="H22" s="72">
        <f t="shared" si="3"/>
        <v>15238999.999999998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E24"/>
  <sheetViews>
    <sheetView showGridLines="0" topLeftCell="A14" zoomScale="265" zoomScaleNormal="265" workbookViewId="0">
      <selection activeCell="G28" sqref="G28"/>
    </sheetView>
  </sheetViews>
  <sheetFormatPr baseColWidth="10" defaultRowHeight="15" x14ac:dyDescent="0.25"/>
  <cols>
    <col min="2" max="2" width="29.42578125" customWidth="1"/>
    <col min="3" max="3" width="13.42578125" customWidth="1"/>
    <col min="4" max="4" width="22.85546875" customWidth="1"/>
    <col min="5" max="5" width="14.7109375" customWidth="1"/>
  </cols>
  <sheetData>
    <row r="1" spans="1:5" ht="15.75" thickBot="1" x14ac:dyDescent="0.3"/>
    <row r="2" spans="1:5" ht="15.75" thickBot="1" x14ac:dyDescent="0.3">
      <c r="B2" s="179" t="s">
        <v>246</v>
      </c>
      <c r="C2" s="180"/>
      <c r="D2" s="180"/>
      <c r="E2" s="181"/>
    </row>
    <row r="3" spans="1:5" x14ac:dyDescent="0.25">
      <c r="B3" s="184" t="s">
        <v>225</v>
      </c>
      <c r="C3" s="184"/>
      <c r="D3" s="91" t="s">
        <v>226</v>
      </c>
      <c r="E3" s="91" t="s">
        <v>227</v>
      </c>
    </row>
    <row r="4" spans="1:5" x14ac:dyDescent="0.25">
      <c r="A4" s="82"/>
      <c r="B4" s="182" t="s">
        <v>228</v>
      </c>
      <c r="C4" s="182"/>
      <c r="D4" s="85">
        <v>0</v>
      </c>
      <c r="E4" s="85">
        <f>'Balance General'!D31+'Balance General'!D29</f>
        <v>116640000</v>
      </c>
    </row>
    <row r="5" spans="1:5" x14ac:dyDescent="0.25">
      <c r="B5" s="87" t="s">
        <v>229</v>
      </c>
      <c r="C5" s="85">
        <f>E4</f>
        <v>116640000</v>
      </c>
      <c r="D5" s="85">
        <v>0</v>
      </c>
      <c r="E5" s="85">
        <v>0</v>
      </c>
    </row>
    <row r="6" spans="1:5" x14ac:dyDescent="0.25">
      <c r="B6" s="182" t="s">
        <v>230</v>
      </c>
      <c r="C6" s="182"/>
      <c r="D6" s="85">
        <f>'Balance General'!D30+'Estado de Resultados'!D28</f>
        <v>16211526.800000001</v>
      </c>
      <c r="E6" s="85">
        <v>0</v>
      </c>
    </row>
    <row r="7" spans="1:5" x14ac:dyDescent="0.25">
      <c r="B7" s="182" t="s">
        <v>236</v>
      </c>
      <c r="C7" s="182"/>
      <c r="D7" s="85">
        <v>0</v>
      </c>
      <c r="E7" s="85">
        <f>'Balance General'!D15</f>
        <v>1320000</v>
      </c>
    </row>
    <row r="8" spans="1:5" x14ac:dyDescent="0.25">
      <c r="B8" s="182" t="s">
        <v>237</v>
      </c>
      <c r="C8" s="182"/>
      <c r="D8" s="85">
        <v>0</v>
      </c>
      <c r="E8" s="85">
        <v>0</v>
      </c>
    </row>
    <row r="9" spans="1:5" x14ac:dyDescent="0.25">
      <c r="B9" s="183" t="s">
        <v>231</v>
      </c>
      <c r="C9" s="183"/>
      <c r="D9" s="89">
        <f>SUM(D4:D8)</f>
        <v>16211526.800000001</v>
      </c>
      <c r="E9" s="89">
        <f>SUM(E4:E8)</f>
        <v>117960000</v>
      </c>
    </row>
    <row r="10" spans="1:5" x14ac:dyDescent="0.25">
      <c r="B10" s="88" t="s">
        <v>232</v>
      </c>
      <c r="C10" s="86">
        <v>0.1</v>
      </c>
      <c r="D10" s="85">
        <f>D9*$C$10</f>
        <v>1621152.6800000002</v>
      </c>
      <c r="E10" s="85">
        <f>E9*$C$10</f>
        <v>11796000</v>
      </c>
    </row>
    <row r="11" spans="1:5" x14ac:dyDescent="0.25">
      <c r="B11" s="185" t="s">
        <v>56</v>
      </c>
      <c r="C11" s="186"/>
      <c r="D11" s="90">
        <f>D9-D10</f>
        <v>14590374.120000001</v>
      </c>
      <c r="E11" s="90">
        <f>E9-E10</f>
        <v>106164000</v>
      </c>
    </row>
    <row r="12" spans="1:5" ht="15.75" thickBot="1" x14ac:dyDescent="0.3"/>
    <row r="13" spans="1:5" ht="15.75" thickBot="1" x14ac:dyDescent="0.3">
      <c r="B13" s="187" t="s">
        <v>233</v>
      </c>
      <c r="C13" s="188"/>
    </row>
    <row r="14" spans="1:5" x14ac:dyDescent="0.25">
      <c r="B14" s="94" t="s">
        <v>234</v>
      </c>
      <c r="C14" s="93">
        <v>270</v>
      </c>
    </row>
    <row r="15" spans="1:5" x14ac:dyDescent="0.25">
      <c r="B15" s="95" t="s">
        <v>235</v>
      </c>
      <c r="C15" s="85">
        <f>E11/C14</f>
        <v>393200</v>
      </c>
    </row>
    <row r="16" spans="1:5" x14ac:dyDescent="0.25">
      <c r="B16" s="95" t="s">
        <v>240</v>
      </c>
      <c r="C16" s="85">
        <f>SUM(D11:E11)/C14</f>
        <v>447238.42266666668</v>
      </c>
    </row>
    <row r="17" spans="2:3" x14ac:dyDescent="0.25">
      <c r="B17" s="95" t="s">
        <v>238</v>
      </c>
      <c r="C17" s="85">
        <f>C16*0.19</f>
        <v>84975.300306666672</v>
      </c>
    </row>
    <row r="18" spans="2:3" x14ac:dyDescent="0.25">
      <c r="B18" s="95" t="s">
        <v>241</v>
      </c>
      <c r="C18" s="85">
        <f>SUM(C16:C17)</f>
        <v>532213.72297333332</v>
      </c>
    </row>
    <row r="19" spans="2:3" x14ac:dyDescent="0.25">
      <c r="B19" s="95" t="s">
        <v>239</v>
      </c>
      <c r="C19" s="92">
        <f>((C16-C15)*C14)/(C18-C16)</f>
        <v>171.70135400928183</v>
      </c>
    </row>
    <row r="20" spans="2:3" ht="15.75" thickBot="1" x14ac:dyDescent="0.3"/>
    <row r="21" spans="2:3" ht="15.75" thickBot="1" x14ac:dyDescent="0.3">
      <c r="B21" s="187" t="s">
        <v>242</v>
      </c>
      <c r="C21" s="188"/>
    </row>
    <row r="22" spans="2:3" x14ac:dyDescent="0.25">
      <c r="B22" s="94" t="s">
        <v>244</v>
      </c>
      <c r="C22" s="96">
        <f>C18</f>
        <v>532213.72297333332</v>
      </c>
    </row>
    <row r="23" spans="2:3" x14ac:dyDescent="0.25">
      <c r="B23" s="95" t="s">
        <v>243</v>
      </c>
      <c r="C23" s="85">
        <v>270</v>
      </c>
    </row>
    <row r="24" spans="2:3" x14ac:dyDescent="0.25">
      <c r="B24" s="95" t="s">
        <v>245</v>
      </c>
      <c r="C24" s="85">
        <f>C22*C23</f>
        <v>143697705.20280001</v>
      </c>
    </row>
  </sheetData>
  <mergeCells count="10">
    <mergeCell ref="B9:C9"/>
    <mergeCell ref="B3:C3"/>
    <mergeCell ref="B11:C11"/>
    <mergeCell ref="B13:C13"/>
    <mergeCell ref="B21:C21"/>
    <mergeCell ref="B2:E2"/>
    <mergeCell ref="B6:C6"/>
    <mergeCell ref="B4:C4"/>
    <mergeCell ref="B7:C7"/>
    <mergeCell ref="B8:C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100"/>
    <col min="3" max="3" width="12.5703125" bestFit="1" customWidth="1"/>
    <col min="4" max="4" width="12.5703125" style="97" bestFit="1" customWidth="1"/>
  </cols>
  <sheetData>
    <row r="1" spans="2:4" x14ac:dyDescent="0.25">
      <c r="C1" s="98">
        <f>'Costos Fijos y Punto de Equil.'!D11</f>
        <v>14590374.120000001</v>
      </c>
      <c r="D1" s="61"/>
    </row>
    <row r="2" spans="2:4" x14ac:dyDescent="0.25">
      <c r="C2" s="99">
        <f>'Costos Fijos y Punto de Equil.'!C16</f>
        <v>447238.42266666668</v>
      </c>
      <c r="D2" s="99">
        <f>'Costos Fijos y Punto de Equil.'!C18</f>
        <v>532213.72297333332</v>
      </c>
    </row>
    <row r="3" spans="2:4" x14ac:dyDescent="0.25">
      <c r="C3" s="101" t="s">
        <v>247</v>
      </c>
      <c r="D3" s="102" t="s">
        <v>248</v>
      </c>
    </row>
    <row r="4" spans="2:4" x14ac:dyDescent="0.25">
      <c r="B4" s="100">
        <v>0</v>
      </c>
      <c r="C4" s="40">
        <f>($C$2*B4)+$C$1</f>
        <v>14590374.120000001</v>
      </c>
      <c r="D4" s="40">
        <f>$D$2*B4</f>
        <v>0</v>
      </c>
    </row>
    <row r="5" spans="2:4" x14ac:dyDescent="0.25">
      <c r="B5" s="100">
        <v>1</v>
      </c>
      <c r="C5" s="40">
        <f t="shared" ref="C5:C68" si="0">($C$2*B5)+$C$1</f>
        <v>15037612.542666668</v>
      </c>
      <c r="D5" s="40">
        <f t="shared" ref="D5:D68" si="1">$D$2*B5</f>
        <v>532213.72297333332</v>
      </c>
    </row>
    <row r="6" spans="2:4" x14ac:dyDescent="0.25">
      <c r="B6" s="100">
        <v>2</v>
      </c>
      <c r="C6" s="40">
        <f t="shared" si="0"/>
        <v>15484850.965333335</v>
      </c>
      <c r="D6" s="40">
        <f t="shared" si="1"/>
        <v>1064427.4459466666</v>
      </c>
    </row>
    <row r="7" spans="2:4" x14ac:dyDescent="0.25">
      <c r="B7" s="100">
        <v>3</v>
      </c>
      <c r="C7" s="40">
        <f t="shared" si="0"/>
        <v>15932089.388</v>
      </c>
      <c r="D7" s="40">
        <f t="shared" si="1"/>
        <v>1596641.1689200001</v>
      </c>
    </row>
    <row r="8" spans="2:4" x14ac:dyDescent="0.25">
      <c r="B8" s="100">
        <v>4</v>
      </c>
      <c r="C8" s="40">
        <f t="shared" si="0"/>
        <v>16379327.810666667</v>
      </c>
      <c r="D8" s="40">
        <f t="shared" si="1"/>
        <v>2128854.8918933333</v>
      </c>
    </row>
    <row r="9" spans="2:4" x14ac:dyDescent="0.25">
      <c r="B9" s="100">
        <v>5</v>
      </c>
      <c r="C9" s="40">
        <f t="shared" si="0"/>
        <v>16826566.233333334</v>
      </c>
      <c r="D9" s="40">
        <f t="shared" si="1"/>
        <v>2661068.6148666665</v>
      </c>
    </row>
    <row r="10" spans="2:4" x14ac:dyDescent="0.25">
      <c r="B10" s="100">
        <v>6</v>
      </c>
      <c r="C10" s="40">
        <f t="shared" si="0"/>
        <v>17273804.656000003</v>
      </c>
      <c r="D10" s="40">
        <f t="shared" si="1"/>
        <v>3193282.3378400002</v>
      </c>
    </row>
    <row r="11" spans="2:4" x14ac:dyDescent="0.25">
      <c r="B11" s="100">
        <v>7</v>
      </c>
      <c r="C11" s="40">
        <f t="shared" si="0"/>
        <v>17721043.078666668</v>
      </c>
      <c r="D11" s="40">
        <f t="shared" si="1"/>
        <v>3725496.0608133334</v>
      </c>
    </row>
    <row r="12" spans="2:4" x14ac:dyDescent="0.25">
      <c r="B12" s="100">
        <v>8</v>
      </c>
      <c r="C12" s="40">
        <f t="shared" si="0"/>
        <v>18168281.501333334</v>
      </c>
      <c r="D12" s="40">
        <f t="shared" si="1"/>
        <v>4257709.7837866666</v>
      </c>
    </row>
    <row r="13" spans="2:4" x14ac:dyDescent="0.25">
      <c r="B13" s="100">
        <v>9</v>
      </c>
      <c r="C13" s="40">
        <f t="shared" si="0"/>
        <v>18615519.924000002</v>
      </c>
      <c r="D13" s="40">
        <f t="shared" si="1"/>
        <v>4789923.5067600003</v>
      </c>
    </row>
    <row r="14" spans="2:4" x14ac:dyDescent="0.25">
      <c r="B14" s="100">
        <v>10</v>
      </c>
      <c r="C14" s="40">
        <f t="shared" si="0"/>
        <v>19062758.346666668</v>
      </c>
      <c r="D14" s="40">
        <f t="shared" si="1"/>
        <v>5322137.229733333</v>
      </c>
    </row>
    <row r="15" spans="2:4" x14ac:dyDescent="0.25">
      <c r="B15" s="100">
        <v>11</v>
      </c>
      <c r="C15" s="40">
        <f t="shared" si="0"/>
        <v>19509996.769333333</v>
      </c>
      <c r="D15" s="40">
        <f t="shared" si="1"/>
        <v>5854350.9527066667</v>
      </c>
    </row>
    <row r="16" spans="2:4" x14ac:dyDescent="0.25">
      <c r="B16" s="100">
        <v>12</v>
      </c>
      <c r="C16" s="40">
        <f t="shared" si="0"/>
        <v>19957235.192000002</v>
      </c>
      <c r="D16" s="40">
        <f t="shared" si="1"/>
        <v>6386564.6756800003</v>
      </c>
    </row>
    <row r="17" spans="2:4" x14ac:dyDescent="0.25">
      <c r="B17" s="100">
        <v>13</v>
      </c>
      <c r="C17" s="40">
        <f t="shared" si="0"/>
        <v>20404473.614666667</v>
      </c>
      <c r="D17" s="40">
        <f t="shared" si="1"/>
        <v>6918778.3986533331</v>
      </c>
    </row>
    <row r="18" spans="2:4" x14ac:dyDescent="0.25">
      <c r="B18" s="100">
        <v>14</v>
      </c>
      <c r="C18" s="40">
        <f t="shared" si="0"/>
        <v>20851712.037333336</v>
      </c>
      <c r="D18" s="40">
        <f t="shared" si="1"/>
        <v>7450992.1216266667</v>
      </c>
    </row>
    <row r="19" spans="2:4" x14ac:dyDescent="0.25">
      <c r="B19" s="100">
        <v>15</v>
      </c>
      <c r="C19" s="40">
        <f t="shared" si="0"/>
        <v>21298950.460000001</v>
      </c>
      <c r="D19" s="40">
        <f t="shared" si="1"/>
        <v>7983205.8445999995</v>
      </c>
    </row>
    <row r="20" spans="2:4" x14ac:dyDescent="0.25">
      <c r="B20" s="100">
        <v>16</v>
      </c>
      <c r="C20" s="40">
        <f t="shared" si="0"/>
        <v>21746188.88266667</v>
      </c>
      <c r="D20" s="40">
        <f t="shared" si="1"/>
        <v>8515419.5675733332</v>
      </c>
    </row>
    <row r="21" spans="2:4" x14ac:dyDescent="0.25">
      <c r="B21" s="100">
        <v>17</v>
      </c>
      <c r="C21" s="40">
        <f t="shared" si="0"/>
        <v>22193427.305333335</v>
      </c>
      <c r="D21" s="40">
        <f t="shared" si="1"/>
        <v>9047633.2905466668</v>
      </c>
    </row>
    <row r="22" spans="2:4" x14ac:dyDescent="0.25">
      <c r="B22" s="100">
        <v>18</v>
      </c>
      <c r="C22" s="40">
        <f t="shared" si="0"/>
        <v>22640665.728</v>
      </c>
      <c r="D22" s="40">
        <f t="shared" si="1"/>
        <v>9579847.0135200005</v>
      </c>
    </row>
    <row r="23" spans="2:4" x14ac:dyDescent="0.25">
      <c r="B23" s="100">
        <v>19</v>
      </c>
      <c r="C23" s="40">
        <f t="shared" si="0"/>
        <v>23087904.150666669</v>
      </c>
      <c r="D23" s="40">
        <f t="shared" si="1"/>
        <v>10112060.736493332</v>
      </c>
    </row>
    <row r="24" spans="2:4" x14ac:dyDescent="0.25">
      <c r="B24" s="100">
        <v>20</v>
      </c>
      <c r="C24" s="40">
        <f t="shared" si="0"/>
        <v>23535142.573333334</v>
      </c>
      <c r="D24" s="40">
        <f t="shared" si="1"/>
        <v>10644274.459466666</v>
      </c>
    </row>
    <row r="25" spans="2:4" x14ac:dyDescent="0.25">
      <c r="B25" s="100">
        <v>21</v>
      </c>
      <c r="C25" s="40">
        <f t="shared" si="0"/>
        <v>23982380.995999999</v>
      </c>
      <c r="D25" s="40">
        <f t="shared" si="1"/>
        <v>11176488.18244</v>
      </c>
    </row>
    <row r="26" spans="2:4" x14ac:dyDescent="0.25">
      <c r="B26" s="100">
        <v>22</v>
      </c>
      <c r="C26" s="40">
        <f t="shared" si="0"/>
        <v>24429619.418666668</v>
      </c>
      <c r="D26" s="40">
        <f t="shared" si="1"/>
        <v>11708701.905413333</v>
      </c>
    </row>
    <row r="27" spans="2:4" x14ac:dyDescent="0.25">
      <c r="B27" s="100">
        <v>23</v>
      </c>
      <c r="C27" s="40">
        <f t="shared" si="0"/>
        <v>24876857.841333337</v>
      </c>
      <c r="D27" s="40">
        <f t="shared" si="1"/>
        <v>12240915.628386667</v>
      </c>
    </row>
    <row r="28" spans="2:4" x14ac:dyDescent="0.25">
      <c r="B28" s="100">
        <v>24</v>
      </c>
      <c r="C28" s="40">
        <f t="shared" si="0"/>
        <v>25324096.264000002</v>
      </c>
      <c r="D28" s="40">
        <f t="shared" si="1"/>
        <v>12773129.351360001</v>
      </c>
    </row>
    <row r="29" spans="2:4" x14ac:dyDescent="0.25">
      <c r="B29" s="100">
        <v>25</v>
      </c>
      <c r="C29" s="40">
        <f t="shared" si="0"/>
        <v>25771334.686666667</v>
      </c>
      <c r="D29" s="40">
        <f t="shared" si="1"/>
        <v>13305343.074333332</v>
      </c>
    </row>
    <row r="30" spans="2:4" x14ac:dyDescent="0.25">
      <c r="B30" s="100">
        <v>26</v>
      </c>
      <c r="C30" s="40">
        <f t="shared" si="0"/>
        <v>26218573.109333336</v>
      </c>
      <c r="D30" s="40">
        <f t="shared" si="1"/>
        <v>13837556.797306666</v>
      </c>
    </row>
    <row r="31" spans="2:4" x14ac:dyDescent="0.25">
      <c r="B31" s="100">
        <v>27</v>
      </c>
      <c r="C31" s="40">
        <f t="shared" si="0"/>
        <v>26665811.532000002</v>
      </c>
      <c r="D31" s="40">
        <f t="shared" si="1"/>
        <v>14369770.52028</v>
      </c>
    </row>
    <row r="32" spans="2:4" x14ac:dyDescent="0.25">
      <c r="B32" s="100">
        <v>28</v>
      </c>
      <c r="C32" s="40">
        <f t="shared" si="0"/>
        <v>27113049.954666667</v>
      </c>
      <c r="D32" s="40">
        <f t="shared" si="1"/>
        <v>14901984.243253333</v>
      </c>
    </row>
    <row r="33" spans="2:4" x14ac:dyDescent="0.25">
      <c r="B33" s="100">
        <v>29</v>
      </c>
      <c r="C33" s="40">
        <f t="shared" si="0"/>
        <v>27560288.377333336</v>
      </c>
      <c r="D33" s="40">
        <f t="shared" si="1"/>
        <v>15434197.966226667</v>
      </c>
    </row>
    <row r="34" spans="2:4" x14ac:dyDescent="0.25">
      <c r="B34" s="100">
        <v>30</v>
      </c>
      <c r="C34" s="40">
        <f t="shared" si="0"/>
        <v>28007526.800000001</v>
      </c>
      <c r="D34" s="40">
        <f t="shared" si="1"/>
        <v>15966411.689199999</v>
      </c>
    </row>
    <row r="35" spans="2:4" x14ac:dyDescent="0.25">
      <c r="B35" s="100">
        <v>31</v>
      </c>
      <c r="C35" s="40">
        <f t="shared" si="0"/>
        <v>28454765.222666666</v>
      </c>
      <c r="D35" s="40">
        <f t="shared" si="1"/>
        <v>16498625.412173333</v>
      </c>
    </row>
    <row r="36" spans="2:4" x14ac:dyDescent="0.25">
      <c r="B36" s="100">
        <v>32</v>
      </c>
      <c r="C36" s="40">
        <f t="shared" si="0"/>
        <v>28902003.645333335</v>
      </c>
      <c r="D36" s="40">
        <f t="shared" si="1"/>
        <v>17030839.135146666</v>
      </c>
    </row>
    <row r="37" spans="2:4" x14ac:dyDescent="0.25">
      <c r="B37" s="100">
        <v>33</v>
      </c>
      <c r="C37" s="40">
        <f t="shared" si="0"/>
        <v>29349242.068000004</v>
      </c>
      <c r="D37" s="40">
        <f t="shared" si="1"/>
        <v>17563052.858119998</v>
      </c>
    </row>
    <row r="38" spans="2:4" x14ac:dyDescent="0.25">
      <c r="B38" s="100">
        <v>34</v>
      </c>
      <c r="C38" s="40">
        <f t="shared" si="0"/>
        <v>29796480.490666669</v>
      </c>
      <c r="D38" s="40">
        <f t="shared" si="1"/>
        <v>18095266.581093334</v>
      </c>
    </row>
    <row r="39" spans="2:4" x14ac:dyDescent="0.25">
      <c r="B39" s="100">
        <v>35</v>
      </c>
      <c r="C39" s="40">
        <f t="shared" si="0"/>
        <v>30243718.913333334</v>
      </c>
      <c r="D39" s="40">
        <f t="shared" si="1"/>
        <v>18627480.304066665</v>
      </c>
    </row>
    <row r="40" spans="2:4" x14ac:dyDescent="0.25">
      <c r="B40" s="100">
        <v>36</v>
      </c>
      <c r="C40" s="40">
        <f t="shared" si="0"/>
        <v>30690957.336000003</v>
      </c>
      <c r="D40" s="40">
        <f t="shared" si="1"/>
        <v>19159694.027040001</v>
      </c>
    </row>
    <row r="41" spans="2:4" x14ac:dyDescent="0.25">
      <c r="B41" s="100">
        <v>37</v>
      </c>
      <c r="C41" s="40">
        <f t="shared" si="0"/>
        <v>31138195.758666668</v>
      </c>
      <c r="D41" s="40">
        <f t="shared" si="1"/>
        <v>19691907.750013333</v>
      </c>
    </row>
    <row r="42" spans="2:4" x14ac:dyDescent="0.25">
      <c r="B42" s="100">
        <v>38</v>
      </c>
      <c r="C42" s="40">
        <f t="shared" si="0"/>
        <v>31585434.181333333</v>
      </c>
      <c r="D42" s="40">
        <f t="shared" si="1"/>
        <v>20224121.472986665</v>
      </c>
    </row>
    <row r="43" spans="2:4" x14ac:dyDescent="0.25">
      <c r="B43" s="100">
        <v>39</v>
      </c>
      <c r="C43" s="40">
        <f t="shared" si="0"/>
        <v>32032672.604000002</v>
      </c>
      <c r="D43" s="40">
        <f t="shared" si="1"/>
        <v>20756335.19596</v>
      </c>
    </row>
    <row r="44" spans="2:4" x14ac:dyDescent="0.25">
      <c r="B44" s="100">
        <v>40</v>
      </c>
      <c r="C44" s="40">
        <f t="shared" si="0"/>
        <v>32479911.026666667</v>
      </c>
      <c r="D44" s="40">
        <f t="shared" si="1"/>
        <v>21288548.918933332</v>
      </c>
    </row>
    <row r="45" spans="2:4" x14ac:dyDescent="0.25">
      <c r="B45" s="100">
        <v>41</v>
      </c>
      <c r="C45" s="40">
        <f t="shared" si="0"/>
        <v>32927149.449333336</v>
      </c>
      <c r="D45" s="40">
        <f t="shared" si="1"/>
        <v>21820762.641906668</v>
      </c>
    </row>
    <row r="46" spans="2:4" x14ac:dyDescent="0.25">
      <c r="B46" s="100">
        <v>42</v>
      </c>
      <c r="C46" s="40">
        <f t="shared" si="0"/>
        <v>33374387.872000001</v>
      </c>
      <c r="D46" s="40">
        <f t="shared" si="1"/>
        <v>22352976.364879999</v>
      </c>
    </row>
    <row r="47" spans="2:4" x14ac:dyDescent="0.25">
      <c r="B47" s="100">
        <v>43</v>
      </c>
      <c r="C47" s="40">
        <f t="shared" si="0"/>
        <v>33821626.294666663</v>
      </c>
      <c r="D47" s="40">
        <f t="shared" si="1"/>
        <v>22885190.087853331</v>
      </c>
    </row>
    <row r="48" spans="2:4" x14ac:dyDescent="0.25">
      <c r="B48" s="100">
        <v>44</v>
      </c>
      <c r="C48" s="40">
        <f t="shared" si="0"/>
        <v>34268864.717333332</v>
      </c>
      <c r="D48" s="40">
        <f t="shared" si="1"/>
        <v>23417403.810826667</v>
      </c>
    </row>
    <row r="49" spans="2:4" x14ac:dyDescent="0.25">
      <c r="B49" s="100">
        <v>45</v>
      </c>
      <c r="C49" s="40">
        <f t="shared" si="0"/>
        <v>34716103.140000001</v>
      </c>
      <c r="D49" s="40">
        <f t="shared" si="1"/>
        <v>23949617.533799998</v>
      </c>
    </row>
    <row r="50" spans="2:4" x14ac:dyDescent="0.25">
      <c r="B50" s="100">
        <v>46</v>
      </c>
      <c r="C50" s="40">
        <f t="shared" si="0"/>
        <v>35163341.562666669</v>
      </c>
      <c r="D50" s="40">
        <f t="shared" si="1"/>
        <v>24481831.256773334</v>
      </c>
    </row>
    <row r="51" spans="2:4" x14ac:dyDescent="0.25">
      <c r="B51" s="100">
        <v>47</v>
      </c>
      <c r="C51" s="40">
        <f t="shared" si="0"/>
        <v>35610579.985333338</v>
      </c>
      <c r="D51" s="40">
        <f t="shared" si="1"/>
        <v>25014044.979746666</v>
      </c>
    </row>
    <row r="52" spans="2:4" x14ac:dyDescent="0.25">
      <c r="B52" s="100">
        <v>48</v>
      </c>
      <c r="C52" s="40">
        <f t="shared" si="0"/>
        <v>36057818.408000007</v>
      </c>
      <c r="D52" s="40">
        <f t="shared" si="1"/>
        <v>25546258.702720001</v>
      </c>
    </row>
    <row r="53" spans="2:4" x14ac:dyDescent="0.25">
      <c r="B53" s="100">
        <v>49</v>
      </c>
      <c r="C53" s="40">
        <f t="shared" si="0"/>
        <v>36505056.830666669</v>
      </c>
      <c r="D53" s="40">
        <f t="shared" si="1"/>
        <v>26078472.425693333</v>
      </c>
    </row>
    <row r="54" spans="2:4" x14ac:dyDescent="0.25">
      <c r="B54" s="100">
        <v>50</v>
      </c>
      <c r="C54" s="40">
        <f t="shared" si="0"/>
        <v>36952295.25333333</v>
      </c>
      <c r="D54" s="40">
        <f t="shared" si="1"/>
        <v>26610686.148666665</v>
      </c>
    </row>
    <row r="55" spans="2:4" x14ac:dyDescent="0.25">
      <c r="B55" s="100">
        <v>51</v>
      </c>
      <c r="C55" s="40">
        <f t="shared" si="0"/>
        <v>37399533.675999999</v>
      </c>
      <c r="D55" s="40">
        <f t="shared" si="1"/>
        <v>27142899.87164</v>
      </c>
    </row>
    <row r="56" spans="2:4" x14ac:dyDescent="0.25">
      <c r="B56" s="100">
        <v>52</v>
      </c>
      <c r="C56" s="40">
        <f t="shared" si="0"/>
        <v>37846772.098666668</v>
      </c>
      <c r="D56" s="40">
        <f t="shared" si="1"/>
        <v>27675113.594613332</v>
      </c>
    </row>
    <row r="57" spans="2:4" x14ac:dyDescent="0.25">
      <c r="B57" s="100">
        <v>53</v>
      </c>
      <c r="C57" s="40">
        <f t="shared" si="0"/>
        <v>38294010.521333337</v>
      </c>
      <c r="D57" s="40">
        <f t="shared" si="1"/>
        <v>28207327.317586668</v>
      </c>
    </row>
    <row r="58" spans="2:4" x14ac:dyDescent="0.25">
      <c r="B58" s="100">
        <v>54</v>
      </c>
      <c r="C58" s="40">
        <f t="shared" si="0"/>
        <v>38741248.944000006</v>
      </c>
      <c r="D58" s="40">
        <f t="shared" si="1"/>
        <v>28739541.04056</v>
      </c>
    </row>
    <row r="59" spans="2:4" x14ac:dyDescent="0.25">
      <c r="B59" s="100">
        <v>55</v>
      </c>
      <c r="C59" s="40">
        <f t="shared" si="0"/>
        <v>39188487.366666667</v>
      </c>
      <c r="D59" s="40">
        <f t="shared" si="1"/>
        <v>29271754.763533331</v>
      </c>
    </row>
    <row r="60" spans="2:4" x14ac:dyDescent="0.25">
      <c r="B60" s="100">
        <v>56</v>
      </c>
      <c r="C60" s="40">
        <f t="shared" si="0"/>
        <v>39635725.789333336</v>
      </c>
      <c r="D60" s="40">
        <f t="shared" si="1"/>
        <v>29803968.486506667</v>
      </c>
    </row>
    <row r="61" spans="2:4" x14ac:dyDescent="0.25">
      <c r="B61" s="100">
        <v>57</v>
      </c>
      <c r="C61" s="40">
        <f t="shared" si="0"/>
        <v>40082964.211999997</v>
      </c>
      <c r="D61" s="40">
        <f t="shared" si="1"/>
        <v>30336182.209479999</v>
      </c>
    </row>
    <row r="62" spans="2:4" x14ac:dyDescent="0.25">
      <c r="B62" s="100">
        <v>58</v>
      </c>
      <c r="C62" s="40">
        <f t="shared" si="0"/>
        <v>40530202.634666666</v>
      </c>
      <c r="D62" s="40">
        <f t="shared" si="1"/>
        <v>30868395.932453334</v>
      </c>
    </row>
    <row r="63" spans="2:4" x14ac:dyDescent="0.25">
      <c r="B63" s="100">
        <v>59</v>
      </c>
      <c r="C63" s="40">
        <f t="shared" si="0"/>
        <v>40977441.057333335</v>
      </c>
      <c r="D63" s="40">
        <f t="shared" si="1"/>
        <v>31400609.655426666</v>
      </c>
    </row>
    <row r="64" spans="2:4" x14ac:dyDescent="0.25">
      <c r="B64" s="100">
        <v>60</v>
      </c>
      <c r="C64" s="40">
        <f t="shared" si="0"/>
        <v>41424679.480000004</v>
      </c>
      <c r="D64" s="40">
        <f t="shared" si="1"/>
        <v>31932823.378399998</v>
      </c>
    </row>
    <row r="65" spans="2:4" x14ac:dyDescent="0.25">
      <c r="B65" s="100">
        <v>61</v>
      </c>
      <c r="C65" s="40">
        <f t="shared" si="0"/>
        <v>41871917.902666673</v>
      </c>
      <c r="D65" s="40">
        <f t="shared" si="1"/>
        <v>32465037.101373333</v>
      </c>
    </row>
    <row r="66" spans="2:4" x14ac:dyDescent="0.25">
      <c r="B66" s="100">
        <v>62</v>
      </c>
      <c r="C66" s="40">
        <f t="shared" si="0"/>
        <v>42319156.325333335</v>
      </c>
      <c r="D66" s="40">
        <f t="shared" si="1"/>
        <v>32997250.824346665</v>
      </c>
    </row>
    <row r="67" spans="2:4" x14ac:dyDescent="0.25">
      <c r="B67" s="100">
        <v>63</v>
      </c>
      <c r="C67" s="40">
        <f t="shared" si="0"/>
        <v>42766394.748000003</v>
      </c>
      <c r="D67" s="40">
        <f t="shared" si="1"/>
        <v>33529464.547320001</v>
      </c>
    </row>
    <row r="68" spans="2:4" x14ac:dyDescent="0.25">
      <c r="B68" s="100">
        <v>64</v>
      </c>
      <c r="C68" s="40">
        <f t="shared" si="0"/>
        <v>43213633.170666665</v>
      </c>
      <c r="D68" s="40">
        <f t="shared" si="1"/>
        <v>34061678.270293333</v>
      </c>
    </row>
    <row r="69" spans="2:4" x14ac:dyDescent="0.25">
      <c r="B69" s="100">
        <v>65</v>
      </c>
      <c r="C69" s="40">
        <f t="shared" ref="C69:C132" si="2">($C$2*B69)+$C$1</f>
        <v>43660871.593333334</v>
      </c>
      <c r="D69" s="40">
        <f t="shared" ref="D69:D132" si="3">$D$2*B69</f>
        <v>34593891.993266664</v>
      </c>
    </row>
    <row r="70" spans="2:4" x14ac:dyDescent="0.25">
      <c r="B70" s="100">
        <v>66</v>
      </c>
      <c r="C70" s="40">
        <f t="shared" si="2"/>
        <v>44108110.016000003</v>
      </c>
      <c r="D70" s="40">
        <f t="shared" si="3"/>
        <v>35126105.716239996</v>
      </c>
    </row>
    <row r="71" spans="2:4" x14ac:dyDescent="0.25">
      <c r="B71" s="100">
        <v>67</v>
      </c>
      <c r="C71" s="40">
        <f t="shared" si="2"/>
        <v>44555348.438666672</v>
      </c>
      <c r="D71" s="40">
        <f t="shared" si="3"/>
        <v>35658319.439213336</v>
      </c>
    </row>
    <row r="72" spans="2:4" x14ac:dyDescent="0.25">
      <c r="B72" s="100">
        <v>68</v>
      </c>
      <c r="C72" s="40">
        <f t="shared" si="2"/>
        <v>45002586.86133334</v>
      </c>
      <c r="D72" s="40">
        <f t="shared" si="3"/>
        <v>36190533.162186667</v>
      </c>
    </row>
    <row r="73" spans="2:4" x14ac:dyDescent="0.25">
      <c r="B73" s="100">
        <v>69</v>
      </c>
      <c r="C73" s="40">
        <f t="shared" si="2"/>
        <v>45449825.284000002</v>
      </c>
      <c r="D73" s="40">
        <f t="shared" si="3"/>
        <v>36722746.885159999</v>
      </c>
    </row>
    <row r="74" spans="2:4" x14ac:dyDescent="0.25">
      <c r="B74" s="100">
        <v>70</v>
      </c>
      <c r="C74" s="40">
        <f t="shared" si="2"/>
        <v>45897063.706666663</v>
      </c>
      <c r="D74" s="40">
        <f t="shared" si="3"/>
        <v>37254960.608133331</v>
      </c>
    </row>
    <row r="75" spans="2:4" x14ac:dyDescent="0.25">
      <c r="B75" s="100">
        <v>71</v>
      </c>
      <c r="C75" s="40">
        <f t="shared" si="2"/>
        <v>46344302.129333332</v>
      </c>
      <c r="D75" s="40">
        <f t="shared" si="3"/>
        <v>37787174.331106663</v>
      </c>
    </row>
    <row r="76" spans="2:4" x14ac:dyDescent="0.25">
      <c r="B76" s="100">
        <v>72</v>
      </c>
      <c r="C76" s="40">
        <f t="shared" si="2"/>
        <v>46791540.552000001</v>
      </c>
      <c r="D76" s="40">
        <f t="shared" si="3"/>
        <v>38319388.054080002</v>
      </c>
    </row>
    <row r="77" spans="2:4" x14ac:dyDescent="0.25">
      <c r="B77" s="100">
        <v>73</v>
      </c>
      <c r="C77" s="40">
        <f t="shared" si="2"/>
        <v>47238778.97466667</v>
      </c>
      <c r="D77" s="40">
        <f t="shared" si="3"/>
        <v>38851601.777053334</v>
      </c>
    </row>
    <row r="78" spans="2:4" x14ac:dyDescent="0.25">
      <c r="B78" s="100">
        <v>74</v>
      </c>
      <c r="C78" s="40">
        <f t="shared" si="2"/>
        <v>47686017.397333339</v>
      </c>
      <c r="D78" s="40">
        <f t="shared" si="3"/>
        <v>39383815.500026666</v>
      </c>
    </row>
    <row r="79" spans="2:4" x14ac:dyDescent="0.25">
      <c r="B79" s="100">
        <v>75</v>
      </c>
      <c r="C79" s="40">
        <f t="shared" si="2"/>
        <v>48133255.82</v>
      </c>
      <c r="D79" s="40">
        <f t="shared" si="3"/>
        <v>39916029.222999997</v>
      </c>
    </row>
    <row r="80" spans="2:4" x14ac:dyDescent="0.25">
      <c r="B80" s="100">
        <v>76</v>
      </c>
      <c r="C80" s="40">
        <f t="shared" si="2"/>
        <v>48580494.242666662</v>
      </c>
      <c r="D80" s="40">
        <f t="shared" si="3"/>
        <v>40448242.945973329</v>
      </c>
    </row>
    <row r="81" spans="2:4" x14ac:dyDescent="0.25">
      <c r="B81" s="100">
        <v>77</v>
      </c>
      <c r="C81" s="40">
        <f t="shared" si="2"/>
        <v>49027732.665333331</v>
      </c>
      <c r="D81" s="40">
        <f t="shared" si="3"/>
        <v>40980456.668946669</v>
      </c>
    </row>
    <row r="82" spans="2:4" x14ac:dyDescent="0.25">
      <c r="B82" s="100">
        <v>78</v>
      </c>
      <c r="C82" s="40">
        <f t="shared" si="2"/>
        <v>49474971.088</v>
      </c>
      <c r="D82" s="40">
        <f t="shared" si="3"/>
        <v>41512670.39192</v>
      </c>
    </row>
    <row r="83" spans="2:4" x14ac:dyDescent="0.25">
      <c r="B83" s="100">
        <v>79</v>
      </c>
      <c r="C83" s="40">
        <f t="shared" si="2"/>
        <v>49922209.510666668</v>
      </c>
      <c r="D83" s="40">
        <f t="shared" si="3"/>
        <v>42044884.114893332</v>
      </c>
    </row>
    <row r="84" spans="2:4" x14ac:dyDescent="0.25">
      <c r="B84" s="100">
        <v>80</v>
      </c>
      <c r="C84" s="40">
        <f t="shared" si="2"/>
        <v>50369447.933333337</v>
      </c>
      <c r="D84" s="40">
        <f t="shared" si="3"/>
        <v>42577097.837866664</v>
      </c>
    </row>
    <row r="85" spans="2:4" x14ac:dyDescent="0.25">
      <c r="B85" s="100">
        <v>81</v>
      </c>
      <c r="C85" s="40">
        <f t="shared" si="2"/>
        <v>50816686.356000006</v>
      </c>
      <c r="D85" s="40">
        <f t="shared" si="3"/>
        <v>43109311.560839996</v>
      </c>
    </row>
    <row r="86" spans="2:4" x14ac:dyDescent="0.25">
      <c r="B86" s="100">
        <v>82</v>
      </c>
      <c r="C86" s="40">
        <f t="shared" si="2"/>
        <v>51263924.778666675</v>
      </c>
      <c r="D86" s="40">
        <f t="shared" si="3"/>
        <v>43641525.283813335</v>
      </c>
    </row>
    <row r="87" spans="2:4" x14ac:dyDescent="0.25">
      <c r="B87" s="100">
        <v>83</v>
      </c>
      <c r="C87" s="40">
        <f t="shared" si="2"/>
        <v>51711163.201333329</v>
      </c>
      <c r="D87" s="40">
        <f t="shared" si="3"/>
        <v>44173739.006786667</v>
      </c>
    </row>
    <row r="88" spans="2:4" x14ac:dyDescent="0.25">
      <c r="B88" s="100">
        <v>84</v>
      </c>
      <c r="C88" s="40">
        <f t="shared" si="2"/>
        <v>52158401.623999998</v>
      </c>
      <c r="D88" s="40">
        <f t="shared" si="3"/>
        <v>44705952.729759999</v>
      </c>
    </row>
    <row r="89" spans="2:4" x14ac:dyDescent="0.25">
      <c r="B89" s="100">
        <v>85</v>
      </c>
      <c r="C89" s="40">
        <f t="shared" si="2"/>
        <v>52605640.046666667</v>
      </c>
      <c r="D89" s="40">
        <f t="shared" si="3"/>
        <v>45238166.45273333</v>
      </c>
    </row>
    <row r="90" spans="2:4" x14ac:dyDescent="0.25">
      <c r="B90" s="100">
        <v>86</v>
      </c>
      <c r="C90" s="40">
        <f t="shared" si="2"/>
        <v>53052878.469333336</v>
      </c>
      <c r="D90" s="40">
        <f t="shared" si="3"/>
        <v>45770380.175706662</v>
      </c>
    </row>
    <row r="91" spans="2:4" x14ac:dyDescent="0.25">
      <c r="B91" s="100">
        <v>87</v>
      </c>
      <c r="C91" s="40">
        <f t="shared" si="2"/>
        <v>53500116.892000005</v>
      </c>
      <c r="D91" s="40">
        <f t="shared" si="3"/>
        <v>46302593.898680001</v>
      </c>
    </row>
    <row r="92" spans="2:4" x14ac:dyDescent="0.25">
      <c r="B92" s="100">
        <v>88</v>
      </c>
      <c r="C92" s="40">
        <f t="shared" si="2"/>
        <v>53947355.314666674</v>
      </c>
      <c r="D92" s="40">
        <f t="shared" si="3"/>
        <v>46834807.621653333</v>
      </c>
    </row>
    <row r="93" spans="2:4" x14ac:dyDescent="0.25">
      <c r="B93" s="100">
        <v>89</v>
      </c>
      <c r="C93" s="40">
        <f t="shared" si="2"/>
        <v>54394593.737333342</v>
      </c>
      <c r="D93" s="40">
        <f t="shared" si="3"/>
        <v>47367021.344626665</v>
      </c>
    </row>
    <row r="94" spans="2:4" x14ac:dyDescent="0.25">
      <c r="B94" s="100">
        <v>90</v>
      </c>
      <c r="C94" s="40">
        <f t="shared" si="2"/>
        <v>54841832.159999996</v>
      </c>
      <c r="D94" s="40">
        <f t="shared" si="3"/>
        <v>47899235.067599997</v>
      </c>
    </row>
    <row r="95" spans="2:4" x14ac:dyDescent="0.25">
      <c r="B95" s="100">
        <v>91</v>
      </c>
      <c r="C95" s="40">
        <f t="shared" si="2"/>
        <v>55289070.582666665</v>
      </c>
      <c r="D95" s="40">
        <f t="shared" si="3"/>
        <v>48431448.790573329</v>
      </c>
    </row>
    <row r="96" spans="2:4" x14ac:dyDescent="0.25">
      <c r="B96" s="100">
        <v>92</v>
      </c>
      <c r="C96" s="40">
        <f t="shared" si="2"/>
        <v>55736309.005333334</v>
      </c>
      <c r="D96" s="40">
        <f t="shared" si="3"/>
        <v>48963662.513546668</v>
      </c>
    </row>
    <row r="97" spans="2:4" x14ac:dyDescent="0.25">
      <c r="B97" s="100">
        <v>93</v>
      </c>
      <c r="C97" s="40">
        <f t="shared" si="2"/>
        <v>56183547.428000003</v>
      </c>
      <c r="D97" s="40">
        <f t="shared" si="3"/>
        <v>49495876.23652</v>
      </c>
    </row>
    <row r="98" spans="2:4" x14ac:dyDescent="0.25">
      <c r="B98" s="100">
        <v>94</v>
      </c>
      <c r="C98" s="40">
        <f t="shared" si="2"/>
        <v>56630785.850666672</v>
      </c>
      <c r="D98" s="40">
        <f t="shared" si="3"/>
        <v>50028089.959493332</v>
      </c>
    </row>
    <row r="99" spans="2:4" x14ac:dyDescent="0.25">
      <c r="B99" s="100">
        <v>95</v>
      </c>
      <c r="C99" s="40">
        <f t="shared" si="2"/>
        <v>57078024.273333341</v>
      </c>
      <c r="D99" s="40">
        <f t="shared" si="3"/>
        <v>50560303.682466663</v>
      </c>
    </row>
    <row r="100" spans="2:4" x14ac:dyDescent="0.25">
      <c r="B100" s="100">
        <v>96</v>
      </c>
      <c r="C100" s="40">
        <f t="shared" si="2"/>
        <v>57525262.69600001</v>
      </c>
      <c r="D100" s="40">
        <f t="shared" si="3"/>
        <v>51092517.405440003</v>
      </c>
    </row>
    <row r="101" spans="2:4" x14ac:dyDescent="0.25">
      <c r="B101" s="100">
        <v>97</v>
      </c>
      <c r="C101" s="40">
        <f t="shared" si="2"/>
        <v>57972501.118666664</v>
      </c>
      <c r="D101" s="40">
        <f t="shared" si="3"/>
        <v>51624731.128413334</v>
      </c>
    </row>
    <row r="102" spans="2:4" x14ac:dyDescent="0.25">
      <c r="B102" s="100">
        <v>98</v>
      </c>
      <c r="C102" s="40">
        <f t="shared" si="2"/>
        <v>58419739.541333333</v>
      </c>
      <c r="D102" s="40">
        <f t="shared" si="3"/>
        <v>52156944.851386666</v>
      </c>
    </row>
    <row r="103" spans="2:4" x14ac:dyDescent="0.25">
      <c r="B103" s="100">
        <v>99</v>
      </c>
      <c r="C103" s="40">
        <f t="shared" si="2"/>
        <v>58866977.964000002</v>
      </c>
      <c r="D103" s="40">
        <f t="shared" si="3"/>
        <v>52689158.574359998</v>
      </c>
    </row>
    <row r="104" spans="2:4" x14ac:dyDescent="0.25">
      <c r="B104" s="100">
        <v>100</v>
      </c>
      <c r="C104" s="40">
        <f t="shared" si="2"/>
        <v>59314216.38666667</v>
      </c>
      <c r="D104" s="40">
        <f t="shared" si="3"/>
        <v>53221372.29733333</v>
      </c>
    </row>
    <row r="105" spans="2:4" x14ac:dyDescent="0.25">
      <c r="B105" s="100">
        <v>101</v>
      </c>
      <c r="C105" s="40">
        <f t="shared" si="2"/>
        <v>59761454.809333339</v>
      </c>
      <c r="D105" s="40">
        <f t="shared" si="3"/>
        <v>53753586.020306669</v>
      </c>
    </row>
    <row r="106" spans="2:4" x14ac:dyDescent="0.25">
      <c r="B106" s="100">
        <v>102</v>
      </c>
      <c r="C106" s="40">
        <f t="shared" si="2"/>
        <v>60208693.232000008</v>
      </c>
      <c r="D106" s="40">
        <f t="shared" si="3"/>
        <v>54285799.743280001</v>
      </c>
    </row>
    <row r="107" spans="2:4" x14ac:dyDescent="0.25">
      <c r="B107" s="100">
        <v>103</v>
      </c>
      <c r="C107" s="40">
        <f t="shared" si="2"/>
        <v>60655931.654666662</v>
      </c>
      <c r="D107" s="40">
        <f t="shared" si="3"/>
        <v>54818013.466253333</v>
      </c>
    </row>
    <row r="108" spans="2:4" x14ac:dyDescent="0.25">
      <c r="B108" s="100">
        <v>104</v>
      </c>
      <c r="C108" s="40">
        <f t="shared" si="2"/>
        <v>61103170.077333331</v>
      </c>
      <c r="D108" s="40">
        <f t="shared" si="3"/>
        <v>55350227.189226665</v>
      </c>
    </row>
    <row r="109" spans="2:4" x14ac:dyDescent="0.25">
      <c r="B109" s="100">
        <v>105</v>
      </c>
      <c r="C109" s="40">
        <f t="shared" si="2"/>
        <v>61550408.5</v>
      </c>
      <c r="D109" s="40">
        <f t="shared" si="3"/>
        <v>55882440.912199996</v>
      </c>
    </row>
    <row r="110" spans="2:4" x14ac:dyDescent="0.25">
      <c r="B110" s="100">
        <v>106</v>
      </c>
      <c r="C110" s="40">
        <f t="shared" si="2"/>
        <v>61997646.922666669</v>
      </c>
      <c r="D110" s="40">
        <f t="shared" si="3"/>
        <v>56414654.635173336</v>
      </c>
    </row>
    <row r="111" spans="2:4" x14ac:dyDescent="0.25">
      <c r="B111" s="100">
        <v>107</v>
      </c>
      <c r="C111" s="40">
        <f t="shared" si="2"/>
        <v>62444885.345333338</v>
      </c>
      <c r="D111" s="40">
        <f t="shared" si="3"/>
        <v>56946868.358146667</v>
      </c>
    </row>
    <row r="112" spans="2:4" x14ac:dyDescent="0.25">
      <c r="B112" s="100">
        <v>108</v>
      </c>
      <c r="C112" s="40">
        <f t="shared" si="2"/>
        <v>62892123.768000007</v>
      </c>
      <c r="D112" s="40">
        <f t="shared" si="3"/>
        <v>57479082.081119999</v>
      </c>
    </row>
    <row r="113" spans="2:4" x14ac:dyDescent="0.25">
      <c r="B113" s="100">
        <v>109</v>
      </c>
      <c r="C113" s="40">
        <f t="shared" si="2"/>
        <v>63339362.190666676</v>
      </c>
      <c r="D113" s="40">
        <f t="shared" si="3"/>
        <v>58011295.804093331</v>
      </c>
    </row>
    <row r="114" spans="2:4" x14ac:dyDescent="0.25">
      <c r="B114" s="100">
        <v>110</v>
      </c>
      <c r="C114" s="40">
        <f t="shared" si="2"/>
        <v>63786600.61333333</v>
      </c>
      <c r="D114" s="40">
        <f t="shared" si="3"/>
        <v>58543509.527066663</v>
      </c>
    </row>
    <row r="115" spans="2:4" x14ac:dyDescent="0.25">
      <c r="B115" s="100">
        <v>111</v>
      </c>
      <c r="C115" s="40">
        <f t="shared" si="2"/>
        <v>64233839.035999998</v>
      </c>
      <c r="D115" s="40">
        <f t="shared" si="3"/>
        <v>59075723.250040002</v>
      </c>
    </row>
    <row r="116" spans="2:4" x14ac:dyDescent="0.25">
      <c r="B116" s="100">
        <v>112</v>
      </c>
      <c r="C116" s="40">
        <f t="shared" si="2"/>
        <v>64681077.458666667</v>
      </c>
      <c r="D116" s="40">
        <f t="shared" si="3"/>
        <v>59607936.973013334</v>
      </c>
    </row>
    <row r="117" spans="2:4" x14ac:dyDescent="0.25">
      <c r="B117" s="100">
        <v>113</v>
      </c>
      <c r="C117" s="40">
        <f t="shared" si="2"/>
        <v>65128315.881333336</v>
      </c>
      <c r="D117" s="40">
        <f t="shared" si="3"/>
        <v>60140150.695986666</v>
      </c>
    </row>
    <row r="118" spans="2:4" x14ac:dyDescent="0.25">
      <c r="B118" s="100">
        <v>114</v>
      </c>
      <c r="C118" s="40">
        <f t="shared" si="2"/>
        <v>65575554.304000005</v>
      </c>
      <c r="D118" s="40">
        <f t="shared" si="3"/>
        <v>60672364.418959998</v>
      </c>
    </row>
    <row r="119" spans="2:4" x14ac:dyDescent="0.25">
      <c r="B119" s="100">
        <v>115</v>
      </c>
      <c r="C119" s="40">
        <f t="shared" si="2"/>
        <v>66022792.726666674</v>
      </c>
      <c r="D119" s="40">
        <f t="shared" si="3"/>
        <v>61204578.141933329</v>
      </c>
    </row>
    <row r="120" spans="2:4" x14ac:dyDescent="0.25">
      <c r="B120" s="100">
        <v>116</v>
      </c>
      <c r="C120" s="40">
        <f t="shared" si="2"/>
        <v>66470031.149333343</v>
      </c>
      <c r="D120" s="40">
        <f t="shared" si="3"/>
        <v>61736791.864906669</v>
      </c>
    </row>
    <row r="121" spans="2:4" x14ac:dyDescent="0.25">
      <c r="B121" s="100">
        <v>117</v>
      </c>
      <c r="C121" s="40">
        <f t="shared" si="2"/>
        <v>66917269.571999997</v>
      </c>
      <c r="D121" s="40">
        <f t="shared" si="3"/>
        <v>62269005.58788</v>
      </c>
    </row>
    <row r="122" spans="2:4" x14ac:dyDescent="0.25">
      <c r="B122" s="100">
        <v>118</v>
      </c>
      <c r="C122" s="40">
        <f t="shared" si="2"/>
        <v>67364507.994666666</v>
      </c>
      <c r="D122" s="40">
        <f t="shared" si="3"/>
        <v>62801219.310853332</v>
      </c>
    </row>
    <row r="123" spans="2:4" x14ac:dyDescent="0.25">
      <c r="B123" s="100">
        <v>119</v>
      </c>
      <c r="C123" s="40">
        <f t="shared" si="2"/>
        <v>67811746.417333335</v>
      </c>
      <c r="D123" s="40">
        <f t="shared" si="3"/>
        <v>63333433.033826664</v>
      </c>
    </row>
    <row r="124" spans="2:4" x14ac:dyDescent="0.25">
      <c r="B124" s="100">
        <v>120</v>
      </c>
      <c r="C124" s="40">
        <f t="shared" si="2"/>
        <v>68258984.840000004</v>
      </c>
      <c r="D124" s="40">
        <f t="shared" si="3"/>
        <v>63865646.756799996</v>
      </c>
    </row>
    <row r="125" spans="2:4" x14ac:dyDescent="0.25">
      <c r="B125" s="100">
        <v>121</v>
      </c>
      <c r="C125" s="40">
        <f t="shared" si="2"/>
        <v>68706223.262666672</v>
      </c>
      <c r="D125" s="40">
        <f t="shared" si="3"/>
        <v>64397860.479773335</v>
      </c>
    </row>
    <row r="126" spans="2:4" x14ac:dyDescent="0.25">
      <c r="B126" s="100">
        <v>122</v>
      </c>
      <c r="C126" s="40">
        <f t="shared" si="2"/>
        <v>69153461.685333341</v>
      </c>
      <c r="D126" s="40">
        <f t="shared" si="3"/>
        <v>64930074.202746667</v>
      </c>
    </row>
    <row r="127" spans="2:4" x14ac:dyDescent="0.25">
      <c r="B127" s="100">
        <v>123</v>
      </c>
      <c r="C127" s="40">
        <f t="shared" si="2"/>
        <v>69600700.107999995</v>
      </c>
      <c r="D127" s="40">
        <f t="shared" si="3"/>
        <v>65462287.925719999</v>
      </c>
    </row>
    <row r="128" spans="2:4" x14ac:dyDescent="0.25">
      <c r="B128" s="100">
        <v>124</v>
      </c>
      <c r="C128" s="40">
        <f t="shared" si="2"/>
        <v>70047938.530666664</v>
      </c>
      <c r="D128" s="40">
        <f t="shared" si="3"/>
        <v>65994501.648693331</v>
      </c>
    </row>
    <row r="129" spans="2:4" x14ac:dyDescent="0.25">
      <c r="B129" s="100">
        <v>125</v>
      </c>
      <c r="C129" s="40">
        <f t="shared" si="2"/>
        <v>70495176.953333333</v>
      </c>
      <c r="D129" s="40">
        <f t="shared" si="3"/>
        <v>66526715.371666662</v>
      </c>
    </row>
    <row r="130" spans="2:4" x14ac:dyDescent="0.25">
      <c r="B130" s="100">
        <v>126</v>
      </c>
      <c r="C130" s="40">
        <f t="shared" si="2"/>
        <v>70942415.376000002</v>
      </c>
      <c r="D130" s="40">
        <f t="shared" si="3"/>
        <v>67058929.094640002</v>
      </c>
    </row>
    <row r="131" spans="2:4" x14ac:dyDescent="0.25">
      <c r="B131" s="100">
        <v>127</v>
      </c>
      <c r="C131" s="40">
        <f t="shared" si="2"/>
        <v>71389653.798666671</v>
      </c>
      <c r="D131" s="40">
        <f t="shared" si="3"/>
        <v>67591142.817613333</v>
      </c>
    </row>
    <row r="132" spans="2:4" x14ac:dyDescent="0.25">
      <c r="B132" s="100">
        <v>128</v>
      </c>
      <c r="C132" s="40">
        <f t="shared" si="2"/>
        <v>71836892.22133334</v>
      </c>
      <c r="D132" s="40">
        <f t="shared" si="3"/>
        <v>68123356.540586665</v>
      </c>
    </row>
    <row r="133" spans="2:4" x14ac:dyDescent="0.25">
      <c r="B133" s="100">
        <v>129</v>
      </c>
      <c r="C133" s="40">
        <f t="shared" ref="C133:C196" si="4">($C$2*B133)+$C$1</f>
        <v>72284130.644000009</v>
      </c>
      <c r="D133" s="40">
        <f t="shared" ref="D133:D196" si="5">$D$2*B133</f>
        <v>68655570.263559997</v>
      </c>
    </row>
    <row r="134" spans="2:4" x14ac:dyDescent="0.25">
      <c r="B134" s="100">
        <v>130</v>
      </c>
      <c r="C134" s="40">
        <f t="shared" si="4"/>
        <v>72731369.066666663</v>
      </c>
      <c r="D134" s="40">
        <f t="shared" si="5"/>
        <v>69187783.986533329</v>
      </c>
    </row>
    <row r="135" spans="2:4" x14ac:dyDescent="0.25">
      <c r="B135" s="100">
        <v>131</v>
      </c>
      <c r="C135" s="40">
        <f t="shared" si="4"/>
        <v>73178607.489333332</v>
      </c>
      <c r="D135" s="40">
        <f t="shared" si="5"/>
        <v>69719997.709506661</v>
      </c>
    </row>
    <row r="136" spans="2:4" x14ac:dyDescent="0.25">
      <c r="B136" s="100">
        <v>132</v>
      </c>
      <c r="C136" s="40">
        <f t="shared" si="4"/>
        <v>73625845.912</v>
      </c>
      <c r="D136" s="40">
        <f t="shared" si="5"/>
        <v>70252211.432479993</v>
      </c>
    </row>
    <row r="137" spans="2:4" x14ac:dyDescent="0.25">
      <c r="B137" s="100">
        <v>133</v>
      </c>
      <c r="C137" s="40">
        <f t="shared" si="4"/>
        <v>74073084.334666669</v>
      </c>
      <c r="D137" s="40">
        <f t="shared" si="5"/>
        <v>70784425.155453339</v>
      </c>
    </row>
    <row r="138" spans="2:4" x14ac:dyDescent="0.25">
      <c r="B138" s="100">
        <v>134</v>
      </c>
      <c r="C138" s="40">
        <f t="shared" si="4"/>
        <v>74520322.757333338</v>
      </c>
      <c r="D138" s="40">
        <f t="shared" si="5"/>
        <v>71316638.878426671</v>
      </c>
    </row>
    <row r="139" spans="2:4" x14ac:dyDescent="0.25">
      <c r="B139" s="100">
        <v>135</v>
      </c>
      <c r="C139" s="40">
        <f t="shared" si="4"/>
        <v>74967561.180000007</v>
      </c>
      <c r="D139" s="40">
        <f t="shared" si="5"/>
        <v>71848852.601400003</v>
      </c>
    </row>
    <row r="140" spans="2:4" x14ac:dyDescent="0.25">
      <c r="B140" s="100">
        <v>136</v>
      </c>
      <c r="C140" s="40">
        <f t="shared" si="4"/>
        <v>75414799.602666676</v>
      </c>
      <c r="D140" s="40">
        <f t="shared" si="5"/>
        <v>72381066.324373335</v>
      </c>
    </row>
    <row r="141" spans="2:4" x14ac:dyDescent="0.25">
      <c r="B141" s="100">
        <v>137</v>
      </c>
      <c r="C141" s="40">
        <f t="shared" si="4"/>
        <v>75862038.02533333</v>
      </c>
      <c r="D141" s="40">
        <f t="shared" si="5"/>
        <v>72913280.047346666</v>
      </c>
    </row>
    <row r="142" spans="2:4" x14ac:dyDescent="0.25">
      <c r="B142" s="100">
        <v>138</v>
      </c>
      <c r="C142" s="40">
        <f t="shared" si="4"/>
        <v>76309276.447999999</v>
      </c>
      <c r="D142" s="40">
        <f t="shared" si="5"/>
        <v>73445493.770319998</v>
      </c>
    </row>
    <row r="143" spans="2:4" x14ac:dyDescent="0.25">
      <c r="B143" s="100">
        <v>139</v>
      </c>
      <c r="C143" s="40">
        <f t="shared" si="4"/>
        <v>76756514.870666668</v>
      </c>
      <c r="D143" s="40">
        <f t="shared" si="5"/>
        <v>73977707.49329333</v>
      </c>
    </row>
    <row r="144" spans="2:4" x14ac:dyDescent="0.25">
      <c r="B144" s="100">
        <v>140</v>
      </c>
      <c r="C144" s="40">
        <f t="shared" si="4"/>
        <v>77203753.293333337</v>
      </c>
      <c r="D144" s="40">
        <f t="shared" si="5"/>
        <v>74509921.216266662</v>
      </c>
    </row>
    <row r="145" spans="2:4" x14ac:dyDescent="0.25">
      <c r="B145" s="100">
        <v>141</v>
      </c>
      <c r="C145" s="40">
        <f t="shared" si="4"/>
        <v>77650991.716000006</v>
      </c>
      <c r="D145" s="40">
        <f t="shared" si="5"/>
        <v>75042134.939239994</v>
      </c>
    </row>
    <row r="146" spans="2:4" x14ac:dyDescent="0.25">
      <c r="B146" s="100">
        <v>142</v>
      </c>
      <c r="C146" s="40">
        <f t="shared" si="4"/>
        <v>78098230.138666674</v>
      </c>
      <c r="D146" s="40">
        <f t="shared" si="5"/>
        <v>75574348.662213326</v>
      </c>
    </row>
    <row r="147" spans="2:4" x14ac:dyDescent="0.25">
      <c r="B147" s="100">
        <v>143</v>
      </c>
      <c r="C147" s="40">
        <f t="shared" si="4"/>
        <v>78545468.561333343</v>
      </c>
      <c r="D147" s="40">
        <f t="shared" si="5"/>
        <v>76106562.385186672</v>
      </c>
    </row>
    <row r="148" spans="2:4" x14ac:dyDescent="0.25">
      <c r="B148" s="100">
        <v>144</v>
      </c>
      <c r="C148" s="40">
        <f t="shared" si="4"/>
        <v>78992706.983999997</v>
      </c>
      <c r="D148" s="40">
        <f t="shared" si="5"/>
        <v>76638776.108160004</v>
      </c>
    </row>
    <row r="149" spans="2:4" x14ac:dyDescent="0.25">
      <c r="B149" s="100">
        <v>145</v>
      </c>
      <c r="C149" s="40">
        <f t="shared" si="4"/>
        <v>79439945.406666666</v>
      </c>
      <c r="D149" s="40">
        <f t="shared" si="5"/>
        <v>77170989.831133336</v>
      </c>
    </row>
    <row r="150" spans="2:4" x14ac:dyDescent="0.25">
      <c r="B150" s="100">
        <v>146</v>
      </c>
      <c r="C150" s="40">
        <f t="shared" si="4"/>
        <v>79887183.829333335</v>
      </c>
      <c r="D150" s="40">
        <f t="shared" si="5"/>
        <v>77703203.554106668</v>
      </c>
    </row>
    <row r="151" spans="2:4" x14ac:dyDescent="0.25">
      <c r="B151" s="100">
        <v>147</v>
      </c>
      <c r="C151" s="40">
        <f t="shared" si="4"/>
        <v>80334422.252000004</v>
      </c>
      <c r="D151" s="40">
        <f t="shared" si="5"/>
        <v>78235417.277079999</v>
      </c>
    </row>
    <row r="152" spans="2:4" x14ac:dyDescent="0.25">
      <c r="B152" s="100">
        <v>148</v>
      </c>
      <c r="C152" s="40">
        <f t="shared" si="4"/>
        <v>80781660.674666673</v>
      </c>
      <c r="D152" s="40">
        <f t="shared" si="5"/>
        <v>78767631.000053331</v>
      </c>
    </row>
    <row r="153" spans="2:4" x14ac:dyDescent="0.25">
      <c r="B153" s="100">
        <v>149</v>
      </c>
      <c r="C153" s="40">
        <f t="shared" si="4"/>
        <v>81228899.097333342</v>
      </c>
      <c r="D153" s="40">
        <f t="shared" si="5"/>
        <v>79299844.723026663</v>
      </c>
    </row>
    <row r="154" spans="2:4" x14ac:dyDescent="0.25">
      <c r="B154" s="100">
        <v>150</v>
      </c>
      <c r="C154" s="40">
        <f t="shared" si="4"/>
        <v>81676137.519999996</v>
      </c>
      <c r="D154" s="40">
        <f t="shared" si="5"/>
        <v>79832058.445999995</v>
      </c>
    </row>
    <row r="155" spans="2:4" x14ac:dyDescent="0.25">
      <c r="B155" s="100">
        <v>151</v>
      </c>
      <c r="C155" s="40">
        <f t="shared" si="4"/>
        <v>82123375.94266668</v>
      </c>
      <c r="D155" s="40">
        <f t="shared" si="5"/>
        <v>80364272.168973327</v>
      </c>
    </row>
    <row r="156" spans="2:4" x14ac:dyDescent="0.25">
      <c r="B156" s="100">
        <v>152</v>
      </c>
      <c r="C156" s="40">
        <f t="shared" si="4"/>
        <v>82570614.365333334</v>
      </c>
      <c r="D156" s="40">
        <f t="shared" si="5"/>
        <v>80896485.891946658</v>
      </c>
    </row>
    <row r="157" spans="2:4" x14ac:dyDescent="0.25">
      <c r="B157" s="100">
        <v>153</v>
      </c>
      <c r="C157" s="40">
        <f t="shared" si="4"/>
        <v>83017852.788000003</v>
      </c>
      <c r="D157" s="40">
        <f t="shared" si="5"/>
        <v>81428699.614920005</v>
      </c>
    </row>
    <row r="158" spans="2:4" x14ac:dyDescent="0.25">
      <c r="B158" s="100">
        <v>154</v>
      </c>
      <c r="C158" s="40">
        <f t="shared" si="4"/>
        <v>83465091.210666671</v>
      </c>
      <c r="D158" s="40">
        <f t="shared" si="5"/>
        <v>81960913.337893337</v>
      </c>
    </row>
    <row r="159" spans="2:4" x14ac:dyDescent="0.25">
      <c r="B159" s="100">
        <v>155</v>
      </c>
      <c r="C159" s="40">
        <f t="shared" si="4"/>
        <v>83912329.63333334</v>
      </c>
      <c r="D159" s="40">
        <f t="shared" si="5"/>
        <v>82493127.060866669</v>
      </c>
    </row>
    <row r="160" spans="2:4" x14ac:dyDescent="0.25">
      <c r="B160" s="100">
        <v>156</v>
      </c>
      <c r="C160" s="40">
        <f t="shared" si="4"/>
        <v>84359568.056000009</v>
      </c>
      <c r="D160" s="40">
        <f t="shared" si="5"/>
        <v>83025340.783840001</v>
      </c>
    </row>
    <row r="161" spans="2:4" x14ac:dyDescent="0.25">
      <c r="B161" s="100">
        <v>157</v>
      </c>
      <c r="C161" s="40">
        <f t="shared" si="4"/>
        <v>84806806.478666678</v>
      </c>
      <c r="D161" s="40">
        <f t="shared" si="5"/>
        <v>83557554.506813332</v>
      </c>
    </row>
    <row r="162" spans="2:4" x14ac:dyDescent="0.25">
      <c r="B162" s="100">
        <v>158</v>
      </c>
      <c r="C162" s="40">
        <f t="shared" si="4"/>
        <v>85254044.901333347</v>
      </c>
      <c r="D162" s="40">
        <f t="shared" si="5"/>
        <v>84089768.229786664</v>
      </c>
    </row>
    <row r="163" spans="2:4" x14ac:dyDescent="0.25">
      <c r="B163" s="100">
        <v>159</v>
      </c>
      <c r="C163" s="40">
        <f t="shared" si="4"/>
        <v>85701283.324000001</v>
      </c>
      <c r="D163" s="40">
        <f t="shared" si="5"/>
        <v>84621981.952759996</v>
      </c>
    </row>
    <row r="164" spans="2:4" x14ac:dyDescent="0.25">
      <c r="B164" s="100">
        <v>160</v>
      </c>
      <c r="C164" s="40">
        <f t="shared" si="4"/>
        <v>86148521.74666667</v>
      </c>
      <c r="D164" s="40">
        <f t="shared" si="5"/>
        <v>85154195.675733328</v>
      </c>
    </row>
    <row r="165" spans="2:4" x14ac:dyDescent="0.25">
      <c r="B165" s="100">
        <v>161</v>
      </c>
      <c r="C165" s="40">
        <f t="shared" si="4"/>
        <v>86595760.169333339</v>
      </c>
      <c r="D165" s="40">
        <f t="shared" si="5"/>
        <v>85686409.39870666</v>
      </c>
    </row>
    <row r="166" spans="2:4" x14ac:dyDescent="0.25">
      <c r="B166" s="100">
        <v>162</v>
      </c>
      <c r="C166" s="40">
        <f t="shared" si="4"/>
        <v>87042998.592000008</v>
      </c>
      <c r="D166" s="40">
        <f t="shared" si="5"/>
        <v>86218623.121679991</v>
      </c>
    </row>
    <row r="167" spans="2:4" x14ac:dyDescent="0.25">
      <c r="B167" s="100">
        <v>163</v>
      </c>
      <c r="C167" s="40">
        <f t="shared" si="4"/>
        <v>87490237.014666677</v>
      </c>
      <c r="D167" s="40">
        <f t="shared" si="5"/>
        <v>86750836.844653338</v>
      </c>
    </row>
    <row r="168" spans="2:4" x14ac:dyDescent="0.25">
      <c r="B168" s="100">
        <v>164</v>
      </c>
      <c r="C168" s="40">
        <f t="shared" si="4"/>
        <v>87937475.437333345</v>
      </c>
      <c r="D168" s="40">
        <f t="shared" si="5"/>
        <v>87283050.56762667</v>
      </c>
    </row>
    <row r="169" spans="2:4" x14ac:dyDescent="0.25">
      <c r="B169" s="100">
        <v>165</v>
      </c>
      <c r="C169" s="40">
        <f t="shared" si="4"/>
        <v>88384713.860000014</v>
      </c>
      <c r="D169" s="40">
        <f t="shared" si="5"/>
        <v>87815264.290600002</v>
      </c>
    </row>
    <row r="170" spans="2:4" x14ac:dyDescent="0.25">
      <c r="B170" s="100">
        <v>166</v>
      </c>
      <c r="C170" s="40">
        <f t="shared" si="4"/>
        <v>88831952.282666668</v>
      </c>
      <c r="D170" s="40">
        <f t="shared" si="5"/>
        <v>88347478.013573334</v>
      </c>
    </row>
    <row r="171" spans="2:4" x14ac:dyDescent="0.25">
      <c r="B171" s="100">
        <v>167</v>
      </c>
      <c r="C171" s="40">
        <f t="shared" si="4"/>
        <v>89279190.705333337</v>
      </c>
      <c r="D171" s="40">
        <f t="shared" si="5"/>
        <v>88879691.736546665</v>
      </c>
    </row>
    <row r="172" spans="2:4" x14ac:dyDescent="0.25">
      <c r="B172" s="100">
        <v>168</v>
      </c>
      <c r="C172" s="40">
        <f t="shared" si="4"/>
        <v>89726429.128000006</v>
      </c>
      <c r="D172" s="40">
        <f t="shared" si="5"/>
        <v>89411905.459519997</v>
      </c>
    </row>
    <row r="173" spans="2:4" x14ac:dyDescent="0.25">
      <c r="B173" s="100">
        <v>169</v>
      </c>
      <c r="C173" s="40">
        <f t="shared" si="4"/>
        <v>90173667.550666675</v>
      </c>
      <c r="D173" s="40">
        <f t="shared" si="5"/>
        <v>89944119.182493329</v>
      </c>
    </row>
    <row r="174" spans="2:4" x14ac:dyDescent="0.25">
      <c r="B174" s="100">
        <v>170</v>
      </c>
      <c r="C174" s="40">
        <f t="shared" si="4"/>
        <v>90620905.973333344</v>
      </c>
      <c r="D174" s="40">
        <f t="shared" si="5"/>
        <v>90476332.905466661</v>
      </c>
    </row>
    <row r="175" spans="2:4" x14ac:dyDescent="0.25">
      <c r="B175" s="100">
        <v>171</v>
      </c>
      <c r="C175" s="40">
        <f t="shared" si="4"/>
        <v>91068144.396000013</v>
      </c>
      <c r="D175" s="40">
        <f t="shared" si="5"/>
        <v>91008546.628439993</v>
      </c>
    </row>
    <row r="176" spans="2:4" x14ac:dyDescent="0.25">
      <c r="B176" s="100">
        <v>172</v>
      </c>
      <c r="C176" s="40">
        <f t="shared" si="4"/>
        <v>91515382.818666667</v>
      </c>
      <c r="D176" s="40">
        <f t="shared" si="5"/>
        <v>91540760.351413324</v>
      </c>
    </row>
    <row r="177" spans="2:4" x14ac:dyDescent="0.25">
      <c r="B177" s="100">
        <v>173</v>
      </c>
      <c r="C177" s="40">
        <f t="shared" si="4"/>
        <v>91962621.241333336</v>
      </c>
      <c r="D177" s="40">
        <f t="shared" si="5"/>
        <v>92072974.074386671</v>
      </c>
    </row>
    <row r="178" spans="2:4" x14ac:dyDescent="0.25">
      <c r="B178" s="100">
        <v>174</v>
      </c>
      <c r="C178" s="40">
        <f t="shared" si="4"/>
        <v>92409859.664000005</v>
      </c>
      <c r="D178" s="40">
        <f t="shared" si="5"/>
        <v>92605187.797360003</v>
      </c>
    </row>
    <row r="179" spans="2:4" x14ac:dyDescent="0.25">
      <c r="B179" s="100">
        <v>175</v>
      </c>
      <c r="C179" s="40">
        <f t="shared" si="4"/>
        <v>92857098.086666673</v>
      </c>
      <c r="D179" s="40">
        <f t="shared" si="5"/>
        <v>93137401.520333335</v>
      </c>
    </row>
    <row r="180" spans="2:4" x14ac:dyDescent="0.25">
      <c r="B180" s="100">
        <v>176</v>
      </c>
      <c r="C180" s="40">
        <f t="shared" si="4"/>
        <v>93304336.509333342</v>
      </c>
      <c r="D180" s="40">
        <f t="shared" si="5"/>
        <v>93669615.243306667</v>
      </c>
    </row>
    <row r="181" spans="2:4" x14ac:dyDescent="0.25">
      <c r="B181" s="100">
        <v>177</v>
      </c>
      <c r="C181" s="40">
        <f t="shared" si="4"/>
        <v>93751574.932000011</v>
      </c>
      <c r="D181" s="40">
        <f t="shared" si="5"/>
        <v>94201828.966279998</v>
      </c>
    </row>
    <row r="182" spans="2:4" x14ac:dyDescent="0.25">
      <c r="B182" s="100">
        <v>178</v>
      </c>
      <c r="C182" s="40">
        <f t="shared" si="4"/>
        <v>94198813.35466668</v>
      </c>
      <c r="D182" s="40">
        <f t="shared" si="5"/>
        <v>94734042.68925333</v>
      </c>
    </row>
    <row r="183" spans="2:4" x14ac:dyDescent="0.25">
      <c r="B183" s="100">
        <v>179</v>
      </c>
      <c r="C183" s="40">
        <f t="shared" si="4"/>
        <v>94646051.777333334</v>
      </c>
      <c r="D183" s="40">
        <f t="shared" si="5"/>
        <v>95266256.412226662</v>
      </c>
    </row>
    <row r="184" spans="2:4" x14ac:dyDescent="0.25">
      <c r="B184" s="100">
        <v>180</v>
      </c>
      <c r="C184" s="40">
        <f t="shared" si="4"/>
        <v>95093290.200000003</v>
      </c>
      <c r="D184" s="40">
        <f t="shared" si="5"/>
        <v>95798470.135199994</v>
      </c>
    </row>
    <row r="185" spans="2:4" x14ac:dyDescent="0.25">
      <c r="B185" s="100">
        <v>181</v>
      </c>
      <c r="C185" s="40">
        <f t="shared" si="4"/>
        <v>95540528.622666672</v>
      </c>
      <c r="D185" s="40">
        <f t="shared" si="5"/>
        <v>96330683.858173326</v>
      </c>
    </row>
    <row r="186" spans="2:4" x14ac:dyDescent="0.25">
      <c r="B186" s="100">
        <v>182</v>
      </c>
      <c r="C186" s="40">
        <f t="shared" si="4"/>
        <v>95987767.045333341</v>
      </c>
      <c r="D186" s="40">
        <f t="shared" si="5"/>
        <v>96862897.581146657</v>
      </c>
    </row>
    <row r="187" spans="2:4" x14ac:dyDescent="0.25">
      <c r="B187" s="100">
        <v>183</v>
      </c>
      <c r="C187" s="40">
        <f t="shared" si="4"/>
        <v>96435005.46800001</v>
      </c>
      <c r="D187" s="40">
        <f t="shared" si="5"/>
        <v>97395111.304120004</v>
      </c>
    </row>
    <row r="188" spans="2:4" x14ac:dyDescent="0.25">
      <c r="B188" s="100">
        <v>184</v>
      </c>
      <c r="C188" s="40">
        <f t="shared" si="4"/>
        <v>96882243.890666679</v>
      </c>
      <c r="D188" s="40">
        <f t="shared" si="5"/>
        <v>97927325.027093336</v>
      </c>
    </row>
    <row r="189" spans="2:4" x14ac:dyDescent="0.25">
      <c r="B189" s="100">
        <v>185</v>
      </c>
      <c r="C189" s="40">
        <f t="shared" si="4"/>
        <v>97329482.313333347</v>
      </c>
      <c r="D189" s="40">
        <f t="shared" si="5"/>
        <v>98459538.750066668</v>
      </c>
    </row>
    <row r="190" spans="2:4" x14ac:dyDescent="0.25">
      <c r="B190" s="100">
        <v>186</v>
      </c>
      <c r="C190" s="40">
        <f t="shared" si="4"/>
        <v>97776720.736000001</v>
      </c>
      <c r="D190" s="40">
        <f t="shared" si="5"/>
        <v>98991752.47304</v>
      </c>
    </row>
    <row r="191" spans="2:4" x14ac:dyDescent="0.25">
      <c r="B191" s="100">
        <v>187</v>
      </c>
      <c r="C191" s="40">
        <f t="shared" si="4"/>
        <v>98223959.15866667</v>
      </c>
      <c r="D191" s="40">
        <f t="shared" si="5"/>
        <v>99523966.196013331</v>
      </c>
    </row>
    <row r="192" spans="2:4" x14ac:dyDescent="0.25">
      <c r="B192" s="100">
        <v>188</v>
      </c>
      <c r="C192" s="40">
        <f t="shared" si="4"/>
        <v>98671197.581333339</v>
      </c>
      <c r="D192" s="40">
        <f t="shared" si="5"/>
        <v>100056179.91898666</v>
      </c>
    </row>
    <row r="193" spans="2:4" x14ac:dyDescent="0.25">
      <c r="B193" s="100">
        <v>189</v>
      </c>
      <c r="C193" s="40">
        <f t="shared" si="4"/>
        <v>99118436.004000008</v>
      </c>
      <c r="D193" s="40">
        <f t="shared" si="5"/>
        <v>100588393.64196</v>
      </c>
    </row>
    <row r="194" spans="2:4" x14ac:dyDescent="0.25">
      <c r="B194" s="100">
        <v>190</v>
      </c>
      <c r="C194" s="40">
        <f t="shared" si="4"/>
        <v>99565674.426666677</v>
      </c>
      <c r="D194" s="40">
        <f t="shared" si="5"/>
        <v>101120607.36493333</v>
      </c>
    </row>
    <row r="195" spans="2:4" x14ac:dyDescent="0.25">
      <c r="B195" s="100">
        <v>191</v>
      </c>
      <c r="C195" s="40">
        <f t="shared" si="4"/>
        <v>100012912.84933335</v>
      </c>
      <c r="D195" s="40">
        <f t="shared" si="5"/>
        <v>101652821.08790666</v>
      </c>
    </row>
    <row r="196" spans="2:4" x14ac:dyDescent="0.25">
      <c r="B196" s="100">
        <v>192</v>
      </c>
      <c r="C196" s="40">
        <f t="shared" si="4"/>
        <v>100460151.27200001</v>
      </c>
      <c r="D196" s="40">
        <f t="shared" si="5"/>
        <v>102185034.81088001</v>
      </c>
    </row>
    <row r="197" spans="2:4" x14ac:dyDescent="0.25">
      <c r="B197" s="100">
        <v>193</v>
      </c>
      <c r="C197" s="40">
        <f t="shared" ref="C197:C260" si="6">($C$2*B197)+$C$1</f>
        <v>100907389.69466667</v>
      </c>
      <c r="D197" s="40">
        <f t="shared" ref="D197:D260" si="7">$D$2*B197</f>
        <v>102717248.53385334</v>
      </c>
    </row>
    <row r="198" spans="2:4" x14ac:dyDescent="0.25">
      <c r="B198" s="100">
        <v>194</v>
      </c>
      <c r="C198" s="40">
        <f t="shared" si="6"/>
        <v>101354628.11733334</v>
      </c>
      <c r="D198" s="40">
        <f t="shared" si="7"/>
        <v>103249462.25682667</v>
      </c>
    </row>
    <row r="199" spans="2:4" x14ac:dyDescent="0.25">
      <c r="B199" s="100">
        <v>195</v>
      </c>
      <c r="C199" s="40">
        <f t="shared" si="6"/>
        <v>101801866.54000001</v>
      </c>
      <c r="D199" s="40">
        <f t="shared" si="7"/>
        <v>103781675.9798</v>
      </c>
    </row>
    <row r="200" spans="2:4" x14ac:dyDescent="0.25">
      <c r="B200" s="100">
        <v>196</v>
      </c>
      <c r="C200" s="40">
        <f t="shared" si="6"/>
        <v>102249104.96266668</v>
      </c>
      <c r="D200" s="40">
        <f t="shared" si="7"/>
        <v>104313889.70277333</v>
      </c>
    </row>
    <row r="201" spans="2:4" x14ac:dyDescent="0.25">
      <c r="B201" s="100">
        <v>197</v>
      </c>
      <c r="C201" s="40">
        <f t="shared" si="6"/>
        <v>102696343.38533334</v>
      </c>
      <c r="D201" s="40">
        <f t="shared" si="7"/>
        <v>104846103.42574666</v>
      </c>
    </row>
    <row r="202" spans="2:4" x14ac:dyDescent="0.25">
      <c r="B202" s="100">
        <v>198</v>
      </c>
      <c r="C202" s="40">
        <f t="shared" si="6"/>
        <v>103143581.80800001</v>
      </c>
      <c r="D202" s="40">
        <f t="shared" si="7"/>
        <v>105378317.14872</v>
      </c>
    </row>
    <row r="203" spans="2:4" x14ac:dyDescent="0.25">
      <c r="B203" s="100">
        <v>199</v>
      </c>
      <c r="C203" s="40">
        <f t="shared" si="6"/>
        <v>103590820.23066667</v>
      </c>
      <c r="D203" s="40">
        <f t="shared" si="7"/>
        <v>105910530.87169333</v>
      </c>
    </row>
    <row r="204" spans="2:4" x14ac:dyDescent="0.25">
      <c r="B204" s="100">
        <v>200</v>
      </c>
      <c r="C204" s="40">
        <f t="shared" si="6"/>
        <v>104038058.65333334</v>
      </c>
      <c r="D204" s="40">
        <f t="shared" si="7"/>
        <v>106442744.59466666</v>
      </c>
    </row>
    <row r="205" spans="2:4" x14ac:dyDescent="0.25">
      <c r="B205" s="100">
        <v>201</v>
      </c>
      <c r="C205" s="40">
        <f t="shared" si="6"/>
        <v>104485297.07600001</v>
      </c>
      <c r="D205" s="40">
        <f t="shared" si="7"/>
        <v>106974958.31763999</v>
      </c>
    </row>
    <row r="206" spans="2:4" x14ac:dyDescent="0.25">
      <c r="B206" s="100">
        <v>202</v>
      </c>
      <c r="C206" s="40">
        <f t="shared" si="6"/>
        <v>104932535.49866667</v>
      </c>
      <c r="D206" s="40">
        <f t="shared" si="7"/>
        <v>107507172.04061334</v>
      </c>
    </row>
    <row r="207" spans="2:4" x14ac:dyDescent="0.25">
      <c r="B207" s="100">
        <v>203</v>
      </c>
      <c r="C207" s="40">
        <f t="shared" si="6"/>
        <v>105379773.92133334</v>
      </c>
      <c r="D207" s="40">
        <f t="shared" si="7"/>
        <v>108039385.76358667</v>
      </c>
    </row>
    <row r="208" spans="2:4" x14ac:dyDescent="0.25">
      <c r="B208" s="100">
        <v>204</v>
      </c>
      <c r="C208" s="40">
        <f t="shared" si="6"/>
        <v>105827012.34400001</v>
      </c>
      <c r="D208" s="40">
        <f t="shared" si="7"/>
        <v>108571599.48656</v>
      </c>
    </row>
    <row r="209" spans="2:4" x14ac:dyDescent="0.25">
      <c r="B209" s="100">
        <v>205</v>
      </c>
      <c r="C209" s="40">
        <f t="shared" si="6"/>
        <v>106274250.76666668</v>
      </c>
      <c r="D209" s="40">
        <f t="shared" si="7"/>
        <v>109103813.20953333</v>
      </c>
    </row>
    <row r="210" spans="2:4" x14ac:dyDescent="0.25">
      <c r="B210" s="100">
        <v>206</v>
      </c>
      <c r="C210" s="40">
        <f t="shared" si="6"/>
        <v>106721489.18933333</v>
      </c>
      <c r="D210" s="40">
        <f t="shared" si="7"/>
        <v>109636026.93250667</v>
      </c>
    </row>
    <row r="211" spans="2:4" x14ac:dyDescent="0.25">
      <c r="B211" s="100">
        <v>207</v>
      </c>
      <c r="C211" s="40">
        <f t="shared" si="6"/>
        <v>107168727.612</v>
      </c>
      <c r="D211" s="40">
        <f t="shared" si="7"/>
        <v>110168240.65548</v>
      </c>
    </row>
    <row r="212" spans="2:4" x14ac:dyDescent="0.25">
      <c r="B212" s="100">
        <v>208</v>
      </c>
      <c r="C212" s="40">
        <f t="shared" si="6"/>
        <v>107615966.03466667</v>
      </c>
      <c r="D212" s="40">
        <f t="shared" si="7"/>
        <v>110700454.37845333</v>
      </c>
    </row>
    <row r="213" spans="2:4" x14ac:dyDescent="0.25">
      <c r="B213" s="100">
        <v>209</v>
      </c>
      <c r="C213" s="40">
        <f t="shared" si="6"/>
        <v>108063204.45733334</v>
      </c>
      <c r="D213" s="40">
        <f t="shared" si="7"/>
        <v>111232668.10142666</v>
      </c>
    </row>
    <row r="214" spans="2:4" x14ac:dyDescent="0.25">
      <c r="B214" s="100">
        <v>210</v>
      </c>
      <c r="C214" s="40">
        <f t="shared" si="6"/>
        <v>108510442.88000001</v>
      </c>
      <c r="D214" s="40">
        <f t="shared" si="7"/>
        <v>111764881.82439999</v>
      </c>
    </row>
    <row r="215" spans="2:4" x14ac:dyDescent="0.25">
      <c r="B215" s="100">
        <v>211</v>
      </c>
      <c r="C215" s="40">
        <f t="shared" si="6"/>
        <v>108957681.30266668</v>
      </c>
      <c r="D215" s="40">
        <f t="shared" si="7"/>
        <v>112297095.54737332</v>
      </c>
    </row>
    <row r="216" spans="2:4" x14ac:dyDescent="0.25">
      <c r="B216" s="100">
        <v>212</v>
      </c>
      <c r="C216" s="40">
        <f t="shared" si="6"/>
        <v>109404919.72533335</v>
      </c>
      <c r="D216" s="40">
        <f t="shared" si="7"/>
        <v>112829309.27034667</v>
      </c>
    </row>
    <row r="217" spans="2:4" x14ac:dyDescent="0.25">
      <c r="B217" s="100">
        <v>213</v>
      </c>
      <c r="C217" s="40">
        <f t="shared" si="6"/>
        <v>109852158.148</v>
      </c>
      <c r="D217" s="40">
        <f t="shared" si="7"/>
        <v>113361522.99332</v>
      </c>
    </row>
    <row r="218" spans="2:4" x14ac:dyDescent="0.25">
      <c r="B218" s="100">
        <v>214</v>
      </c>
      <c r="C218" s="40">
        <f t="shared" si="6"/>
        <v>110299396.57066667</v>
      </c>
      <c r="D218" s="40">
        <f t="shared" si="7"/>
        <v>113893736.71629333</v>
      </c>
    </row>
    <row r="219" spans="2:4" x14ac:dyDescent="0.25">
      <c r="B219" s="100">
        <v>215</v>
      </c>
      <c r="C219" s="40">
        <f t="shared" si="6"/>
        <v>110746634.99333334</v>
      </c>
      <c r="D219" s="40">
        <f t="shared" si="7"/>
        <v>114425950.43926667</v>
      </c>
    </row>
    <row r="220" spans="2:4" x14ac:dyDescent="0.25">
      <c r="B220" s="100">
        <v>216</v>
      </c>
      <c r="C220" s="40">
        <f t="shared" si="6"/>
        <v>111193873.41600001</v>
      </c>
      <c r="D220" s="40">
        <f t="shared" si="7"/>
        <v>114958164.16224</v>
      </c>
    </row>
    <row r="221" spans="2:4" x14ac:dyDescent="0.25">
      <c r="B221" s="100">
        <v>217</v>
      </c>
      <c r="C221" s="40">
        <f t="shared" si="6"/>
        <v>111641111.83866668</v>
      </c>
      <c r="D221" s="40">
        <f t="shared" si="7"/>
        <v>115490377.88521333</v>
      </c>
    </row>
    <row r="222" spans="2:4" x14ac:dyDescent="0.25">
      <c r="B222" s="100">
        <v>218</v>
      </c>
      <c r="C222" s="40">
        <f t="shared" si="6"/>
        <v>112088350.26133335</v>
      </c>
      <c r="D222" s="40">
        <f t="shared" si="7"/>
        <v>116022591.60818666</v>
      </c>
    </row>
    <row r="223" spans="2:4" x14ac:dyDescent="0.25">
      <c r="B223" s="100">
        <v>219</v>
      </c>
      <c r="C223" s="40">
        <f t="shared" si="6"/>
        <v>112535588.684</v>
      </c>
      <c r="D223" s="40">
        <f t="shared" si="7"/>
        <v>116554805.33115999</v>
      </c>
    </row>
    <row r="224" spans="2:4" x14ac:dyDescent="0.25">
      <c r="B224" s="100">
        <v>220</v>
      </c>
      <c r="C224" s="40">
        <f t="shared" si="6"/>
        <v>112982827.10666667</v>
      </c>
      <c r="D224" s="40">
        <f t="shared" si="7"/>
        <v>117087019.05413333</v>
      </c>
    </row>
    <row r="225" spans="2:4" x14ac:dyDescent="0.25">
      <c r="B225" s="100">
        <v>221</v>
      </c>
      <c r="C225" s="40">
        <f t="shared" si="6"/>
        <v>113430065.52933334</v>
      </c>
      <c r="D225" s="40">
        <f t="shared" si="7"/>
        <v>117619232.77710666</v>
      </c>
    </row>
    <row r="226" spans="2:4" x14ac:dyDescent="0.25">
      <c r="B226" s="100">
        <v>222</v>
      </c>
      <c r="C226" s="40">
        <f t="shared" si="6"/>
        <v>113877303.95200001</v>
      </c>
      <c r="D226" s="40">
        <f t="shared" si="7"/>
        <v>118151446.50008</v>
      </c>
    </row>
    <row r="227" spans="2:4" x14ac:dyDescent="0.25">
      <c r="B227" s="100">
        <v>223</v>
      </c>
      <c r="C227" s="40">
        <f t="shared" si="6"/>
        <v>114324542.37466668</v>
      </c>
      <c r="D227" s="40">
        <f t="shared" si="7"/>
        <v>118683660.22305334</v>
      </c>
    </row>
    <row r="228" spans="2:4" x14ac:dyDescent="0.25">
      <c r="B228" s="100">
        <v>224</v>
      </c>
      <c r="C228" s="40">
        <f t="shared" si="6"/>
        <v>114771780.79733334</v>
      </c>
      <c r="D228" s="40">
        <f t="shared" si="7"/>
        <v>119215873.94602667</v>
      </c>
    </row>
    <row r="229" spans="2:4" x14ac:dyDescent="0.25">
      <c r="B229" s="100">
        <v>225</v>
      </c>
      <c r="C229" s="40">
        <f t="shared" si="6"/>
        <v>115219019.22000001</v>
      </c>
      <c r="D229" s="40">
        <f t="shared" si="7"/>
        <v>119748087.669</v>
      </c>
    </row>
    <row r="230" spans="2:4" x14ac:dyDescent="0.25">
      <c r="B230" s="100">
        <v>226</v>
      </c>
      <c r="C230" s="40">
        <f t="shared" si="6"/>
        <v>115666257.64266667</v>
      </c>
      <c r="D230" s="40">
        <f t="shared" si="7"/>
        <v>120280301.39197333</v>
      </c>
    </row>
    <row r="231" spans="2:4" x14ac:dyDescent="0.25">
      <c r="B231" s="100">
        <v>227</v>
      </c>
      <c r="C231" s="40">
        <f t="shared" si="6"/>
        <v>116113496.06533334</v>
      </c>
      <c r="D231" s="40">
        <f t="shared" si="7"/>
        <v>120812515.11494666</v>
      </c>
    </row>
    <row r="232" spans="2:4" x14ac:dyDescent="0.25">
      <c r="B232" s="100">
        <v>228</v>
      </c>
      <c r="C232" s="40">
        <f t="shared" si="6"/>
        <v>116560734.48800001</v>
      </c>
      <c r="D232" s="40">
        <f t="shared" si="7"/>
        <v>121344728.83792</v>
      </c>
    </row>
    <row r="233" spans="2:4" x14ac:dyDescent="0.25">
      <c r="B233" s="100">
        <v>229</v>
      </c>
      <c r="C233" s="40">
        <f t="shared" si="6"/>
        <v>117007972.91066667</v>
      </c>
      <c r="D233" s="40">
        <f t="shared" si="7"/>
        <v>121876942.56089333</v>
      </c>
    </row>
    <row r="234" spans="2:4" x14ac:dyDescent="0.25">
      <c r="B234" s="100">
        <v>230</v>
      </c>
      <c r="C234" s="40">
        <f t="shared" si="6"/>
        <v>117455211.33333334</v>
      </c>
      <c r="D234" s="40">
        <f t="shared" si="7"/>
        <v>122409156.28386666</v>
      </c>
    </row>
    <row r="235" spans="2:4" x14ac:dyDescent="0.25">
      <c r="B235" s="100">
        <v>231</v>
      </c>
      <c r="C235" s="40">
        <f t="shared" si="6"/>
        <v>117902449.75600001</v>
      </c>
      <c r="D235" s="40">
        <f t="shared" si="7"/>
        <v>122941370.00683999</v>
      </c>
    </row>
    <row r="236" spans="2:4" x14ac:dyDescent="0.25">
      <c r="B236" s="100">
        <v>232</v>
      </c>
      <c r="C236" s="40">
        <f t="shared" si="6"/>
        <v>118349688.17866668</v>
      </c>
      <c r="D236" s="40">
        <f t="shared" si="7"/>
        <v>123473583.72981334</v>
      </c>
    </row>
    <row r="237" spans="2:4" x14ac:dyDescent="0.25">
      <c r="B237" s="100">
        <v>233</v>
      </c>
      <c r="C237" s="40">
        <f t="shared" si="6"/>
        <v>118796926.60133334</v>
      </c>
      <c r="D237" s="40">
        <f t="shared" si="7"/>
        <v>124005797.45278667</v>
      </c>
    </row>
    <row r="238" spans="2:4" x14ac:dyDescent="0.25">
      <c r="B238" s="100">
        <v>234</v>
      </c>
      <c r="C238" s="40">
        <f t="shared" si="6"/>
        <v>119244165.024</v>
      </c>
      <c r="D238" s="40">
        <f t="shared" si="7"/>
        <v>124538011.17576</v>
      </c>
    </row>
    <row r="239" spans="2:4" x14ac:dyDescent="0.25">
      <c r="B239" s="100">
        <v>235</v>
      </c>
      <c r="C239" s="40">
        <f t="shared" si="6"/>
        <v>119691403.44666667</v>
      </c>
      <c r="D239" s="40">
        <f t="shared" si="7"/>
        <v>125070224.89873333</v>
      </c>
    </row>
    <row r="240" spans="2:4" x14ac:dyDescent="0.25">
      <c r="B240" s="100">
        <v>236</v>
      </c>
      <c r="C240" s="40">
        <f t="shared" si="6"/>
        <v>120138641.86933334</v>
      </c>
      <c r="D240" s="40">
        <f t="shared" si="7"/>
        <v>125602438.62170666</v>
      </c>
    </row>
    <row r="241" spans="2:4" x14ac:dyDescent="0.25">
      <c r="B241" s="100">
        <v>237</v>
      </c>
      <c r="C241" s="40">
        <f t="shared" si="6"/>
        <v>120585880.29200001</v>
      </c>
      <c r="D241" s="40">
        <f t="shared" si="7"/>
        <v>126134652.34468</v>
      </c>
    </row>
    <row r="242" spans="2:4" x14ac:dyDescent="0.25">
      <c r="B242" s="100">
        <v>238</v>
      </c>
      <c r="C242" s="40">
        <f t="shared" si="6"/>
        <v>121033118.71466668</v>
      </c>
      <c r="D242" s="40">
        <f t="shared" si="7"/>
        <v>126666866.06765333</v>
      </c>
    </row>
    <row r="243" spans="2:4" x14ac:dyDescent="0.25">
      <c r="B243" s="100">
        <v>239</v>
      </c>
      <c r="C243" s="40">
        <f t="shared" si="6"/>
        <v>121480357.13733335</v>
      </c>
      <c r="D243" s="40">
        <f t="shared" si="7"/>
        <v>127199079.79062666</v>
      </c>
    </row>
    <row r="244" spans="2:4" x14ac:dyDescent="0.25">
      <c r="B244" s="100">
        <v>240</v>
      </c>
      <c r="C244" s="40">
        <f t="shared" si="6"/>
        <v>121927595.56</v>
      </c>
      <c r="D244" s="40">
        <f t="shared" si="7"/>
        <v>127731293.51359999</v>
      </c>
    </row>
    <row r="245" spans="2:4" x14ac:dyDescent="0.25">
      <c r="B245" s="100">
        <v>241</v>
      </c>
      <c r="C245" s="40">
        <f t="shared" si="6"/>
        <v>122374833.98266667</v>
      </c>
      <c r="D245" s="40">
        <f t="shared" si="7"/>
        <v>128263507.23657332</v>
      </c>
    </row>
    <row r="246" spans="2:4" x14ac:dyDescent="0.25">
      <c r="B246" s="100">
        <v>242</v>
      </c>
      <c r="C246" s="40">
        <f t="shared" si="6"/>
        <v>122822072.40533334</v>
      </c>
      <c r="D246" s="40">
        <f t="shared" si="7"/>
        <v>128795720.95954667</v>
      </c>
    </row>
    <row r="247" spans="2:4" x14ac:dyDescent="0.25">
      <c r="B247" s="100">
        <v>243</v>
      </c>
      <c r="C247" s="40">
        <f t="shared" si="6"/>
        <v>123269310.82800001</v>
      </c>
      <c r="D247" s="40">
        <f t="shared" si="7"/>
        <v>129327934.68252</v>
      </c>
    </row>
    <row r="248" spans="2:4" x14ac:dyDescent="0.25">
      <c r="B248" s="100">
        <v>244</v>
      </c>
      <c r="C248" s="40">
        <f t="shared" si="6"/>
        <v>123716549.25066668</v>
      </c>
      <c r="D248" s="40">
        <f t="shared" si="7"/>
        <v>129860148.40549333</v>
      </c>
    </row>
    <row r="249" spans="2:4" x14ac:dyDescent="0.25">
      <c r="B249" s="100">
        <v>245</v>
      </c>
      <c r="C249" s="40">
        <f t="shared" si="6"/>
        <v>124163787.67333335</v>
      </c>
      <c r="D249" s="40">
        <f t="shared" si="7"/>
        <v>130392362.12846667</v>
      </c>
    </row>
    <row r="250" spans="2:4" x14ac:dyDescent="0.25">
      <c r="B250" s="100">
        <v>246</v>
      </c>
      <c r="C250" s="40">
        <f t="shared" si="6"/>
        <v>124611026.096</v>
      </c>
      <c r="D250" s="40">
        <f t="shared" si="7"/>
        <v>130924575.85144</v>
      </c>
    </row>
    <row r="251" spans="2:4" x14ac:dyDescent="0.25">
      <c r="B251" s="100">
        <v>247</v>
      </c>
      <c r="C251" s="40">
        <f t="shared" si="6"/>
        <v>125058264.51866667</v>
      </c>
      <c r="D251" s="40">
        <f t="shared" si="7"/>
        <v>131456789.57441333</v>
      </c>
    </row>
    <row r="252" spans="2:4" x14ac:dyDescent="0.25">
      <c r="B252" s="100">
        <v>248</v>
      </c>
      <c r="C252" s="40">
        <f t="shared" si="6"/>
        <v>125505502.94133334</v>
      </c>
      <c r="D252" s="40">
        <f t="shared" si="7"/>
        <v>131989003.29738666</v>
      </c>
    </row>
    <row r="253" spans="2:4" x14ac:dyDescent="0.25">
      <c r="B253" s="100">
        <v>249</v>
      </c>
      <c r="C253" s="40">
        <f t="shared" si="6"/>
        <v>125952741.36400001</v>
      </c>
      <c r="D253" s="40">
        <f t="shared" si="7"/>
        <v>132521217.02035999</v>
      </c>
    </row>
    <row r="254" spans="2:4" x14ac:dyDescent="0.25">
      <c r="B254" s="100">
        <v>250</v>
      </c>
      <c r="C254" s="40">
        <f t="shared" si="6"/>
        <v>126399979.78666668</v>
      </c>
      <c r="D254" s="40">
        <f t="shared" si="7"/>
        <v>133053430.74333332</v>
      </c>
    </row>
    <row r="255" spans="2:4" x14ac:dyDescent="0.25">
      <c r="B255" s="100">
        <v>251</v>
      </c>
      <c r="C255" s="40">
        <f t="shared" si="6"/>
        <v>126847218.20933335</v>
      </c>
      <c r="D255" s="40">
        <f t="shared" si="7"/>
        <v>133585644.46630666</v>
      </c>
    </row>
    <row r="256" spans="2:4" x14ac:dyDescent="0.25">
      <c r="B256" s="100">
        <v>252</v>
      </c>
      <c r="C256" s="40">
        <f t="shared" si="6"/>
        <v>127294456.63200001</v>
      </c>
      <c r="D256" s="40">
        <f t="shared" si="7"/>
        <v>134117858.18928</v>
      </c>
    </row>
    <row r="257" spans="2:4" x14ac:dyDescent="0.25">
      <c r="B257" s="100">
        <v>253</v>
      </c>
      <c r="C257" s="40">
        <f t="shared" si="6"/>
        <v>127741695.05466667</v>
      </c>
      <c r="D257" s="40">
        <f t="shared" si="7"/>
        <v>134650071.91225332</v>
      </c>
    </row>
    <row r="258" spans="2:4" x14ac:dyDescent="0.25">
      <c r="B258" s="100">
        <v>254</v>
      </c>
      <c r="C258" s="40">
        <f t="shared" si="6"/>
        <v>128188933.47733334</v>
      </c>
      <c r="D258" s="40">
        <f t="shared" si="7"/>
        <v>135182285.63522667</v>
      </c>
    </row>
    <row r="259" spans="2:4" x14ac:dyDescent="0.25">
      <c r="B259" s="100">
        <v>255</v>
      </c>
      <c r="C259" s="40">
        <f t="shared" si="6"/>
        <v>128636171.90000001</v>
      </c>
      <c r="D259" s="40">
        <f t="shared" si="7"/>
        <v>135714499.35819998</v>
      </c>
    </row>
    <row r="260" spans="2:4" x14ac:dyDescent="0.25">
      <c r="B260" s="100">
        <v>256</v>
      </c>
      <c r="C260" s="40">
        <f t="shared" si="6"/>
        <v>129083410.32266667</v>
      </c>
      <c r="D260" s="40">
        <f t="shared" si="7"/>
        <v>136246713.08117333</v>
      </c>
    </row>
    <row r="261" spans="2:4" x14ac:dyDescent="0.25">
      <c r="B261" s="100">
        <v>257</v>
      </c>
      <c r="C261" s="40">
        <f t="shared" ref="C261:C304" si="8">($C$2*B261)+$C$1</f>
        <v>129530648.74533334</v>
      </c>
      <c r="D261" s="40">
        <f t="shared" ref="D261:D304" si="9">$D$2*B261</f>
        <v>136778926.80414668</v>
      </c>
    </row>
    <row r="262" spans="2:4" x14ac:dyDescent="0.25">
      <c r="B262" s="100">
        <v>258</v>
      </c>
      <c r="C262" s="40">
        <f t="shared" si="8"/>
        <v>129977887.16800001</v>
      </c>
      <c r="D262" s="40">
        <f t="shared" si="9"/>
        <v>137311140.52711999</v>
      </c>
    </row>
    <row r="263" spans="2:4" x14ac:dyDescent="0.25">
      <c r="B263" s="100">
        <v>259</v>
      </c>
      <c r="C263" s="40">
        <f t="shared" si="8"/>
        <v>130425125.59066668</v>
      </c>
      <c r="D263" s="40">
        <f t="shared" si="9"/>
        <v>137843354.25009334</v>
      </c>
    </row>
    <row r="264" spans="2:4" x14ac:dyDescent="0.25">
      <c r="B264" s="100">
        <v>260</v>
      </c>
      <c r="C264" s="40">
        <f t="shared" si="8"/>
        <v>130872364.01333334</v>
      </c>
      <c r="D264" s="40">
        <f t="shared" si="9"/>
        <v>138375567.97306666</v>
      </c>
    </row>
    <row r="265" spans="2:4" x14ac:dyDescent="0.25">
      <c r="B265" s="100">
        <v>261</v>
      </c>
      <c r="C265" s="40">
        <f t="shared" si="8"/>
        <v>131319602.436</v>
      </c>
      <c r="D265" s="40">
        <f t="shared" si="9"/>
        <v>138907781.69604</v>
      </c>
    </row>
    <row r="266" spans="2:4" x14ac:dyDescent="0.25">
      <c r="B266" s="100">
        <v>262</v>
      </c>
      <c r="C266" s="40">
        <f t="shared" si="8"/>
        <v>131766840.85866667</v>
      </c>
      <c r="D266" s="40">
        <f t="shared" si="9"/>
        <v>139439995.41901332</v>
      </c>
    </row>
    <row r="267" spans="2:4" x14ac:dyDescent="0.25">
      <c r="B267" s="100">
        <v>263</v>
      </c>
      <c r="C267" s="40">
        <f t="shared" si="8"/>
        <v>132214079.28133334</v>
      </c>
      <c r="D267" s="40">
        <f t="shared" si="9"/>
        <v>139972209.14198667</v>
      </c>
    </row>
    <row r="268" spans="2:4" x14ac:dyDescent="0.25">
      <c r="B268" s="100">
        <v>264</v>
      </c>
      <c r="C268" s="40">
        <f t="shared" si="8"/>
        <v>132661317.70400001</v>
      </c>
      <c r="D268" s="40">
        <f t="shared" si="9"/>
        <v>140504422.86495999</v>
      </c>
    </row>
    <row r="269" spans="2:4" x14ac:dyDescent="0.25">
      <c r="B269" s="100">
        <v>265</v>
      </c>
      <c r="C269" s="40">
        <f t="shared" si="8"/>
        <v>133108556.12666668</v>
      </c>
      <c r="D269" s="40">
        <f t="shared" si="9"/>
        <v>141036636.58793333</v>
      </c>
    </row>
    <row r="270" spans="2:4" x14ac:dyDescent="0.25">
      <c r="B270" s="100">
        <v>266</v>
      </c>
      <c r="C270" s="40">
        <f t="shared" si="8"/>
        <v>133555794.54933335</v>
      </c>
      <c r="D270" s="40">
        <f t="shared" si="9"/>
        <v>141568850.31090668</v>
      </c>
    </row>
    <row r="271" spans="2:4" x14ac:dyDescent="0.25">
      <c r="B271" s="100">
        <v>267</v>
      </c>
      <c r="C271" s="40">
        <f t="shared" si="8"/>
        <v>134003032.972</v>
      </c>
      <c r="D271" s="40">
        <f t="shared" si="9"/>
        <v>142101064.03388</v>
      </c>
    </row>
    <row r="272" spans="2:4" x14ac:dyDescent="0.25">
      <c r="B272" s="100">
        <v>268</v>
      </c>
      <c r="C272" s="40">
        <f t="shared" si="8"/>
        <v>134450271.39466667</v>
      </c>
      <c r="D272" s="40">
        <f t="shared" si="9"/>
        <v>142633277.75685334</v>
      </c>
    </row>
    <row r="273" spans="2:4" x14ac:dyDescent="0.25">
      <c r="B273" s="100">
        <v>269</v>
      </c>
      <c r="C273" s="40">
        <f t="shared" si="8"/>
        <v>134897509.81733334</v>
      </c>
      <c r="D273" s="40">
        <f t="shared" si="9"/>
        <v>143165491.47982666</v>
      </c>
    </row>
    <row r="274" spans="2:4" x14ac:dyDescent="0.25">
      <c r="B274" s="100">
        <v>270</v>
      </c>
      <c r="C274" s="40">
        <f t="shared" si="8"/>
        <v>135344748.24000001</v>
      </c>
      <c r="D274" s="40">
        <f t="shared" si="9"/>
        <v>143697705.20280001</v>
      </c>
    </row>
    <row r="275" spans="2:4" x14ac:dyDescent="0.25">
      <c r="B275" s="100">
        <v>271</v>
      </c>
      <c r="C275" s="40">
        <f t="shared" si="8"/>
        <v>135791986.66266668</v>
      </c>
      <c r="D275" s="40">
        <f t="shared" si="9"/>
        <v>144229918.92577332</v>
      </c>
    </row>
    <row r="276" spans="2:4" x14ac:dyDescent="0.25">
      <c r="B276" s="100">
        <v>272</v>
      </c>
      <c r="C276" s="40">
        <f t="shared" si="8"/>
        <v>136239225.08533335</v>
      </c>
      <c r="D276" s="40">
        <f t="shared" si="9"/>
        <v>144762132.64874667</v>
      </c>
    </row>
    <row r="277" spans="2:4" x14ac:dyDescent="0.25">
      <c r="B277" s="100">
        <v>273</v>
      </c>
      <c r="C277" s="40">
        <f t="shared" si="8"/>
        <v>136686463.50799999</v>
      </c>
      <c r="D277" s="40">
        <f t="shared" si="9"/>
        <v>145294346.37171999</v>
      </c>
    </row>
    <row r="278" spans="2:4" x14ac:dyDescent="0.25">
      <c r="B278" s="100">
        <v>274</v>
      </c>
      <c r="C278" s="40">
        <f t="shared" si="8"/>
        <v>137133701.93066666</v>
      </c>
      <c r="D278" s="40">
        <f t="shared" si="9"/>
        <v>145826560.09469333</v>
      </c>
    </row>
    <row r="279" spans="2:4" x14ac:dyDescent="0.25">
      <c r="B279" s="100">
        <v>275</v>
      </c>
      <c r="C279" s="40">
        <f t="shared" si="8"/>
        <v>137580940.35333332</v>
      </c>
      <c r="D279" s="40">
        <f t="shared" si="9"/>
        <v>146358773.81766665</v>
      </c>
    </row>
    <row r="280" spans="2:4" x14ac:dyDescent="0.25">
      <c r="B280" s="100">
        <v>276</v>
      </c>
      <c r="C280" s="40">
        <f t="shared" si="8"/>
        <v>138028178.77599999</v>
      </c>
      <c r="D280" s="40">
        <f t="shared" si="9"/>
        <v>146890987.54064</v>
      </c>
    </row>
    <row r="281" spans="2:4" x14ac:dyDescent="0.25">
      <c r="B281" s="100">
        <v>277</v>
      </c>
      <c r="C281" s="40">
        <f t="shared" si="8"/>
        <v>138475417.19866666</v>
      </c>
      <c r="D281" s="40">
        <f t="shared" si="9"/>
        <v>147423201.26361334</v>
      </c>
    </row>
    <row r="282" spans="2:4" x14ac:dyDescent="0.25">
      <c r="B282" s="100">
        <v>278</v>
      </c>
      <c r="C282" s="40">
        <f t="shared" si="8"/>
        <v>138922655.62133333</v>
      </c>
      <c r="D282" s="40">
        <f t="shared" si="9"/>
        <v>147955414.98658666</v>
      </c>
    </row>
    <row r="283" spans="2:4" x14ac:dyDescent="0.25">
      <c r="B283" s="100">
        <v>279</v>
      </c>
      <c r="C283" s="40">
        <f t="shared" si="8"/>
        <v>139369894.044</v>
      </c>
      <c r="D283" s="40">
        <f t="shared" si="9"/>
        <v>148487628.70956001</v>
      </c>
    </row>
    <row r="284" spans="2:4" x14ac:dyDescent="0.25">
      <c r="B284" s="100">
        <v>280</v>
      </c>
      <c r="C284" s="40">
        <f t="shared" si="8"/>
        <v>139817132.46666667</v>
      </c>
      <c r="D284" s="40">
        <f t="shared" si="9"/>
        <v>149019842.43253332</v>
      </c>
    </row>
    <row r="285" spans="2:4" x14ac:dyDescent="0.25">
      <c r="B285" s="100">
        <v>281</v>
      </c>
      <c r="C285" s="40">
        <f t="shared" si="8"/>
        <v>140264370.88933334</v>
      </c>
      <c r="D285" s="40">
        <f t="shared" si="9"/>
        <v>149552056.15550667</v>
      </c>
    </row>
    <row r="286" spans="2:4" x14ac:dyDescent="0.25">
      <c r="B286" s="100">
        <v>282</v>
      </c>
      <c r="C286" s="40">
        <f t="shared" si="8"/>
        <v>140711609.31200001</v>
      </c>
      <c r="D286" s="40">
        <f t="shared" si="9"/>
        <v>150084269.87847999</v>
      </c>
    </row>
    <row r="287" spans="2:4" x14ac:dyDescent="0.25">
      <c r="B287" s="100">
        <v>283</v>
      </c>
      <c r="C287" s="40">
        <f t="shared" si="8"/>
        <v>141158847.73466668</v>
      </c>
      <c r="D287" s="40">
        <f t="shared" si="9"/>
        <v>150616483.60145333</v>
      </c>
    </row>
    <row r="288" spans="2:4" x14ac:dyDescent="0.25">
      <c r="B288" s="100">
        <v>284</v>
      </c>
      <c r="C288" s="40">
        <f t="shared" si="8"/>
        <v>141606086.15733334</v>
      </c>
      <c r="D288" s="40">
        <f t="shared" si="9"/>
        <v>151148697.32442665</v>
      </c>
    </row>
    <row r="289" spans="2:4" x14ac:dyDescent="0.25">
      <c r="B289" s="100">
        <v>285</v>
      </c>
      <c r="C289" s="40">
        <f t="shared" si="8"/>
        <v>142053324.58000001</v>
      </c>
      <c r="D289" s="40">
        <f t="shared" si="9"/>
        <v>151680911.0474</v>
      </c>
    </row>
    <row r="290" spans="2:4" x14ac:dyDescent="0.25">
      <c r="B290" s="100">
        <v>286</v>
      </c>
      <c r="C290" s="40">
        <f t="shared" si="8"/>
        <v>142500563.00266668</v>
      </c>
      <c r="D290" s="40">
        <f t="shared" si="9"/>
        <v>152213124.77037334</v>
      </c>
    </row>
    <row r="291" spans="2:4" x14ac:dyDescent="0.25">
      <c r="B291" s="100">
        <v>287</v>
      </c>
      <c r="C291" s="40">
        <f t="shared" si="8"/>
        <v>142947801.42533332</v>
      </c>
      <c r="D291" s="40">
        <f t="shared" si="9"/>
        <v>152745338.49334666</v>
      </c>
    </row>
    <row r="292" spans="2:4" x14ac:dyDescent="0.25">
      <c r="B292" s="100">
        <v>288</v>
      </c>
      <c r="C292" s="40">
        <f t="shared" si="8"/>
        <v>143395039.84799999</v>
      </c>
      <c r="D292" s="40">
        <f t="shared" si="9"/>
        <v>153277552.21632001</v>
      </c>
    </row>
    <row r="293" spans="2:4" x14ac:dyDescent="0.25">
      <c r="B293" s="100">
        <v>289</v>
      </c>
      <c r="C293" s="40">
        <f t="shared" si="8"/>
        <v>143842278.27066666</v>
      </c>
      <c r="D293" s="40">
        <f t="shared" si="9"/>
        <v>153809765.93929332</v>
      </c>
    </row>
    <row r="294" spans="2:4" x14ac:dyDescent="0.25">
      <c r="B294" s="100">
        <v>290</v>
      </c>
      <c r="C294" s="40">
        <f t="shared" si="8"/>
        <v>144289516.69333333</v>
      </c>
      <c r="D294" s="40">
        <f t="shared" si="9"/>
        <v>154341979.66226667</v>
      </c>
    </row>
    <row r="295" spans="2:4" x14ac:dyDescent="0.25">
      <c r="B295" s="100">
        <v>291</v>
      </c>
      <c r="C295" s="40">
        <f t="shared" si="8"/>
        <v>144736755.116</v>
      </c>
      <c r="D295" s="40">
        <f t="shared" si="9"/>
        <v>154874193.38523999</v>
      </c>
    </row>
    <row r="296" spans="2:4" x14ac:dyDescent="0.25">
      <c r="B296" s="100">
        <v>292</v>
      </c>
      <c r="C296" s="40">
        <f t="shared" si="8"/>
        <v>145183993.53866667</v>
      </c>
      <c r="D296" s="40">
        <f t="shared" si="9"/>
        <v>155406407.10821334</v>
      </c>
    </row>
    <row r="297" spans="2:4" x14ac:dyDescent="0.25">
      <c r="B297" s="100">
        <v>293</v>
      </c>
      <c r="C297" s="40">
        <f t="shared" si="8"/>
        <v>145631231.96133333</v>
      </c>
      <c r="D297" s="40">
        <f t="shared" si="9"/>
        <v>155938620.83118665</v>
      </c>
    </row>
    <row r="298" spans="2:4" x14ac:dyDescent="0.25">
      <c r="B298" s="100">
        <v>294</v>
      </c>
      <c r="C298" s="40">
        <f t="shared" si="8"/>
        <v>146078470.384</v>
      </c>
      <c r="D298" s="40">
        <f t="shared" si="9"/>
        <v>156470834.55416</v>
      </c>
    </row>
    <row r="299" spans="2:4" x14ac:dyDescent="0.25">
      <c r="B299" s="100">
        <v>295</v>
      </c>
      <c r="C299" s="40">
        <f t="shared" si="8"/>
        <v>146525708.80666667</v>
      </c>
      <c r="D299" s="40">
        <f t="shared" si="9"/>
        <v>157003048.27713332</v>
      </c>
    </row>
    <row r="300" spans="2:4" x14ac:dyDescent="0.25">
      <c r="B300" s="100">
        <v>296</v>
      </c>
      <c r="C300" s="40">
        <f t="shared" si="8"/>
        <v>146972947.22933334</v>
      </c>
      <c r="D300" s="40">
        <f t="shared" si="9"/>
        <v>157535262.00010666</v>
      </c>
    </row>
    <row r="301" spans="2:4" x14ac:dyDescent="0.25">
      <c r="B301" s="100">
        <v>297</v>
      </c>
      <c r="C301" s="40">
        <f t="shared" si="8"/>
        <v>147420185.65200001</v>
      </c>
      <c r="D301" s="40">
        <f t="shared" si="9"/>
        <v>158067475.72308001</v>
      </c>
    </row>
    <row r="302" spans="2:4" x14ac:dyDescent="0.25">
      <c r="B302" s="100">
        <v>298</v>
      </c>
      <c r="C302" s="40">
        <f t="shared" si="8"/>
        <v>147867424.07466668</v>
      </c>
      <c r="D302" s="40">
        <f t="shared" si="9"/>
        <v>158599689.44605333</v>
      </c>
    </row>
    <row r="303" spans="2:4" x14ac:dyDescent="0.25">
      <c r="B303" s="100">
        <v>299</v>
      </c>
      <c r="C303" s="40">
        <f t="shared" si="8"/>
        <v>148314662.49733335</v>
      </c>
      <c r="D303" s="40">
        <f t="shared" si="9"/>
        <v>159131903.16902667</v>
      </c>
    </row>
    <row r="304" spans="2:4" x14ac:dyDescent="0.25">
      <c r="B304" s="100">
        <v>300</v>
      </c>
      <c r="C304" s="40">
        <f t="shared" si="8"/>
        <v>148761900.91999999</v>
      </c>
      <c r="D304" s="40">
        <f t="shared" si="9"/>
        <v>159664116.89199999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189" t="s">
        <v>254</v>
      </c>
      <c r="C2" s="190"/>
      <c r="D2" s="190"/>
      <c r="E2" s="190"/>
      <c r="F2" s="190"/>
      <c r="G2" s="191"/>
      <c r="I2" s="192" t="s">
        <v>255</v>
      </c>
      <c r="J2" s="193"/>
      <c r="L2" s="192" t="s">
        <v>256</v>
      </c>
      <c r="M2" s="193"/>
    </row>
    <row r="3" spans="2:13" x14ac:dyDescent="0.25">
      <c r="B3" s="83" t="s">
        <v>111</v>
      </c>
      <c r="C3" s="83" t="s">
        <v>79</v>
      </c>
      <c r="D3" s="83" t="s">
        <v>80</v>
      </c>
      <c r="E3" s="83" t="s">
        <v>81</v>
      </c>
      <c r="F3" s="83" t="s">
        <v>82</v>
      </c>
      <c r="G3" s="83" t="s">
        <v>83</v>
      </c>
      <c r="I3" s="109" t="s">
        <v>111</v>
      </c>
      <c r="J3" s="109" t="s">
        <v>99</v>
      </c>
      <c r="L3" s="109" t="s">
        <v>262</v>
      </c>
      <c r="M3" s="109" t="s">
        <v>2</v>
      </c>
    </row>
    <row r="4" spans="2:13" x14ac:dyDescent="0.25">
      <c r="B4" s="105" t="s">
        <v>249</v>
      </c>
      <c r="C4" s="103">
        <f>'Balance General'!D11/'Balance General'!D33</f>
        <v>0.90703099022809153</v>
      </c>
      <c r="D4" s="103">
        <f>'Balance General'!E11/'Balance General'!E33</f>
        <v>1.0505751039231286</v>
      </c>
      <c r="E4" s="103">
        <f>'Balance General'!F11/'Balance General'!F33</f>
        <v>1.2277799811907788</v>
      </c>
      <c r="F4" s="103">
        <f>'Balance General'!G11/'Balance General'!G33</f>
        <v>1.4721236385701197</v>
      </c>
      <c r="G4" s="103">
        <f>'Balance General'!H11/'Balance General'!H33</f>
        <v>1.9071754849902942</v>
      </c>
      <c r="I4" s="108" t="s">
        <v>78</v>
      </c>
      <c r="J4" s="3">
        <f>'Flujo de Caja'!C35</f>
        <v>-422040</v>
      </c>
      <c r="L4" s="108" t="s">
        <v>257</v>
      </c>
      <c r="M4" s="60">
        <v>0.15</v>
      </c>
    </row>
    <row r="5" spans="2:13" x14ac:dyDescent="0.25">
      <c r="B5" s="105" t="s">
        <v>250</v>
      </c>
      <c r="C5" s="104">
        <f>'Balance General'!D39/'Balance General'!D25</f>
        <v>1.0342861734998225</v>
      </c>
      <c r="D5" s="104">
        <f>'Balance General'!E39/'Balance General'!E25</f>
        <v>0.91096386397506557</v>
      </c>
      <c r="E5" s="104">
        <f>'Balance General'!F39/'Balance General'!F25</f>
        <v>0.79147666394985738</v>
      </c>
      <c r="F5" s="104">
        <f>'Balance General'!G39/'Balance General'!G25</f>
        <v>0.66758100778328977</v>
      </c>
      <c r="G5" s="104">
        <f>'Balance General'!H39/'Balance General'!H25</f>
        <v>0.51936573286141907</v>
      </c>
      <c r="I5" s="108" t="s">
        <v>79</v>
      </c>
      <c r="J5" s="3">
        <f>'Flujo de Caja'!D35</f>
        <v>-15666462.800000012</v>
      </c>
      <c r="L5" s="108" t="s">
        <v>258</v>
      </c>
      <c r="M5" s="3">
        <f>M6+J4</f>
        <v>169504312.16763726</v>
      </c>
    </row>
    <row r="6" spans="2:13" x14ac:dyDescent="0.25">
      <c r="B6" s="105" t="s">
        <v>251</v>
      </c>
      <c r="C6" s="104">
        <f>'Estado de Resultados'!D20/'Estado de Resultados'!D7</f>
        <v>-6.9290857910379491E-2</v>
      </c>
      <c r="D6" s="104">
        <f>'Estado de Resultados'!E20/'Estado de Resultados'!E7</f>
        <v>8.2445462173947992E-2</v>
      </c>
      <c r="E6" s="104">
        <f>'Estado de Resultados'!F20/'Estado de Resultados'!F7</f>
        <v>0.22086404430263884</v>
      </c>
      <c r="F6" s="104">
        <f>'Estado de Resultados'!G20/'Estado de Resultados'!G7</f>
        <v>0.35701821943404977</v>
      </c>
      <c r="G6" s="104">
        <f>'Estado de Resultados'!H20/'Estado de Resultados'!H7</f>
        <v>0.51285019744747673</v>
      </c>
      <c r="I6" s="108" t="s">
        <v>80</v>
      </c>
      <c r="J6" s="3">
        <f>'Flujo de Caja'!E35</f>
        <v>7163287.1200000346</v>
      </c>
      <c r="L6" s="108" t="s">
        <v>259</v>
      </c>
      <c r="M6" s="3">
        <f>NPV(M4,J5:J9)</f>
        <v>169926352.16763726</v>
      </c>
    </row>
    <row r="7" spans="2:13" x14ac:dyDescent="0.25">
      <c r="B7" s="106" t="s">
        <v>252</v>
      </c>
      <c r="C7" s="107">
        <f>'Estado de Resultados'!D31/'Estado de Resultados'!D7</f>
        <v>-0.11192888946044809</v>
      </c>
      <c r="D7" s="107">
        <f>'Estado de Resultados'!E31/'Estado de Resultados'!E7</f>
        <v>4.0649749331107793E-2</v>
      </c>
      <c r="E7" s="107">
        <f>'Estado de Resultados'!F31/'Estado de Resultados'!F7</f>
        <v>0.17970158363054056</v>
      </c>
      <c r="F7" s="107">
        <f>'Estado de Resultados'!G31/'Estado de Resultados'!G7</f>
        <v>0.31631659598496337</v>
      </c>
      <c r="G7" s="107">
        <f>'Estado de Resultados'!H31/'Estado de Resultados'!H7</f>
        <v>0.47246743319053208</v>
      </c>
      <c r="I7" s="108" t="s">
        <v>81</v>
      </c>
      <c r="J7" s="3">
        <f>'Flujo de Caja'!F35</f>
        <v>40755379.210239977</v>
      </c>
      <c r="L7" s="108" t="s">
        <v>260</v>
      </c>
      <c r="M7" s="60">
        <f>IRR(J4:J9)</f>
        <v>1.6961977422819334</v>
      </c>
    </row>
    <row r="8" spans="2:13" x14ac:dyDescent="0.25">
      <c r="B8" s="105" t="s">
        <v>253</v>
      </c>
      <c r="C8" s="104" t="e">
        <f>'Estado de Resultados'!D31/'Balance General'!#REF!</f>
        <v>#REF!</v>
      </c>
      <c r="D8" s="104" t="e">
        <f>'Estado de Resultados'!E31/'Balance General'!#REF!</f>
        <v>#REF!</v>
      </c>
      <c r="E8" s="104" t="e">
        <f>'Estado de Resultados'!F31/'Balance General'!#REF!</f>
        <v>#REF!</v>
      </c>
      <c r="F8" s="104" t="e">
        <f>'Estado de Resultados'!G31/'Balance General'!#REF!</f>
        <v>#REF!</v>
      </c>
      <c r="G8" s="104" t="e">
        <f>'Estado de Resultados'!H31/'Balance General'!#REF!</f>
        <v>#REF!</v>
      </c>
      <c r="I8" s="108" t="s">
        <v>82</v>
      </c>
      <c r="J8" s="3">
        <f>'Flujo de Caja'!G35</f>
        <v>95054107.989567906</v>
      </c>
      <c r="L8" s="108" t="s">
        <v>261</v>
      </c>
      <c r="M8" s="110">
        <f>-NPV(M4,J5:J9)/J4</f>
        <v>402.63091689801263</v>
      </c>
    </row>
    <row r="9" spans="2:13" x14ac:dyDescent="0.25">
      <c r="I9" s="108" t="s">
        <v>83</v>
      </c>
      <c r="J9" s="3">
        <f>'Flujo de Caja'!H35</f>
        <v>195077653.63845032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2026-01-18T03:21:44Z</dcterms:modified>
</cp:coreProperties>
</file>