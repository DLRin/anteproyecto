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4759632C-01C8-4DA8-A5B1-C4BD604538B6}" xr6:coauthVersionLast="47" xr6:coauthVersionMax="47" xr10:uidLastSave="{00000000-0000-0000-0000-000000000000}"/>
  <bookViews>
    <workbookView xWindow="45" yWindow="495" windowWidth="20805" windowHeight="14715" firstSheet="3" activeTab="4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6" l="1"/>
  <c r="D33" i="6"/>
  <c r="E31" i="6"/>
  <c r="F31" i="6"/>
  <c r="G31" i="6" s="1"/>
  <c r="H31" i="6" s="1"/>
  <c r="D31" i="6"/>
  <c r="C31" i="6"/>
  <c r="B48" i="3" l="1"/>
  <c r="B9" i="2"/>
  <c r="D19" i="9"/>
  <c r="E19" i="9"/>
  <c r="F19" i="9"/>
  <c r="G19" i="9"/>
  <c r="H19" i="9"/>
  <c r="C10" i="9"/>
  <c r="J19" i="4"/>
  <c r="J18" i="4"/>
  <c r="J21" i="4"/>
  <c r="J22" i="4" s="1"/>
  <c r="N47" i="3"/>
  <c r="M47" i="3"/>
  <c r="L47" i="3"/>
  <c r="K47" i="3"/>
  <c r="J47" i="3"/>
  <c r="H18" i="10"/>
  <c r="H27" i="10" s="1"/>
  <c r="C18" i="10"/>
  <c r="C27" i="10" s="1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I6" i="10" s="1"/>
  <c r="I9" i="10" s="1"/>
  <c r="K20" i="3"/>
  <c r="L20" i="3" s="1"/>
  <c r="M20" i="3" s="1"/>
  <c r="N20" i="3" s="1"/>
  <c r="N25" i="3" s="1"/>
  <c r="I10" i="10" l="1"/>
  <c r="I11" i="10" s="1"/>
  <c r="H12" i="7"/>
  <c r="D12" i="7"/>
  <c r="L25" i="3"/>
  <c r="M25" i="3"/>
  <c r="K25" i="3"/>
  <c r="G12" i="7" l="1"/>
  <c r="E12" i="7"/>
  <c r="F12" i="7"/>
  <c r="F28" i="5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B24" i="4"/>
  <c r="C21" i="9" l="1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31" i="3" l="1"/>
  <c r="J7" i="10"/>
  <c r="D12" i="6"/>
  <c r="K31" i="3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F12" i="4"/>
  <c r="J7" i="4" s="1"/>
  <c r="E14" i="6" l="1"/>
  <c r="K7" i="4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D6" i="7"/>
  <c r="M7" i="4"/>
  <c r="G7" i="6" s="1"/>
  <c r="G8" i="6" s="1"/>
  <c r="E8" i="6" l="1"/>
  <c r="E16" i="6" s="1"/>
  <c r="D8" i="6"/>
  <c r="D16" i="6" s="1"/>
  <c r="F8" i="8"/>
  <c r="F9" i="8" s="1"/>
  <c r="F7" i="6"/>
  <c r="F8" i="6" s="1"/>
  <c r="K18" i="4"/>
  <c r="K21" i="4" s="1"/>
  <c r="K22" i="4" s="1"/>
  <c r="F14" i="6"/>
  <c r="C4" i="10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M18" i="4" l="1"/>
  <c r="M24" i="4" s="1"/>
  <c r="M39" i="3" s="1"/>
  <c r="M21" i="4"/>
  <c r="M22" i="4" s="1"/>
  <c r="L18" i="4"/>
  <c r="L21" i="4"/>
  <c r="L22" i="4" s="1"/>
  <c r="G14" i="6"/>
  <c r="G16" i="6" s="1"/>
  <c r="H14" i="6"/>
  <c r="H16" i="6" s="1"/>
  <c r="K24" i="4"/>
  <c r="K39" i="3" s="1"/>
  <c r="C3" i="10"/>
  <c r="C5" i="10" s="1"/>
  <c r="F16" i="6"/>
  <c r="N16" i="4"/>
  <c r="N19" i="4" s="1"/>
  <c r="N15" i="4"/>
  <c r="L24" i="4"/>
  <c r="L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B47" i="3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D15" i="8" l="1"/>
  <c r="D19" i="6"/>
  <c r="D13" i="8"/>
  <c r="D20" i="6"/>
  <c r="J15" i="3"/>
  <c r="K7" i="3"/>
  <c r="K10" i="3"/>
  <c r="K4" i="3"/>
  <c r="E15" i="8" s="1"/>
  <c r="D25" i="3"/>
  <c r="D26" i="3" s="1"/>
  <c r="F13" i="3" s="1"/>
  <c r="I15" i="3" s="1"/>
  <c r="I28" i="3" s="1"/>
  <c r="C26" i="3"/>
  <c r="D7" i="7" l="1"/>
  <c r="D9" i="7" s="1"/>
  <c r="J4" i="10"/>
  <c r="E19" i="6"/>
  <c r="E13" i="8"/>
  <c r="L4" i="3"/>
  <c r="E20" i="6"/>
  <c r="J28" i="3"/>
  <c r="J34" i="3" s="1"/>
  <c r="J48" i="3" s="1"/>
  <c r="D13" i="7"/>
  <c r="C6" i="12" s="1"/>
  <c r="L10" i="3"/>
  <c r="K15" i="3"/>
  <c r="E7" i="7" s="1"/>
  <c r="E9" i="7" s="1"/>
  <c r="L7" i="3"/>
  <c r="M4" i="3"/>
  <c r="H5" i="10" l="1"/>
  <c r="J9" i="10"/>
  <c r="J10" i="10" s="1"/>
  <c r="J11" i="10" s="1"/>
  <c r="F19" i="6"/>
  <c r="F13" i="8"/>
  <c r="F15" i="8"/>
  <c r="C6" i="10"/>
  <c r="C7" i="10" s="1"/>
  <c r="K28" i="3"/>
  <c r="K34" i="3" s="1"/>
  <c r="K48" i="3" s="1"/>
  <c r="E13" i="7"/>
  <c r="D6" i="12" s="1"/>
  <c r="J43" i="3"/>
  <c r="J44" i="3" s="1"/>
  <c r="J40" i="3"/>
  <c r="F20" i="6"/>
  <c r="M7" i="3"/>
  <c r="G20" i="6" s="1"/>
  <c r="M10" i="3"/>
  <c r="L15" i="3"/>
  <c r="F7" i="7" s="1"/>
  <c r="F9" i="7" s="1"/>
  <c r="N4" i="3"/>
  <c r="C19" i="10" l="1"/>
  <c r="C20" i="10"/>
  <c r="H19" i="10"/>
  <c r="H20" i="10"/>
  <c r="G19" i="6"/>
  <c r="G13" i="8"/>
  <c r="G15" i="8"/>
  <c r="L28" i="3"/>
  <c r="L34" i="3" s="1"/>
  <c r="L48" i="3" s="1"/>
  <c r="F13" i="7"/>
  <c r="E6" i="12" s="1"/>
  <c r="M15" i="3"/>
  <c r="G7" i="7" s="1"/>
  <c r="G9" i="7" s="1"/>
  <c r="K40" i="3"/>
  <c r="K43" i="3"/>
  <c r="K44" i="3" s="1"/>
  <c r="N10" i="3"/>
  <c r="N7" i="3"/>
  <c r="H20" i="6" s="1"/>
  <c r="H21" i="10" l="1"/>
  <c r="H22" i="10" s="1"/>
  <c r="H26" i="10" s="1"/>
  <c r="H28" i="10" s="1"/>
  <c r="C21" i="10"/>
  <c r="C22" i="10"/>
  <c r="C26" i="10" s="1"/>
  <c r="C28" i="10" s="1"/>
  <c r="C23" i="10"/>
  <c r="H19" i="6"/>
  <c r="H13" i="8"/>
  <c r="H15" i="8"/>
  <c r="M28" i="3"/>
  <c r="M34" i="3" s="1"/>
  <c r="M48" i="3" s="1"/>
  <c r="G13" i="7"/>
  <c r="F6" i="12" s="1"/>
  <c r="L40" i="3"/>
  <c r="L43" i="3"/>
  <c r="L44" i="3" s="1"/>
  <c r="N15" i="3"/>
  <c r="H7" i="7" s="1"/>
  <c r="H9" i="7" s="1"/>
  <c r="H23" i="10" l="1"/>
  <c r="N28" i="3"/>
  <c r="N34" i="3" s="1"/>
  <c r="N48" i="3" s="1"/>
  <c r="O48" i="3" s="1"/>
  <c r="H13" i="7"/>
  <c r="M43" i="3"/>
  <c r="M44" i="3" s="1"/>
  <c r="M40" i="3"/>
  <c r="H18" i="7" l="1"/>
  <c r="H21" i="7" s="1"/>
  <c r="H17" i="8" s="1"/>
  <c r="H10" i="9" s="1"/>
  <c r="G6" i="12"/>
  <c r="H23" i="7"/>
  <c r="G7" i="12" s="1"/>
  <c r="H22" i="6"/>
  <c r="H28" i="6" s="1"/>
  <c r="N43" i="3"/>
  <c r="N44" i="3" s="1"/>
  <c r="O44" i="3" s="1"/>
  <c r="N40" i="3"/>
  <c r="H33" i="6" l="1"/>
  <c r="J9" i="12"/>
  <c r="O43" i="3"/>
  <c r="C1" i="11" l="1"/>
  <c r="D14" i="8" l="1"/>
  <c r="D7" i="9" l="1"/>
  <c r="E14" i="8"/>
  <c r="D22" i="8"/>
  <c r="F14" i="8" l="1"/>
  <c r="E7" i="9"/>
  <c r="E22" i="8"/>
  <c r="G14" i="8" l="1"/>
  <c r="F7" i="9"/>
  <c r="F22" i="8"/>
  <c r="C2" i="11"/>
  <c r="C306" i="11" l="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762" i="11"/>
  <c r="C770" i="11"/>
  <c r="C778" i="11"/>
  <c r="C786" i="11"/>
  <c r="C794" i="11"/>
  <c r="C802" i="11"/>
  <c r="C810" i="11"/>
  <c r="C818" i="11"/>
  <c r="C307" i="11"/>
  <c r="C315" i="11"/>
  <c r="C323" i="11"/>
  <c r="C331" i="11"/>
  <c r="C339" i="11"/>
  <c r="C347" i="11"/>
  <c r="C355" i="11"/>
  <c r="C363" i="11"/>
  <c r="C371" i="11"/>
  <c r="C379" i="11"/>
  <c r="C387" i="11"/>
  <c r="C395" i="11"/>
  <c r="C403" i="11"/>
  <c r="C411" i="11"/>
  <c r="C419" i="11"/>
  <c r="C427" i="11"/>
  <c r="C435" i="11"/>
  <c r="C443" i="11"/>
  <c r="C451" i="11"/>
  <c r="C459" i="11"/>
  <c r="C467" i="11"/>
  <c r="C475" i="11"/>
  <c r="C483" i="11"/>
  <c r="C491" i="11"/>
  <c r="C499" i="11"/>
  <c r="C507" i="11"/>
  <c r="C515" i="11"/>
  <c r="C523" i="11"/>
  <c r="C531" i="11"/>
  <c r="C539" i="11"/>
  <c r="C547" i="11"/>
  <c r="C555" i="11"/>
  <c r="C563" i="11"/>
  <c r="C571" i="11"/>
  <c r="C579" i="11"/>
  <c r="C587" i="11"/>
  <c r="C595" i="11"/>
  <c r="C603" i="11"/>
  <c r="C611" i="11"/>
  <c r="C619" i="11"/>
  <c r="C627" i="11"/>
  <c r="C635" i="11"/>
  <c r="C643" i="11"/>
  <c r="C651" i="11"/>
  <c r="C659" i="11"/>
  <c r="C667" i="11"/>
  <c r="C675" i="11"/>
  <c r="C683" i="11"/>
  <c r="C691" i="11"/>
  <c r="C699" i="11"/>
  <c r="C707" i="11"/>
  <c r="C715" i="11"/>
  <c r="C723" i="11"/>
  <c r="C731" i="11"/>
  <c r="C739" i="11"/>
  <c r="C747" i="11"/>
  <c r="C755" i="11"/>
  <c r="C763" i="11"/>
  <c r="C771" i="11"/>
  <c r="C779" i="11"/>
  <c r="C787" i="11"/>
  <c r="C795" i="11"/>
  <c r="C803" i="11"/>
  <c r="C308" i="11"/>
  <c r="C316" i="11"/>
  <c r="C324" i="11"/>
  <c r="C332" i="11"/>
  <c r="C340" i="11"/>
  <c r="C348" i="11"/>
  <c r="C356" i="11"/>
  <c r="C364" i="11"/>
  <c r="C372" i="11"/>
  <c r="C380" i="11"/>
  <c r="C388" i="11"/>
  <c r="C396" i="11"/>
  <c r="C404" i="11"/>
  <c r="C412" i="11"/>
  <c r="C420" i="11"/>
  <c r="C428" i="11"/>
  <c r="C436" i="11"/>
  <c r="C444" i="11"/>
  <c r="C452" i="11"/>
  <c r="C460" i="11"/>
  <c r="C468" i="11"/>
  <c r="C476" i="11"/>
  <c r="C484" i="11"/>
  <c r="C492" i="11"/>
  <c r="C500" i="11"/>
  <c r="C508" i="11"/>
  <c r="C516" i="11"/>
  <c r="C524" i="11"/>
  <c r="C532" i="11"/>
  <c r="C540" i="11"/>
  <c r="C548" i="11"/>
  <c r="C556" i="11"/>
  <c r="C564" i="11"/>
  <c r="C572" i="11"/>
  <c r="C580" i="11"/>
  <c r="C588" i="11"/>
  <c r="C596" i="11"/>
  <c r="C604" i="11"/>
  <c r="C612" i="11"/>
  <c r="C620" i="11"/>
  <c r="C628" i="11"/>
  <c r="C636" i="11"/>
  <c r="C644" i="11"/>
  <c r="C652" i="11"/>
  <c r="C660" i="11"/>
  <c r="C668" i="11"/>
  <c r="C676" i="11"/>
  <c r="C684" i="11"/>
  <c r="C692" i="11"/>
  <c r="C700" i="11"/>
  <c r="C708" i="11"/>
  <c r="C716" i="11"/>
  <c r="C724" i="11"/>
  <c r="C732" i="11"/>
  <c r="C740" i="11"/>
  <c r="C748" i="11"/>
  <c r="C756" i="11"/>
  <c r="C764" i="11"/>
  <c r="C772" i="11"/>
  <c r="C309" i="11"/>
  <c r="C317" i="11"/>
  <c r="C325" i="11"/>
  <c r="C333" i="11"/>
  <c r="C341" i="11"/>
  <c r="C349" i="11"/>
  <c r="C357" i="11"/>
  <c r="C365" i="11"/>
  <c r="C373" i="11"/>
  <c r="C381" i="11"/>
  <c r="C389" i="11"/>
  <c r="C397" i="11"/>
  <c r="C405" i="11"/>
  <c r="C413" i="11"/>
  <c r="C421" i="11"/>
  <c r="C429" i="11"/>
  <c r="C437" i="11"/>
  <c r="C445" i="11"/>
  <c r="C453" i="11"/>
  <c r="C461" i="11"/>
  <c r="C469" i="11"/>
  <c r="C477" i="11"/>
  <c r="C485" i="11"/>
  <c r="C310" i="11"/>
  <c r="C318" i="11"/>
  <c r="C326" i="11"/>
  <c r="C334" i="11"/>
  <c r="C342" i="11"/>
  <c r="C350" i="11"/>
  <c r="C358" i="11"/>
  <c r="C366" i="11"/>
  <c r="C374" i="11"/>
  <c r="C382" i="11"/>
  <c r="C390" i="11"/>
  <c r="C398" i="11"/>
  <c r="C406" i="11"/>
  <c r="C414" i="11"/>
  <c r="C422" i="11"/>
  <c r="C430" i="11"/>
  <c r="C438" i="11"/>
  <c r="C446" i="11"/>
  <c r="C454" i="11"/>
  <c r="C462" i="11"/>
  <c r="C470" i="11"/>
  <c r="C478" i="11"/>
  <c r="C486" i="11"/>
  <c r="C494" i="11"/>
  <c r="C502" i="11"/>
  <c r="C510" i="11"/>
  <c r="C518" i="11"/>
  <c r="C526" i="11"/>
  <c r="C534" i="11"/>
  <c r="C542" i="11"/>
  <c r="C550" i="11"/>
  <c r="C558" i="11"/>
  <c r="C566" i="11"/>
  <c r="C574" i="11"/>
  <c r="C582" i="11"/>
  <c r="C590" i="11"/>
  <c r="C598" i="11"/>
  <c r="C606" i="11"/>
  <c r="C614" i="11"/>
  <c r="C622" i="11"/>
  <c r="C630" i="11"/>
  <c r="C638" i="11"/>
  <c r="C646" i="11"/>
  <c r="C654" i="11"/>
  <c r="C662" i="11"/>
  <c r="C311" i="11"/>
  <c r="C319" i="11"/>
  <c r="C327" i="11"/>
  <c r="C335" i="11"/>
  <c r="C343" i="11"/>
  <c r="C351" i="11"/>
  <c r="C359" i="11"/>
  <c r="C367" i="11"/>
  <c r="C375" i="11"/>
  <c r="C383" i="11"/>
  <c r="C391" i="11"/>
  <c r="C399" i="11"/>
  <c r="C407" i="11"/>
  <c r="C415" i="11"/>
  <c r="C423" i="11"/>
  <c r="C431" i="11"/>
  <c r="C439" i="11"/>
  <c r="C447" i="11"/>
  <c r="C455" i="11"/>
  <c r="C463" i="11"/>
  <c r="C471" i="11"/>
  <c r="C479" i="11"/>
  <c r="C487" i="11"/>
  <c r="C495" i="11"/>
  <c r="C503" i="11"/>
  <c r="C511" i="11"/>
  <c r="C519" i="11"/>
  <c r="C527" i="11"/>
  <c r="C535" i="11"/>
  <c r="C543" i="11"/>
  <c r="C551" i="11"/>
  <c r="C559" i="11"/>
  <c r="C567" i="11"/>
  <c r="C575" i="11"/>
  <c r="C583" i="11"/>
  <c r="C591" i="11"/>
  <c r="C599" i="11"/>
  <c r="C312" i="11"/>
  <c r="C320" i="11"/>
  <c r="C328" i="11"/>
  <c r="C336" i="11"/>
  <c r="C344" i="11"/>
  <c r="C352" i="11"/>
  <c r="C360" i="11"/>
  <c r="C368" i="11"/>
  <c r="C376" i="11"/>
  <c r="C384" i="11"/>
  <c r="C392" i="11"/>
  <c r="C400" i="11"/>
  <c r="C408" i="11"/>
  <c r="C416" i="11"/>
  <c r="C424" i="11"/>
  <c r="C432" i="11"/>
  <c r="C440" i="11"/>
  <c r="C448" i="11"/>
  <c r="C456" i="11"/>
  <c r="C464" i="11"/>
  <c r="C472" i="11"/>
  <c r="C480" i="11"/>
  <c r="C488" i="11"/>
  <c r="C496" i="11"/>
  <c r="C504" i="11"/>
  <c r="C512" i="11"/>
  <c r="C305" i="11"/>
  <c r="C313" i="11"/>
  <c r="C321" i="11"/>
  <c r="C329" i="11"/>
  <c r="C337" i="11"/>
  <c r="C345" i="11"/>
  <c r="C353" i="11"/>
  <c r="C361" i="11"/>
  <c r="C369" i="11"/>
  <c r="C377" i="11"/>
  <c r="C385" i="11"/>
  <c r="C393" i="11"/>
  <c r="C401" i="11"/>
  <c r="C409" i="11"/>
  <c r="C417" i="11"/>
  <c r="C425" i="11"/>
  <c r="C433" i="11"/>
  <c r="C441" i="11"/>
  <c r="C449" i="11"/>
  <c r="C457" i="11"/>
  <c r="C465" i="11"/>
  <c r="C473" i="11"/>
  <c r="C481" i="11"/>
  <c r="C489" i="11"/>
  <c r="C497" i="11"/>
  <c r="C525" i="11"/>
  <c r="C673" i="11"/>
  <c r="C688" i="11"/>
  <c r="C703" i="11"/>
  <c r="C718" i="11"/>
  <c r="C743" i="11"/>
  <c r="C766" i="11"/>
  <c r="C776" i="11"/>
  <c r="C806" i="11"/>
  <c r="C815" i="11"/>
  <c r="C824" i="11"/>
  <c r="C841" i="11"/>
  <c r="C858" i="11"/>
  <c r="C867" i="11"/>
  <c r="C884" i="11"/>
  <c r="C901" i="11"/>
  <c r="C918" i="11"/>
  <c r="C935" i="11"/>
  <c r="C952" i="11"/>
  <c r="C969" i="11"/>
  <c r="C986" i="11"/>
  <c r="C994" i="11"/>
  <c r="C1002" i="11"/>
  <c r="C1010" i="11"/>
  <c r="C1018" i="11"/>
  <c r="C1026" i="11"/>
  <c r="C1034" i="11"/>
  <c r="C1042" i="11"/>
  <c r="C1050" i="11"/>
  <c r="C1058" i="11"/>
  <c r="C1066" i="11"/>
  <c r="C1074" i="11"/>
  <c r="C1082" i="11"/>
  <c r="C1090" i="11"/>
  <c r="C1098" i="11"/>
  <c r="C1106" i="11"/>
  <c r="C1114" i="11"/>
  <c r="C1122" i="11"/>
  <c r="C1130" i="11"/>
  <c r="C1138" i="11"/>
  <c r="C1146" i="11"/>
  <c r="C1154" i="11"/>
  <c r="C1162" i="11"/>
  <c r="C1170" i="11"/>
  <c r="C1178" i="11"/>
  <c r="C1186" i="11"/>
  <c r="C1194" i="11"/>
  <c r="C1202" i="11"/>
  <c r="C1210" i="11"/>
  <c r="C1218" i="11"/>
  <c r="C1226" i="11"/>
  <c r="C1234" i="11"/>
  <c r="C1242" i="11"/>
  <c r="C1250" i="11"/>
  <c r="C1258" i="11"/>
  <c r="C1266" i="11"/>
  <c r="C1274" i="11"/>
  <c r="C1282" i="11"/>
  <c r="C1290" i="11"/>
  <c r="C1298" i="11"/>
  <c r="C1306" i="11"/>
  <c r="C1314" i="11"/>
  <c r="C1322" i="11"/>
  <c r="C552" i="11"/>
  <c r="C528" i="11"/>
  <c r="C677" i="11"/>
  <c r="C689" i="11"/>
  <c r="C704" i="11"/>
  <c r="C719" i="11"/>
  <c r="C744" i="11"/>
  <c r="C757" i="11"/>
  <c r="C767" i="11"/>
  <c r="C777" i="11"/>
  <c r="C788" i="11"/>
  <c r="C807" i="11"/>
  <c r="C816" i="11"/>
  <c r="C825" i="11"/>
  <c r="C842" i="11"/>
  <c r="C851" i="11"/>
  <c r="C868" i="11"/>
  <c r="C885" i="11"/>
  <c r="C902" i="11"/>
  <c r="C919" i="11"/>
  <c r="C936" i="11"/>
  <c r="C953" i="11"/>
  <c r="C970" i="11"/>
  <c r="C979" i="11"/>
  <c r="C987" i="11"/>
  <c r="C995" i="11"/>
  <c r="C1003" i="11"/>
  <c r="C493" i="11"/>
  <c r="C529" i="11"/>
  <c r="C553" i="11"/>
  <c r="C576" i="11"/>
  <c r="C597" i="11"/>
  <c r="C615" i="11"/>
  <c r="C631" i="11"/>
  <c r="C647" i="11"/>
  <c r="C663" i="11"/>
  <c r="C678" i="11"/>
  <c r="C734" i="11"/>
  <c r="C798" i="11"/>
  <c r="C834" i="11"/>
  <c r="C843" i="11"/>
  <c r="C860" i="11"/>
  <c r="C877" i="11"/>
  <c r="C894" i="11"/>
  <c r="C911" i="11"/>
  <c r="C928" i="11"/>
  <c r="C945" i="11"/>
  <c r="C962" i="11"/>
  <c r="C971" i="11"/>
  <c r="C693" i="11"/>
  <c r="C705" i="11"/>
  <c r="C720" i="11"/>
  <c r="C745" i="11"/>
  <c r="C758" i="11"/>
  <c r="C768" i="11"/>
  <c r="C789" i="11"/>
  <c r="C808" i="11"/>
  <c r="C817" i="11"/>
  <c r="C826" i="11"/>
  <c r="C835" i="11"/>
  <c r="C852" i="11"/>
  <c r="C869" i="11"/>
  <c r="C886" i="11"/>
  <c r="C903" i="11"/>
  <c r="C920" i="11"/>
  <c r="C937" i="11"/>
  <c r="C954" i="11"/>
  <c r="C963" i="11"/>
  <c r="C980" i="11"/>
  <c r="C988" i="11"/>
  <c r="C996" i="11"/>
  <c r="C1004" i="11"/>
  <c r="C1012" i="11"/>
  <c r="C1020" i="11"/>
  <c r="C1028" i="11"/>
  <c r="C501" i="11"/>
  <c r="C533" i="11"/>
  <c r="C557" i="11"/>
  <c r="C577" i="11"/>
  <c r="C600" i="11"/>
  <c r="C616" i="11"/>
  <c r="C632" i="11"/>
  <c r="C648" i="11"/>
  <c r="C664" i="11"/>
  <c r="C679" i="11"/>
  <c r="C694" i="11"/>
  <c r="C735" i="11"/>
  <c r="C780" i="11"/>
  <c r="C799" i="11"/>
  <c r="C827" i="11"/>
  <c r="C844" i="11"/>
  <c r="C861" i="11"/>
  <c r="C878" i="11"/>
  <c r="C895" i="11"/>
  <c r="C912" i="11"/>
  <c r="C929" i="11"/>
  <c r="C505" i="11"/>
  <c r="C709" i="11"/>
  <c r="C721" i="11"/>
  <c r="C759" i="11"/>
  <c r="C769" i="11"/>
  <c r="C790" i="11"/>
  <c r="C809" i="11"/>
  <c r="C819" i="11"/>
  <c r="C836" i="11"/>
  <c r="C853" i="11"/>
  <c r="C870" i="11"/>
  <c r="C536" i="11"/>
  <c r="C560" i="11"/>
  <c r="C581" i="11"/>
  <c r="C601" i="11"/>
  <c r="C617" i="11"/>
  <c r="C633" i="11"/>
  <c r="C649" i="11"/>
  <c r="C665" i="11"/>
  <c r="C680" i="11"/>
  <c r="C695" i="11"/>
  <c r="C710" i="11"/>
  <c r="C736" i="11"/>
  <c r="C749" i="11"/>
  <c r="C781" i="11"/>
  <c r="C800" i="11"/>
  <c r="C828" i="11"/>
  <c r="C845" i="11"/>
  <c r="C862" i="11"/>
  <c r="C879" i="11"/>
  <c r="C509" i="11"/>
  <c r="C537" i="11"/>
  <c r="C725" i="11"/>
  <c r="C760" i="11"/>
  <c r="C791" i="11"/>
  <c r="C811" i="11"/>
  <c r="C820" i="11"/>
  <c r="C837" i="11"/>
  <c r="C854" i="11"/>
  <c r="C871" i="11"/>
  <c r="C888" i="11"/>
  <c r="C513" i="11"/>
  <c r="C561" i="11"/>
  <c r="C584" i="11"/>
  <c r="C605" i="11"/>
  <c r="C621" i="11"/>
  <c r="C637" i="11"/>
  <c r="C653" i="11"/>
  <c r="C669" i="11"/>
  <c r="C681" i="11"/>
  <c r="C696" i="11"/>
  <c r="C711" i="11"/>
  <c r="C726" i="11"/>
  <c r="C737" i="11"/>
  <c r="C750" i="11"/>
  <c r="C782" i="11"/>
  <c r="C541" i="11"/>
  <c r="C670" i="11"/>
  <c r="C761" i="11"/>
  <c r="C773" i="11"/>
  <c r="C792" i="11"/>
  <c r="C517" i="11"/>
  <c r="C565" i="11"/>
  <c r="C585" i="11"/>
  <c r="C607" i="11"/>
  <c r="C623" i="11"/>
  <c r="C639" i="11"/>
  <c r="C655" i="11"/>
  <c r="C685" i="11"/>
  <c r="C697" i="11"/>
  <c r="C712" i="11"/>
  <c r="C727" i="11"/>
  <c r="C751" i="11"/>
  <c r="C544" i="11"/>
  <c r="C671" i="11"/>
  <c r="C520" i="11"/>
  <c r="C545" i="11"/>
  <c r="C568" i="11"/>
  <c r="C589" i="11"/>
  <c r="C608" i="11"/>
  <c r="C624" i="11"/>
  <c r="C640" i="11"/>
  <c r="C656" i="11"/>
  <c r="C701" i="11"/>
  <c r="C521" i="11"/>
  <c r="C573" i="11"/>
  <c r="C687" i="11"/>
  <c r="C733" i="11"/>
  <c r="C832" i="11"/>
  <c r="C849" i="11"/>
  <c r="C866" i="11"/>
  <c r="C898" i="11"/>
  <c r="C910" i="11"/>
  <c r="C948" i="11"/>
  <c r="C982" i="11"/>
  <c r="C992" i="11"/>
  <c r="C1039" i="11"/>
  <c r="C1056" i="11"/>
  <c r="C1073" i="11"/>
  <c r="C1099" i="11"/>
  <c r="C1116" i="11"/>
  <c r="C1133" i="11"/>
  <c r="C1150" i="11"/>
  <c r="C1167" i="11"/>
  <c r="C1184" i="11"/>
  <c r="C1201" i="11"/>
  <c r="C1227" i="11"/>
  <c r="C1244" i="11"/>
  <c r="C1261" i="11"/>
  <c r="C1278" i="11"/>
  <c r="C1295" i="11"/>
  <c r="C1312" i="11"/>
  <c r="C1329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1665" i="11"/>
  <c r="C1673" i="11"/>
  <c r="C1681" i="11"/>
  <c r="C1689" i="11"/>
  <c r="C1697" i="11"/>
  <c r="C1705" i="11"/>
  <c r="C1713" i="11"/>
  <c r="C1721" i="11"/>
  <c r="C1729" i="11"/>
  <c r="C1737" i="11"/>
  <c r="C1745" i="11"/>
  <c r="C1753" i="11"/>
  <c r="C1761" i="11"/>
  <c r="C1769" i="11"/>
  <c r="C1777" i="11"/>
  <c r="C1785" i="11"/>
  <c r="C1793" i="11"/>
  <c r="C1801" i="11"/>
  <c r="C1809" i="11"/>
  <c r="C1817" i="11"/>
  <c r="C1825" i="11"/>
  <c r="C1833" i="11"/>
  <c r="C1841" i="11"/>
  <c r="C1849" i="11"/>
  <c r="C1857" i="11"/>
  <c r="C1865" i="11"/>
  <c r="C1873" i="11"/>
  <c r="C1881" i="11"/>
  <c r="C1889" i="11"/>
  <c r="C1897" i="11"/>
  <c r="C1905" i="11"/>
  <c r="C1913" i="11"/>
  <c r="C1921" i="11"/>
  <c r="C1929" i="11"/>
  <c r="C1937" i="11"/>
  <c r="C1945" i="11"/>
  <c r="C592" i="11"/>
  <c r="C741" i="11"/>
  <c r="C774" i="11"/>
  <c r="C796" i="11"/>
  <c r="C833" i="11"/>
  <c r="C850" i="11"/>
  <c r="C899" i="11"/>
  <c r="C924" i="11"/>
  <c r="C959" i="11"/>
  <c r="C972" i="11"/>
  <c r="C1013" i="11"/>
  <c r="C1022" i="11"/>
  <c r="C1031" i="11"/>
  <c r="C1048" i="11"/>
  <c r="C1065" i="11"/>
  <c r="C1091" i="11"/>
  <c r="C1108" i="11"/>
  <c r="C1125" i="11"/>
  <c r="C1142" i="11"/>
  <c r="C1159" i="11"/>
  <c r="C1176" i="11"/>
  <c r="C1193" i="11"/>
  <c r="C1219" i="11"/>
  <c r="C1236" i="11"/>
  <c r="C1253" i="11"/>
  <c r="C1270" i="11"/>
  <c r="C1287" i="11"/>
  <c r="C1304" i="11"/>
  <c r="C1321" i="11"/>
  <c r="C593" i="11"/>
  <c r="C797" i="11"/>
  <c r="C887" i="11"/>
  <c r="C913" i="11"/>
  <c r="C938" i="11"/>
  <c r="C949" i="11"/>
  <c r="C983" i="11"/>
  <c r="C993" i="11"/>
  <c r="C1040" i="11"/>
  <c r="C1057" i="11"/>
  <c r="C1083" i="11"/>
  <c r="C1100" i="11"/>
  <c r="C1117" i="11"/>
  <c r="C1134" i="11"/>
  <c r="C1151" i="11"/>
  <c r="C1168" i="11"/>
  <c r="C1185" i="11"/>
  <c r="C1211" i="11"/>
  <c r="C1228" i="11"/>
  <c r="C1245" i="11"/>
  <c r="C1262" i="11"/>
  <c r="C1279" i="11"/>
  <c r="C1296" i="11"/>
  <c r="C1313" i="11"/>
  <c r="C1330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1546" i="11"/>
  <c r="C609" i="11"/>
  <c r="C742" i="11"/>
  <c r="C775" i="11"/>
  <c r="C801" i="11"/>
  <c r="C821" i="11"/>
  <c r="C838" i="11"/>
  <c r="C855" i="11"/>
  <c r="C872" i="11"/>
  <c r="C900" i="11"/>
  <c r="C925" i="11"/>
  <c r="C939" i="11"/>
  <c r="C960" i="11"/>
  <c r="C973" i="11"/>
  <c r="C1005" i="11"/>
  <c r="C1014" i="11"/>
  <c r="C1023" i="11"/>
  <c r="C1032" i="11"/>
  <c r="C1049" i="11"/>
  <c r="C1075" i="11"/>
  <c r="C1092" i="11"/>
  <c r="C1109" i="11"/>
  <c r="C1126" i="11"/>
  <c r="C1143" i="11"/>
  <c r="C1160" i="11"/>
  <c r="C1177" i="11"/>
  <c r="C1203" i="11"/>
  <c r="C1220" i="11"/>
  <c r="C1237" i="11"/>
  <c r="C1254" i="11"/>
  <c r="C1271" i="11"/>
  <c r="C1288" i="11"/>
  <c r="C1305" i="11"/>
  <c r="C613" i="11"/>
  <c r="C702" i="11"/>
  <c r="C889" i="11"/>
  <c r="C914" i="11"/>
  <c r="C950" i="11"/>
  <c r="C961" i="11"/>
  <c r="C984" i="11"/>
  <c r="C1041" i="11"/>
  <c r="C1067" i="11"/>
  <c r="C1084" i="11"/>
  <c r="C1101" i="11"/>
  <c r="C1118" i="11"/>
  <c r="C1135" i="11"/>
  <c r="C1152" i="11"/>
  <c r="C1169" i="11"/>
  <c r="C1195" i="11"/>
  <c r="C1212" i="11"/>
  <c r="C1229" i="11"/>
  <c r="C1246" i="11"/>
  <c r="C1263" i="11"/>
  <c r="C1280" i="11"/>
  <c r="C1297" i="11"/>
  <c r="C1323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1507" i="11"/>
  <c r="C1515" i="11"/>
  <c r="C1523" i="11"/>
  <c r="C625" i="11"/>
  <c r="C804" i="11"/>
  <c r="C822" i="11"/>
  <c r="C839" i="11"/>
  <c r="C856" i="11"/>
  <c r="C873" i="11"/>
  <c r="C915" i="11"/>
  <c r="C926" i="11"/>
  <c r="C940" i="11"/>
  <c r="C974" i="11"/>
  <c r="C1006" i="11"/>
  <c r="C1015" i="11"/>
  <c r="C1024" i="11"/>
  <c r="C1033" i="11"/>
  <c r="C1059" i="11"/>
  <c r="C1076" i="11"/>
  <c r="C1093" i="11"/>
  <c r="C1110" i="11"/>
  <c r="C1127" i="11"/>
  <c r="C1144" i="11"/>
  <c r="C1161" i="11"/>
  <c r="C1187" i="11"/>
  <c r="C1204" i="11"/>
  <c r="C1221" i="11"/>
  <c r="C1238" i="11"/>
  <c r="C1255" i="11"/>
  <c r="C1272" i="11"/>
  <c r="C1289" i="11"/>
  <c r="C1315" i="11"/>
  <c r="C629" i="11"/>
  <c r="C783" i="11"/>
  <c r="C890" i="11"/>
  <c r="C904" i="11"/>
  <c r="C927" i="11"/>
  <c r="C951" i="11"/>
  <c r="C964" i="11"/>
  <c r="C985" i="11"/>
  <c r="C997" i="11"/>
  <c r="C1051" i="11"/>
  <c r="C1068" i="11"/>
  <c r="C1085" i="11"/>
  <c r="C1102" i="11"/>
  <c r="C1119" i="11"/>
  <c r="C1136" i="11"/>
  <c r="C1153" i="11"/>
  <c r="C1179" i="11"/>
  <c r="C1196" i="11"/>
  <c r="C1213" i="11"/>
  <c r="C1230" i="11"/>
  <c r="C1247" i="11"/>
  <c r="C1264" i="11"/>
  <c r="C1281" i="11"/>
  <c r="C1307" i="11"/>
  <c r="C1324" i="11"/>
  <c r="C1332" i="11"/>
  <c r="C1340" i="11"/>
  <c r="C1348" i="11"/>
  <c r="C1356" i="11"/>
  <c r="C1364" i="11"/>
  <c r="C1372" i="11"/>
  <c r="C1380" i="11"/>
  <c r="C1388" i="11"/>
  <c r="C1396" i="11"/>
  <c r="C1404" i="11"/>
  <c r="C1412" i="11"/>
  <c r="C1420" i="11"/>
  <c r="C1428" i="11"/>
  <c r="C1436" i="11"/>
  <c r="C1444" i="11"/>
  <c r="C1452" i="11"/>
  <c r="C1460" i="11"/>
  <c r="C1468" i="11"/>
  <c r="C641" i="11"/>
  <c r="C752" i="11"/>
  <c r="C805" i="11"/>
  <c r="C823" i="11"/>
  <c r="C840" i="11"/>
  <c r="C857" i="11"/>
  <c r="C874" i="11"/>
  <c r="C891" i="11"/>
  <c r="C916" i="11"/>
  <c r="C941" i="11"/>
  <c r="C975" i="11"/>
  <c r="C1007" i="11"/>
  <c r="C1016" i="11"/>
  <c r="C1025" i="11"/>
  <c r="C1043" i="11"/>
  <c r="C1060" i="11"/>
  <c r="C1077" i="11"/>
  <c r="C1094" i="11"/>
  <c r="C1111" i="11"/>
  <c r="C1128" i="11"/>
  <c r="C1145" i="11"/>
  <c r="C1171" i="11"/>
  <c r="C1188" i="11"/>
  <c r="C1205" i="11"/>
  <c r="C1222" i="11"/>
  <c r="C1239" i="11"/>
  <c r="C1256" i="11"/>
  <c r="C1273" i="11"/>
  <c r="C1299" i="11"/>
  <c r="C1316" i="11"/>
  <c r="C645" i="11"/>
  <c r="C713" i="11"/>
  <c r="C784" i="11"/>
  <c r="C875" i="11"/>
  <c r="C905" i="11"/>
  <c r="C930" i="11"/>
  <c r="C965" i="11"/>
  <c r="C998" i="11"/>
  <c r="C1035" i="11"/>
  <c r="C1052" i="11"/>
  <c r="C1069" i="11"/>
  <c r="C1086" i="11"/>
  <c r="C1103" i="11"/>
  <c r="C1120" i="11"/>
  <c r="C1137" i="11"/>
  <c r="C1163" i="11"/>
  <c r="C1180" i="11"/>
  <c r="C1197" i="11"/>
  <c r="C1214" i="11"/>
  <c r="C1231" i="11"/>
  <c r="C1248" i="11"/>
  <c r="C1265" i="11"/>
  <c r="C1291" i="11"/>
  <c r="C1308" i="11"/>
  <c r="C1325" i="11"/>
  <c r="C1333" i="11"/>
  <c r="C1341" i="11"/>
  <c r="C1349" i="11"/>
  <c r="C1357" i="11"/>
  <c r="C1365" i="11"/>
  <c r="C753" i="11"/>
  <c r="C859" i="11"/>
  <c r="C876" i="11"/>
  <c r="C892" i="11"/>
  <c r="C917" i="11"/>
  <c r="C931" i="11"/>
  <c r="C942" i="11"/>
  <c r="C955" i="11"/>
  <c r="C976" i="11"/>
  <c r="C1008" i="11"/>
  <c r="C1017" i="11"/>
  <c r="C1044" i="11"/>
  <c r="C1061" i="11"/>
  <c r="C1078" i="11"/>
  <c r="C1095" i="11"/>
  <c r="C1112" i="11"/>
  <c r="C1129" i="11"/>
  <c r="C1155" i="11"/>
  <c r="C1172" i="11"/>
  <c r="C1189" i="11"/>
  <c r="C1206" i="11"/>
  <c r="C1223" i="11"/>
  <c r="C1240" i="11"/>
  <c r="C1257" i="11"/>
  <c r="C1283" i="11"/>
  <c r="C1300" i="11"/>
  <c r="C657" i="11"/>
  <c r="C717" i="11"/>
  <c r="C785" i="11"/>
  <c r="C829" i="11"/>
  <c r="C846" i="11"/>
  <c r="C863" i="11"/>
  <c r="C880" i="11"/>
  <c r="C893" i="11"/>
  <c r="C906" i="11"/>
  <c r="C966" i="11"/>
  <c r="C989" i="11"/>
  <c r="C999" i="11"/>
  <c r="C1027" i="11"/>
  <c r="C1036" i="11"/>
  <c r="C1053" i="11"/>
  <c r="C1070" i="11"/>
  <c r="C1087" i="11"/>
  <c r="C1104" i="11"/>
  <c r="C1121" i="11"/>
  <c r="C1147" i="11"/>
  <c r="C1164" i="11"/>
  <c r="C1181" i="11"/>
  <c r="C1198" i="11"/>
  <c r="C1215" i="11"/>
  <c r="C1232" i="11"/>
  <c r="C1249" i="11"/>
  <c r="C1275" i="11"/>
  <c r="C1292" i="11"/>
  <c r="C1309" i="11"/>
  <c r="C1326" i="11"/>
  <c r="C1334" i="11"/>
  <c r="C1342" i="11"/>
  <c r="C661" i="11"/>
  <c r="C812" i="11"/>
  <c r="C907" i="11"/>
  <c r="C932" i="11"/>
  <c r="C943" i="11"/>
  <c r="C956" i="11"/>
  <c r="C977" i="11"/>
  <c r="C1009" i="11"/>
  <c r="C1045" i="11"/>
  <c r="C1062" i="11"/>
  <c r="C1079" i="11"/>
  <c r="C1096" i="11"/>
  <c r="C1113" i="11"/>
  <c r="C1139" i="11"/>
  <c r="C1156" i="11"/>
  <c r="C1173" i="11"/>
  <c r="C1190" i="11"/>
  <c r="C1207" i="11"/>
  <c r="C1224" i="11"/>
  <c r="C1241" i="11"/>
  <c r="C1267" i="11"/>
  <c r="C672" i="11"/>
  <c r="C830" i="11"/>
  <c r="C847" i="11"/>
  <c r="C864" i="11"/>
  <c r="C881" i="11"/>
  <c r="C896" i="11"/>
  <c r="C921" i="11"/>
  <c r="C944" i="11"/>
  <c r="C967" i="11"/>
  <c r="C978" i="11"/>
  <c r="C990" i="11"/>
  <c r="C1000" i="11"/>
  <c r="C1019" i="11"/>
  <c r="C1037" i="11"/>
  <c r="C1054" i="11"/>
  <c r="C1071" i="11"/>
  <c r="C1088" i="11"/>
  <c r="C1105" i="11"/>
  <c r="C1131" i="11"/>
  <c r="C1148" i="11"/>
  <c r="C1165" i="11"/>
  <c r="C1182" i="11"/>
  <c r="C1199" i="11"/>
  <c r="C1216" i="11"/>
  <c r="C728" i="11"/>
  <c r="C765" i="11"/>
  <c r="C813" i="11"/>
  <c r="C908" i="11"/>
  <c r="C933" i="11"/>
  <c r="C946" i="11"/>
  <c r="C957" i="11"/>
  <c r="C1029" i="11"/>
  <c r="C1046" i="11"/>
  <c r="C1063" i="11"/>
  <c r="C1080" i="11"/>
  <c r="C1097" i="11"/>
  <c r="C1123" i="11"/>
  <c r="C1140" i="11"/>
  <c r="C1157" i="11"/>
  <c r="C1174" i="11"/>
  <c r="C1191" i="11"/>
  <c r="C1208" i="11"/>
  <c r="C729" i="11"/>
  <c r="C1064" i="11"/>
  <c r="C1328" i="11"/>
  <c r="C1492" i="11"/>
  <c r="C1502" i="11"/>
  <c r="C1512" i="11"/>
  <c r="C1524" i="11"/>
  <c r="C1560" i="11"/>
  <c r="C1586" i="11"/>
  <c r="C1603" i="11"/>
  <c r="C1620" i="11"/>
  <c r="C1637" i="11"/>
  <c r="C1654" i="11"/>
  <c r="C1671" i="11"/>
  <c r="C1688" i="11"/>
  <c r="C1714" i="11"/>
  <c r="C1731" i="11"/>
  <c r="C1748" i="11"/>
  <c r="C1765" i="11"/>
  <c r="C1782" i="11"/>
  <c r="C1799" i="11"/>
  <c r="C1816" i="11"/>
  <c r="C1842" i="11"/>
  <c r="C1859" i="11"/>
  <c r="C1876" i="11"/>
  <c r="C1893" i="11"/>
  <c r="C1910" i="11"/>
  <c r="C1927" i="11"/>
  <c r="C1944" i="11"/>
  <c r="C1001" i="11"/>
  <c r="C1072" i="11"/>
  <c r="C1251" i="11"/>
  <c r="C1284" i="11"/>
  <c r="C1351" i="11"/>
  <c r="C1368" i="11"/>
  <c r="C1384" i="11"/>
  <c r="C1400" i="11"/>
  <c r="C1416" i="11"/>
  <c r="C1432" i="11"/>
  <c r="C1448" i="11"/>
  <c r="C1464" i="11"/>
  <c r="C1479" i="11"/>
  <c r="C1534" i="11"/>
  <c r="C1543" i="11"/>
  <c r="C1552" i="11"/>
  <c r="C1578" i="11"/>
  <c r="C1595" i="11"/>
  <c r="C1612" i="11"/>
  <c r="C1629" i="11"/>
  <c r="C1646" i="11"/>
  <c r="C1663" i="11"/>
  <c r="C1680" i="11"/>
  <c r="C1706" i="11"/>
  <c r="C1723" i="11"/>
  <c r="C1740" i="11"/>
  <c r="C1757" i="11"/>
  <c r="C1774" i="11"/>
  <c r="C1791" i="11"/>
  <c r="C1808" i="11"/>
  <c r="C1834" i="11"/>
  <c r="C1851" i="11"/>
  <c r="C1868" i="11"/>
  <c r="C1885" i="11"/>
  <c r="C1902" i="11"/>
  <c r="C1919" i="11"/>
  <c r="C1936" i="11"/>
  <c r="C1953" i="11"/>
  <c r="C1961" i="11"/>
  <c r="C1969" i="11"/>
  <c r="C1977" i="11"/>
  <c r="C1985" i="11"/>
  <c r="C1993" i="11"/>
  <c r="C2001" i="11"/>
  <c r="C909" i="11"/>
  <c r="C1141" i="11"/>
  <c r="C1209" i="11"/>
  <c r="C1310" i="11"/>
  <c r="C1493" i="11"/>
  <c r="C1503" i="11"/>
  <c r="C1525" i="11"/>
  <c r="C1570" i="11"/>
  <c r="C1587" i="11"/>
  <c r="C1604" i="11"/>
  <c r="C1621" i="11"/>
  <c r="C1638" i="11"/>
  <c r="C1655" i="11"/>
  <c r="C1672" i="11"/>
  <c r="C1698" i="11"/>
  <c r="C1715" i="11"/>
  <c r="C1732" i="11"/>
  <c r="C1749" i="11"/>
  <c r="C1766" i="11"/>
  <c r="C1783" i="11"/>
  <c r="C1800" i="11"/>
  <c r="C1826" i="11"/>
  <c r="C1843" i="11"/>
  <c r="C1860" i="11"/>
  <c r="C1877" i="11"/>
  <c r="C1894" i="11"/>
  <c r="C1911" i="11"/>
  <c r="C1928" i="11"/>
  <c r="C793" i="11"/>
  <c r="C922" i="11"/>
  <c r="C1011" i="11"/>
  <c r="C1149" i="11"/>
  <c r="C1217" i="11"/>
  <c r="C1252" i="11"/>
  <c r="C1285" i="11"/>
  <c r="C1352" i="11"/>
  <c r="C1373" i="11"/>
  <c r="C1389" i="11"/>
  <c r="C1405" i="11"/>
  <c r="C1421" i="11"/>
  <c r="C1437" i="11"/>
  <c r="C1453" i="11"/>
  <c r="C1469" i="11"/>
  <c r="C1480" i="11"/>
  <c r="C1535" i="11"/>
  <c r="C1544" i="11"/>
  <c r="C1562" i="11"/>
  <c r="C1579" i="11"/>
  <c r="C1596" i="11"/>
  <c r="C1613" i="11"/>
  <c r="C1630" i="11"/>
  <c r="C1647" i="11"/>
  <c r="C1664" i="11"/>
  <c r="C1690" i="11"/>
  <c r="C1707" i="11"/>
  <c r="C1724" i="11"/>
  <c r="C1741" i="11"/>
  <c r="C1758" i="11"/>
  <c r="C1775" i="11"/>
  <c r="C1792" i="11"/>
  <c r="C1818" i="11"/>
  <c r="C1835" i="11"/>
  <c r="C1852" i="11"/>
  <c r="C1869" i="11"/>
  <c r="C1886" i="11"/>
  <c r="C1903" i="11"/>
  <c r="C1920" i="11"/>
  <c r="C1946" i="11"/>
  <c r="C1954" i="11"/>
  <c r="C1962" i="11"/>
  <c r="C1970" i="11"/>
  <c r="C1978" i="11"/>
  <c r="C1986" i="11"/>
  <c r="C1994" i="11"/>
  <c r="C2002" i="11"/>
  <c r="C2010" i="11"/>
  <c r="C2018" i="11"/>
  <c r="C2026" i="11"/>
  <c r="C2034" i="11"/>
  <c r="C923" i="11"/>
  <c r="C1081" i="11"/>
  <c r="C1259" i="11"/>
  <c r="C1311" i="11"/>
  <c r="C1335" i="11"/>
  <c r="C1494" i="11"/>
  <c r="C1504" i="11"/>
  <c r="C1516" i="11"/>
  <c r="C1526" i="11"/>
  <c r="C1554" i="11"/>
  <c r="C1571" i="11"/>
  <c r="C1588" i="11"/>
  <c r="C1605" i="11"/>
  <c r="C1622" i="11"/>
  <c r="C1639" i="11"/>
  <c r="C1656" i="11"/>
  <c r="C1682" i="11"/>
  <c r="C1699" i="11"/>
  <c r="C1716" i="11"/>
  <c r="C1733" i="11"/>
  <c r="C1750" i="11"/>
  <c r="C1767" i="11"/>
  <c r="C1784" i="11"/>
  <c r="C1810" i="11"/>
  <c r="C1827" i="11"/>
  <c r="C1844" i="11"/>
  <c r="C1861" i="11"/>
  <c r="C1878" i="11"/>
  <c r="C1895" i="11"/>
  <c r="C1912" i="11"/>
  <c r="C1938" i="11"/>
  <c r="C1089" i="11"/>
  <c r="C1225" i="11"/>
  <c r="C1286" i="11"/>
  <c r="C1374" i="11"/>
  <c r="C1390" i="11"/>
  <c r="C1406" i="11"/>
  <c r="C1422" i="11"/>
  <c r="C1438" i="11"/>
  <c r="C1454" i="11"/>
  <c r="C1470" i="11"/>
  <c r="C1536" i="11"/>
  <c r="C1563" i="11"/>
  <c r="C1580" i="11"/>
  <c r="C1597" i="11"/>
  <c r="C1614" i="11"/>
  <c r="C1631" i="11"/>
  <c r="C1648" i="11"/>
  <c r="C1674" i="11"/>
  <c r="C1691" i="11"/>
  <c r="C1708" i="11"/>
  <c r="C1725" i="11"/>
  <c r="C1742" i="11"/>
  <c r="C1759" i="11"/>
  <c r="C1776" i="11"/>
  <c r="C1802" i="11"/>
  <c r="C1819" i="11"/>
  <c r="C1836" i="11"/>
  <c r="C1853" i="11"/>
  <c r="C1870" i="11"/>
  <c r="C1887" i="11"/>
  <c r="C1904" i="11"/>
  <c r="C1930" i="11"/>
  <c r="C1947" i="11"/>
  <c r="C1955" i="11"/>
  <c r="C1963" i="11"/>
  <c r="C1971" i="11"/>
  <c r="C1979" i="11"/>
  <c r="C1987" i="11"/>
  <c r="C1995" i="11"/>
  <c r="C2003" i="11"/>
  <c r="C814" i="11"/>
  <c r="C934" i="11"/>
  <c r="C1021" i="11"/>
  <c r="C1158" i="11"/>
  <c r="C1260" i="11"/>
  <c r="C1317" i="11"/>
  <c r="C1336" i="11"/>
  <c r="C1358" i="11"/>
  <c r="C1484" i="11"/>
  <c r="C1495" i="11"/>
  <c r="C1517" i="11"/>
  <c r="C1527" i="11"/>
  <c r="C1555" i="11"/>
  <c r="C1572" i="11"/>
  <c r="C1589" i="11"/>
  <c r="C1606" i="11"/>
  <c r="C1623" i="11"/>
  <c r="C1640" i="11"/>
  <c r="C1666" i="11"/>
  <c r="C1683" i="11"/>
  <c r="C1700" i="11"/>
  <c r="C1717" i="11"/>
  <c r="C1734" i="11"/>
  <c r="C1751" i="11"/>
  <c r="C1768" i="11"/>
  <c r="C1794" i="11"/>
  <c r="C1811" i="11"/>
  <c r="C1828" i="11"/>
  <c r="C1845" i="11"/>
  <c r="C1862" i="11"/>
  <c r="C1879" i="11"/>
  <c r="C1896" i="11"/>
  <c r="C1922" i="11"/>
  <c r="C1939" i="11"/>
  <c r="C831" i="11"/>
  <c r="C947" i="11"/>
  <c r="C1166" i="11"/>
  <c r="C1293" i="11"/>
  <c r="C1318" i="11"/>
  <c r="C1375" i="11"/>
  <c r="C1391" i="11"/>
  <c r="C1407" i="11"/>
  <c r="C1423" i="11"/>
  <c r="C1439" i="11"/>
  <c r="C1455" i="11"/>
  <c r="C1471" i="11"/>
  <c r="C1485" i="11"/>
  <c r="C1547" i="11"/>
  <c r="C1564" i="11"/>
  <c r="C1581" i="11"/>
  <c r="C1598" i="11"/>
  <c r="C1615" i="11"/>
  <c r="C1632" i="11"/>
  <c r="C1658" i="11"/>
  <c r="C1675" i="11"/>
  <c r="C1692" i="11"/>
  <c r="C1709" i="11"/>
  <c r="C1726" i="11"/>
  <c r="C1743" i="11"/>
  <c r="C1760" i="11"/>
  <c r="C1786" i="11"/>
  <c r="C1803" i="11"/>
  <c r="C1820" i="11"/>
  <c r="C1837" i="11"/>
  <c r="C1854" i="11"/>
  <c r="C1871" i="11"/>
  <c r="C1888" i="11"/>
  <c r="C1914" i="11"/>
  <c r="C1931" i="11"/>
  <c r="C1948" i="11"/>
  <c r="C1030" i="11"/>
  <c r="C1233" i="11"/>
  <c r="C1359" i="11"/>
  <c r="C1496" i="11"/>
  <c r="C1508" i="11"/>
  <c r="C1518" i="11"/>
  <c r="C1528" i="11"/>
  <c r="C1556" i="11"/>
  <c r="C1573" i="11"/>
  <c r="C1590" i="11"/>
  <c r="C1607" i="11"/>
  <c r="C1624" i="11"/>
  <c r="C1650" i="11"/>
  <c r="C1667" i="11"/>
  <c r="C1684" i="11"/>
  <c r="C1701" i="11"/>
  <c r="C1718" i="11"/>
  <c r="C1735" i="11"/>
  <c r="C1752" i="11"/>
  <c r="C1778" i="11"/>
  <c r="C1795" i="11"/>
  <c r="C1812" i="11"/>
  <c r="C1829" i="11"/>
  <c r="C1846" i="11"/>
  <c r="C1863" i="11"/>
  <c r="C1880" i="11"/>
  <c r="C1906" i="11"/>
  <c r="C1923" i="11"/>
  <c r="C1940" i="11"/>
  <c r="C848" i="11"/>
  <c r="C1038" i="11"/>
  <c r="C1268" i="11"/>
  <c r="C1294" i="11"/>
  <c r="C1319" i="11"/>
  <c r="C1376" i="11"/>
  <c r="C1392" i="11"/>
  <c r="C1408" i="11"/>
  <c r="C1424" i="11"/>
  <c r="C1440" i="11"/>
  <c r="C1456" i="11"/>
  <c r="C1472" i="11"/>
  <c r="C1486" i="11"/>
  <c r="C1539" i="11"/>
  <c r="C1548" i="11"/>
  <c r="C1565" i="11"/>
  <c r="C1582" i="11"/>
  <c r="C1599" i="11"/>
  <c r="C1616" i="11"/>
  <c r="C1642" i="11"/>
  <c r="C1659" i="11"/>
  <c r="C1676" i="11"/>
  <c r="C1693" i="11"/>
  <c r="C1710" i="11"/>
  <c r="C1727" i="11"/>
  <c r="C1744" i="11"/>
  <c r="C1770" i="11"/>
  <c r="C1787" i="11"/>
  <c r="C1804" i="11"/>
  <c r="C1821" i="11"/>
  <c r="C1838" i="11"/>
  <c r="C958" i="11"/>
  <c r="C1107" i="11"/>
  <c r="C1175" i="11"/>
  <c r="C1343" i="11"/>
  <c r="C1360" i="11"/>
  <c r="C1509" i="11"/>
  <c r="C1519" i="11"/>
  <c r="C1557" i="11"/>
  <c r="C1574" i="11"/>
  <c r="C1591" i="11"/>
  <c r="C1608" i="11"/>
  <c r="C1634" i="11"/>
  <c r="C1651" i="11"/>
  <c r="C1668" i="11"/>
  <c r="C1685" i="11"/>
  <c r="C1702" i="11"/>
  <c r="C1719" i="11"/>
  <c r="C1736" i="11"/>
  <c r="C1762" i="11"/>
  <c r="C1779" i="11"/>
  <c r="C1796" i="11"/>
  <c r="C1813" i="11"/>
  <c r="C1830" i="11"/>
  <c r="C1847" i="11"/>
  <c r="C1864" i="11"/>
  <c r="C1890" i="11"/>
  <c r="C549" i="11"/>
  <c r="C865" i="11"/>
  <c r="C968" i="11"/>
  <c r="C1115" i="11"/>
  <c r="C1183" i="11"/>
  <c r="C1235" i="11"/>
  <c r="C1269" i="11"/>
  <c r="C1301" i="11"/>
  <c r="C1320" i="11"/>
  <c r="C1381" i="11"/>
  <c r="C1397" i="11"/>
  <c r="C1413" i="11"/>
  <c r="C1429" i="11"/>
  <c r="C1445" i="11"/>
  <c r="C1461" i="11"/>
  <c r="C1487" i="11"/>
  <c r="C1531" i="11"/>
  <c r="C1540" i="11"/>
  <c r="C1549" i="11"/>
  <c r="C1566" i="11"/>
  <c r="C1583" i="11"/>
  <c r="C1600" i="11"/>
  <c r="C1626" i="11"/>
  <c r="C1643" i="11"/>
  <c r="C1660" i="11"/>
  <c r="C1677" i="11"/>
  <c r="C1694" i="11"/>
  <c r="C1711" i="11"/>
  <c r="C1728" i="11"/>
  <c r="C1754" i="11"/>
  <c r="C1771" i="11"/>
  <c r="C1788" i="11"/>
  <c r="C1805" i="11"/>
  <c r="C1822" i="11"/>
  <c r="C1839" i="11"/>
  <c r="C569" i="11"/>
  <c r="C1047" i="11"/>
  <c r="C1344" i="11"/>
  <c r="C1476" i="11"/>
  <c r="C1500" i="11"/>
  <c r="C1510" i="11"/>
  <c r="C1520" i="11"/>
  <c r="C1558" i="11"/>
  <c r="C1575" i="11"/>
  <c r="C1592" i="11"/>
  <c r="C1618" i="11"/>
  <c r="C1635" i="11"/>
  <c r="C1652" i="11"/>
  <c r="C1669" i="11"/>
  <c r="C1686" i="11"/>
  <c r="C1703" i="11"/>
  <c r="C1720" i="11"/>
  <c r="C1746" i="11"/>
  <c r="C882" i="11"/>
  <c r="C981" i="11"/>
  <c r="C1055" i="11"/>
  <c r="C1276" i="11"/>
  <c r="C1302" i="11"/>
  <c r="C1366" i="11"/>
  <c r="C1382" i="11"/>
  <c r="C1398" i="11"/>
  <c r="C1414" i="11"/>
  <c r="C1430" i="11"/>
  <c r="C1446" i="11"/>
  <c r="C1462" i="11"/>
  <c r="C1477" i="11"/>
  <c r="C1488" i="11"/>
  <c r="C1532" i="11"/>
  <c r="C1541" i="11"/>
  <c r="C1550" i="11"/>
  <c r="C1567" i="11"/>
  <c r="C1584" i="11"/>
  <c r="C1610" i="11"/>
  <c r="C1627" i="11"/>
  <c r="C1644" i="11"/>
  <c r="C1661" i="11"/>
  <c r="C1678" i="11"/>
  <c r="C1695" i="11"/>
  <c r="C1712" i="11"/>
  <c r="C1738" i="11"/>
  <c r="C1755" i="11"/>
  <c r="C1772" i="11"/>
  <c r="C686" i="11"/>
  <c r="C883" i="11"/>
  <c r="C1124" i="11"/>
  <c r="C1192" i="11"/>
  <c r="C1243" i="11"/>
  <c r="C1327" i="11"/>
  <c r="C1501" i="11"/>
  <c r="C1511" i="11"/>
  <c r="C1559" i="11"/>
  <c r="C1576" i="11"/>
  <c r="C1602" i="11"/>
  <c r="C1619" i="11"/>
  <c r="C1636" i="11"/>
  <c r="C1653" i="11"/>
  <c r="C1670" i="11"/>
  <c r="C1687" i="11"/>
  <c r="C1704" i="11"/>
  <c r="C1730" i="11"/>
  <c r="C1747" i="11"/>
  <c r="C1764" i="11"/>
  <c r="C1200" i="11"/>
  <c r="C1866" i="11"/>
  <c r="C1996" i="11"/>
  <c r="C2008" i="11"/>
  <c r="C2021" i="11"/>
  <c r="C2053" i="11"/>
  <c r="C2070" i="11"/>
  <c r="C2087" i="11"/>
  <c r="C2104" i="11"/>
  <c r="C2113" i="11"/>
  <c r="C2130" i="11"/>
  <c r="C2147" i="11"/>
  <c r="C2164" i="11"/>
  <c r="C2181" i="11"/>
  <c r="C2198" i="11"/>
  <c r="C2215" i="11"/>
  <c r="C2232" i="11"/>
  <c r="C2241" i="11"/>
  <c r="C2258" i="11"/>
  <c r="C2275" i="11"/>
  <c r="C2292" i="11"/>
  <c r="C2309" i="11"/>
  <c r="C2326" i="11"/>
  <c r="C2343" i="11"/>
  <c r="C2360" i="11"/>
  <c r="C2369" i="11"/>
  <c r="C2386" i="11"/>
  <c r="C2403" i="11"/>
  <c r="C2420" i="11"/>
  <c r="C2437" i="11"/>
  <c r="C2454" i="11"/>
  <c r="C2471" i="11"/>
  <c r="C2488" i="11"/>
  <c r="C2497" i="11"/>
  <c r="C2514" i="11"/>
  <c r="C2531" i="11"/>
  <c r="C2548" i="11"/>
  <c r="C2556" i="11"/>
  <c r="C2564" i="11"/>
  <c r="C2572" i="11"/>
  <c r="C2580" i="11"/>
  <c r="C2588" i="11"/>
  <c r="C2596" i="11"/>
  <c r="C2604" i="11"/>
  <c r="C2612" i="11"/>
  <c r="C2620" i="11"/>
  <c r="C2628" i="11"/>
  <c r="C2636" i="11"/>
  <c r="C2644" i="11"/>
  <c r="C2652" i="11"/>
  <c r="C2660" i="11"/>
  <c r="C2668" i="11"/>
  <c r="C2676" i="11"/>
  <c r="C2684" i="11"/>
  <c r="C2692" i="11"/>
  <c r="C2700" i="11"/>
  <c r="C2708" i="11"/>
  <c r="C2716" i="11"/>
  <c r="C2724" i="11"/>
  <c r="C2732" i="11"/>
  <c r="C2740" i="11"/>
  <c r="C2748" i="11"/>
  <c r="C2756" i="11"/>
  <c r="C2764" i="11"/>
  <c r="C2772" i="11"/>
  <c r="C2780" i="11"/>
  <c r="C2788" i="11"/>
  <c r="C2796" i="11"/>
  <c r="C2804" i="11"/>
  <c r="C2812" i="11"/>
  <c r="C2820" i="11"/>
  <c r="C2828" i="11"/>
  <c r="C2836" i="11"/>
  <c r="C2844" i="11"/>
  <c r="C2852" i="11"/>
  <c r="C2860" i="11"/>
  <c r="C2868" i="11"/>
  <c r="C2876" i="11"/>
  <c r="C2884" i="11"/>
  <c r="C2892" i="11"/>
  <c r="C2900" i="11"/>
  <c r="C2908" i="11"/>
  <c r="C2916" i="11"/>
  <c r="C2924" i="11"/>
  <c r="C2932" i="11"/>
  <c r="C2940" i="11"/>
  <c r="C2948" i="11"/>
  <c r="C2956" i="11"/>
  <c r="C2964" i="11"/>
  <c r="C2972" i="11"/>
  <c r="C2980" i="11"/>
  <c r="C2988" i="11"/>
  <c r="C2996" i="11"/>
  <c r="C3004" i="11"/>
  <c r="C3012" i="11"/>
  <c r="C3020" i="11"/>
  <c r="C3028" i="11"/>
  <c r="C3036" i="11"/>
  <c r="C1662" i="11"/>
  <c r="C1773" i="11"/>
  <c r="C1807" i="11"/>
  <c r="C1891" i="11"/>
  <c r="C1909" i="11"/>
  <c r="C1932" i="11"/>
  <c r="C1950" i="11"/>
  <c r="C1966" i="11"/>
  <c r="C1982" i="11"/>
  <c r="C1997" i="11"/>
  <c r="C2009" i="11"/>
  <c r="C2032" i="11"/>
  <c r="C2044" i="11"/>
  <c r="C2062" i="11"/>
  <c r="C2079" i="11"/>
  <c r="C2096" i="11"/>
  <c r="C2105" i="11"/>
  <c r="C2122" i="11"/>
  <c r="C2139" i="11"/>
  <c r="C2156" i="11"/>
  <c r="C2173" i="11"/>
  <c r="C2190" i="11"/>
  <c r="C2207" i="11"/>
  <c r="C2224" i="11"/>
  <c r="C2233" i="11"/>
  <c r="C2250" i="11"/>
  <c r="C2267" i="11"/>
  <c r="C2284" i="11"/>
  <c r="C2301" i="11"/>
  <c r="C2318" i="11"/>
  <c r="C2335" i="11"/>
  <c r="C2352" i="11"/>
  <c r="C2361" i="11"/>
  <c r="C2378" i="11"/>
  <c r="C2395" i="11"/>
  <c r="C2412" i="11"/>
  <c r="C2429" i="11"/>
  <c r="C2446" i="11"/>
  <c r="C2463" i="11"/>
  <c r="C2480" i="11"/>
  <c r="C2489" i="11"/>
  <c r="C2506" i="11"/>
  <c r="C2523" i="11"/>
  <c r="C2540" i="11"/>
  <c r="C1277" i="11"/>
  <c r="C1533" i="11"/>
  <c r="C1780" i="11"/>
  <c r="C1814" i="11"/>
  <c r="C1867" i="11"/>
  <c r="C2011" i="11"/>
  <c r="C2022" i="11"/>
  <c r="C2033" i="11"/>
  <c r="C2045" i="11"/>
  <c r="C2054" i="11"/>
  <c r="C2071" i="11"/>
  <c r="C2088" i="11"/>
  <c r="C2097" i="11"/>
  <c r="C2114" i="11"/>
  <c r="C2131" i="11"/>
  <c r="C2148" i="11"/>
  <c r="C2165" i="11"/>
  <c r="C2182" i="11"/>
  <c r="C2199" i="11"/>
  <c r="C2216" i="11"/>
  <c r="C2225" i="11"/>
  <c r="C2242" i="11"/>
  <c r="C2259" i="11"/>
  <c r="C2276" i="11"/>
  <c r="C2293" i="11"/>
  <c r="C2310" i="11"/>
  <c r="C2327" i="11"/>
  <c r="C2344" i="11"/>
  <c r="C2353" i="11"/>
  <c r="C2370" i="11"/>
  <c r="C2387" i="11"/>
  <c r="C2404" i="11"/>
  <c r="C2421" i="11"/>
  <c r="C2438" i="11"/>
  <c r="C2455" i="11"/>
  <c r="C2472" i="11"/>
  <c r="C2481" i="11"/>
  <c r="C2498" i="11"/>
  <c r="C2515" i="11"/>
  <c r="C2532" i="11"/>
  <c r="C2549" i="11"/>
  <c r="C2557" i="11"/>
  <c r="C2565" i="11"/>
  <c r="C2573" i="11"/>
  <c r="C2581" i="11"/>
  <c r="C2589" i="11"/>
  <c r="C2597" i="11"/>
  <c r="C2605" i="11"/>
  <c r="C2613" i="11"/>
  <c r="C2621" i="11"/>
  <c r="C1303" i="11"/>
  <c r="C1542" i="11"/>
  <c r="C1679" i="11"/>
  <c r="C1848" i="11"/>
  <c r="C1872" i="11"/>
  <c r="C1892" i="11"/>
  <c r="C1915" i="11"/>
  <c r="C1933" i="11"/>
  <c r="C1951" i="11"/>
  <c r="C1967" i="11"/>
  <c r="C1983" i="11"/>
  <c r="C1998" i="11"/>
  <c r="C2035" i="11"/>
  <c r="C2063" i="11"/>
  <c r="C2080" i="11"/>
  <c r="C2089" i="11"/>
  <c r="C2106" i="11"/>
  <c r="C2123" i="11"/>
  <c r="C2140" i="11"/>
  <c r="C2157" i="11"/>
  <c r="C2174" i="11"/>
  <c r="C2191" i="11"/>
  <c r="C2208" i="11"/>
  <c r="C2217" i="11"/>
  <c r="C2234" i="11"/>
  <c r="C2251" i="11"/>
  <c r="C2268" i="11"/>
  <c r="C2285" i="11"/>
  <c r="C2302" i="11"/>
  <c r="C2319" i="11"/>
  <c r="C2336" i="11"/>
  <c r="C2345" i="11"/>
  <c r="C2362" i="11"/>
  <c r="C2379" i="11"/>
  <c r="C2396" i="11"/>
  <c r="C2413" i="11"/>
  <c r="C2430" i="11"/>
  <c r="C2447" i="11"/>
  <c r="C2464" i="11"/>
  <c r="C2473" i="11"/>
  <c r="C2490" i="11"/>
  <c r="C2507" i="11"/>
  <c r="C2524" i="11"/>
  <c r="C2541" i="11"/>
  <c r="C1551" i="11"/>
  <c r="C1781" i="11"/>
  <c r="C1815" i="11"/>
  <c r="C2012" i="11"/>
  <c r="C2023" i="11"/>
  <c r="C2046" i="11"/>
  <c r="C2055" i="11"/>
  <c r="C2072" i="11"/>
  <c r="C2081" i="11"/>
  <c r="C2098" i="11"/>
  <c r="C2115" i="11"/>
  <c r="C2132" i="11"/>
  <c r="C2149" i="11"/>
  <c r="C2166" i="11"/>
  <c r="C2183" i="11"/>
  <c r="C2200" i="11"/>
  <c r="C2209" i="11"/>
  <c r="C2226" i="11"/>
  <c r="C2243" i="11"/>
  <c r="C2260" i="11"/>
  <c r="C2277" i="11"/>
  <c r="C2294" i="11"/>
  <c r="C2311" i="11"/>
  <c r="C2328" i="11"/>
  <c r="C2337" i="11"/>
  <c r="C2354" i="11"/>
  <c r="C2371" i="11"/>
  <c r="C2388" i="11"/>
  <c r="C2405" i="11"/>
  <c r="C2422" i="11"/>
  <c r="C2439" i="11"/>
  <c r="C2456" i="11"/>
  <c r="C2465" i="11"/>
  <c r="C2482" i="11"/>
  <c r="C2499" i="11"/>
  <c r="C2516" i="11"/>
  <c r="C2533" i="11"/>
  <c r="C2550" i="11"/>
  <c r="C2558" i="11"/>
  <c r="C2566" i="11"/>
  <c r="C2574" i="11"/>
  <c r="C2582" i="11"/>
  <c r="C2590" i="11"/>
  <c r="C2598" i="11"/>
  <c r="C2606" i="11"/>
  <c r="C1350" i="11"/>
  <c r="C1696" i="11"/>
  <c r="C1874" i="11"/>
  <c r="C1898" i="11"/>
  <c r="C1916" i="11"/>
  <c r="C1934" i="11"/>
  <c r="C1952" i="11"/>
  <c r="C1968" i="11"/>
  <c r="C1984" i="11"/>
  <c r="C1999" i="11"/>
  <c r="C2013" i="11"/>
  <c r="C2036" i="11"/>
  <c r="C2064" i="11"/>
  <c r="C2073" i="11"/>
  <c r="C2090" i="11"/>
  <c r="C2107" i="11"/>
  <c r="C2124" i="11"/>
  <c r="C2141" i="11"/>
  <c r="C2158" i="11"/>
  <c r="C2175" i="11"/>
  <c r="C2192" i="11"/>
  <c r="C2201" i="11"/>
  <c r="C2218" i="11"/>
  <c r="C2235" i="11"/>
  <c r="C2252" i="11"/>
  <c r="C2269" i="11"/>
  <c r="C2286" i="11"/>
  <c r="C2303" i="11"/>
  <c r="C2320" i="11"/>
  <c r="C2329" i="11"/>
  <c r="C2346" i="11"/>
  <c r="C2363" i="11"/>
  <c r="C2380" i="11"/>
  <c r="C2397" i="11"/>
  <c r="C2414" i="11"/>
  <c r="C2431" i="11"/>
  <c r="C2448" i="11"/>
  <c r="C2457" i="11"/>
  <c r="C2474" i="11"/>
  <c r="C2491" i="11"/>
  <c r="C2508" i="11"/>
  <c r="C2525" i="11"/>
  <c r="C1367" i="11"/>
  <c r="C1568" i="11"/>
  <c r="C1850" i="11"/>
  <c r="C1956" i="11"/>
  <c r="C1972" i="11"/>
  <c r="C2024" i="11"/>
  <c r="C2037" i="11"/>
  <c r="C2047" i="11"/>
  <c r="C2056" i="11"/>
  <c r="C2065" i="11"/>
  <c r="C2082" i="11"/>
  <c r="C2099" i="11"/>
  <c r="C2116" i="11"/>
  <c r="C2133" i="11"/>
  <c r="C2150" i="11"/>
  <c r="C2167" i="11"/>
  <c r="C2184" i="11"/>
  <c r="C2193" i="11"/>
  <c r="C2210" i="11"/>
  <c r="C2227" i="11"/>
  <c r="C2244" i="11"/>
  <c r="C2261" i="11"/>
  <c r="C2278" i="11"/>
  <c r="C2295" i="11"/>
  <c r="C2312" i="11"/>
  <c r="C2321" i="11"/>
  <c r="C2338" i="11"/>
  <c r="C2355" i="11"/>
  <c r="C2372" i="11"/>
  <c r="C2389" i="11"/>
  <c r="C2406" i="11"/>
  <c r="C2423" i="11"/>
  <c r="C2440" i="11"/>
  <c r="C2449" i="11"/>
  <c r="C2466" i="11"/>
  <c r="C2483" i="11"/>
  <c r="C1383" i="11"/>
  <c r="C1789" i="11"/>
  <c r="C1823" i="11"/>
  <c r="C1855" i="11"/>
  <c r="C1875" i="11"/>
  <c r="C1899" i="11"/>
  <c r="C1917" i="11"/>
  <c r="C1935" i="11"/>
  <c r="C1957" i="11"/>
  <c r="C1973" i="11"/>
  <c r="C1988" i="11"/>
  <c r="C2000" i="11"/>
  <c r="C2014" i="11"/>
  <c r="C2025" i="11"/>
  <c r="C2057" i="11"/>
  <c r="C2074" i="11"/>
  <c r="C2091" i="11"/>
  <c r="C2108" i="11"/>
  <c r="C2125" i="11"/>
  <c r="C2142" i="11"/>
  <c r="C2159" i="11"/>
  <c r="C2176" i="11"/>
  <c r="C2185" i="11"/>
  <c r="C2202" i="11"/>
  <c r="C2219" i="11"/>
  <c r="C2236" i="11"/>
  <c r="C2253" i="11"/>
  <c r="C2270" i="11"/>
  <c r="C2287" i="11"/>
  <c r="C2304" i="11"/>
  <c r="C2313" i="11"/>
  <c r="C2330" i="11"/>
  <c r="C2347" i="11"/>
  <c r="C2364" i="11"/>
  <c r="C2381" i="11"/>
  <c r="C2398" i="11"/>
  <c r="C2415" i="11"/>
  <c r="C2432" i="11"/>
  <c r="C2441" i="11"/>
  <c r="C2458" i="11"/>
  <c r="C2475" i="11"/>
  <c r="C2492" i="11"/>
  <c r="C2509" i="11"/>
  <c r="C2526" i="11"/>
  <c r="C2543" i="11"/>
  <c r="C1399" i="11"/>
  <c r="C1722" i="11"/>
  <c r="C1856" i="11"/>
  <c r="C1989" i="11"/>
  <c r="C2027" i="11"/>
  <c r="C2038" i="11"/>
  <c r="C2048" i="11"/>
  <c r="C2066" i="11"/>
  <c r="C2083" i="11"/>
  <c r="C2100" i="11"/>
  <c r="C2117" i="11"/>
  <c r="C2134" i="11"/>
  <c r="C2151" i="11"/>
  <c r="C2168" i="11"/>
  <c r="C2177" i="11"/>
  <c r="C2194" i="11"/>
  <c r="C2211" i="11"/>
  <c r="C2228" i="11"/>
  <c r="C2245" i="11"/>
  <c r="C2262" i="11"/>
  <c r="C2279" i="11"/>
  <c r="C2296" i="11"/>
  <c r="C2305" i="11"/>
  <c r="C2322" i="11"/>
  <c r="C2339" i="11"/>
  <c r="C2356" i="11"/>
  <c r="C2373" i="11"/>
  <c r="C2390" i="11"/>
  <c r="C2407" i="11"/>
  <c r="C2424" i="11"/>
  <c r="C2433" i="11"/>
  <c r="C2450" i="11"/>
  <c r="C2467" i="11"/>
  <c r="C1415" i="11"/>
  <c r="C1594" i="11"/>
  <c r="C1790" i="11"/>
  <c r="C1824" i="11"/>
  <c r="C1900" i="11"/>
  <c r="C1918" i="11"/>
  <c r="C1941" i="11"/>
  <c r="C1958" i="11"/>
  <c r="C1974" i="11"/>
  <c r="C2004" i="11"/>
  <c r="C2015" i="11"/>
  <c r="C2049" i="11"/>
  <c r="C2058" i="11"/>
  <c r="C2075" i="11"/>
  <c r="C2092" i="11"/>
  <c r="C2109" i="11"/>
  <c r="C2126" i="11"/>
  <c r="C2143" i="11"/>
  <c r="C2160" i="11"/>
  <c r="C2169" i="11"/>
  <c r="C2186" i="11"/>
  <c r="C2203" i="11"/>
  <c r="C2220" i="11"/>
  <c r="C2237" i="11"/>
  <c r="C2254" i="11"/>
  <c r="C2271" i="11"/>
  <c r="C2288" i="11"/>
  <c r="C2297" i="11"/>
  <c r="C2314" i="11"/>
  <c r="C2331" i="11"/>
  <c r="C2348" i="11"/>
  <c r="C2365" i="11"/>
  <c r="C2382" i="11"/>
  <c r="C2399" i="11"/>
  <c r="C1431" i="11"/>
  <c r="C1739" i="11"/>
  <c r="C1797" i="11"/>
  <c r="C1831" i="11"/>
  <c r="C1882" i="11"/>
  <c r="C1990" i="11"/>
  <c r="C2005" i="11"/>
  <c r="C2028" i="11"/>
  <c r="C2039" i="11"/>
  <c r="C2067" i="11"/>
  <c r="C2084" i="11"/>
  <c r="C2101" i="11"/>
  <c r="C2118" i="11"/>
  <c r="C2135" i="11"/>
  <c r="C2152" i="11"/>
  <c r="C2161" i="11"/>
  <c r="C2178" i="11"/>
  <c r="C2195" i="11"/>
  <c r="C2212" i="11"/>
  <c r="C2229" i="11"/>
  <c r="C2246" i="11"/>
  <c r="C2263" i="11"/>
  <c r="C2280" i="11"/>
  <c r="C2289" i="11"/>
  <c r="C2306" i="11"/>
  <c r="C2323" i="11"/>
  <c r="C2340" i="11"/>
  <c r="C2357" i="11"/>
  <c r="C2374" i="11"/>
  <c r="C2391" i="11"/>
  <c r="C2408" i="11"/>
  <c r="C2417" i="11"/>
  <c r="C2434" i="11"/>
  <c r="C1447" i="11"/>
  <c r="C1611" i="11"/>
  <c r="C1858" i="11"/>
  <c r="C1901" i="11"/>
  <c r="C1924" i="11"/>
  <c r="C1942" i="11"/>
  <c r="C1959" i="11"/>
  <c r="C1975" i="11"/>
  <c r="C2016" i="11"/>
  <c r="C2029" i="11"/>
  <c r="C2050" i="11"/>
  <c r="C2059" i="11"/>
  <c r="C2076" i="11"/>
  <c r="C2093" i="11"/>
  <c r="C2110" i="11"/>
  <c r="C2127" i="11"/>
  <c r="C2144" i="11"/>
  <c r="C2153" i="11"/>
  <c r="C2170" i="11"/>
  <c r="C2187" i="11"/>
  <c r="C2204" i="11"/>
  <c r="C2221" i="11"/>
  <c r="C2238" i="11"/>
  <c r="C2255" i="11"/>
  <c r="C2272" i="11"/>
  <c r="C2281" i="11"/>
  <c r="C2298" i="11"/>
  <c r="C2315" i="11"/>
  <c r="C2332" i="11"/>
  <c r="C2349" i="11"/>
  <c r="C2366" i="11"/>
  <c r="C897" i="11"/>
  <c r="C1463" i="11"/>
  <c r="C1798" i="11"/>
  <c r="C1832" i="11"/>
  <c r="C1883" i="11"/>
  <c r="C1991" i="11"/>
  <c r="C2006" i="11"/>
  <c r="C2017" i="11"/>
  <c r="C2040" i="11"/>
  <c r="C2068" i="11"/>
  <c r="C2085" i="11"/>
  <c r="C2102" i="11"/>
  <c r="C2119" i="11"/>
  <c r="C2136" i="11"/>
  <c r="C2145" i="11"/>
  <c r="C2162" i="11"/>
  <c r="C2179" i="11"/>
  <c r="C2196" i="11"/>
  <c r="C2213" i="11"/>
  <c r="C2230" i="11"/>
  <c r="C2247" i="11"/>
  <c r="C2264" i="11"/>
  <c r="C2273" i="11"/>
  <c r="C2290" i="11"/>
  <c r="C2307" i="11"/>
  <c r="C2324" i="11"/>
  <c r="C2341" i="11"/>
  <c r="C991" i="11"/>
  <c r="C1478" i="11"/>
  <c r="C1628" i="11"/>
  <c r="C1756" i="11"/>
  <c r="C1907" i="11"/>
  <c r="C1925" i="11"/>
  <c r="C1943" i="11"/>
  <c r="C1960" i="11"/>
  <c r="C1976" i="11"/>
  <c r="C2019" i="11"/>
  <c r="C2030" i="11"/>
  <c r="C2041" i="11"/>
  <c r="C2051" i="11"/>
  <c r="C2060" i="11"/>
  <c r="C2077" i="11"/>
  <c r="C2094" i="11"/>
  <c r="C2111" i="11"/>
  <c r="C2128" i="11"/>
  <c r="C2137" i="11"/>
  <c r="C2154" i="11"/>
  <c r="C2171" i="11"/>
  <c r="C2188" i="11"/>
  <c r="C2205" i="11"/>
  <c r="C2222" i="11"/>
  <c r="C2239" i="11"/>
  <c r="C2256" i="11"/>
  <c r="C2265" i="11"/>
  <c r="C2282" i="11"/>
  <c r="C2299" i="11"/>
  <c r="C1763" i="11"/>
  <c r="C1884" i="11"/>
  <c r="C1964" i="11"/>
  <c r="C1980" i="11"/>
  <c r="C1992" i="11"/>
  <c r="C2007" i="11"/>
  <c r="C2042" i="11"/>
  <c r="C2069" i="11"/>
  <c r="C2086" i="11"/>
  <c r="C2103" i="11"/>
  <c r="C2120" i="11"/>
  <c r="C2129" i="11"/>
  <c r="C2146" i="11"/>
  <c r="C2163" i="11"/>
  <c r="C2180" i="11"/>
  <c r="C2197" i="11"/>
  <c r="C2214" i="11"/>
  <c r="C2231" i="11"/>
  <c r="C2248" i="11"/>
  <c r="C2257" i="11"/>
  <c r="C2274" i="11"/>
  <c r="C2291" i="11"/>
  <c r="C2308" i="11"/>
  <c r="C1132" i="11"/>
  <c r="C1645" i="11"/>
  <c r="C1806" i="11"/>
  <c r="C1840" i="11"/>
  <c r="C1908" i="11"/>
  <c r="C1926" i="11"/>
  <c r="C1949" i="11"/>
  <c r="C1965" i="11"/>
  <c r="C1981" i="11"/>
  <c r="C2020" i="11"/>
  <c r="C2031" i="11"/>
  <c r="C2043" i="11"/>
  <c r="C2052" i="11"/>
  <c r="C2061" i="11"/>
  <c r="C2078" i="11"/>
  <c r="C2095" i="11"/>
  <c r="C2112" i="11"/>
  <c r="C2121" i="11"/>
  <c r="C2138" i="11"/>
  <c r="C2155" i="11"/>
  <c r="C2172" i="11"/>
  <c r="C2189" i="11"/>
  <c r="C2206" i="11"/>
  <c r="C2223" i="11"/>
  <c r="C2240" i="11"/>
  <c r="C2249" i="11"/>
  <c r="C2358" i="11"/>
  <c r="C2385" i="11"/>
  <c r="C2435" i="11"/>
  <c r="C2453" i="11"/>
  <c r="C2505" i="11"/>
  <c r="C2521" i="11"/>
  <c r="C2537" i="11"/>
  <c r="C2551" i="11"/>
  <c r="C2611" i="11"/>
  <c r="C2630" i="11"/>
  <c r="C2647" i="11"/>
  <c r="C2664" i="11"/>
  <c r="C2681" i="11"/>
  <c r="C2698" i="11"/>
  <c r="C2715" i="11"/>
  <c r="C2741" i="11"/>
  <c r="C2758" i="11"/>
  <c r="C2775" i="11"/>
  <c r="C2792" i="11"/>
  <c r="C2809" i="11"/>
  <c r="C2826" i="11"/>
  <c r="C2843" i="11"/>
  <c r="C2869" i="11"/>
  <c r="C2886" i="11"/>
  <c r="C2903" i="11"/>
  <c r="C2920" i="11"/>
  <c r="C2937" i="11"/>
  <c r="C2954" i="11"/>
  <c r="C2971" i="11"/>
  <c r="C2997" i="11"/>
  <c r="C3014" i="11"/>
  <c r="C3031" i="11"/>
  <c r="C2316" i="11"/>
  <c r="C2411" i="11"/>
  <c r="C2476" i="11"/>
  <c r="C2493" i="11"/>
  <c r="C2552" i="11"/>
  <c r="C2563" i="11"/>
  <c r="C2577" i="11"/>
  <c r="C2359" i="11"/>
  <c r="C2416" i="11"/>
  <c r="C2436" i="11"/>
  <c r="C2459" i="11"/>
  <c r="C2522" i="11"/>
  <c r="C2538" i="11"/>
  <c r="C2631" i="11"/>
  <c r="C2648" i="11"/>
  <c r="C2665" i="11"/>
  <c r="C2682" i="11"/>
  <c r="C2699" i="11"/>
  <c r="C2725" i="11"/>
  <c r="C2742" i="11"/>
  <c r="C2759" i="11"/>
  <c r="C2776" i="11"/>
  <c r="C2793" i="11"/>
  <c r="C2810" i="11"/>
  <c r="C2827" i="11"/>
  <c r="C2853" i="11"/>
  <c r="C2870" i="11"/>
  <c r="C2887" i="11"/>
  <c r="C2904" i="11"/>
  <c r="C2921" i="11"/>
  <c r="C2938" i="11"/>
  <c r="C2955" i="11"/>
  <c r="C2981" i="11"/>
  <c r="C2998" i="11"/>
  <c r="C3015" i="11"/>
  <c r="C3032" i="11"/>
  <c r="C2317" i="11"/>
  <c r="C2392" i="11"/>
  <c r="C2477" i="11"/>
  <c r="C2494" i="11"/>
  <c r="C2510" i="11"/>
  <c r="C2553" i="11"/>
  <c r="C2578" i="11"/>
  <c r="C2591" i="11"/>
  <c r="C2602" i="11"/>
  <c r="C2623" i="11"/>
  <c r="C2640" i="11"/>
  <c r="C2657" i="11"/>
  <c r="C2674" i="11"/>
  <c r="C2691" i="11"/>
  <c r="C2717" i="11"/>
  <c r="C2734" i="11"/>
  <c r="C2751" i="11"/>
  <c r="C2768" i="11"/>
  <c r="C2785" i="11"/>
  <c r="C2802" i="11"/>
  <c r="C2819" i="11"/>
  <c r="C2845" i="11"/>
  <c r="C2862" i="11"/>
  <c r="C2879" i="11"/>
  <c r="C2896" i="11"/>
  <c r="C2913" i="11"/>
  <c r="C2930" i="11"/>
  <c r="C2947" i="11"/>
  <c r="C2973" i="11"/>
  <c r="C2990" i="11"/>
  <c r="C3007" i="11"/>
  <c r="C3024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2393" i="11"/>
  <c r="C2418" i="11"/>
  <c r="C2442" i="11"/>
  <c r="C2460" i="11"/>
  <c r="C2539" i="11"/>
  <c r="C2567" i="11"/>
  <c r="C2592" i="11"/>
  <c r="C2614" i="11"/>
  <c r="C2632" i="11"/>
  <c r="C2649" i="11"/>
  <c r="C2666" i="11"/>
  <c r="C2683" i="11"/>
  <c r="C2709" i="11"/>
  <c r="C2726" i="11"/>
  <c r="C2743" i="11"/>
  <c r="C2760" i="11"/>
  <c r="C2777" i="11"/>
  <c r="C2794" i="11"/>
  <c r="C2811" i="11"/>
  <c r="C2837" i="11"/>
  <c r="C2854" i="11"/>
  <c r="C2871" i="11"/>
  <c r="C2888" i="11"/>
  <c r="C2905" i="11"/>
  <c r="C2922" i="11"/>
  <c r="C2939" i="11"/>
  <c r="C2965" i="11"/>
  <c r="C2982" i="11"/>
  <c r="C2999" i="11"/>
  <c r="C3016" i="11"/>
  <c r="C3033" i="11"/>
  <c r="C2325" i="11"/>
  <c r="C2367" i="11"/>
  <c r="C2478" i="11"/>
  <c r="C2495" i="11"/>
  <c r="C2511" i="11"/>
  <c r="C2527" i="11"/>
  <c r="C2542" i="11"/>
  <c r="C2554" i="11"/>
  <c r="C2568" i="11"/>
  <c r="C2579" i="11"/>
  <c r="C2603" i="11"/>
  <c r="C2624" i="11"/>
  <c r="C2641" i="11"/>
  <c r="C2658" i="11"/>
  <c r="C2675" i="11"/>
  <c r="C2701" i="11"/>
  <c r="C2718" i="11"/>
  <c r="C2735" i="11"/>
  <c r="C2752" i="11"/>
  <c r="C2769" i="11"/>
  <c r="C2786" i="11"/>
  <c r="C2803" i="11"/>
  <c r="C2829" i="11"/>
  <c r="C2846" i="11"/>
  <c r="C2863" i="11"/>
  <c r="C2880" i="11"/>
  <c r="C2897" i="11"/>
  <c r="C2914" i="11"/>
  <c r="C2931" i="11"/>
  <c r="C2957" i="11"/>
  <c r="C2974" i="11"/>
  <c r="C2991" i="11"/>
  <c r="C3008" i="11"/>
  <c r="C3025" i="11"/>
  <c r="C3042" i="11"/>
  <c r="C3050" i="11"/>
  <c r="C3058" i="11"/>
  <c r="C3066" i="11"/>
  <c r="C3074" i="11"/>
  <c r="C3082" i="11"/>
  <c r="C3090" i="11"/>
  <c r="C3098" i="11"/>
  <c r="C3106" i="11"/>
  <c r="C3114" i="11"/>
  <c r="C3122" i="11"/>
  <c r="C3130" i="11"/>
  <c r="C3138" i="11"/>
  <c r="C3146" i="11"/>
  <c r="C3154" i="11"/>
  <c r="C2394" i="11"/>
  <c r="C2419" i="11"/>
  <c r="C2443" i="11"/>
  <c r="C2461" i="11"/>
  <c r="C2593" i="11"/>
  <c r="C2615" i="11"/>
  <c r="C2633" i="11"/>
  <c r="C2650" i="11"/>
  <c r="C2667" i="11"/>
  <c r="C2693" i="11"/>
  <c r="C2710" i="11"/>
  <c r="C2727" i="11"/>
  <c r="C2744" i="11"/>
  <c r="C2761" i="11"/>
  <c r="C2778" i="11"/>
  <c r="C2795" i="11"/>
  <c r="C2821" i="11"/>
  <c r="C2838" i="11"/>
  <c r="C2855" i="11"/>
  <c r="C2872" i="11"/>
  <c r="C2889" i="11"/>
  <c r="C2906" i="11"/>
  <c r="C2923" i="11"/>
  <c r="C2949" i="11"/>
  <c r="C2966" i="11"/>
  <c r="C2983" i="11"/>
  <c r="C2333" i="11"/>
  <c r="C2368" i="11"/>
  <c r="C2400" i="11"/>
  <c r="C2479" i="11"/>
  <c r="C2496" i="11"/>
  <c r="C2512" i="11"/>
  <c r="C2528" i="11"/>
  <c r="C2555" i="11"/>
  <c r="C2569" i="11"/>
  <c r="C2616" i="11"/>
  <c r="C2625" i="11"/>
  <c r="C2642" i="11"/>
  <c r="C2659" i="11"/>
  <c r="C2685" i="11"/>
  <c r="C2702" i="11"/>
  <c r="C2719" i="11"/>
  <c r="C2736" i="11"/>
  <c r="C2753" i="11"/>
  <c r="C2770" i="11"/>
  <c r="C2787" i="11"/>
  <c r="C2813" i="11"/>
  <c r="C2830" i="11"/>
  <c r="C2847" i="11"/>
  <c r="C2864" i="11"/>
  <c r="C2881" i="11"/>
  <c r="C2898" i="11"/>
  <c r="C2915" i="11"/>
  <c r="C2941" i="11"/>
  <c r="C2958" i="11"/>
  <c r="C2975" i="11"/>
  <c r="C2992" i="11"/>
  <c r="C3009" i="11"/>
  <c r="C3026" i="11"/>
  <c r="C3043" i="11"/>
  <c r="C3051" i="11"/>
  <c r="C3059" i="11"/>
  <c r="C3067" i="11"/>
  <c r="C3075" i="11"/>
  <c r="C3083" i="11"/>
  <c r="C2401" i="11"/>
  <c r="C2425" i="11"/>
  <c r="C2444" i="11"/>
  <c r="C2462" i="11"/>
  <c r="C2484" i="11"/>
  <c r="C2500" i="11"/>
  <c r="C2513" i="11"/>
  <c r="C2529" i="11"/>
  <c r="C2544" i="11"/>
  <c r="C2583" i="11"/>
  <c r="C2594" i="11"/>
  <c r="C2634" i="11"/>
  <c r="C2651" i="11"/>
  <c r="C2677" i="11"/>
  <c r="C2694" i="11"/>
  <c r="C2711" i="11"/>
  <c r="C2728" i="11"/>
  <c r="C2745" i="11"/>
  <c r="C2762" i="11"/>
  <c r="C2779" i="11"/>
  <c r="C2805" i="11"/>
  <c r="C2822" i="11"/>
  <c r="C2839" i="11"/>
  <c r="C2856" i="11"/>
  <c r="C2873" i="11"/>
  <c r="C2890" i="11"/>
  <c r="C2907" i="11"/>
  <c r="C2933" i="11"/>
  <c r="C2950" i="11"/>
  <c r="C2967" i="11"/>
  <c r="C2984" i="11"/>
  <c r="C3001" i="11"/>
  <c r="C3018" i="11"/>
  <c r="C3035" i="11"/>
  <c r="C2334" i="11"/>
  <c r="C2375" i="11"/>
  <c r="C2426" i="11"/>
  <c r="C2501" i="11"/>
  <c r="C2545" i="11"/>
  <c r="C2570" i="11"/>
  <c r="C2584" i="11"/>
  <c r="C2607" i="11"/>
  <c r="C2617" i="11"/>
  <c r="C2626" i="11"/>
  <c r="C2643" i="11"/>
  <c r="C2669" i="11"/>
  <c r="C2686" i="11"/>
  <c r="C2703" i="11"/>
  <c r="C2720" i="11"/>
  <c r="C2737" i="11"/>
  <c r="C2754" i="11"/>
  <c r="C2771" i="11"/>
  <c r="C2797" i="11"/>
  <c r="C2814" i="11"/>
  <c r="C2831" i="11"/>
  <c r="C2848" i="11"/>
  <c r="C2865" i="11"/>
  <c r="C2402" i="11"/>
  <c r="C2445" i="11"/>
  <c r="C2468" i="11"/>
  <c r="C2485" i="11"/>
  <c r="C2517" i="11"/>
  <c r="C2530" i="11"/>
  <c r="C2559" i="11"/>
  <c r="C2595" i="11"/>
  <c r="C2608" i="11"/>
  <c r="C2635" i="11"/>
  <c r="C2661" i="11"/>
  <c r="C2678" i="11"/>
  <c r="C2695" i="11"/>
  <c r="C2712" i="11"/>
  <c r="C2729" i="11"/>
  <c r="C2746" i="11"/>
  <c r="C2763" i="11"/>
  <c r="C2789" i="11"/>
  <c r="C2806" i="11"/>
  <c r="C2823" i="11"/>
  <c r="C2840" i="11"/>
  <c r="C2857" i="11"/>
  <c r="C2874" i="11"/>
  <c r="C2891" i="11"/>
  <c r="C2917" i="11"/>
  <c r="C2934" i="11"/>
  <c r="C2951" i="11"/>
  <c r="C2968" i="11"/>
  <c r="C2266" i="11"/>
  <c r="C2342" i="11"/>
  <c r="C2376" i="11"/>
  <c r="C2427" i="11"/>
  <c r="C2502" i="11"/>
  <c r="C2518" i="11"/>
  <c r="C2546" i="11"/>
  <c r="C2560" i="11"/>
  <c r="C2571" i="11"/>
  <c r="C2585" i="11"/>
  <c r="C2618" i="11"/>
  <c r="C2627" i="11"/>
  <c r="C2653" i="11"/>
  <c r="C2670" i="11"/>
  <c r="C2687" i="11"/>
  <c r="C2704" i="11"/>
  <c r="C2721" i="11"/>
  <c r="C2738" i="11"/>
  <c r="C2755" i="11"/>
  <c r="C2781" i="11"/>
  <c r="C2798" i="11"/>
  <c r="C2815" i="11"/>
  <c r="C2832" i="11"/>
  <c r="C2849" i="11"/>
  <c r="C2866" i="11"/>
  <c r="C2883" i="11"/>
  <c r="C2909" i="11"/>
  <c r="C2926" i="11"/>
  <c r="C2377" i="11"/>
  <c r="C2451" i="11"/>
  <c r="C2469" i="11"/>
  <c r="C2486" i="11"/>
  <c r="C2534" i="11"/>
  <c r="C2609" i="11"/>
  <c r="C2645" i="11"/>
  <c r="C2662" i="11"/>
  <c r="C2679" i="11"/>
  <c r="C2696" i="11"/>
  <c r="C2713" i="11"/>
  <c r="C2730" i="11"/>
  <c r="C2747" i="11"/>
  <c r="C2773" i="11"/>
  <c r="C2790" i="11"/>
  <c r="C2807" i="11"/>
  <c r="C2824" i="11"/>
  <c r="C2841" i="11"/>
  <c r="C2283" i="11"/>
  <c r="C2350" i="11"/>
  <c r="C2383" i="11"/>
  <c r="C2409" i="11"/>
  <c r="C2428" i="11"/>
  <c r="C2503" i="11"/>
  <c r="C2519" i="11"/>
  <c r="C2535" i="11"/>
  <c r="C2547" i="11"/>
  <c r="C2561" i="11"/>
  <c r="C2586" i="11"/>
  <c r="C2619" i="11"/>
  <c r="C2637" i="11"/>
  <c r="C2654" i="11"/>
  <c r="C2671" i="11"/>
  <c r="C2688" i="11"/>
  <c r="C2705" i="11"/>
  <c r="C2722" i="11"/>
  <c r="C2739" i="11"/>
  <c r="C2765" i="11"/>
  <c r="C2782" i="11"/>
  <c r="C2799" i="11"/>
  <c r="C2816" i="11"/>
  <c r="C2833" i="11"/>
  <c r="C2850" i="11"/>
  <c r="C2452" i="11"/>
  <c r="C2470" i="11"/>
  <c r="C2487" i="11"/>
  <c r="C2575" i="11"/>
  <c r="C2599" i="11"/>
  <c r="C2610" i="11"/>
  <c r="C2629" i="11"/>
  <c r="C2646" i="11"/>
  <c r="C2663" i="11"/>
  <c r="C2680" i="11"/>
  <c r="C2697" i="11"/>
  <c r="C2714" i="11"/>
  <c r="C2731" i="11"/>
  <c r="C2757" i="11"/>
  <c r="C2774" i="11"/>
  <c r="C2791" i="11"/>
  <c r="C2808" i="11"/>
  <c r="C2825" i="11"/>
  <c r="C2622" i="11"/>
  <c r="C2690" i="11"/>
  <c r="C2893" i="11"/>
  <c r="C2959" i="11"/>
  <c r="C2977" i="11"/>
  <c r="C2994" i="11"/>
  <c r="C3010" i="11"/>
  <c r="C3023" i="11"/>
  <c r="C3117" i="11"/>
  <c r="C3128" i="11"/>
  <c r="C3151" i="11"/>
  <c r="C3184" i="11"/>
  <c r="C3194" i="11"/>
  <c r="C3203" i="11"/>
  <c r="C3212" i="11"/>
  <c r="C3221" i="11"/>
  <c r="C3230" i="11"/>
  <c r="C3239" i="11"/>
  <c r="C3249" i="11"/>
  <c r="C3258" i="11"/>
  <c r="C3267" i="11"/>
  <c r="C3276" i="11"/>
  <c r="C3285" i="11"/>
  <c r="C3294" i="11"/>
  <c r="C3303" i="11"/>
  <c r="C3313" i="11"/>
  <c r="C3322" i="11"/>
  <c r="C3331" i="11"/>
  <c r="C3340" i="11"/>
  <c r="C3349" i="11"/>
  <c r="C3358" i="11"/>
  <c r="C3367" i="11"/>
  <c r="C3377" i="11"/>
  <c r="C3386" i="11"/>
  <c r="C3395" i="11"/>
  <c r="C3404" i="11"/>
  <c r="C3421" i="11"/>
  <c r="C3438" i="11"/>
  <c r="C3455" i="11"/>
  <c r="C3464" i="11"/>
  <c r="C3481" i="11"/>
  <c r="C3498" i="11"/>
  <c r="C3515" i="11"/>
  <c r="C3532" i="11"/>
  <c r="C3549" i="11"/>
  <c r="C3566" i="11"/>
  <c r="C2766" i="11"/>
  <c r="C2834" i="11"/>
  <c r="C2918" i="11"/>
  <c r="C2960" i="11"/>
  <c r="C3039" i="11"/>
  <c r="C3054" i="11"/>
  <c r="C3069" i="11"/>
  <c r="C3094" i="11"/>
  <c r="C3107" i="11"/>
  <c r="C3141" i="11"/>
  <c r="C3152" i="11"/>
  <c r="C3164" i="11"/>
  <c r="C3174" i="11"/>
  <c r="C3240" i="11"/>
  <c r="C3304" i="11"/>
  <c r="C3368" i="11"/>
  <c r="C3413" i="11"/>
  <c r="C3430" i="11"/>
  <c r="C3447" i="11"/>
  <c r="C3456" i="11"/>
  <c r="C3473" i="11"/>
  <c r="C3490" i="11"/>
  <c r="C3507" i="11"/>
  <c r="C3524" i="11"/>
  <c r="C3541" i="11"/>
  <c r="C3558" i="11"/>
  <c r="C3575" i="11"/>
  <c r="C3583" i="11"/>
  <c r="C3591" i="11"/>
  <c r="C3599" i="11"/>
  <c r="C3607" i="11"/>
  <c r="C3615" i="11"/>
  <c r="C3623" i="11"/>
  <c r="C2767" i="11"/>
  <c r="C2835" i="11"/>
  <c r="C2894" i="11"/>
  <c r="C2942" i="11"/>
  <c r="C2978" i="11"/>
  <c r="C2995" i="11"/>
  <c r="C3011" i="11"/>
  <c r="C3027" i="11"/>
  <c r="C3040" i="11"/>
  <c r="C3084" i="11"/>
  <c r="C3118" i="11"/>
  <c r="C3131" i="11"/>
  <c r="C3186" i="11"/>
  <c r="C3195" i="11"/>
  <c r="C3204" i="11"/>
  <c r="C3213" i="11"/>
  <c r="C3222" i="11"/>
  <c r="C3231" i="11"/>
  <c r="C3241" i="11"/>
  <c r="C3250" i="11"/>
  <c r="C3259" i="11"/>
  <c r="C3268" i="11"/>
  <c r="C3277" i="11"/>
  <c r="C3286" i="11"/>
  <c r="C3295" i="11"/>
  <c r="C3305" i="11"/>
  <c r="C3314" i="11"/>
  <c r="C3323" i="11"/>
  <c r="C3332" i="11"/>
  <c r="C3341" i="11"/>
  <c r="C3350" i="11"/>
  <c r="C3359" i="11"/>
  <c r="C3369" i="11"/>
  <c r="C3378" i="11"/>
  <c r="C3387" i="11"/>
  <c r="C3396" i="11"/>
  <c r="C3405" i="11"/>
  <c r="C3422" i="11"/>
  <c r="C3439" i="11"/>
  <c r="C3448" i="11"/>
  <c r="C3465" i="11"/>
  <c r="C3482" i="11"/>
  <c r="C3499" i="11"/>
  <c r="C3516" i="11"/>
  <c r="C3533" i="11"/>
  <c r="C3550" i="11"/>
  <c r="C3567" i="11"/>
  <c r="C2504" i="11"/>
  <c r="C2638" i="11"/>
  <c r="C2706" i="11"/>
  <c r="C2842" i="11"/>
  <c r="C2875" i="11"/>
  <c r="C2895" i="11"/>
  <c r="C2919" i="11"/>
  <c r="C2943" i="11"/>
  <c r="C2961" i="11"/>
  <c r="C3055" i="11"/>
  <c r="C3070" i="11"/>
  <c r="C3095" i="11"/>
  <c r="C3108" i="11"/>
  <c r="C3142" i="11"/>
  <c r="C3155" i="11"/>
  <c r="C3165" i="11"/>
  <c r="C3175" i="11"/>
  <c r="C3232" i="11"/>
  <c r="C3296" i="11"/>
  <c r="C3360" i="11"/>
  <c r="C3414" i="11"/>
  <c r="C3431" i="11"/>
  <c r="C3440" i="11"/>
  <c r="C3457" i="11"/>
  <c r="C3474" i="11"/>
  <c r="C3491" i="11"/>
  <c r="C3508" i="11"/>
  <c r="C3525" i="11"/>
  <c r="C3542" i="11"/>
  <c r="C2520" i="11"/>
  <c r="C2639" i="11"/>
  <c r="C2707" i="11"/>
  <c r="C2899" i="11"/>
  <c r="C2979" i="11"/>
  <c r="C3044" i="11"/>
  <c r="C3056" i="11"/>
  <c r="C3085" i="11"/>
  <c r="C3096" i="11"/>
  <c r="C3119" i="11"/>
  <c r="C3132" i="11"/>
  <c r="C3176" i="11"/>
  <c r="C3187" i="11"/>
  <c r="C3196" i="11"/>
  <c r="C3205" i="11"/>
  <c r="C3214" i="11"/>
  <c r="C3223" i="11"/>
  <c r="C3233" i="11"/>
  <c r="C3242" i="11"/>
  <c r="C3251" i="11"/>
  <c r="C3260" i="11"/>
  <c r="C3269" i="11"/>
  <c r="C3278" i="11"/>
  <c r="C3287" i="11"/>
  <c r="C3297" i="11"/>
  <c r="C3306" i="11"/>
  <c r="C3315" i="11"/>
  <c r="C3324" i="11"/>
  <c r="C3333" i="11"/>
  <c r="C3342" i="11"/>
  <c r="C3351" i="11"/>
  <c r="C3361" i="11"/>
  <c r="C3370" i="11"/>
  <c r="C3379" i="11"/>
  <c r="C3388" i="11"/>
  <c r="C3397" i="11"/>
  <c r="C3406" i="11"/>
  <c r="C3423" i="11"/>
  <c r="C3432" i="11"/>
  <c r="C3449" i="11"/>
  <c r="C3466" i="11"/>
  <c r="C3483" i="11"/>
  <c r="C3500" i="11"/>
  <c r="C3517" i="11"/>
  <c r="C3534" i="11"/>
  <c r="C3551" i="11"/>
  <c r="C3560" i="11"/>
  <c r="C2536" i="11"/>
  <c r="C2783" i="11"/>
  <c r="C2901" i="11"/>
  <c r="C2944" i="11"/>
  <c r="C2962" i="11"/>
  <c r="C3013" i="11"/>
  <c r="C3029" i="11"/>
  <c r="C3071" i="11"/>
  <c r="C3109" i="11"/>
  <c r="C3120" i="11"/>
  <c r="C3143" i="11"/>
  <c r="C3156" i="11"/>
  <c r="C3166" i="11"/>
  <c r="C3178" i="11"/>
  <c r="C3224" i="11"/>
  <c r="C3288" i="11"/>
  <c r="C3352" i="11"/>
  <c r="C3415" i="11"/>
  <c r="C3424" i="11"/>
  <c r="C3441" i="11"/>
  <c r="C3458" i="11"/>
  <c r="C3475" i="11"/>
  <c r="C3492" i="11"/>
  <c r="C3509" i="11"/>
  <c r="C3526" i="11"/>
  <c r="C3543" i="11"/>
  <c r="C3552" i="11"/>
  <c r="C3569" i="11"/>
  <c r="C3577" i="11"/>
  <c r="C3585" i="11"/>
  <c r="C3593" i="11"/>
  <c r="C3601" i="11"/>
  <c r="C3609" i="11"/>
  <c r="C3617" i="11"/>
  <c r="C3625" i="11"/>
  <c r="C3633" i="11"/>
  <c r="C3641" i="11"/>
  <c r="C3649" i="11"/>
  <c r="C3657" i="11"/>
  <c r="C3665" i="11"/>
  <c r="C3673" i="11"/>
  <c r="C3681" i="11"/>
  <c r="C3689" i="11"/>
  <c r="C2784" i="11"/>
  <c r="C2877" i="11"/>
  <c r="C2925" i="11"/>
  <c r="C2963" i="11"/>
  <c r="C3000" i="11"/>
  <c r="C3045" i="11"/>
  <c r="C3060" i="11"/>
  <c r="C3072" i="11"/>
  <c r="C3086" i="11"/>
  <c r="C3099" i="11"/>
  <c r="C3133" i="11"/>
  <c r="C3144" i="11"/>
  <c r="C3188" i="11"/>
  <c r="C3197" i="11"/>
  <c r="C3206" i="11"/>
  <c r="C3215" i="11"/>
  <c r="C3225" i="11"/>
  <c r="C3234" i="11"/>
  <c r="C3243" i="11"/>
  <c r="C3252" i="11"/>
  <c r="C3261" i="11"/>
  <c r="C3270" i="11"/>
  <c r="C3279" i="11"/>
  <c r="C3289" i="11"/>
  <c r="C3298" i="11"/>
  <c r="C3307" i="11"/>
  <c r="C3316" i="11"/>
  <c r="C3325" i="11"/>
  <c r="C3334" i="11"/>
  <c r="C3343" i="11"/>
  <c r="C3353" i="11"/>
  <c r="C3362" i="11"/>
  <c r="C3371" i="11"/>
  <c r="C3380" i="11"/>
  <c r="C3389" i="11"/>
  <c r="C3398" i="11"/>
  <c r="C3407" i="11"/>
  <c r="C3416" i="11"/>
  <c r="C3433" i="11"/>
  <c r="C3450" i="11"/>
  <c r="C3467" i="11"/>
  <c r="C3484" i="11"/>
  <c r="C3501" i="11"/>
  <c r="C3518" i="11"/>
  <c r="C3535" i="11"/>
  <c r="C3544" i="11"/>
  <c r="C3561" i="11"/>
  <c r="C2562" i="11"/>
  <c r="C2655" i="11"/>
  <c r="C2723" i="11"/>
  <c r="C2851" i="11"/>
  <c r="C2878" i="11"/>
  <c r="C2902" i="11"/>
  <c r="C2945" i="11"/>
  <c r="C2985" i="11"/>
  <c r="C3030" i="11"/>
  <c r="C3110" i="11"/>
  <c r="C3123" i="11"/>
  <c r="C3157" i="11"/>
  <c r="C3167" i="11"/>
  <c r="C3179" i="11"/>
  <c r="C3216" i="11"/>
  <c r="C3280" i="11"/>
  <c r="C3344" i="11"/>
  <c r="C3408" i="11"/>
  <c r="C3425" i="11"/>
  <c r="C3442" i="11"/>
  <c r="C3459" i="11"/>
  <c r="C3476" i="11"/>
  <c r="C3493" i="11"/>
  <c r="C3510" i="11"/>
  <c r="C3527" i="11"/>
  <c r="C3536" i="11"/>
  <c r="C2576" i="11"/>
  <c r="C2656" i="11"/>
  <c r="C2882" i="11"/>
  <c r="C2927" i="11"/>
  <c r="C2946" i="11"/>
  <c r="C3002" i="11"/>
  <c r="C3017" i="11"/>
  <c r="C3046" i="11"/>
  <c r="C3061" i="11"/>
  <c r="C3076" i="11"/>
  <c r="C3087" i="11"/>
  <c r="C3100" i="11"/>
  <c r="C3134" i="11"/>
  <c r="C3147" i="11"/>
  <c r="C3168" i="11"/>
  <c r="C3189" i="11"/>
  <c r="C3198" i="11"/>
  <c r="C3207" i="11"/>
  <c r="C3217" i="11"/>
  <c r="C3226" i="11"/>
  <c r="C3235" i="11"/>
  <c r="C3244" i="11"/>
  <c r="C3253" i="11"/>
  <c r="C3262" i="11"/>
  <c r="C3271" i="11"/>
  <c r="C3281" i="11"/>
  <c r="C3290" i="11"/>
  <c r="C3299" i="11"/>
  <c r="C3308" i="11"/>
  <c r="C3317" i="11"/>
  <c r="C3326" i="11"/>
  <c r="C3335" i="11"/>
  <c r="C3345" i="11"/>
  <c r="C3354" i="11"/>
  <c r="C3363" i="11"/>
  <c r="C3372" i="11"/>
  <c r="C3381" i="11"/>
  <c r="C3390" i="11"/>
  <c r="C3399" i="11"/>
  <c r="C3417" i="11"/>
  <c r="C3434" i="11"/>
  <c r="C3451" i="11"/>
  <c r="C3468" i="11"/>
  <c r="C2587" i="11"/>
  <c r="C2800" i="11"/>
  <c r="C2858" i="11"/>
  <c r="C2969" i="11"/>
  <c r="C2986" i="11"/>
  <c r="C3088" i="11"/>
  <c r="C3111" i="11"/>
  <c r="C3124" i="11"/>
  <c r="C3158" i="11"/>
  <c r="C3170" i="11"/>
  <c r="C3180" i="11"/>
  <c r="C3208" i="11"/>
  <c r="C3272" i="11"/>
  <c r="C3336" i="11"/>
  <c r="C2733" i="11"/>
  <c r="C2801" i="11"/>
  <c r="C2928" i="11"/>
  <c r="C3003" i="11"/>
  <c r="C3019" i="11"/>
  <c r="C3034" i="11"/>
  <c r="C3047" i="11"/>
  <c r="C3062" i="11"/>
  <c r="C3077" i="11"/>
  <c r="C3101" i="11"/>
  <c r="C3112" i="11"/>
  <c r="C3135" i="11"/>
  <c r="C3148" i="11"/>
  <c r="C3190" i="11"/>
  <c r="C3199" i="11"/>
  <c r="C3209" i="11"/>
  <c r="C3218" i="11"/>
  <c r="C3227" i="11"/>
  <c r="C3236" i="11"/>
  <c r="C3245" i="11"/>
  <c r="C3254" i="11"/>
  <c r="C3263" i="11"/>
  <c r="C3273" i="11"/>
  <c r="C3282" i="11"/>
  <c r="C3291" i="11"/>
  <c r="C3300" i="11"/>
  <c r="C3309" i="11"/>
  <c r="C3318" i="11"/>
  <c r="C3327" i="11"/>
  <c r="C3337" i="11"/>
  <c r="C3346" i="11"/>
  <c r="C3355" i="11"/>
  <c r="C3364" i="11"/>
  <c r="C3373" i="11"/>
  <c r="C3382" i="11"/>
  <c r="C3391" i="11"/>
  <c r="C3401" i="11"/>
  <c r="C3418" i="11"/>
  <c r="C3435" i="11"/>
  <c r="C3452" i="11"/>
  <c r="C3469" i="11"/>
  <c r="C3486" i="11"/>
  <c r="C2300" i="11"/>
  <c r="C2600" i="11"/>
  <c r="C2672" i="11"/>
  <c r="C2859" i="11"/>
  <c r="C2885" i="11"/>
  <c r="C2929" i="11"/>
  <c r="C2952" i="11"/>
  <c r="C2970" i="11"/>
  <c r="C2987" i="11"/>
  <c r="C3048" i="11"/>
  <c r="C3091" i="11"/>
  <c r="C3125" i="11"/>
  <c r="C3136" i="11"/>
  <c r="C3159" i="11"/>
  <c r="C3171" i="11"/>
  <c r="C3181" i="11"/>
  <c r="C3200" i="11"/>
  <c r="C3264" i="11"/>
  <c r="C3328" i="11"/>
  <c r="C3392" i="11"/>
  <c r="C3410" i="11"/>
  <c r="C3427" i="11"/>
  <c r="C3444" i="11"/>
  <c r="C3461" i="11"/>
  <c r="C3478" i="11"/>
  <c r="C2351" i="11"/>
  <c r="C2601" i="11"/>
  <c r="C2673" i="11"/>
  <c r="C2910" i="11"/>
  <c r="C3063" i="11"/>
  <c r="C3078" i="11"/>
  <c r="C3102" i="11"/>
  <c r="C3115" i="11"/>
  <c r="C3149" i="11"/>
  <c r="C3160" i="11"/>
  <c r="C3191" i="11"/>
  <c r="C3201" i="11"/>
  <c r="C3210" i="11"/>
  <c r="C3219" i="11"/>
  <c r="C3228" i="11"/>
  <c r="C3237" i="11"/>
  <c r="C3246" i="11"/>
  <c r="C3255" i="11"/>
  <c r="C3265" i="11"/>
  <c r="C3274" i="11"/>
  <c r="C3283" i="11"/>
  <c r="C3292" i="11"/>
  <c r="C3301" i="11"/>
  <c r="C3310" i="11"/>
  <c r="C3319" i="11"/>
  <c r="C3329" i="11"/>
  <c r="C3338" i="11"/>
  <c r="C3347" i="11"/>
  <c r="C3356" i="11"/>
  <c r="C3365" i="11"/>
  <c r="C3374" i="11"/>
  <c r="C3383" i="11"/>
  <c r="C3393" i="11"/>
  <c r="C3402" i="11"/>
  <c r="C2384" i="11"/>
  <c r="C2749" i="11"/>
  <c r="C2817" i="11"/>
  <c r="C2861" i="11"/>
  <c r="C2935" i="11"/>
  <c r="C2953" i="11"/>
  <c r="C2989" i="11"/>
  <c r="C3005" i="11"/>
  <c r="C3021" i="11"/>
  <c r="C3037" i="11"/>
  <c r="C3052" i="11"/>
  <c r="C3064" i="11"/>
  <c r="C3092" i="11"/>
  <c r="C3126" i="11"/>
  <c r="C3139" i="11"/>
  <c r="C3162" i="11"/>
  <c r="C3172" i="11"/>
  <c r="C3182" i="11"/>
  <c r="C3192" i="11"/>
  <c r="C3256" i="11"/>
  <c r="C3320" i="11"/>
  <c r="C2410" i="11"/>
  <c r="C2750" i="11"/>
  <c r="C2818" i="11"/>
  <c r="C2911" i="11"/>
  <c r="C2867" i="11"/>
  <c r="C3053" i="11"/>
  <c r="C3488" i="11"/>
  <c r="C3505" i="11"/>
  <c r="C3522" i="11"/>
  <c r="C3539" i="11"/>
  <c r="C3555" i="11"/>
  <c r="C3570" i="11"/>
  <c r="C3581" i="11"/>
  <c r="C3605" i="11"/>
  <c r="C3627" i="11"/>
  <c r="C3646" i="11"/>
  <c r="C3666" i="11"/>
  <c r="C3675" i="11"/>
  <c r="C3684" i="11"/>
  <c r="C3693" i="11"/>
  <c r="C3710" i="11"/>
  <c r="C3719" i="11"/>
  <c r="C3736" i="11"/>
  <c r="C3753" i="11"/>
  <c r="C3770" i="11"/>
  <c r="C3787" i="11"/>
  <c r="C3804" i="11"/>
  <c r="C3821" i="11"/>
  <c r="C3838" i="11"/>
  <c r="C3847" i="11"/>
  <c r="C3864" i="11"/>
  <c r="C3881" i="11"/>
  <c r="C3898" i="11"/>
  <c r="C3915" i="11"/>
  <c r="C3932" i="11"/>
  <c r="C3949" i="11"/>
  <c r="C3966" i="11"/>
  <c r="C3975" i="11"/>
  <c r="C3992" i="11"/>
  <c r="C4009" i="11"/>
  <c r="C4026" i="11"/>
  <c r="C4043" i="11"/>
  <c r="C4060" i="11"/>
  <c r="C4077" i="11"/>
  <c r="C4094" i="11"/>
  <c r="C4103" i="11"/>
  <c r="C4120" i="11"/>
  <c r="C3238" i="11"/>
  <c r="C3311" i="11"/>
  <c r="C3375" i="11"/>
  <c r="C3411" i="11"/>
  <c r="C3437" i="11"/>
  <c r="C3463" i="11"/>
  <c r="C3595" i="11"/>
  <c r="C3637" i="11"/>
  <c r="C3647" i="11"/>
  <c r="C3702" i="11"/>
  <c r="C3711" i="11"/>
  <c r="C3728" i="11"/>
  <c r="C3745" i="11"/>
  <c r="C3762" i="11"/>
  <c r="C3779" i="11"/>
  <c r="C3796" i="11"/>
  <c r="C3813" i="11"/>
  <c r="C3830" i="11"/>
  <c r="C3839" i="11"/>
  <c r="C3856" i="11"/>
  <c r="C3873" i="11"/>
  <c r="C3890" i="11"/>
  <c r="C3907" i="11"/>
  <c r="C3924" i="11"/>
  <c r="C3941" i="11"/>
  <c r="C3958" i="11"/>
  <c r="C3967" i="11"/>
  <c r="C3984" i="11"/>
  <c r="C4001" i="11"/>
  <c r="C4018" i="11"/>
  <c r="C4035" i="11"/>
  <c r="C4052" i="11"/>
  <c r="C4069" i="11"/>
  <c r="C4086" i="11"/>
  <c r="C4095" i="11"/>
  <c r="C4112" i="11"/>
  <c r="C2912" i="11"/>
  <c r="C3068" i="11"/>
  <c r="C3163" i="11"/>
  <c r="C3312" i="11"/>
  <c r="C3376" i="11"/>
  <c r="C3489" i="11"/>
  <c r="C3506" i="11"/>
  <c r="C3523" i="11"/>
  <c r="C3540" i="11"/>
  <c r="C3556" i="11"/>
  <c r="C3571" i="11"/>
  <c r="C3582" i="11"/>
  <c r="C3606" i="11"/>
  <c r="C3618" i="11"/>
  <c r="C3628" i="11"/>
  <c r="C3648" i="11"/>
  <c r="C3658" i="11"/>
  <c r="C3667" i="11"/>
  <c r="C3676" i="11"/>
  <c r="C3685" i="11"/>
  <c r="C3694" i="11"/>
  <c r="C3703" i="11"/>
  <c r="C3720" i="11"/>
  <c r="C3737" i="11"/>
  <c r="C3754" i="11"/>
  <c r="C3771" i="11"/>
  <c r="C3788" i="11"/>
  <c r="C3805" i="11"/>
  <c r="C3822" i="11"/>
  <c r="C3831" i="11"/>
  <c r="C3848" i="11"/>
  <c r="C3865" i="11"/>
  <c r="C3882" i="11"/>
  <c r="C3899" i="11"/>
  <c r="C3916" i="11"/>
  <c r="C3933" i="11"/>
  <c r="C3950" i="11"/>
  <c r="C3959" i="11"/>
  <c r="C3976" i="11"/>
  <c r="C3993" i="11"/>
  <c r="C4010" i="11"/>
  <c r="C4027" i="11"/>
  <c r="C4044" i="11"/>
  <c r="C4061" i="11"/>
  <c r="C4078" i="11"/>
  <c r="C4087" i="11"/>
  <c r="C4104" i="11"/>
  <c r="C4121" i="11"/>
  <c r="C2936" i="11"/>
  <c r="C3079" i="11"/>
  <c r="C3247" i="11"/>
  <c r="C3321" i="11"/>
  <c r="C3412" i="11"/>
  <c r="C3443" i="11"/>
  <c r="C3470" i="11"/>
  <c r="C3528" i="11"/>
  <c r="C3584" i="11"/>
  <c r="C3596" i="11"/>
  <c r="C3608" i="11"/>
  <c r="C3638" i="11"/>
  <c r="C3695" i="11"/>
  <c r="C3712" i="11"/>
  <c r="C3729" i="11"/>
  <c r="C3746" i="11"/>
  <c r="C3763" i="11"/>
  <c r="C3780" i="11"/>
  <c r="C3797" i="11"/>
  <c r="C3814" i="11"/>
  <c r="C3823" i="11"/>
  <c r="C3840" i="11"/>
  <c r="C3857" i="11"/>
  <c r="C3874" i="11"/>
  <c r="C3891" i="11"/>
  <c r="C3908" i="11"/>
  <c r="C3925" i="11"/>
  <c r="C3942" i="11"/>
  <c r="C3951" i="11"/>
  <c r="C3968" i="11"/>
  <c r="C3985" i="11"/>
  <c r="C4002" i="11"/>
  <c r="C4019" i="11"/>
  <c r="C4036" i="11"/>
  <c r="C4053" i="11"/>
  <c r="C4070" i="11"/>
  <c r="C4079" i="11"/>
  <c r="C4096" i="11"/>
  <c r="C4113" i="11"/>
  <c r="C4130" i="11"/>
  <c r="C4138" i="11"/>
  <c r="C4146" i="11"/>
  <c r="C3080" i="11"/>
  <c r="C3173" i="11"/>
  <c r="C3248" i="11"/>
  <c r="C3384" i="11"/>
  <c r="C3494" i="11"/>
  <c r="C3511" i="11"/>
  <c r="C3545" i="11"/>
  <c r="C3557" i="11"/>
  <c r="C3572" i="11"/>
  <c r="C3586" i="11"/>
  <c r="C3619" i="11"/>
  <c r="C3629" i="11"/>
  <c r="C3639" i="11"/>
  <c r="C3659" i="11"/>
  <c r="C3668" i="11"/>
  <c r="C3677" i="11"/>
  <c r="C3686" i="11"/>
  <c r="C3704" i="11"/>
  <c r="C3721" i="11"/>
  <c r="C3738" i="11"/>
  <c r="C3755" i="11"/>
  <c r="C3772" i="11"/>
  <c r="C3789" i="11"/>
  <c r="C3806" i="11"/>
  <c r="C3815" i="11"/>
  <c r="C3832" i="11"/>
  <c r="C3849" i="11"/>
  <c r="C3866" i="11"/>
  <c r="C3883" i="11"/>
  <c r="C3900" i="11"/>
  <c r="C3917" i="11"/>
  <c r="C3934" i="11"/>
  <c r="C3943" i="11"/>
  <c r="C3960" i="11"/>
  <c r="C3977" i="11"/>
  <c r="C3994" i="11"/>
  <c r="C4011" i="11"/>
  <c r="C4028" i="11"/>
  <c r="C4045" i="11"/>
  <c r="C4062" i="11"/>
  <c r="C4071" i="11"/>
  <c r="C4088" i="11"/>
  <c r="C4105" i="11"/>
  <c r="C4122" i="11"/>
  <c r="C2976" i="11"/>
  <c r="C3257" i="11"/>
  <c r="C3330" i="11"/>
  <c r="C3385" i="11"/>
  <c r="C3419" i="11"/>
  <c r="C3445" i="11"/>
  <c r="C3471" i="11"/>
  <c r="C3512" i="11"/>
  <c r="C3529" i="11"/>
  <c r="C3559" i="11"/>
  <c r="C3597" i="11"/>
  <c r="C3640" i="11"/>
  <c r="C3650" i="11"/>
  <c r="C3687" i="11"/>
  <c r="C3696" i="11"/>
  <c r="C3713" i="11"/>
  <c r="C3730" i="11"/>
  <c r="C3747" i="11"/>
  <c r="C3764" i="11"/>
  <c r="C3781" i="11"/>
  <c r="C3798" i="11"/>
  <c r="C3807" i="11"/>
  <c r="C3824" i="11"/>
  <c r="C3841" i="11"/>
  <c r="C3858" i="11"/>
  <c r="C3875" i="11"/>
  <c r="C3892" i="11"/>
  <c r="C3909" i="11"/>
  <c r="C3926" i="11"/>
  <c r="C3935" i="11"/>
  <c r="C3952" i="11"/>
  <c r="C3969" i="11"/>
  <c r="C3986" i="11"/>
  <c r="C4003" i="11"/>
  <c r="C4020" i="11"/>
  <c r="C4037" i="11"/>
  <c r="C4054" i="11"/>
  <c r="C4063" i="11"/>
  <c r="C4080" i="11"/>
  <c r="C4097" i="11"/>
  <c r="C4114" i="11"/>
  <c r="C4131" i="11"/>
  <c r="C4139" i="11"/>
  <c r="C4147" i="11"/>
  <c r="C4155" i="11"/>
  <c r="C4163" i="11"/>
  <c r="C4171" i="11"/>
  <c r="C4179" i="11"/>
  <c r="C4187" i="11"/>
  <c r="C4195" i="11"/>
  <c r="C3093" i="11"/>
  <c r="C3183" i="11"/>
  <c r="C3472" i="11"/>
  <c r="C3495" i="11"/>
  <c r="C3546" i="11"/>
  <c r="C3573" i="11"/>
  <c r="C3587" i="11"/>
  <c r="C3610" i="11"/>
  <c r="C3620" i="11"/>
  <c r="C3630" i="11"/>
  <c r="C3660" i="11"/>
  <c r="C3669" i="11"/>
  <c r="C3678" i="11"/>
  <c r="C3705" i="11"/>
  <c r="C3722" i="11"/>
  <c r="C3739" i="11"/>
  <c r="C3756" i="11"/>
  <c r="C3773" i="11"/>
  <c r="C3790" i="11"/>
  <c r="C3799" i="11"/>
  <c r="C3816" i="11"/>
  <c r="C3833" i="11"/>
  <c r="C3850" i="11"/>
  <c r="C3867" i="11"/>
  <c r="C3884" i="11"/>
  <c r="C3901" i="11"/>
  <c r="C3918" i="11"/>
  <c r="C3927" i="11"/>
  <c r="C3944" i="11"/>
  <c r="C3961" i="11"/>
  <c r="C3978" i="11"/>
  <c r="C3995" i="11"/>
  <c r="C4012" i="11"/>
  <c r="C4029" i="11"/>
  <c r="C4046" i="11"/>
  <c r="C4055" i="11"/>
  <c r="C4072" i="11"/>
  <c r="C2993" i="11"/>
  <c r="C3103" i="11"/>
  <c r="C3193" i="11"/>
  <c r="C3266" i="11"/>
  <c r="C3339" i="11"/>
  <c r="C3420" i="11"/>
  <c r="C3446" i="11"/>
  <c r="C3496" i="11"/>
  <c r="C3513" i="11"/>
  <c r="C3530" i="11"/>
  <c r="C3562" i="11"/>
  <c r="C3598" i="11"/>
  <c r="C3631" i="11"/>
  <c r="C3651" i="11"/>
  <c r="C3679" i="11"/>
  <c r="C3688" i="11"/>
  <c r="C3697" i="11"/>
  <c r="C3714" i="11"/>
  <c r="C3731" i="11"/>
  <c r="C3748" i="11"/>
  <c r="C3765" i="11"/>
  <c r="C3782" i="11"/>
  <c r="C3791" i="11"/>
  <c r="C3808" i="11"/>
  <c r="C3825" i="11"/>
  <c r="C3842" i="11"/>
  <c r="C3859" i="11"/>
  <c r="C3876" i="11"/>
  <c r="C3893" i="11"/>
  <c r="C3910" i="11"/>
  <c r="C3919" i="11"/>
  <c r="C3936" i="11"/>
  <c r="C3953" i="11"/>
  <c r="C3970" i="11"/>
  <c r="C3987" i="11"/>
  <c r="C4004" i="11"/>
  <c r="C4021" i="11"/>
  <c r="C4038" i="11"/>
  <c r="C4047" i="11"/>
  <c r="C4064" i="11"/>
  <c r="C4081" i="11"/>
  <c r="C4098" i="11"/>
  <c r="C4115" i="11"/>
  <c r="C4132" i="11"/>
  <c r="C4140" i="11"/>
  <c r="C4148" i="11"/>
  <c r="C4156" i="11"/>
  <c r="C4164" i="11"/>
  <c r="C4172" i="11"/>
  <c r="C4180" i="11"/>
  <c r="C4188" i="11"/>
  <c r="C4196" i="11"/>
  <c r="C4204" i="11"/>
  <c r="C4212" i="11"/>
  <c r="C4220" i="11"/>
  <c r="C4228" i="11"/>
  <c r="C3104" i="11"/>
  <c r="C3477" i="11"/>
  <c r="C3547" i="11"/>
  <c r="C3574" i="11"/>
  <c r="C3588" i="11"/>
  <c r="C3600" i="11"/>
  <c r="C3611" i="11"/>
  <c r="C3621" i="11"/>
  <c r="C3632" i="11"/>
  <c r="C3642" i="11"/>
  <c r="C3661" i="11"/>
  <c r="C3670" i="11"/>
  <c r="C3706" i="11"/>
  <c r="C3723" i="11"/>
  <c r="C3740" i="11"/>
  <c r="C3757" i="11"/>
  <c r="C3774" i="11"/>
  <c r="C3783" i="11"/>
  <c r="C3800" i="11"/>
  <c r="C3817" i="11"/>
  <c r="C3834" i="11"/>
  <c r="C3851" i="11"/>
  <c r="C3868" i="11"/>
  <c r="C3885" i="11"/>
  <c r="C3902" i="11"/>
  <c r="C3911" i="11"/>
  <c r="C3928" i="11"/>
  <c r="C3945" i="11"/>
  <c r="C3962" i="11"/>
  <c r="C3979" i="11"/>
  <c r="C3996" i="11"/>
  <c r="C4013" i="11"/>
  <c r="C4030" i="11"/>
  <c r="C4039" i="11"/>
  <c r="C4056" i="11"/>
  <c r="C4073" i="11"/>
  <c r="C4090" i="11"/>
  <c r="C3006" i="11"/>
  <c r="C3116" i="11"/>
  <c r="C3202" i="11"/>
  <c r="C3275" i="11"/>
  <c r="C3348" i="11"/>
  <c r="C3394" i="11"/>
  <c r="C3426" i="11"/>
  <c r="C3453" i="11"/>
  <c r="C3497" i="11"/>
  <c r="C3514" i="11"/>
  <c r="C3531" i="11"/>
  <c r="C3563" i="11"/>
  <c r="C3576" i="11"/>
  <c r="C3652" i="11"/>
  <c r="C3671" i="11"/>
  <c r="C3680" i="11"/>
  <c r="C3698" i="11"/>
  <c r="C3715" i="11"/>
  <c r="C3732" i="11"/>
  <c r="C3749" i="11"/>
  <c r="C3766" i="11"/>
  <c r="C3775" i="11"/>
  <c r="C3792" i="11"/>
  <c r="C3809" i="11"/>
  <c r="C3826" i="11"/>
  <c r="C3843" i="11"/>
  <c r="C3860" i="11"/>
  <c r="C3877" i="11"/>
  <c r="C3894" i="11"/>
  <c r="C3903" i="11"/>
  <c r="C3920" i="11"/>
  <c r="C3937" i="11"/>
  <c r="C3479" i="11"/>
  <c r="C3548" i="11"/>
  <c r="C3578" i="11"/>
  <c r="C3589" i="11"/>
  <c r="C3602" i="11"/>
  <c r="C3612" i="11"/>
  <c r="C3622" i="11"/>
  <c r="C3643" i="11"/>
  <c r="C3662" i="11"/>
  <c r="C3690" i="11"/>
  <c r="C3707" i="11"/>
  <c r="C3724" i="11"/>
  <c r="C3741" i="11"/>
  <c r="C3758" i="11"/>
  <c r="C3767" i="11"/>
  <c r="C3784" i="11"/>
  <c r="C3801" i="11"/>
  <c r="C3818" i="11"/>
  <c r="C3835" i="11"/>
  <c r="C3852" i="11"/>
  <c r="C3869" i="11"/>
  <c r="C3886" i="11"/>
  <c r="C3895" i="11"/>
  <c r="C3912" i="11"/>
  <c r="C3929" i="11"/>
  <c r="C3211" i="11"/>
  <c r="C3284" i="11"/>
  <c r="C3357" i="11"/>
  <c r="C3400" i="11"/>
  <c r="C3428" i="11"/>
  <c r="C3454" i="11"/>
  <c r="C3480" i="11"/>
  <c r="C3502" i="11"/>
  <c r="C3519" i="11"/>
  <c r="C3564" i="11"/>
  <c r="C3624" i="11"/>
  <c r="C3634" i="11"/>
  <c r="C3653" i="11"/>
  <c r="C3663" i="11"/>
  <c r="C3672" i="11"/>
  <c r="C3699" i="11"/>
  <c r="C3716" i="11"/>
  <c r="C3733" i="11"/>
  <c r="C3750" i="11"/>
  <c r="C3759" i="11"/>
  <c r="C3776" i="11"/>
  <c r="C3793" i="11"/>
  <c r="C3810" i="11"/>
  <c r="C3827" i="11"/>
  <c r="C3844" i="11"/>
  <c r="C3861" i="11"/>
  <c r="C3878" i="11"/>
  <c r="C3887" i="11"/>
  <c r="C3904" i="11"/>
  <c r="C3921" i="11"/>
  <c r="C3938" i="11"/>
  <c r="C3955" i="11"/>
  <c r="C3972" i="11"/>
  <c r="C3989" i="11"/>
  <c r="C4006" i="11"/>
  <c r="C3022" i="11"/>
  <c r="C3127" i="11"/>
  <c r="C3520" i="11"/>
  <c r="C3537" i="11"/>
  <c r="C3553" i="11"/>
  <c r="C3579" i="11"/>
  <c r="C3590" i="11"/>
  <c r="C3603" i="11"/>
  <c r="C3613" i="11"/>
  <c r="C3644" i="11"/>
  <c r="C3682" i="11"/>
  <c r="C3691" i="11"/>
  <c r="C3708" i="11"/>
  <c r="C3725" i="11"/>
  <c r="C3742" i="11"/>
  <c r="C3751" i="11"/>
  <c r="C3768" i="11"/>
  <c r="C3785" i="11"/>
  <c r="C3802" i="11"/>
  <c r="C3819" i="11"/>
  <c r="C3836" i="11"/>
  <c r="C3853" i="11"/>
  <c r="C3870" i="11"/>
  <c r="C3879" i="11"/>
  <c r="C3896" i="11"/>
  <c r="C3913" i="11"/>
  <c r="C3930" i="11"/>
  <c r="C3947" i="11"/>
  <c r="C3964" i="11"/>
  <c r="C3981" i="11"/>
  <c r="C3998" i="11"/>
  <c r="C2689" i="11"/>
  <c r="C3220" i="11"/>
  <c r="C3293" i="11"/>
  <c r="C3403" i="11"/>
  <c r="C3429" i="11"/>
  <c r="C3460" i="11"/>
  <c r="C3485" i="11"/>
  <c r="C3503" i="11"/>
  <c r="C3565" i="11"/>
  <c r="C3592" i="11"/>
  <c r="C3635" i="11"/>
  <c r="C3654" i="11"/>
  <c r="C3664" i="11"/>
  <c r="C3700" i="11"/>
  <c r="C3717" i="11"/>
  <c r="C3734" i="11"/>
  <c r="C3743" i="11"/>
  <c r="C3760" i="11"/>
  <c r="C3777" i="11"/>
  <c r="C3794" i="11"/>
  <c r="C3811" i="11"/>
  <c r="C3828" i="11"/>
  <c r="C3845" i="11"/>
  <c r="C3862" i="11"/>
  <c r="C3871" i="11"/>
  <c r="C3888" i="11"/>
  <c r="C3905" i="11"/>
  <c r="C3922" i="11"/>
  <c r="C3150" i="11"/>
  <c r="C3616" i="11"/>
  <c r="C3761" i="11"/>
  <c r="C3829" i="11"/>
  <c r="C3948" i="11"/>
  <c r="C3974" i="11"/>
  <c r="C4005" i="11"/>
  <c r="C4024" i="11"/>
  <c r="C4042" i="11"/>
  <c r="C4065" i="11"/>
  <c r="C4099" i="11"/>
  <c r="C4127" i="11"/>
  <c r="C4141" i="11"/>
  <c r="C4152" i="11"/>
  <c r="C4165" i="11"/>
  <c r="C4208" i="11"/>
  <c r="C4265" i="11"/>
  <c r="C4329" i="11"/>
  <c r="C4347" i="11"/>
  <c r="C4364" i="11"/>
  <c r="C4381" i="11"/>
  <c r="C4398" i="11"/>
  <c r="C4415" i="11"/>
  <c r="C4432" i="11"/>
  <c r="C4441" i="11"/>
  <c r="C4458" i="11"/>
  <c r="C4475" i="11"/>
  <c r="C4492" i="11"/>
  <c r="C4509" i="11"/>
  <c r="C4526" i="11"/>
  <c r="C4543" i="11"/>
  <c r="C4560" i="11"/>
  <c r="C4569" i="11"/>
  <c r="C4586" i="11"/>
  <c r="C4603" i="11"/>
  <c r="C4620" i="11"/>
  <c r="C4637" i="11"/>
  <c r="C4654" i="11"/>
  <c r="C4671" i="11"/>
  <c r="C4688" i="11"/>
  <c r="C4535" i="11"/>
  <c r="C4612" i="11"/>
  <c r="C4689" i="11"/>
  <c r="C4705" i="11"/>
  <c r="C4721" i="11"/>
  <c r="C4729" i="11"/>
  <c r="C4745" i="11"/>
  <c r="C3521" i="11"/>
  <c r="C3626" i="11"/>
  <c r="C3769" i="11"/>
  <c r="C3837" i="11"/>
  <c r="C4083" i="11"/>
  <c r="C4153" i="11"/>
  <c r="C4176" i="11"/>
  <c r="C4189" i="11"/>
  <c r="C4199" i="11"/>
  <c r="C4209" i="11"/>
  <c r="C4219" i="11"/>
  <c r="C4229" i="11"/>
  <c r="C4238" i="11"/>
  <c r="C4247" i="11"/>
  <c r="C4256" i="11"/>
  <c r="C4266" i="11"/>
  <c r="C4275" i="11"/>
  <c r="C4284" i="11"/>
  <c r="C4293" i="11"/>
  <c r="C4302" i="11"/>
  <c r="C4311" i="11"/>
  <c r="C4320" i="11"/>
  <c r="C4330" i="11"/>
  <c r="C4339" i="11"/>
  <c r="C4356" i="11"/>
  <c r="C4373" i="11"/>
  <c r="C4390" i="11"/>
  <c r="C4407" i="11"/>
  <c r="C4424" i="11"/>
  <c r="C4433" i="11"/>
  <c r="C4450" i="11"/>
  <c r="C4467" i="11"/>
  <c r="C4484" i="11"/>
  <c r="C4501" i="11"/>
  <c r="C4518" i="11"/>
  <c r="C4552" i="11"/>
  <c r="C4561" i="11"/>
  <c r="C4578" i="11"/>
  <c r="C4595" i="11"/>
  <c r="C4629" i="11"/>
  <c r="C4646" i="11"/>
  <c r="C4663" i="11"/>
  <c r="C4680" i="11"/>
  <c r="C4697" i="11"/>
  <c r="C4713" i="11"/>
  <c r="C4737" i="11"/>
  <c r="C4753" i="11"/>
  <c r="C3229" i="11"/>
  <c r="C3701" i="11"/>
  <c r="C3906" i="11"/>
  <c r="C3954" i="11"/>
  <c r="C3980" i="11"/>
  <c r="C4007" i="11"/>
  <c r="C4025" i="11"/>
  <c r="C4048" i="11"/>
  <c r="C4066" i="11"/>
  <c r="C4100" i="11"/>
  <c r="C4116" i="11"/>
  <c r="C4128" i="11"/>
  <c r="C4142" i="11"/>
  <c r="C4154" i="11"/>
  <c r="C4166" i="11"/>
  <c r="C4177" i="11"/>
  <c r="C4210" i="11"/>
  <c r="C4257" i="11"/>
  <c r="C4321" i="11"/>
  <c r="C4348" i="11"/>
  <c r="C4365" i="11"/>
  <c r="C4382" i="11"/>
  <c r="C4399" i="11"/>
  <c r="C4416" i="11"/>
  <c r="C4425" i="11"/>
  <c r="C4442" i="11"/>
  <c r="C4459" i="11"/>
  <c r="C4476" i="11"/>
  <c r="C4493" i="11"/>
  <c r="C4510" i="11"/>
  <c r="C4527" i="11"/>
  <c r="C4544" i="11"/>
  <c r="C4553" i="11"/>
  <c r="C4570" i="11"/>
  <c r="C4587" i="11"/>
  <c r="C4604" i="11"/>
  <c r="C4621" i="11"/>
  <c r="C4638" i="11"/>
  <c r="C4655" i="11"/>
  <c r="C3538" i="11"/>
  <c r="C3709" i="11"/>
  <c r="C3914" i="11"/>
  <c r="C4084" i="11"/>
  <c r="C4129" i="11"/>
  <c r="C4178" i="11"/>
  <c r="C4190" i="11"/>
  <c r="C4200" i="11"/>
  <c r="C4230" i="11"/>
  <c r="C4239" i="11"/>
  <c r="C4248" i="11"/>
  <c r="C4258" i="11"/>
  <c r="C4267" i="11"/>
  <c r="C4276" i="11"/>
  <c r="C4285" i="11"/>
  <c r="C4294" i="11"/>
  <c r="C4303" i="11"/>
  <c r="C4312" i="11"/>
  <c r="C4322" i="11"/>
  <c r="C4331" i="11"/>
  <c r="C4340" i="11"/>
  <c r="C4357" i="11"/>
  <c r="C4374" i="11"/>
  <c r="C4391" i="11"/>
  <c r="C4408" i="11"/>
  <c r="C4417" i="11"/>
  <c r="C4434" i="11"/>
  <c r="C4451" i="11"/>
  <c r="C4468" i="11"/>
  <c r="C4485" i="11"/>
  <c r="C4502" i="11"/>
  <c r="C4519" i="11"/>
  <c r="C4536" i="11"/>
  <c r="C4545" i="11"/>
  <c r="C4562" i="11"/>
  <c r="C4579" i="11"/>
  <c r="C4596" i="11"/>
  <c r="C3302" i="11"/>
  <c r="C3636" i="11"/>
  <c r="C3778" i="11"/>
  <c r="C3846" i="11"/>
  <c r="C3956" i="11"/>
  <c r="C3982" i="11"/>
  <c r="C4008" i="11"/>
  <c r="C4031" i="11"/>
  <c r="C4049" i="11"/>
  <c r="C4067" i="11"/>
  <c r="C4101" i="11"/>
  <c r="C4117" i="11"/>
  <c r="C4143" i="11"/>
  <c r="C4167" i="11"/>
  <c r="C4201" i="11"/>
  <c r="C4211" i="11"/>
  <c r="C4221" i="11"/>
  <c r="C4249" i="11"/>
  <c r="C4313" i="11"/>
  <c r="C4349" i="11"/>
  <c r="C4366" i="11"/>
  <c r="C4383" i="11"/>
  <c r="C4400" i="11"/>
  <c r="C4409" i="11"/>
  <c r="C4426" i="11"/>
  <c r="C4443" i="11"/>
  <c r="C4460" i="11"/>
  <c r="C4477" i="11"/>
  <c r="C4494" i="11"/>
  <c r="C4511" i="11"/>
  <c r="C4528" i="11"/>
  <c r="C4537" i="11"/>
  <c r="C4554" i="11"/>
  <c r="C4571" i="11"/>
  <c r="C4588" i="11"/>
  <c r="C4605" i="11"/>
  <c r="C4622" i="11"/>
  <c r="C4639" i="11"/>
  <c r="C4656" i="11"/>
  <c r="C4665" i="11"/>
  <c r="C4682" i="11"/>
  <c r="C3366" i="11"/>
  <c r="C3554" i="11"/>
  <c r="C3645" i="11"/>
  <c r="C3786" i="11"/>
  <c r="C3854" i="11"/>
  <c r="C3983" i="11"/>
  <c r="C4085" i="11"/>
  <c r="C4157" i="11"/>
  <c r="C4191" i="11"/>
  <c r="C4202" i="11"/>
  <c r="C4231" i="11"/>
  <c r="C4240" i="11"/>
  <c r="C4250" i="11"/>
  <c r="C4259" i="11"/>
  <c r="C4268" i="11"/>
  <c r="C4277" i="11"/>
  <c r="C4286" i="11"/>
  <c r="C4295" i="11"/>
  <c r="C4304" i="11"/>
  <c r="C4314" i="11"/>
  <c r="C4323" i="11"/>
  <c r="C4332" i="11"/>
  <c r="C4341" i="11"/>
  <c r="C4358" i="11"/>
  <c r="C4375" i="11"/>
  <c r="C4392" i="11"/>
  <c r="C4401" i="11"/>
  <c r="C4418" i="11"/>
  <c r="C4435" i="11"/>
  <c r="C4452" i="11"/>
  <c r="C4469" i="11"/>
  <c r="C4486" i="11"/>
  <c r="C4503" i="11"/>
  <c r="C4520" i="11"/>
  <c r="C4529" i="11"/>
  <c r="C4546" i="11"/>
  <c r="C4563" i="11"/>
  <c r="C4580" i="11"/>
  <c r="C4597" i="11"/>
  <c r="C4614" i="11"/>
  <c r="C4631" i="11"/>
  <c r="C4648" i="11"/>
  <c r="C4657" i="11"/>
  <c r="C4674" i="11"/>
  <c r="C4691" i="11"/>
  <c r="C4699" i="11"/>
  <c r="C4707" i="11"/>
  <c r="C4715" i="11"/>
  <c r="C4723" i="11"/>
  <c r="C4731" i="11"/>
  <c r="C4739" i="11"/>
  <c r="C4747" i="11"/>
  <c r="C4755" i="11"/>
  <c r="C4763" i="11"/>
  <c r="C4771" i="11"/>
  <c r="C4779" i="11"/>
  <c r="C3718" i="11"/>
  <c r="C3855" i="11"/>
  <c r="C3923" i="11"/>
  <c r="C3957" i="11"/>
  <c r="C3988" i="11"/>
  <c r="C4032" i="11"/>
  <c r="C4050" i="11"/>
  <c r="C4068" i="11"/>
  <c r="C4089" i="11"/>
  <c r="C4102" i="11"/>
  <c r="C4118" i="11"/>
  <c r="C4133" i="11"/>
  <c r="C4144" i="11"/>
  <c r="C4168" i="11"/>
  <c r="C4181" i="11"/>
  <c r="C4222" i="11"/>
  <c r="C4241" i="11"/>
  <c r="C4305" i="11"/>
  <c r="C4350" i="11"/>
  <c r="C4367" i="11"/>
  <c r="C4384" i="11"/>
  <c r="C4393" i="11"/>
  <c r="C4410" i="11"/>
  <c r="C4427" i="11"/>
  <c r="C4444" i="11"/>
  <c r="C4461" i="11"/>
  <c r="C4478" i="11"/>
  <c r="C4495" i="11"/>
  <c r="C4512" i="11"/>
  <c r="C4521" i="11"/>
  <c r="C4538" i="11"/>
  <c r="C4555" i="11"/>
  <c r="C4572" i="11"/>
  <c r="C4589" i="11"/>
  <c r="C4606" i="11"/>
  <c r="C4623" i="11"/>
  <c r="C4640" i="11"/>
  <c r="C4649" i="11"/>
  <c r="C4666" i="11"/>
  <c r="C4683" i="11"/>
  <c r="C3655" i="11"/>
  <c r="C3726" i="11"/>
  <c r="C3863" i="11"/>
  <c r="C4014" i="11"/>
  <c r="C4106" i="11"/>
  <c r="C4119" i="11"/>
  <c r="C4145" i="11"/>
  <c r="C4158" i="11"/>
  <c r="C4169" i="11"/>
  <c r="C4192" i="11"/>
  <c r="C4203" i="11"/>
  <c r="C4213" i="11"/>
  <c r="C4232" i="11"/>
  <c r="C4242" i="11"/>
  <c r="C4251" i="11"/>
  <c r="C4260" i="11"/>
  <c r="C4269" i="11"/>
  <c r="C4278" i="11"/>
  <c r="C4287" i="11"/>
  <c r="C4296" i="11"/>
  <c r="C4306" i="11"/>
  <c r="C4315" i="11"/>
  <c r="C4324" i="11"/>
  <c r="C4333" i="11"/>
  <c r="C4342" i="11"/>
  <c r="C4359" i="11"/>
  <c r="C4376" i="11"/>
  <c r="C4385" i="11"/>
  <c r="C4402" i="11"/>
  <c r="C4419" i="11"/>
  <c r="C4436" i="11"/>
  <c r="C4453" i="11"/>
  <c r="C4470" i="11"/>
  <c r="C4487" i="11"/>
  <c r="C4504" i="11"/>
  <c r="C4513" i="11"/>
  <c r="C4530" i="11"/>
  <c r="C4547" i="11"/>
  <c r="C4564" i="11"/>
  <c r="C4581" i="11"/>
  <c r="C4598" i="11"/>
  <c r="C4615" i="11"/>
  <c r="C4632" i="11"/>
  <c r="C4641" i="11"/>
  <c r="C4658" i="11"/>
  <c r="C3409" i="11"/>
  <c r="C3568" i="11"/>
  <c r="C3656" i="11"/>
  <c r="C3727" i="11"/>
  <c r="C3795" i="11"/>
  <c r="C3931" i="11"/>
  <c r="C3963" i="11"/>
  <c r="C3990" i="11"/>
  <c r="C4015" i="11"/>
  <c r="C4033" i="11"/>
  <c r="C4051" i="11"/>
  <c r="C4074" i="11"/>
  <c r="C4091" i="11"/>
  <c r="C4107" i="11"/>
  <c r="C4134" i="11"/>
  <c r="C4170" i="11"/>
  <c r="C4182" i="11"/>
  <c r="C4193" i="11"/>
  <c r="C4223" i="11"/>
  <c r="C4233" i="11"/>
  <c r="C4297" i="11"/>
  <c r="C4351" i="11"/>
  <c r="C4368" i="11"/>
  <c r="C4377" i="11"/>
  <c r="C4394" i="11"/>
  <c r="C4411" i="11"/>
  <c r="C4428" i="11"/>
  <c r="C4445" i="11"/>
  <c r="C4462" i="11"/>
  <c r="C4479" i="11"/>
  <c r="C4496" i="11"/>
  <c r="C4505" i="11"/>
  <c r="C4522" i="11"/>
  <c r="C4539" i="11"/>
  <c r="C4556" i="11"/>
  <c r="C4573" i="11"/>
  <c r="C3580" i="11"/>
  <c r="C3735" i="11"/>
  <c r="C3803" i="11"/>
  <c r="C3991" i="11"/>
  <c r="C4159" i="11"/>
  <c r="C4194" i="11"/>
  <c r="C4214" i="11"/>
  <c r="C4234" i="11"/>
  <c r="C4243" i="11"/>
  <c r="C4252" i="11"/>
  <c r="C4261" i="11"/>
  <c r="C4270" i="11"/>
  <c r="C4279" i="11"/>
  <c r="C4288" i="11"/>
  <c r="C4298" i="11"/>
  <c r="C4307" i="11"/>
  <c r="C4316" i="11"/>
  <c r="C4325" i="11"/>
  <c r="C4334" i="11"/>
  <c r="C4343" i="11"/>
  <c r="C4360" i="11"/>
  <c r="C4369" i="11"/>
  <c r="C4386" i="11"/>
  <c r="C4403" i="11"/>
  <c r="C4420" i="11"/>
  <c r="C4437" i="11"/>
  <c r="C4454" i="11"/>
  <c r="C4471" i="11"/>
  <c r="C4488" i="11"/>
  <c r="C4497" i="11"/>
  <c r="C4514" i="11"/>
  <c r="C4531" i="11"/>
  <c r="C4548" i="11"/>
  <c r="C4565" i="11"/>
  <c r="C4582" i="11"/>
  <c r="C3436" i="11"/>
  <c r="C3872" i="11"/>
  <c r="C3939" i="11"/>
  <c r="C3965" i="11"/>
  <c r="C4016" i="11"/>
  <c r="C4034" i="11"/>
  <c r="C4057" i="11"/>
  <c r="C4075" i="11"/>
  <c r="C4092" i="11"/>
  <c r="C4108" i="11"/>
  <c r="C4123" i="11"/>
  <c r="C4135" i="11"/>
  <c r="C4149" i="11"/>
  <c r="C4183" i="11"/>
  <c r="C4205" i="11"/>
  <c r="C4224" i="11"/>
  <c r="C4289" i="11"/>
  <c r="C4352" i="11"/>
  <c r="C4361" i="11"/>
  <c r="C4378" i="11"/>
  <c r="C4395" i="11"/>
  <c r="C4412" i="11"/>
  <c r="C4429" i="11"/>
  <c r="C4446" i="11"/>
  <c r="C4463" i="11"/>
  <c r="C4480" i="11"/>
  <c r="C4489" i="11"/>
  <c r="C4506" i="11"/>
  <c r="C4523" i="11"/>
  <c r="C3674" i="11"/>
  <c r="C3880" i="11"/>
  <c r="C4124" i="11"/>
  <c r="C4160" i="11"/>
  <c r="C4173" i="11"/>
  <c r="C4215" i="11"/>
  <c r="C4225" i="11"/>
  <c r="C4235" i="11"/>
  <c r="C4244" i="11"/>
  <c r="C4253" i="11"/>
  <c r="C4262" i="11"/>
  <c r="C4271" i="11"/>
  <c r="C4280" i="11"/>
  <c r="C4290" i="11"/>
  <c r="C4299" i="11"/>
  <c r="C4308" i="11"/>
  <c r="C4317" i="11"/>
  <c r="C4326" i="11"/>
  <c r="C4335" i="11"/>
  <c r="C4344" i="11"/>
  <c r="C4353" i="11"/>
  <c r="C4370" i="11"/>
  <c r="C4387" i="11"/>
  <c r="C4404" i="11"/>
  <c r="C4421" i="11"/>
  <c r="C4438" i="11"/>
  <c r="C4455" i="11"/>
  <c r="C4472" i="11"/>
  <c r="C4481" i="11"/>
  <c r="C4498" i="11"/>
  <c r="C4515" i="11"/>
  <c r="C3462" i="11"/>
  <c r="C3594" i="11"/>
  <c r="C3744" i="11"/>
  <c r="C3812" i="11"/>
  <c r="C3940" i="11"/>
  <c r="C3971" i="11"/>
  <c r="C3997" i="11"/>
  <c r="C4017" i="11"/>
  <c r="C4040" i="11"/>
  <c r="C4058" i="11"/>
  <c r="C4076" i="11"/>
  <c r="C4093" i="11"/>
  <c r="C4109" i="11"/>
  <c r="C4136" i="11"/>
  <c r="C4150" i="11"/>
  <c r="C4161" i="11"/>
  <c r="C4184" i="11"/>
  <c r="C4206" i="11"/>
  <c r="C4226" i="11"/>
  <c r="C4281" i="11"/>
  <c r="C4345" i="11"/>
  <c r="C4362" i="11"/>
  <c r="C4379" i="11"/>
  <c r="C4396" i="11"/>
  <c r="C3038" i="11"/>
  <c r="C3604" i="11"/>
  <c r="C3683" i="11"/>
  <c r="C3752" i="11"/>
  <c r="C3820" i="11"/>
  <c r="C3999" i="11"/>
  <c r="C4022" i="11"/>
  <c r="C4125" i="11"/>
  <c r="C4137" i="11"/>
  <c r="C4162" i="11"/>
  <c r="C4174" i="11"/>
  <c r="C4185" i="11"/>
  <c r="C4197" i="11"/>
  <c r="C4216" i="11"/>
  <c r="C4236" i="11"/>
  <c r="C4245" i="11"/>
  <c r="C4254" i="11"/>
  <c r="C4263" i="11"/>
  <c r="C4272" i="11"/>
  <c r="C4282" i="11"/>
  <c r="C4291" i="11"/>
  <c r="C4300" i="11"/>
  <c r="C4309" i="11"/>
  <c r="C4318" i="11"/>
  <c r="C4327" i="11"/>
  <c r="C4336" i="11"/>
  <c r="C4354" i="11"/>
  <c r="C4371" i="11"/>
  <c r="C4388" i="11"/>
  <c r="C4405" i="11"/>
  <c r="C4422" i="11"/>
  <c r="C4439" i="11"/>
  <c r="C4456" i="11"/>
  <c r="C4465" i="11"/>
  <c r="C4482" i="11"/>
  <c r="C4499" i="11"/>
  <c r="C3487" i="11"/>
  <c r="C3889" i="11"/>
  <c r="C3946" i="11"/>
  <c r="C3973" i="11"/>
  <c r="C4023" i="11"/>
  <c r="C4041" i="11"/>
  <c r="C4059" i="11"/>
  <c r="C4110" i="11"/>
  <c r="C4151" i="11"/>
  <c r="C4186" i="11"/>
  <c r="C4207" i="11"/>
  <c r="C4217" i="11"/>
  <c r="C4227" i="11"/>
  <c r="C4273" i="11"/>
  <c r="C4337" i="11"/>
  <c r="C4346" i="11"/>
  <c r="C4363" i="11"/>
  <c r="C4380" i="11"/>
  <c r="C4397" i="11"/>
  <c r="C4414" i="11"/>
  <c r="C4431" i="11"/>
  <c r="C4448" i="11"/>
  <c r="C4457" i="11"/>
  <c r="C4474" i="11"/>
  <c r="C4491" i="11"/>
  <c r="C4508" i="11"/>
  <c r="C4338" i="11"/>
  <c r="C4507" i="11"/>
  <c r="C4601" i="11"/>
  <c r="C4647" i="11"/>
  <c r="C4676" i="11"/>
  <c r="C4687" i="11"/>
  <c r="C4751" i="11"/>
  <c r="C4761" i="11"/>
  <c r="C4770" i="11"/>
  <c r="C4788" i="11"/>
  <c r="C4805" i="11"/>
  <c r="C4822" i="11"/>
  <c r="C4839" i="11"/>
  <c r="C4856" i="11"/>
  <c r="C4865" i="11"/>
  <c r="C4882" i="11"/>
  <c r="C4899" i="11"/>
  <c r="C4916" i="11"/>
  <c r="C4933" i="11"/>
  <c r="C4950" i="11"/>
  <c r="C4967" i="11"/>
  <c r="C4984" i="11"/>
  <c r="C4993" i="11"/>
  <c r="C4944" i="11"/>
  <c r="C4979" i="11"/>
  <c r="C4989" i="11"/>
  <c r="C4922" i="11"/>
  <c r="C4897" i="11"/>
  <c r="C4965" i="11"/>
  <c r="C4957" i="11"/>
  <c r="C4741" i="11"/>
  <c r="C3897" i="11"/>
  <c r="C4198" i="11"/>
  <c r="C4440" i="11"/>
  <c r="C4541" i="11"/>
  <c r="C4584" i="11"/>
  <c r="C4618" i="11"/>
  <c r="C4634" i="11"/>
  <c r="C4650" i="11"/>
  <c r="C4662" i="11"/>
  <c r="C4700" i="11"/>
  <c r="C4710" i="11"/>
  <c r="C4720" i="11"/>
  <c r="C4732" i="11"/>
  <c r="C4742" i="11"/>
  <c r="C4780" i="11"/>
  <c r="C4797" i="11"/>
  <c r="C4814" i="11"/>
  <c r="C4831" i="11"/>
  <c r="C4848" i="11"/>
  <c r="C4857" i="11"/>
  <c r="C4874" i="11"/>
  <c r="C4891" i="11"/>
  <c r="C4908" i="11"/>
  <c r="C4925" i="11"/>
  <c r="C4942" i="11"/>
  <c r="C4959" i="11"/>
  <c r="C4976" i="11"/>
  <c r="C4985" i="11"/>
  <c r="C5002" i="11"/>
  <c r="C4978" i="11"/>
  <c r="C4980" i="11"/>
  <c r="C4854" i="11"/>
  <c r="C4813" i="11"/>
  <c r="C4355" i="11"/>
  <c r="C4447" i="11"/>
  <c r="C4566" i="11"/>
  <c r="C4585" i="11"/>
  <c r="C4602" i="11"/>
  <c r="C4664" i="11"/>
  <c r="C4677" i="11"/>
  <c r="C4752" i="11"/>
  <c r="C4762" i="11"/>
  <c r="C4789" i="11"/>
  <c r="C4806" i="11"/>
  <c r="C4823" i="11"/>
  <c r="C4840" i="11"/>
  <c r="C4849" i="11"/>
  <c r="C4866" i="11"/>
  <c r="C4883" i="11"/>
  <c r="C4900" i="11"/>
  <c r="C4917" i="11"/>
  <c r="C4934" i="11"/>
  <c r="C4951" i="11"/>
  <c r="C4968" i="11"/>
  <c r="C4977" i="11"/>
  <c r="C4994" i="11"/>
  <c r="C4901" i="11"/>
  <c r="C4935" i="11"/>
  <c r="C4961" i="11"/>
  <c r="C4995" i="11"/>
  <c r="C4970" i="11"/>
  <c r="C4936" i="11"/>
  <c r="C4963" i="11"/>
  <c r="C4931" i="11"/>
  <c r="C4975" i="11"/>
  <c r="C4218" i="11"/>
  <c r="C4449" i="11"/>
  <c r="C4516" i="11"/>
  <c r="C4542" i="11"/>
  <c r="C4619" i="11"/>
  <c r="C4635" i="11"/>
  <c r="C4651" i="11"/>
  <c r="C4690" i="11"/>
  <c r="C4701" i="11"/>
  <c r="C4711" i="11"/>
  <c r="C4722" i="11"/>
  <c r="C4733" i="11"/>
  <c r="C4743" i="11"/>
  <c r="C4772" i="11"/>
  <c r="C4781" i="11"/>
  <c r="C4798" i="11"/>
  <c r="C4815" i="11"/>
  <c r="C4832" i="11"/>
  <c r="C4841" i="11"/>
  <c r="C4858" i="11"/>
  <c r="C4875" i="11"/>
  <c r="C4892" i="11"/>
  <c r="C4909" i="11"/>
  <c r="C4926" i="11"/>
  <c r="C4943" i="11"/>
  <c r="C4960" i="11"/>
  <c r="C4969" i="11"/>
  <c r="C4986" i="11"/>
  <c r="C5003" i="11"/>
  <c r="C4952" i="11"/>
  <c r="C5004" i="11"/>
  <c r="C4945" i="11"/>
  <c r="C4988" i="11"/>
  <c r="C4955" i="11"/>
  <c r="C4888" i="11"/>
  <c r="C4999" i="11"/>
  <c r="C4991" i="11"/>
  <c r="C4983" i="11"/>
  <c r="C4000" i="11"/>
  <c r="C4372" i="11"/>
  <c r="C4517" i="11"/>
  <c r="C4567" i="11"/>
  <c r="C4590" i="11"/>
  <c r="C4607" i="11"/>
  <c r="C4667" i="11"/>
  <c r="C4678" i="11"/>
  <c r="C4754" i="11"/>
  <c r="C4790" i="11"/>
  <c r="C4807" i="11"/>
  <c r="C4824" i="11"/>
  <c r="C4833" i="11"/>
  <c r="C4850" i="11"/>
  <c r="C4867" i="11"/>
  <c r="C4884" i="11"/>
  <c r="C4918" i="11"/>
  <c r="C4938" i="11"/>
  <c r="C4973" i="11"/>
  <c r="C4830" i="11"/>
  <c r="C4237" i="11"/>
  <c r="C4524" i="11"/>
  <c r="C4636" i="11"/>
  <c r="C4652" i="11"/>
  <c r="C4692" i="11"/>
  <c r="C4702" i="11"/>
  <c r="C4712" i="11"/>
  <c r="C4724" i="11"/>
  <c r="C4734" i="11"/>
  <c r="C4744" i="11"/>
  <c r="C4764" i="11"/>
  <c r="C4773" i="11"/>
  <c r="C4782" i="11"/>
  <c r="C4799" i="11"/>
  <c r="C4816" i="11"/>
  <c r="C4825" i="11"/>
  <c r="C4842" i="11"/>
  <c r="C4859" i="11"/>
  <c r="C4876" i="11"/>
  <c r="C4893" i="11"/>
  <c r="C4910" i="11"/>
  <c r="C4927" i="11"/>
  <c r="C4953" i="11"/>
  <c r="C4987" i="11"/>
  <c r="C4962" i="11"/>
  <c r="C4990" i="11"/>
  <c r="C4966" i="11"/>
  <c r="C4246" i="11"/>
  <c r="C4389" i="11"/>
  <c r="C4464" i="11"/>
  <c r="C4549" i="11"/>
  <c r="C4568" i="11"/>
  <c r="C4591" i="11"/>
  <c r="C4608" i="11"/>
  <c r="C4624" i="11"/>
  <c r="C4668" i="11"/>
  <c r="C4679" i="11"/>
  <c r="C4791" i="11"/>
  <c r="C4808" i="11"/>
  <c r="C4817" i="11"/>
  <c r="C4834" i="11"/>
  <c r="C4851" i="11"/>
  <c r="C4868" i="11"/>
  <c r="C4885" i="11"/>
  <c r="C4902" i="11"/>
  <c r="C4919" i="11"/>
  <c r="C4996" i="11"/>
  <c r="C4998" i="11"/>
  <c r="C4956" i="11"/>
  <c r="C4760" i="11"/>
  <c r="C4958" i="11"/>
  <c r="C4255" i="11"/>
  <c r="C4466" i="11"/>
  <c r="C4525" i="11"/>
  <c r="C4574" i="11"/>
  <c r="C4609" i="11"/>
  <c r="C4625" i="11"/>
  <c r="C4653" i="11"/>
  <c r="C4681" i="11"/>
  <c r="C4693" i="11"/>
  <c r="C4703" i="11"/>
  <c r="C4714" i="11"/>
  <c r="C4725" i="11"/>
  <c r="C4735" i="11"/>
  <c r="C4746" i="11"/>
  <c r="C4756" i="11"/>
  <c r="C4765" i="11"/>
  <c r="C4774" i="11"/>
  <c r="C4783" i="11"/>
  <c r="C4800" i="11"/>
  <c r="C4809" i="11"/>
  <c r="C4826" i="11"/>
  <c r="C4843" i="11"/>
  <c r="C4860" i="11"/>
  <c r="C4877" i="11"/>
  <c r="C4894" i="11"/>
  <c r="C4911" i="11"/>
  <c r="C4928" i="11"/>
  <c r="C4937" i="11"/>
  <c r="C4954" i="11"/>
  <c r="C4971" i="11"/>
  <c r="C4997" i="11"/>
  <c r="C4914" i="11"/>
  <c r="C4940" i="11"/>
  <c r="C4082" i="11"/>
  <c r="C4264" i="11"/>
  <c r="C4473" i="11"/>
  <c r="C4550" i="11"/>
  <c r="C4592" i="11"/>
  <c r="C4669" i="11"/>
  <c r="C4792" i="11"/>
  <c r="C4801" i="11"/>
  <c r="C4818" i="11"/>
  <c r="C4835" i="11"/>
  <c r="C4852" i="11"/>
  <c r="C4869" i="11"/>
  <c r="C4886" i="11"/>
  <c r="C4903" i="11"/>
  <c r="C4920" i="11"/>
  <c r="C4929" i="11"/>
  <c r="C4946" i="11"/>
  <c r="C4972" i="11"/>
  <c r="C4939" i="11"/>
  <c r="C4864" i="11"/>
  <c r="C4274" i="11"/>
  <c r="C4406" i="11"/>
  <c r="C4575" i="11"/>
  <c r="C4593" i="11"/>
  <c r="C4610" i="11"/>
  <c r="C4626" i="11"/>
  <c r="C4642" i="11"/>
  <c r="C4694" i="11"/>
  <c r="C4704" i="11"/>
  <c r="C4716" i="11"/>
  <c r="C4726" i="11"/>
  <c r="C4736" i="11"/>
  <c r="C4757" i="11"/>
  <c r="C4766" i="11"/>
  <c r="C4775" i="11"/>
  <c r="C4784" i="11"/>
  <c r="C4793" i="11"/>
  <c r="C4810" i="11"/>
  <c r="C4827" i="11"/>
  <c r="C4844" i="11"/>
  <c r="C4861" i="11"/>
  <c r="C4878" i="11"/>
  <c r="C4895" i="11"/>
  <c r="C4912" i="11"/>
  <c r="C4921" i="11"/>
  <c r="C4924" i="11"/>
  <c r="C4111" i="11"/>
  <c r="C4283" i="11"/>
  <c r="C4413" i="11"/>
  <c r="C4532" i="11"/>
  <c r="C4551" i="11"/>
  <c r="C4670" i="11"/>
  <c r="C4684" i="11"/>
  <c r="C4748" i="11"/>
  <c r="C4785" i="11"/>
  <c r="C4802" i="11"/>
  <c r="C4819" i="11"/>
  <c r="C4836" i="11"/>
  <c r="C4853" i="11"/>
  <c r="C4870" i="11"/>
  <c r="C4887" i="11"/>
  <c r="C4904" i="11"/>
  <c r="C4913" i="11"/>
  <c r="C4930" i="11"/>
  <c r="C4947" i="11"/>
  <c r="C4964" i="11"/>
  <c r="C4981" i="11"/>
  <c r="C4974" i="11"/>
  <c r="C5000" i="11"/>
  <c r="C3140" i="11"/>
  <c r="C4126" i="11"/>
  <c r="C4292" i="11"/>
  <c r="C4483" i="11"/>
  <c r="C4557" i="11"/>
  <c r="C4576" i="11"/>
  <c r="C4594" i="11"/>
  <c r="C4611" i="11"/>
  <c r="C4627" i="11"/>
  <c r="C4643" i="11"/>
  <c r="C4659" i="11"/>
  <c r="C4695" i="11"/>
  <c r="C4706" i="11"/>
  <c r="C4717" i="11"/>
  <c r="C4727" i="11"/>
  <c r="C4738" i="11"/>
  <c r="C4758" i="11"/>
  <c r="C4767" i="11"/>
  <c r="C4776" i="11"/>
  <c r="C4794" i="11"/>
  <c r="C4811" i="11"/>
  <c r="C4828" i="11"/>
  <c r="C4845" i="11"/>
  <c r="C4862" i="11"/>
  <c r="C4879" i="11"/>
  <c r="C4896" i="11"/>
  <c r="C4905" i="11"/>
  <c r="C4982" i="11"/>
  <c r="C4796" i="11"/>
  <c r="C3504" i="11"/>
  <c r="C4301" i="11"/>
  <c r="C4490" i="11"/>
  <c r="C4533" i="11"/>
  <c r="C4577" i="11"/>
  <c r="C4613" i="11"/>
  <c r="C4672" i="11"/>
  <c r="C4685" i="11"/>
  <c r="C4749" i="11"/>
  <c r="C4777" i="11"/>
  <c r="C4786" i="11"/>
  <c r="C4803" i="11"/>
  <c r="C4820" i="11"/>
  <c r="C4837" i="11"/>
  <c r="C4871" i="11"/>
  <c r="C4948" i="11"/>
  <c r="C4949" i="11"/>
  <c r="C4847" i="11"/>
  <c r="C4890" i="11"/>
  <c r="C3614" i="11"/>
  <c r="C4310" i="11"/>
  <c r="C4423" i="11"/>
  <c r="C4558" i="11"/>
  <c r="C4599" i="11"/>
  <c r="C4628" i="11"/>
  <c r="C4644" i="11"/>
  <c r="C4660" i="11"/>
  <c r="C4673" i="11"/>
  <c r="C4696" i="11"/>
  <c r="C4708" i="11"/>
  <c r="C4718" i="11"/>
  <c r="C4728" i="11"/>
  <c r="C4740" i="11"/>
  <c r="C4759" i="11"/>
  <c r="C4768" i="11"/>
  <c r="C4795" i="11"/>
  <c r="C4812" i="11"/>
  <c r="C4829" i="11"/>
  <c r="C4846" i="11"/>
  <c r="C4863" i="11"/>
  <c r="C4880" i="11"/>
  <c r="C4889" i="11"/>
  <c r="C4906" i="11"/>
  <c r="C4923" i="11"/>
  <c r="C4730" i="11"/>
  <c r="C4941" i="11"/>
  <c r="C3692" i="11"/>
  <c r="C4319" i="11"/>
  <c r="C4430" i="11"/>
  <c r="C4534" i="11"/>
  <c r="C4616" i="11"/>
  <c r="C4630" i="11"/>
  <c r="C4675" i="11"/>
  <c r="C4686" i="11"/>
  <c r="C4750" i="11"/>
  <c r="C4769" i="11"/>
  <c r="C4778" i="11"/>
  <c r="C4787" i="11"/>
  <c r="C4804" i="11"/>
  <c r="C4821" i="11"/>
  <c r="C4838" i="11"/>
  <c r="C4855" i="11"/>
  <c r="C4872" i="11"/>
  <c r="C4881" i="11"/>
  <c r="C4898" i="11"/>
  <c r="C4915" i="11"/>
  <c r="C4932" i="11"/>
  <c r="C4873" i="11"/>
  <c r="C4907" i="11"/>
  <c r="C5001" i="11"/>
  <c r="C4175" i="11"/>
  <c r="C4328" i="11"/>
  <c r="C4500" i="11"/>
  <c r="C4540" i="11"/>
  <c r="C4559" i="11"/>
  <c r="C4583" i="11"/>
  <c r="C4600" i="11"/>
  <c r="C4617" i="11"/>
  <c r="C4633" i="11"/>
  <c r="C4645" i="11"/>
  <c r="C4661" i="11"/>
  <c r="C4698" i="11"/>
  <c r="C4709" i="11"/>
  <c r="C4719" i="11"/>
  <c r="C4992" i="11"/>
  <c r="G7" i="9"/>
  <c r="H14" i="8"/>
  <c r="D2" i="1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2" i="8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18" i="8"/>
  <c r="H20" i="8" s="1"/>
  <c r="H7" i="9"/>
  <c r="H22" i="8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4" i="8" l="1"/>
  <c r="H6" i="9" s="1"/>
  <c r="B5" i="2"/>
  <c r="B46" i="3"/>
  <c r="C12" i="8" s="1"/>
  <c r="C18" i="8" s="1"/>
  <c r="C20" i="8" s="1"/>
  <c r="C24" i="8" s="1"/>
  <c r="C6" i="9" s="1"/>
  <c r="C11" i="9" s="1"/>
  <c r="B49" i="3" l="1"/>
  <c r="B17" i="4"/>
  <c r="C22" i="4" s="1"/>
  <c r="C14" i="9"/>
  <c r="C15" i="9" s="1"/>
  <c r="C6" i="8" l="1"/>
  <c r="C35" i="6"/>
  <c r="C18" i="9"/>
  <c r="B16" i="4"/>
  <c r="C19" i="9" s="1"/>
  <c r="C8" i="7"/>
  <c r="C9" i="7" s="1"/>
  <c r="C13" i="7" s="1"/>
  <c r="C23" i="4"/>
  <c r="C24" i="4" s="1"/>
  <c r="C7" i="8"/>
  <c r="B4" i="5"/>
  <c r="E3" i="5" s="1"/>
  <c r="I3" i="5" s="1"/>
  <c r="E4" i="5" s="1"/>
  <c r="F4" i="5" s="1"/>
  <c r="D16" i="8" s="1"/>
  <c r="B18" i="4"/>
  <c r="C7" i="6" s="1"/>
  <c r="C9" i="8"/>
  <c r="C23" i="9" l="1"/>
  <c r="C8" i="6"/>
  <c r="C16" i="6" s="1"/>
  <c r="C22" i="6" s="1"/>
  <c r="C28" i="6" s="1"/>
  <c r="C37" i="6" s="1"/>
  <c r="B8" i="5"/>
  <c r="C18" i="7"/>
  <c r="C23" i="7" s="1"/>
  <c r="J4" i="12" s="1"/>
  <c r="D9" i="9"/>
  <c r="D21" i="9" s="1"/>
  <c r="B9" i="5"/>
  <c r="G6" i="5"/>
  <c r="F16" i="7" s="1"/>
  <c r="F25" i="6" s="1"/>
  <c r="G7" i="5"/>
  <c r="G16" i="7" s="1"/>
  <c r="G25" i="6" s="1"/>
  <c r="G4" i="5"/>
  <c r="D16" i="7" s="1"/>
  <c r="G5" i="5"/>
  <c r="E16" i="7" s="1"/>
  <c r="E25" i="6" s="1"/>
  <c r="D25" i="6" l="1"/>
  <c r="D26" i="6" s="1"/>
  <c r="D18" i="7"/>
  <c r="D21" i="7" s="1"/>
  <c r="G26" i="6"/>
  <c r="G18" i="7"/>
  <c r="G21" i="7" s="1"/>
  <c r="G17" i="8" s="1"/>
  <c r="G10" i="9" s="1"/>
  <c r="E26" i="6"/>
  <c r="E18" i="7"/>
  <c r="F26" i="6"/>
  <c r="F18" i="7"/>
  <c r="F21" i="7" s="1"/>
  <c r="F17" i="8" s="1"/>
  <c r="F10" i="9" s="1"/>
  <c r="H4" i="5"/>
  <c r="K8" i="5"/>
  <c r="E21" i="7" l="1"/>
  <c r="E17" i="8" s="1"/>
  <c r="E10" i="9" s="1"/>
  <c r="D23" i="7"/>
  <c r="F22" i="6"/>
  <c r="F23" i="7"/>
  <c r="E22" i="6"/>
  <c r="G22" i="6"/>
  <c r="G28" i="6" s="1"/>
  <c r="D8" i="9"/>
  <c r="I4" i="5"/>
  <c r="E5" i="5" s="1"/>
  <c r="F5" i="5" s="1"/>
  <c r="E16" i="8" s="1"/>
  <c r="G4" i="12"/>
  <c r="J7" i="12" l="1"/>
  <c r="E7" i="12"/>
  <c r="C7" i="12"/>
  <c r="C8" i="12"/>
  <c r="J5" i="12"/>
  <c r="E18" i="8"/>
  <c r="E20" i="8" s="1"/>
  <c r="E24" i="8" s="1"/>
  <c r="E6" i="9" s="1"/>
  <c r="F33" i="6"/>
  <c r="F35" i="6" s="1"/>
  <c r="D22" i="6"/>
  <c r="D28" i="6" s="1"/>
  <c r="D17" i="8"/>
  <c r="G23" i="7"/>
  <c r="F4" i="12"/>
  <c r="E23" i="7"/>
  <c r="H5" i="5"/>
  <c r="I5" i="5" s="1"/>
  <c r="E6" i="5" s="1"/>
  <c r="E9" i="9"/>
  <c r="E21" i="9" s="1"/>
  <c r="E28" i="6"/>
  <c r="D4" i="12"/>
  <c r="H35" i="6"/>
  <c r="H37" i="6" s="1"/>
  <c r="F28" i="6"/>
  <c r="E4" i="12"/>
  <c r="D20" i="9"/>
  <c r="G5" i="12"/>
  <c r="F5" i="12"/>
  <c r="J8" i="12" l="1"/>
  <c r="F7" i="12"/>
  <c r="J6" i="12"/>
  <c r="M7" i="12" s="1"/>
  <c r="D7" i="12"/>
  <c r="D18" i="8"/>
  <c r="D20" i="8" s="1"/>
  <c r="D24" i="8" s="1"/>
  <c r="D6" i="9" s="1"/>
  <c r="D10" i="9"/>
  <c r="M5" i="12"/>
  <c r="M6" i="12"/>
  <c r="E8" i="9"/>
  <c r="E20" i="9" s="1"/>
  <c r="C5" i="12"/>
  <c r="C4" i="12"/>
  <c r="E33" i="6"/>
  <c r="E35" i="6" s="1"/>
  <c r="E37" i="6" s="1"/>
  <c r="E8" i="12" s="1"/>
  <c r="G33" i="6"/>
  <c r="G35" i="6" s="1"/>
  <c r="G37" i="6" s="1"/>
  <c r="G8" i="12" s="1"/>
  <c r="F37" i="6"/>
  <c r="F8" i="12" s="1"/>
  <c r="E5" i="12"/>
  <c r="D5" i="12"/>
  <c r="F6" i="5"/>
  <c r="D11" i="9" l="1"/>
  <c r="E11" i="9"/>
  <c r="F9" i="9"/>
  <c r="F21" i="9" s="1"/>
  <c r="F16" i="8"/>
  <c r="F18" i="8" s="1"/>
  <c r="F20" i="8" s="1"/>
  <c r="F24" i="8" s="1"/>
  <c r="F6" i="9" s="1"/>
  <c r="H6" i="5"/>
  <c r="F8" i="9" l="1"/>
  <c r="I6" i="5"/>
  <c r="E7" i="5" s="1"/>
  <c r="F7" i="5" l="1"/>
  <c r="F20" i="9"/>
  <c r="F11" i="9"/>
  <c r="G9" i="9" l="1"/>
  <c r="G21" i="9" s="1"/>
  <c r="G16" i="8"/>
  <c r="G18" i="8" s="1"/>
  <c r="G20" i="8" s="1"/>
  <c r="G24" i="8" s="1"/>
  <c r="G6" i="9" s="1"/>
  <c r="H7" i="5"/>
  <c r="G8" i="9" l="1"/>
  <c r="I7" i="5"/>
  <c r="E8" i="5" s="1"/>
  <c r="F8" i="5" l="1"/>
  <c r="G11" i="9"/>
  <c r="G20" i="9"/>
  <c r="H9" i="9" l="1"/>
  <c r="H21" i="9" s="1"/>
  <c r="H8" i="5"/>
  <c r="H8" i="9" l="1"/>
  <c r="I8" i="5"/>
  <c r="H20" i="9" l="1"/>
  <c r="H11" i="9"/>
  <c r="E22" i="9"/>
  <c r="E23" i="9" s="1"/>
  <c r="G22" i="9"/>
  <c r="G23" i="9" s="1"/>
  <c r="H22" i="9"/>
  <c r="H23" i="9" s="1"/>
  <c r="D22" i="9"/>
  <c r="D23" i="9" s="1"/>
  <c r="F22" i="9"/>
  <c r="F23" i="9" s="1"/>
  <c r="D35" i="6"/>
  <c r="D37" i="6" s="1"/>
  <c r="D8" i="12" s="1"/>
</calcChain>
</file>

<file path=xl/sharedStrings.xml><?xml version="1.0" encoding="utf-8"?>
<sst xmlns="http://schemas.openxmlformats.org/spreadsheetml/2006/main" count="539" uniqueCount="312">
  <si>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</si>
  <si>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</si>
  <si>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</si>
  <si>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</si>
  <si>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</si>
  <si>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</si>
  <si>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</si>
  <si>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</si>
  <si>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</si>
  <si>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</si>
  <si>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</si>
  <si>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</si>
  <si>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</si>
  <si>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</si>
  <si>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</si>
  <si>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</si>
  <si>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</si>
  <si>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</si>
  <si>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</si>
  <si>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</si>
  <si>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</si>
  <si>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</si>
  <si>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</si>
  <si>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</si>
  <si>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</si>
  <si>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</si>
  <si>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</si>
  <si>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</si>
  <si>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</si>
  <si>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</si>
  <si>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</si>
  <si>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</si>
  <si>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</si>
  <si>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</si>
  <si>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</si>
  <si>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</si>
  <si>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</si>
  <si>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</si>
  <si>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</si>
  <si>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</si>
  <si>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</si>
  <si>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</si>
  <si>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</si>
  <si>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</si>
  <si>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</si>
  <si>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</si>
  <si>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</si>
  <si>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</si>
  <si>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</si>
  <si>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</si>
  <si>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</si>
  <si>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</si>
  <si>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</si>
  <si>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</si>
  <si>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</si>
  <si>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</si>
  <si>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</si>
  <si>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</si>
  <si>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</si>
  <si>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</si>
  <si>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</si>
  <si>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</si>
  <si>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</si>
  <si>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</si>
  <si>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</si>
  <si>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</si>
  <si>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</si>
  <si>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</si>
  <si>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</si>
  <si>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</si>
  <si>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</si>
  <si>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</si>
  <si>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</si>
  <si>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</si>
  <si>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</si>
  <si>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</si>
  <si>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</si>
  <si>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</si>
  <si>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</si>
  <si>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</si>
  <si>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</si>
  <si>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</si>
  <si>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</si>
  <si>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</si>
  <si>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</si>
  <si>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</si>
  <si>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</si>
  <si>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</si>
  <si>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</si>
  <si>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</si>
  <si>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</si>
  <si>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</si>
  <si>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</si>
  <si>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</si>
  <si>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</si>
  <si>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</si>
  <si>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</si>
  <si>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</si>
  <si>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</si>
  <si>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</si>
  <si>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</si>
  <si>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</si>
  <si>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</si>
  <si>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</si>
  <si>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</si>
  <si>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</si>
  <si>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</si>
  <si>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</si>
  <si>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</si>
  <si>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</si>
  <si>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</si>
  <si>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</si>
  <si>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</si>
  <si>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</si>
  <si>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</si>
  <si>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</si>
  <si>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</si>
  <si>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</si>
  <si>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</si>
  <si>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</si>
  <si>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</si>
  <si>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</si>
  <si>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</si>
  <si>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</si>
  <si>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</si>
  <si>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</si>
  <si>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</si>
  <si>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</si>
  <si>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</si>
  <si>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</si>
  <si>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</si>
  <si>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</si>
  <si>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</si>
  <si>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</si>
  <si>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</si>
  <si>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</si>
  <si>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</si>
  <si>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</si>
  <si>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</si>
  <si>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</si>
  <si>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</si>
  <si>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</si>
  <si>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</si>
  <si>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</si>
  <si>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</si>
  <si>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</si>
  <si>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</si>
  <si>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</si>
  <si>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</si>
  <si>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</si>
  <si>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</si>
  <si>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</si>
  <si>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</si>
  <si>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</si>
  <si>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</si>
  <si>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</si>
  <si>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</si>
  <si>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</si>
  <si>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</si>
  <si>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</si>
  <si>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</si>
  <si>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</si>
  <si>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</si>
  <si>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</si>
  <si>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</si>
  <si>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</si>
  <si>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</si>
  <si>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</si>
  <si>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</si>
  <si>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</si>
  <si>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</si>
  <si>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</si>
  <si>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</si>
  <si>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</si>
  <si>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</si>
  <si>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</si>
  <si>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</si>
  <si>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</si>
  <si>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</si>
  <si>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</si>
  <si>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</si>
  <si>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</si>
  <si>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</si>
  <si>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</si>
  <si>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</si>
  <si>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</si>
  <si>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</si>
  <si>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</si>
  <si>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</si>
  <si>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</si>
  <si>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</si>
  <si>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</si>
  <si>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</si>
  <si>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</si>
  <si>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</si>
  <si>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</si>
  <si>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</si>
  <si>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</si>
  <si>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</si>
  <si>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</si>
  <si>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</si>
  <si>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</si>
  <si>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</si>
  <si>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</si>
  <si>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</si>
  <si>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</si>
  <si>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</si>
  <si>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</si>
  <si>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</si>
  <si>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</si>
  <si>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</si>
  <si>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</si>
  <si>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</si>
  <si>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</si>
  <si>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</si>
  <si>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</si>
  <si>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</si>
  <si>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</si>
  <si>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</si>
  <si>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</si>
  <si>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</si>
  <si>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</si>
  <si>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</si>
  <si>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</si>
  <si>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</si>
  <si>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</si>
  <si>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</si>
  <si>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</si>
  <si>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</si>
  <si>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</si>
  <si>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</si>
  <si>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</si>
  <si>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</si>
  <si>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</si>
  <si>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</si>
  <si>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</si>
  <si>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</si>
  <si>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</si>
  <si>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</si>
  <si>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</si>
  <si>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</si>
  <si>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</si>
  <si>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</si>
  <si>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</si>
  <si>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</si>
  <si>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</si>
  <si>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</si>
  <si>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</si>
  <si>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</si>
  <si>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</si>
  <si>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</si>
  <si>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</si>
  <si>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</si>
  <si>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</si>
  <si>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</si>
  <si>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</si>
  <si>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</si>
  <si>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</si>
  <si>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</si>
  <si>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</si>
  <si>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</si>
  <si>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</si>
  <si>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</si>
  <si>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</si>
  <si>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</si>
  <si>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</si>
  <si>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</si>
  <si>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</si>
  <si>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</si>
  <si>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</si>
  <si>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</si>
  <si>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</si>
  <si>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</si>
  <si>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</si>
  <si>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</si>
  <si>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</si>
  <si>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</si>
  <si>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</si>
  <si>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</si>
  <si>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</si>
  <si>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</si>
  <si>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</si>
  <si>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</si>
  <si>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</si>
  <si>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</si>
  <si>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</si>
  <si>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</si>
  <si>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</si>
  <si>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</si>
  <si>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</si>
  <si>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</si>
  <si>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</si>
  <si>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</si>
  <si>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</si>
  <si>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</si>
  <si>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</si>
  <si>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</si>
  <si>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AÑOS</t>
  </si>
  <si>
    <t>Propiedad Planta y Equipos</t>
  </si>
  <si>
    <t>Resultados acumulados/dividendos</t>
  </si>
  <si>
    <t>Costo de inversión inicial y de activos fijos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</si>
  <si>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</si>
  <si>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</si>
  <si>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</si>
  <si>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</si>
  <si>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</si>
  <si>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</si>
  <si>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</si>
  <si>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</si>
  <si>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Suma de Activos</t>
  </si>
  <si>
    <t>Activos fijos</t>
  </si>
  <si>
    <t>Activos diferidos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</si>
</sst>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8" xfId="0" applyFont="1" applyBorder="1"/>
    <xf numFmtId="165" fontId="0" fillId="0" borderId="4" xfId="0" applyNumberFormat="1" applyBorder="1" applyAlignment="1">
      <alignment horizontal="center" vertical="center"/>
    </xf>
    <xf numFmtId="3" fontId="0" fillId="0" borderId="3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2" t="s">
        <v>0</v>
      </c>
      <c r="B1" s="143"/>
    </row>
    <row r="2" spans="1:4" x14ac:dyDescent="0.25">
      <c r="A2" s="1" t="s">
        <v>1</v>
      </c>
      <c r="B2" s="1" t="s">
        <v>2</v>
      </c>
    </row>
    <row r="3" spans="1:4" x14ac:dyDescent="0.25">
      <c r="A3" s="108" t="s">
        <v>182</v>
      </c>
      <c r="B3" s="3">
        <f>B23</f>
        <v>5000000</v>
      </c>
    </row>
    <row r="4" spans="1:4" x14ac:dyDescent="0.25">
      <c r="A4" s="108" t="s">
        <v>181</v>
      </c>
      <c r="B4" s="3">
        <f>B31</f>
        <v>3740000</v>
      </c>
    </row>
    <row r="5" spans="1:4" x14ac:dyDescent="0.25">
      <c r="A5" s="108" t="s">
        <v>3</v>
      </c>
      <c r="B5" s="3">
        <f>D16</f>
        <v>8200000</v>
      </c>
    </row>
    <row r="6" spans="1:4" x14ac:dyDescent="0.25">
      <c r="A6" s="108" t="s">
        <v>250</v>
      </c>
      <c r="B6" s="3">
        <f>B37</f>
        <v>7000000</v>
      </c>
    </row>
    <row r="7" spans="1:4" x14ac:dyDescent="0.25">
      <c r="A7" s="108" t="s">
        <v>4</v>
      </c>
      <c r="B7" s="3">
        <f>B44</f>
        <v>6000000</v>
      </c>
    </row>
    <row r="8" spans="1:4" x14ac:dyDescent="0.25">
      <c r="A8" s="108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44" t="s">
        <v>178</v>
      </c>
      <c r="B11" s="151"/>
      <c r="C11" s="151"/>
      <c r="D11" s="145"/>
    </row>
    <row r="12" spans="1:4" x14ac:dyDescent="0.25">
      <c r="A12" s="101" t="s">
        <v>7</v>
      </c>
      <c r="B12" s="101" t="s">
        <v>8</v>
      </c>
      <c r="C12" s="101" t="s">
        <v>9</v>
      </c>
      <c r="D12" s="101" t="s">
        <v>10</v>
      </c>
    </row>
    <row r="13" spans="1:4" x14ac:dyDescent="0.25">
      <c r="A13" s="6" t="s">
        <v>183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184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48" t="s">
        <v>6</v>
      </c>
      <c r="B16" s="149"/>
      <c r="C16" s="150"/>
      <c r="D16" s="5">
        <f>SUM(D13:D15)</f>
        <v>8200000</v>
      </c>
    </row>
    <row r="17" spans="1:2" ht="15.75" thickBot="1" x14ac:dyDescent="0.3"/>
    <row r="18" spans="1:2" ht="15.75" thickBot="1" x14ac:dyDescent="0.3">
      <c r="A18" s="144" t="s">
        <v>179</v>
      </c>
      <c r="B18" s="145"/>
    </row>
    <row r="19" spans="1:2" x14ac:dyDescent="0.25">
      <c r="A19" s="101" t="s">
        <v>7</v>
      </c>
      <c r="B19" s="101" t="s">
        <v>2</v>
      </c>
    </row>
    <row r="20" spans="1:2" x14ac:dyDescent="0.25">
      <c r="A20" s="8" t="s">
        <v>185</v>
      </c>
      <c r="B20" s="7">
        <v>1500000</v>
      </c>
    </row>
    <row r="21" spans="1:2" x14ac:dyDescent="0.25">
      <c r="A21" s="8" t="s">
        <v>186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44" t="s">
        <v>180</v>
      </c>
      <c r="B25" s="145"/>
    </row>
    <row r="26" spans="1:2" x14ac:dyDescent="0.25">
      <c r="A26" s="101" t="s">
        <v>7</v>
      </c>
      <c r="B26" s="101" t="s">
        <v>2</v>
      </c>
    </row>
    <row r="27" spans="1:2" x14ac:dyDescent="0.25">
      <c r="A27" s="8" t="s">
        <v>189</v>
      </c>
      <c r="B27" s="7">
        <v>920000</v>
      </c>
    </row>
    <row r="28" spans="1:2" x14ac:dyDescent="0.25">
      <c r="A28" s="8" t="s">
        <v>190</v>
      </c>
      <c r="B28" s="7">
        <v>1300000</v>
      </c>
    </row>
    <row r="29" spans="1:2" x14ac:dyDescent="0.25">
      <c r="A29" s="8" t="s">
        <v>191</v>
      </c>
      <c r="B29" s="7">
        <v>600000</v>
      </c>
    </row>
    <row r="30" spans="1:2" x14ac:dyDescent="0.25">
      <c r="A30" s="8" t="s">
        <v>192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44" t="s">
        <v>249</v>
      </c>
      <c r="B33" s="145"/>
    </row>
    <row r="34" spans="1:2" x14ac:dyDescent="0.25">
      <c r="A34" s="101" t="s">
        <v>7</v>
      </c>
      <c r="B34" s="101" t="s">
        <v>2</v>
      </c>
    </row>
    <row r="35" spans="1:2" x14ac:dyDescent="0.25">
      <c r="A35" s="8" t="s">
        <v>188</v>
      </c>
      <c r="B35" s="7">
        <v>3500000</v>
      </c>
    </row>
    <row r="36" spans="1:2" x14ac:dyDescent="0.25">
      <c r="A36" s="8" t="s">
        <v>187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44" t="s">
        <v>14</v>
      </c>
      <c r="B39" s="145"/>
    </row>
    <row r="40" spans="1:2" x14ac:dyDescent="0.25">
      <c r="A40" s="101" t="s">
        <v>7</v>
      </c>
      <c r="B40" s="101" t="s">
        <v>2</v>
      </c>
    </row>
    <row r="41" spans="1:2" x14ac:dyDescent="0.25">
      <c r="A41" s="8" t="s">
        <v>193</v>
      </c>
      <c r="B41" s="7">
        <v>2000000</v>
      </c>
    </row>
    <row r="42" spans="1:2" x14ac:dyDescent="0.25">
      <c r="A42" s="8" t="s">
        <v>194</v>
      </c>
      <c r="B42" s="7">
        <v>2000000</v>
      </c>
    </row>
    <row r="43" spans="1:2" x14ac:dyDescent="0.25">
      <c r="A43" s="8" t="s">
        <v>195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44" t="s">
        <v>15</v>
      </c>
      <c r="B46" s="145"/>
    </row>
    <row r="47" spans="1:2" x14ac:dyDescent="0.25">
      <c r="A47" s="101" t="s">
        <v>7</v>
      </c>
      <c r="B47" s="101" t="s">
        <v>2</v>
      </c>
    </row>
    <row r="48" spans="1:2" x14ac:dyDescent="0.25">
      <c r="A48" s="8" t="s">
        <v>196</v>
      </c>
      <c r="B48" s="7">
        <v>1500000</v>
      </c>
    </row>
    <row r="49" spans="1:4" x14ac:dyDescent="0.25">
      <c r="A49" s="8" t="s">
        <v>197</v>
      </c>
      <c r="B49" s="7">
        <v>1000000</v>
      </c>
    </row>
    <row r="50" spans="1:4" x14ac:dyDescent="0.25">
      <c r="A50" s="8" t="s">
        <v>198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46"/>
      <c r="B55" s="147"/>
      <c r="C55" s="147"/>
      <c r="D55" s="147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A20" sqref="A20:C23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67" t="s">
        <v>51</v>
      </c>
      <c r="B1" s="168"/>
      <c r="C1" s="168"/>
      <c r="D1" s="168"/>
      <c r="E1" s="168"/>
      <c r="F1" s="169"/>
      <c r="H1" s="170" t="s">
        <v>52</v>
      </c>
      <c r="I1" s="171"/>
      <c r="J1" s="171"/>
      <c r="K1" s="171"/>
      <c r="L1" s="171"/>
      <c r="M1" s="171"/>
      <c r="N1" s="172"/>
    </row>
    <row r="2" spans="1:14" x14ac:dyDescent="0.25">
      <c r="A2" s="173" t="s">
        <v>53</v>
      </c>
      <c r="B2" s="173"/>
      <c r="C2" s="173"/>
      <c r="D2" s="173"/>
      <c r="E2" s="173"/>
      <c r="F2" s="173"/>
      <c r="H2" s="174" t="s">
        <v>54</v>
      </c>
      <c r="I2" s="175"/>
      <c r="J2" s="175"/>
      <c r="K2" s="175"/>
      <c r="L2" s="175"/>
      <c r="M2" s="175"/>
      <c r="N2" s="176"/>
    </row>
    <row r="3" spans="1:14" x14ac:dyDescent="0.25">
      <c r="A3" s="177" t="s">
        <v>7</v>
      </c>
      <c r="B3" s="177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161</v>
      </c>
      <c r="K3" s="20" t="s">
        <v>162</v>
      </c>
      <c r="L3" s="20" t="s">
        <v>163</v>
      </c>
      <c r="M3" s="20" t="s">
        <v>164</v>
      </c>
      <c r="N3" s="20" t="s">
        <v>165</v>
      </c>
    </row>
    <row r="4" spans="1:14" x14ac:dyDescent="0.25">
      <c r="A4" s="178" t="s">
        <v>59</v>
      </c>
      <c r="B4" s="178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78" t="s">
        <v>61</v>
      </c>
      <c r="B5" s="178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78" t="s">
        <v>63</v>
      </c>
      <c r="B6" s="178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79" t="s">
        <v>65</v>
      </c>
      <c r="B7" s="179"/>
      <c r="C7" s="179"/>
      <c r="D7" s="179"/>
      <c r="E7" s="179"/>
      <c r="F7" s="179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80"/>
      <c r="I8" s="180"/>
      <c r="J8" s="180"/>
      <c r="K8" s="180"/>
      <c r="L8" s="180"/>
      <c r="M8" s="180"/>
      <c r="N8" s="180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56" t="s">
        <v>262</v>
      </c>
      <c r="I9" s="157"/>
      <c r="J9" s="157"/>
      <c r="K9" s="157"/>
      <c r="L9" s="157"/>
      <c r="M9" s="157"/>
      <c r="N9" s="158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59" t="s">
        <v>58</v>
      </c>
      <c r="I10" s="160"/>
      <c r="J10" s="107" t="s">
        <v>161</v>
      </c>
      <c r="K10" s="107" t="s">
        <v>162</v>
      </c>
      <c r="L10" s="107" t="s">
        <v>163</v>
      </c>
      <c r="M10" s="107" t="s">
        <v>164</v>
      </c>
      <c r="N10" s="107" t="s">
        <v>165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61" t="s">
        <v>263</v>
      </c>
      <c r="I11" s="162"/>
      <c r="J11" s="162"/>
      <c r="K11" s="162"/>
      <c r="L11" s="162"/>
      <c r="M11" s="162"/>
      <c r="N11" s="163"/>
    </row>
    <row r="12" spans="1:14" x14ac:dyDescent="0.25">
      <c r="A12" s="164" t="s">
        <v>28</v>
      </c>
      <c r="B12" s="164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65" t="s">
        <v>264</v>
      </c>
      <c r="I12" s="166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65" t="s">
        <v>265</v>
      </c>
      <c r="I13" s="166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3" t="s">
        <v>72</v>
      </c>
      <c r="B14" s="155"/>
      <c r="C14" s="38"/>
      <c r="D14" s="42"/>
      <c r="E14" s="42"/>
      <c r="H14" s="161" t="s">
        <v>266</v>
      </c>
      <c r="I14" s="162"/>
      <c r="J14" s="162"/>
      <c r="K14" s="162"/>
      <c r="L14" s="162"/>
      <c r="M14" s="162"/>
      <c r="N14" s="163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8" t="s">
        <v>255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199</v>
      </c>
      <c r="B16" s="3">
        <f>'Costos de Operación Gravables'!$B$49*0.45</f>
        <v>15790950</v>
      </c>
      <c r="C16" s="38"/>
      <c r="D16" s="42"/>
      <c r="E16" s="42"/>
      <c r="H16" s="118" t="s">
        <v>256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200</v>
      </c>
      <c r="B17" s="3">
        <f>'Costos de Operación Gravables'!$B$49*0.55</f>
        <v>19300050</v>
      </c>
      <c r="C17" s="38"/>
      <c r="D17" s="42"/>
      <c r="E17" s="42"/>
      <c r="H17" s="161" t="s">
        <v>259</v>
      </c>
      <c r="I17" s="162"/>
      <c r="J17" s="162"/>
      <c r="K17" s="162"/>
      <c r="L17" s="162"/>
      <c r="M17" s="162"/>
      <c r="N17" s="163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65" t="s">
        <v>257</v>
      </c>
      <c r="I18" s="166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65" t="s">
        <v>258</v>
      </c>
      <c r="I19" s="166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3" t="s">
        <v>201</v>
      </c>
      <c r="B20" s="154"/>
      <c r="C20" s="155"/>
      <c r="D20" s="42"/>
      <c r="E20" s="42"/>
      <c r="H20" s="161" t="s">
        <v>302</v>
      </c>
      <c r="I20" s="162"/>
      <c r="J20" s="162"/>
      <c r="K20" s="162"/>
      <c r="L20" s="162"/>
      <c r="M20" s="162"/>
      <c r="N20" s="163"/>
      <c r="O20" s="106" t="s">
        <v>274</v>
      </c>
      <c r="P20" s="23"/>
    </row>
    <row r="21" spans="1:16" x14ac:dyDescent="0.25">
      <c r="A21" s="11" t="s">
        <v>7</v>
      </c>
      <c r="B21" s="101" t="s">
        <v>202</v>
      </c>
      <c r="C21" s="101" t="s">
        <v>2</v>
      </c>
      <c r="D21" s="42"/>
      <c r="E21" s="42"/>
      <c r="H21" s="165" t="s">
        <v>267</v>
      </c>
      <c r="I21" s="166"/>
      <c r="J21" s="121">
        <f>(SUM(J15:J16)/12)/SUM(J18:J19)</f>
        <v>2752.2935779816517</v>
      </c>
      <c r="K21" s="121">
        <f t="shared" ref="K21:N21" si="9">(SUM(K15:K16)/12)/SUM(K18:K19)</f>
        <v>2878.8990825688074</v>
      </c>
      <c r="L21" s="121">
        <f t="shared" si="9"/>
        <v>2991.1761467889905</v>
      </c>
      <c r="M21" s="121">
        <f t="shared" si="9"/>
        <v>3101.8496642201826</v>
      </c>
      <c r="N21" s="121">
        <f t="shared" si="9"/>
        <v>3210.4144024678885</v>
      </c>
      <c r="O21" s="126">
        <f>AVERAGE(J21:N21)</f>
        <v>2986.9265748055041</v>
      </c>
      <c r="P21" s="124"/>
    </row>
    <row r="22" spans="1:16" x14ac:dyDescent="0.25">
      <c r="A22" s="102" t="s">
        <v>204</v>
      </c>
      <c r="B22" s="79">
        <v>0.5</v>
      </c>
      <c r="C22" s="3">
        <f>$B$17*B22</f>
        <v>9650025</v>
      </c>
      <c r="D22" s="46"/>
      <c r="E22" s="46"/>
      <c r="H22" s="165" t="s">
        <v>270</v>
      </c>
      <c r="I22" s="166"/>
      <c r="J22" s="121">
        <f>J21*12</f>
        <v>33027.522935779823</v>
      </c>
      <c r="K22" s="121">
        <f t="shared" ref="K22:N22" si="10">K21*12</f>
        <v>34546.788990825691</v>
      </c>
      <c r="L22" s="121">
        <f t="shared" si="10"/>
        <v>35894.113761467888</v>
      </c>
      <c r="M22" s="121">
        <f t="shared" si="10"/>
        <v>37222.195970642191</v>
      </c>
      <c r="N22" s="121">
        <f t="shared" si="10"/>
        <v>38524.972829614664</v>
      </c>
      <c r="O22" s="126">
        <f>AVERAGE(J22:N22)</f>
        <v>35843.118897666049</v>
      </c>
      <c r="P22" s="24"/>
    </row>
    <row r="23" spans="1:16" x14ac:dyDescent="0.25">
      <c r="A23" s="102" t="s">
        <v>203</v>
      </c>
      <c r="B23" s="79">
        <v>0.5</v>
      </c>
      <c r="C23" s="3">
        <f>$B$17*B23</f>
        <v>9650025</v>
      </c>
      <c r="D23" s="47"/>
      <c r="E23" s="48"/>
      <c r="H23" s="161" t="s">
        <v>261</v>
      </c>
      <c r="I23" s="162"/>
      <c r="J23" s="162"/>
      <c r="K23" s="162"/>
      <c r="L23" s="162"/>
      <c r="M23" s="162"/>
      <c r="N23" s="163"/>
      <c r="O23" s="18"/>
    </row>
    <row r="24" spans="1:16" x14ac:dyDescent="0.25">
      <c r="A24" s="9" t="s">
        <v>28</v>
      </c>
      <c r="B24" s="109">
        <f>SUM(B22:B23)</f>
        <v>1</v>
      </c>
      <c r="C24" s="10">
        <f>SUM(C22:C23)</f>
        <v>19300050</v>
      </c>
      <c r="D24" s="18"/>
      <c r="E24" s="18"/>
      <c r="H24" s="119" t="s">
        <v>260</v>
      </c>
      <c r="I24" s="120"/>
      <c r="J24" s="122">
        <f>SUM(J18:J19)*12</f>
        <v>59330.879999999997</v>
      </c>
      <c r="K24" s="122">
        <f>SUM(K18:K19)*12</f>
        <v>71412.598393881432</v>
      </c>
      <c r="L24" s="122">
        <f>SUM(L18:L19)*12</f>
        <v>88458.146422449878</v>
      </c>
      <c r="M24" s="122">
        <f>SUM(M18:M19)*12</f>
        <v>113025.11476349673</v>
      </c>
      <c r="N24" s="122">
        <f>SUM(N18:N19)*12</f>
        <v>150044.93496139569</v>
      </c>
      <c r="O24" s="112"/>
    </row>
    <row r="25" spans="1:16" x14ac:dyDescent="0.25">
      <c r="B25" s="49"/>
      <c r="C25" s="38"/>
      <c r="D25" s="42"/>
      <c r="E25" s="42"/>
      <c r="I25" s="111"/>
      <c r="J25" s="112"/>
      <c r="K25" s="112"/>
      <c r="L25" s="112"/>
      <c r="M25" s="112"/>
      <c r="N25" s="112"/>
      <c r="O25" s="112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3"/>
      <c r="K27" s="113"/>
      <c r="L27" s="113"/>
      <c r="M27" s="113"/>
      <c r="N27" s="113"/>
      <c r="O27" s="113"/>
    </row>
    <row r="28" spans="1:16" x14ac:dyDescent="0.25">
      <c r="A28" s="47"/>
      <c r="B28" s="47"/>
      <c r="C28" s="47"/>
      <c r="D28" s="47"/>
      <c r="E28" s="48"/>
      <c r="I28" s="111"/>
      <c r="J28" s="111"/>
      <c r="K28" s="111"/>
      <c r="L28" s="111"/>
      <c r="M28" s="111"/>
      <c r="N28" s="111"/>
      <c r="O28" s="111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52"/>
      <c r="B31" s="152"/>
      <c r="C31" s="44"/>
      <c r="D31" s="46"/>
      <c r="E31" s="46"/>
    </row>
  </sheetData>
  <mergeCells count="27">
    <mergeCell ref="A14:B14"/>
    <mergeCell ref="A4:B4"/>
    <mergeCell ref="A5:B5"/>
    <mergeCell ref="A6:B6"/>
    <mergeCell ref="A7:F7"/>
    <mergeCell ref="H8:N8"/>
    <mergeCell ref="A1:F1"/>
    <mergeCell ref="H1:N1"/>
    <mergeCell ref="A2:F2"/>
    <mergeCell ref="H2:N2"/>
    <mergeCell ref="A3:B3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showGridLines="0" topLeftCell="A34" zoomScale="130" zoomScaleNormal="130" workbookViewId="0">
      <selection activeCell="D60" sqref="D60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200" t="s">
        <v>17</v>
      </c>
      <c r="B1" s="194"/>
      <c r="C1" s="194"/>
      <c r="D1" s="201"/>
      <c r="F1" s="193" t="s">
        <v>17</v>
      </c>
      <c r="G1" s="194"/>
      <c r="H1" s="194"/>
      <c r="I1" s="194"/>
      <c r="J1" s="194"/>
      <c r="K1" s="194"/>
      <c r="L1" s="194"/>
      <c r="M1" s="194"/>
      <c r="N1" s="195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202" t="s">
        <v>18</v>
      </c>
      <c r="B2" s="202"/>
      <c r="C2" s="202"/>
      <c r="D2" s="202"/>
      <c r="F2" s="198" t="s">
        <v>18</v>
      </c>
      <c r="G2" s="199"/>
      <c r="H2" s="199"/>
      <c r="I2" s="199"/>
      <c r="J2" s="199"/>
      <c r="K2" s="199"/>
      <c r="L2" s="199"/>
      <c r="M2" s="199"/>
      <c r="N2" s="199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88" t="s">
        <v>25</v>
      </c>
      <c r="G5" s="188"/>
      <c r="H5" s="188"/>
      <c r="I5" s="188"/>
      <c r="J5" s="188"/>
      <c r="K5" s="188"/>
      <c r="L5" s="188"/>
      <c r="M5" s="188"/>
      <c r="N5" s="188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64" t="s">
        <v>28</v>
      </c>
      <c r="B6" s="164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203" t="s">
        <v>25</v>
      </c>
      <c r="B7" s="204"/>
      <c r="C7" s="204"/>
      <c r="D7" s="205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88" t="s">
        <v>176</v>
      </c>
      <c r="G8" s="188"/>
      <c r="H8" s="188"/>
      <c r="I8" s="188"/>
      <c r="J8" s="188"/>
      <c r="K8" s="188"/>
      <c r="L8" s="188"/>
      <c r="M8" s="188"/>
      <c r="N8" s="18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88" t="s">
        <v>171</v>
      </c>
      <c r="G11" s="188"/>
      <c r="H11" s="188"/>
      <c r="I11" s="188"/>
      <c r="J11" s="188"/>
      <c r="K11" s="188"/>
      <c r="L11" s="188"/>
      <c r="M11" s="188"/>
      <c r="N11" s="188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22</v>
      </c>
      <c r="G12" s="9" t="s">
        <v>44</v>
      </c>
      <c r="H12" s="9" t="s">
        <v>23</v>
      </c>
      <c r="I12" s="4" t="s">
        <v>45</v>
      </c>
      <c r="J12" s="4" t="s">
        <v>46</v>
      </c>
      <c r="K12" s="4" t="s">
        <v>47</v>
      </c>
      <c r="L12" s="4" t="s">
        <v>48</v>
      </c>
      <c r="M12" s="4" t="s">
        <v>49</v>
      </c>
      <c r="N12" s="4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24</v>
      </c>
      <c r="H13" s="128" t="s">
        <v>24</v>
      </c>
      <c r="I13" s="69">
        <v>0</v>
      </c>
      <c r="J13" s="129">
        <v>1451000</v>
      </c>
      <c r="K13" s="129"/>
      <c r="L13" s="129"/>
      <c r="M13" s="129"/>
      <c r="N13" s="129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0" t="s">
        <v>6</v>
      </c>
      <c r="G14" s="191"/>
      <c r="H14" s="191"/>
      <c r="I14" s="191"/>
      <c r="J14" s="191"/>
      <c r="K14" s="191"/>
      <c r="L14" s="191"/>
      <c r="M14" s="191"/>
      <c r="N14" s="192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8" t="s">
        <v>28</v>
      </c>
      <c r="B17" s="150"/>
      <c r="C17" s="5">
        <f>SUM(C9:C16)</f>
        <v>894289</v>
      </c>
      <c r="D17" s="14">
        <f>SUM(D9:D16)</f>
        <v>1788578</v>
      </c>
      <c r="F17" s="193" t="s">
        <v>279</v>
      </c>
      <c r="G17" s="194"/>
      <c r="H17" s="194"/>
      <c r="I17" s="194"/>
      <c r="J17" s="194"/>
      <c r="K17" s="194"/>
      <c r="L17" s="194"/>
      <c r="M17" s="194"/>
      <c r="N17" s="195"/>
      <c r="O17" s="24"/>
      <c r="P17" s="116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7" t="s">
        <v>175</v>
      </c>
      <c r="B18" s="197"/>
      <c r="C18" s="197"/>
      <c r="D18" s="197"/>
      <c r="F18" s="198" t="s">
        <v>252</v>
      </c>
      <c r="G18" s="199"/>
      <c r="H18" s="199"/>
      <c r="I18" s="199"/>
      <c r="J18" s="199"/>
      <c r="K18" s="199"/>
      <c r="L18" s="199"/>
      <c r="M18" s="199"/>
      <c r="N18" s="199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06" t="s">
        <v>22</v>
      </c>
      <c r="G19" s="9" t="s">
        <v>44</v>
      </c>
      <c r="H19" s="9" t="s">
        <v>23</v>
      </c>
      <c r="I19" s="106" t="s">
        <v>45</v>
      </c>
      <c r="J19" s="106" t="s">
        <v>46</v>
      </c>
      <c r="K19" s="106" t="s">
        <v>47</v>
      </c>
      <c r="L19" s="106" t="s">
        <v>48</v>
      </c>
      <c r="M19" s="106" t="s">
        <v>49</v>
      </c>
      <c r="N19" s="106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170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174</v>
      </c>
      <c r="B21" s="8">
        <v>1</v>
      </c>
      <c r="C21" s="3">
        <v>3500000</v>
      </c>
      <c r="D21" s="12">
        <f t="shared" ref="D21" si="5">C21*B21</f>
        <v>3500000</v>
      </c>
      <c r="F21" s="198" t="s">
        <v>251</v>
      </c>
      <c r="G21" s="199"/>
      <c r="H21" s="199"/>
      <c r="I21" s="199"/>
      <c r="J21" s="199"/>
      <c r="K21" s="199"/>
      <c r="L21" s="199"/>
      <c r="M21" s="199"/>
      <c r="N21" s="199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8" t="s">
        <v>28</v>
      </c>
      <c r="B22" s="150"/>
      <c r="C22" s="5">
        <f>SUM(C20:C21)</f>
        <v>3720000</v>
      </c>
      <c r="D22" s="14">
        <f>SUM(D20:D21)</f>
        <v>3720000</v>
      </c>
      <c r="F22" s="106" t="s">
        <v>22</v>
      </c>
      <c r="G22" s="9" t="s">
        <v>44</v>
      </c>
      <c r="H22" s="9" t="s">
        <v>23</v>
      </c>
      <c r="I22" s="106" t="s">
        <v>45</v>
      </c>
      <c r="J22" s="106" t="s">
        <v>46</v>
      </c>
      <c r="K22" s="106" t="s">
        <v>47</v>
      </c>
      <c r="L22" s="106" t="s">
        <v>48</v>
      </c>
      <c r="M22" s="106" t="s">
        <v>49</v>
      </c>
      <c r="N22" s="106" t="s">
        <v>50</v>
      </c>
    </row>
    <row r="23" spans="1:30" ht="15.75" thickBot="1" x14ac:dyDescent="0.3">
      <c r="A23" s="197" t="s">
        <v>171</v>
      </c>
      <c r="B23" s="197"/>
      <c r="C23" s="197"/>
      <c r="D23" s="197"/>
      <c r="F23" s="69">
        <v>120000</v>
      </c>
      <c r="G23" s="72">
        <f>F23*12</f>
        <v>1440000</v>
      </c>
      <c r="H23" s="128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276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0" t="s">
        <v>6</v>
      </c>
      <c r="G24" s="191"/>
      <c r="H24" s="191"/>
      <c r="I24" s="191"/>
      <c r="J24" s="191"/>
      <c r="K24" s="191"/>
      <c r="L24" s="191"/>
      <c r="M24" s="191"/>
      <c r="N24" s="192"/>
      <c r="P24" t="s">
        <v>277</v>
      </c>
    </row>
    <row r="25" spans="1:30" ht="15.75" thickBot="1" x14ac:dyDescent="0.3">
      <c r="A25" s="15" t="s">
        <v>171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278</v>
      </c>
    </row>
    <row r="26" spans="1:30" ht="15.75" thickBot="1" x14ac:dyDescent="0.3">
      <c r="A26" s="148" t="s">
        <v>28</v>
      </c>
      <c r="B26" s="150"/>
      <c r="C26" s="5">
        <f>SUM(C25)</f>
        <v>1451000</v>
      </c>
      <c r="D26" s="14">
        <f>SUM(D25)</f>
        <v>1451000</v>
      </c>
    </row>
    <row r="27" spans="1:30" ht="15.75" thickBot="1" x14ac:dyDescent="0.3">
      <c r="F27" s="190" t="s">
        <v>280</v>
      </c>
      <c r="G27" s="191"/>
      <c r="H27" s="191"/>
      <c r="I27" s="191"/>
      <c r="J27" s="191"/>
      <c r="K27" s="191"/>
      <c r="L27" s="191"/>
      <c r="M27" s="191"/>
      <c r="N27" s="192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17"/>
      <c r="B29" s="117"/>
      <c r="I29" s="130"/>
      <c r="J29" s="130"/>
      <c r="K29" s="130"/>
      <c r="L29" s="130"/>
      <c r="M29" s="130"/>
      <c r="N29" s="130"/>
    </row>
    <row r="30" spans="1:30" ht="15.75" thickBot="1" x14ac:dyDescent="0.3">
      <c r="A30" s="117"/>
      <c r="B30" s="117"/>
      <c r="F30" s="182" t="s">
        <v>78</v>
      </c>
      <c r="G30" s="183"/>
      <c r="H30" s="183"/>
      <c r="I30" s="183"/>
      <c r="J30" s="183"/>
      <c r="K30" s="183"/>
      <c r="L30" s="183"/>
      <c r="M30" s="183"/>
      <c r="N30" s="184"/>
    </row>
    <row r="31" spans="1:30" x14ac:dyDescent="0.25">
      <c r="A31" s="117"/>
      <c r="B31" s="117"/>
      <c r="J31" s="131">
        <f>'Amortización y Depreciación'!G18</f>
        <v>1640000</v>
      </c>
      <c r="K31" s="131">
        <f>J31</f>
        <v>1640000</v>
      </c>
      <c r="L31" s="131">
        <f t="shared" ref="L31:N31" si="9">K31</f>
        <v>1640000</v>
      </c>
      <c r="M31" s="131">
        <f t="shared" si="9"/>
        <v>1640000</v>
      </c>
      <c r="N31" s="131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185" t="s">
        <v>281</v>
      </c>
      <c r="G33" s="186"/>
      <c r="H33" s="186"/>
      <c r="I33" s="186"/>
      <c r="J33" s="186"/>
      <c r="K33" s="186"/>
      <c r="L33" s="186"/>
      <c r="M33" s="186"/>
      <c r="N33" s="187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93" t="s">
        <v>307</v>
      </c>
      <c r="B35" s="195"/>
    </row>
    <row r="36" spans="1:15" ht="15.75" thickBot="1" x14ac:dyDescent="0.3">
      <c r="A36" s="15" t="s">
        <v>38</v>
      </c>
      <c r="B36" s="12">
        <v>1288000</v>
      </c>
      <c r="F36" s="193" t="s">
        <v>268</v>
      </c>
      <c r="G36" s="194"/>
      <c r="H36" s="194"/>
      <c r="I36" s="194"/>
      <c r="J36" s="194"/>
      <c r="K36" s="194"/>
      <c r="L36" s="194"/>
      <c r="M36" s="194"/>
      <c r="N36" s="195"/>
    </row>
    <row r="37" spans="1:15" x14ac:dyDescent="0.25">
      <c r="A37" s="15" t="s">
        <v>39</v>
      </c>
      <c r="B37" s="12">
        <v>30000</v>
      </c>
      <c r="F37" s="196" t="s">
        <v>269</v>
      </c>
      <c r="G37" s="196"/>
      <c r="H37" s="196"/>
      <c r="I37" s="196"/>
      <c r="J37" s="196"/>
      <c r="K37" s="196"/>
      <c r="L37" s="196"/>
      <c r="M37" s="196"/>
      <c r="N37" s="196"/>
    </row>
    <row r="38" spans="1:15" x14ac:dyDescent="0.25">
      <c r="A38" s="15" t="s">
        <v>40</v>
      </c>
      <c r="B38" s="12">
        <v>69000</v>
      </c>
      <c r="F38" s="189" t="s">
        <v>58</v>
      </c>
      <c r="G38" s="189"/>
      <c r="H38" s="189"/>
      <c r="I38" s="106" t="s">
        <v>45</v>
      </c>
      <c r="J38" s="106" t="s">
        <v>46</v>
      </c>
      <c r="K38" s="106" t="s">
        <v>47</v>
      </c>
      <c r="L38" s="106" t="s">
        <v>48</v>
      </c>
      <c r="M38" s="106" t="s">
        <v>49</v>
      </c>
      <c r="N38" s="106" t="s">
        <v>50</v>
      </c>
      <c r="O38" s="39"/>
    </row>
    <row r="39" spans="1:15" x14ac:dyDescent="0.25">
      <c r="A39" s="15" t="s">
        <v>41</v>
      </c>
      <c r="B39" s="12">
        <v>64000</v>
      </c>
      <c r="C39" s="17"/>
      <c r="D39" s="17"/>
      <c r="F39" s="181" t="s">
        <v>260</v>
      </c>
      <c r="G39" s="181"/>
      <c r="H39" s="181"/>
      <c r="I39" s="123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42</v>
      </c>
      <c r="B40" s="12" t="s">
        <v>24</v>
      </c>
      <c r="C40" s="18"/>
      <c r="D40" s="18"/>
      <c r="F40" s="181" t="s">
        <v>282</v>
      </c>
      <c r="G40" s="181"/>
      <c r="H40" s="181"/>
      <c r="I40" s="123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43</v>
      </c>
      <c r="B41" s="12" t="s">
        <v>24</v>
      </c>
      <c r="F41" s="188" t="s">
        <v>271</v>
      </c>
      <c r="G41" s="188"/>
      <c r="H41" s="188"/>
      <c r="I41" s="188"/>
      <c r="J41" s="188"/>
      <c r="K41" s="188"/>
      <c r="L41" s="188"/>
      <c r="M41" s="188"/>
      <c r="N41" s="188"/>
    </row>
    <row r="42" spans="1:15" x14ac:dyDescent="0.25">
      <c r="A42" s="19" t="s">
        <v>28</v>
      </c>
      <c r="B42" s="5">
        <f>SUM(B36:B39)</f>
        <v>1451000</v>
      </c>
      <c r="F42" s="189" t="s">
        <v>58</v>
      </c>
      <c r="G42" s="189"/>
      <c r="H42" s="189"/>
      <c r="I42" s="106" t="s">
        <v>45</v>
      </c>
      <c r="J42" s="106" t="s">
        <v>46</v>
      </c>
      <c r="K42" s="106" t="s">
        <v>47</v>
      </c>
      <c r="L42" s="106" t="s">
        <v>48</v>
      </c>
      <c r="M42" s="106" t="s">
        <v>49</v>
      </c>
      <c r="N42" s="106" t="s">
        <v>50</v>
      </c>
      <c r="O42" s="106" t="s">
        <v>274</v>
      </c>
    </row>
    <row r="43" spans="1:15" ht="15.75" thickBot="1" x14ac:dyDescent="0.3">
      <c r="F43" s="181" t="s">
        <v>272</v>
      </c>
      <c r="G43" s="181"/>
      <c r="H43" s="181"/>
      <c r="I43" s="123"/>
      <c r="J43" s="121">
        <f>(J34/12)/(J39/12)</f>
        <v>2406.6714668651471</v>
      </c>
      <c r="K43" s="121">
        <f t="shared" ref="K43:N43" si="12">(K34/12)/(K39/12)</f>
        <v>2148.9119994427797</v>
      </c>
      <c r="L43" s="121">
        <f t="shared" si="12"/>
        <v>1905.688339375123</v>
      </c>
      <c r="M43" s="121">
        <f t="shared" si="12"/>
        <v>1638.5322301111421</v>
      </c>
      <c r="N43" s="121">
        <f t="shared" si="12"/>
        <v>1356.0923484562215</v>
      </c>
      <c r="O43" s="125">
        <f>AVERAGE(J43:N43)</f>
        <v>1891.1792768500825</v>
      </c>
    </row>
    <row r="44" spans="1:15" ht="15.75" thickBot="1" x14ac:dyDescent="0.3">
      <c r="A44" s="193" t="s">
        <v>309</v>
      </c>
      <c r="B44" s="195"/>
      <c r="F44" s="181" t="s">
        <v>273</v>
      </c>
      <c r="G44" s="181"/>
      <c r="H44" s="181"/>
      <c r="I44" s="123"/>
      <c r="J44" s="121">
        <f>J43*12</f>
        <v>28880.057602381763</v>
      </c>
      <c r="K44" s="121">
        <f t="shared" ref="K44:N44" si="13">K43*12</f>
        <v>25786.943993313354</v>
      </c>
      <c r="L44" s="121">
        <f t="shared" si="13"/>
        <v>22868.260072501474</v>
      </c>
      <c r="M44" s="121">
        <f t="shared" si="13"/>
        <v>19662.386761333706</v>
      </c>
      <c r="N44" s="121">
        <f t="shared" si="13"/>
        <v>16273.108181474658</v>
      </c>
      <c r="O44" s="125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196" t="s">
        <v>301</v>
      </c>
      <c r="G45" s="196"/>
      <c r="H45" s="196"/>
      <c r="I45" s="196"/>
      <c r="J45" s="196"/>
      <c r="K45" s="196"/>
      <c r="L45" s="196"/>
      <c r="M45" s="196"/>
      <c r="N45" s="196"/>
    </row>
    <row r="46" spans="1:15" x14ac:dyDescent="0.25">
      <c r="A46" s="15" t="s">
        <v>310</v>
      </c>
      <c r="B46" s="12">
        <f>'Inversión Inicial'!D16</f>
        <v>8200000</v>
      </c>
      <c r="F46" s="189" t="s">
        <v>58</v>
      </c>
      <c r="G46" s="189"/>
      <c r="H46" s="189"/>
      <c r="I46" s="132" t="s">
        <v>45</v>
      </c>
      <c r="J46" s="132" t="s">
        <v>46</v>
      </c>
      <c r="K46" s="132" t="s">
        <v>47</v>
      </c>
      <c r="L46" s="132" t="s">
        <v>48</v>
      </c>
      <c r="M46" s="132" t="s">
        <v>49</v>
      </c>
      <c r="N46" s="132" t="s">
        <v>50</v>
      </c>
    </row>
    <row r="47" spans="1:15" x14ac:dyDescent="0.25">
      <c r="A47" s="15" t="s">
        <v>308</v>
      </c>
      <c r="B47" s="12">
        <f>B42</f>
        <v>1451000</v>
      </c>
      <c r="F47" s="181" t="s">
        <v>260</v>
      </c>
      <c r="G47" s="181"/>
      <c r="H47" s="181"/>
      <c r="I47" s="123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32" t="s">
        <v>274</v>
      </c>
    </row>
    <row r="48" spans="1:15" x14ac:dyDescent="0.25">
      <c r="A48" s="108" t="s">
        <v>311</v>
      </c>
      <c r="B48" s="12">
        <f>SUM('Inversión Inicial'!B3:B8)-'Inversión Inicial'!B5</f>
        <v>25440000</v>
      </c>
      <c r="F48" s="181" t="s">
        <v>273</v>
      </c>
      <c r="G48" s="181"/>
      <c r="H48" s="181"/>
      <c r="I48" s="123"/>
      <c r="J48" s="121">
        <f>J34/J47</f>
        <v>349769.58651773469</v>
      </c>
      <c r="K48" s="121">
        <f t="shared" ref="K48:N48" si="14">K34/K47</f>
        <v>312308.54391901731</v>
      </c>
      <c r="L48" s="121">
        <f t="shared" si="14"/>
        <v>276960.03865585121</v>
      </c>
      <c r="M48" s="121">
        <f t="shared" si="14"/>
        <v>238133.35077615269</v>
      </c>
      <c r="N48" s="121">
        <f t="shared" si="14"/>
        <v>197085.42130897086</v>
      </c>
      <c r="O48" s="125">
        <f>AVERAGE(J48:N48)</f>
        <v>274851.38823554537</v>
      </c>
    </row>
    <row r="49" spans="1:2" x14ac:dyDescent="0.25">
      <c r="A49" s="19" t="s">
        <v>28</v>
      </c>
      <c r="B49" s="5">
        <f>SUM(B46:B48)</f>
        <v>35091000</v>
      </c>
    </row>
  </sheetData>
  <mergeCells count="37">
    <mergeCell ref="F45:N45"/>
    <mergeCell ref="F46:H46"/>
    <mergeCell ref="F47:H47"/>
    <mergeCell ref="F48:H48"/>
    <mergeCell ref="A44:B44"/>
    <mergeCell ref="A1:D1"/>
    <mergeCell ref="A2:D2"/>
    <mergeCell ref="A7:D7"/>
    <mergeCell ref="A35:B35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  <mergeCell ref="F17:N17"/>
    <mergeCell ref="F18:N18"/>
    <mergeCell ref="F21:N21"/>
    <mergeCell ref="F24:N24"/>
    <mergeCell ref="F27:N27"/>
    <mergeCell ref="F36:N36"/>
    <mergeCell ref="F37:N37"/>
    <mergeCell ref="F39:H39"/>
    <mergeCell ref="F38:H38"/>
    <mergeCell ref="F43:H43"/>
    <mergeCell ref="F44:H44"/>
    <mergeCell ref="F30:N30"/>
    <mergeCell ref="F33:N33"/>
    <mergeCell ref="F40:H40"/>
    <mergeCell ref="F41:N41"/>
    <mergeCell ref="F42:H4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opLeftCell="B1" zoomScale="115" zoomScaleNormal="115" workbookViewId="0">
      <selection activeCell="D14" sqref="D1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6" t="s">
        <v>73</v>
      </c>
      <c r="B1" s="207"/>
      <c r="D1" s="208" t="s">
        <v>211</v>
      </c>
      <c r="E1" s="209"/>
      <c r="F1" s="209"/>
      <c r="G1" s="209"/>
      <c r="H1" s="209"/>
      <c r="I1" s="209"/>
      <c r="J1" s="17"/>
      <c r="K1" s="17"/>
      <c r="L1" s="17"/>
      <c r="M1" s="17"/>
      <c r="N1" s="17"/>
      <c r="O1" s="17"/>
      <c r="P1" s="17"/>
    </row>
    <row r="2" spans="1:16" x14ac:dyDescent="0.25">
      <c r="A2" s="210" t="s">
        <v>74</v>
      </c>
      <c r="B2" s="210"/>
      <c r="D2" s="55" t="s">
        <v>75</v>
      </c>
      <c r="E2" s="55" t="s">
        <v>76</v>
      </c>
      <c r="F2" s="55" t="s">
        <v>212</v>
      </c>
      <c r="G2" s="55" t="s">
        <v>213</v>
      </c>
      <c r="H2" s="55" t="s">
        <v>77</v>
      </c>
      <c r="I2" s="55" t="s">
        <v>214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215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209</v>
      </c>
      <c r="B4" s="3">
        <f>'Proyección de Ventas e Incremen'!B16</f>
        <v>15790950</v>
      </c>
      <c r="D4" s="20" t="s">
        <v>216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208</v>
      </c>
      <c r="B5" s="3">
        <v>0</v>
      </c>
      <c r="D5" s="20" t="s">
        <v>217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210</v>
      </c>
      <c r="B6" s="8" t="s">
        <v>89</v>
      </c>
      <c r="D6" s="20" t="s">
        <v>218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207</v>
      </c>
      <c r="B7" s="59">
        <v>0.16639999999999999</v>
      </c>
      <c r="D7" s="20" t="s">
        <v>219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206</v>
      </c>
      <c r="B8" s="3">
        <f>((B4*1.44780279145524)/4)</f>
        <v>5715545.3724325309</v>
      </c>
      <c r="D8" s="20" t="s">
        <v>220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205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82" t="s">
        <v>306</v>
      </c>
      <c r="E10" s="183"/>
      <c r="F10" s="183"/>
      <c r="G10" s="183"/>
      <c r="H10" s="183"/>
      <c r="I10" s="183"/>
      <c r="J10" s="183"/>
      <c r="K10" s="184"/>
    </row>
    <row r="11" spans="1:16" x14ac:dyDescent="0.25">
      <c r="A11" s="61"/>
      <c r="B11" s="60"/>
      <c r="D11" s="63" t="s">
        <v>79</v>
      </c>
      <c r="E11" s="63" t="s">
        <v>80</v>
      </c>
      <c r="F11" s="63" t="s">
        <v>81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82</v>
      </c>
      <c r="E12" s="8" t="s">
        <v>83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84</v>
      </c>
      <c r="E13" s="8" t="s">
        <v>83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247</v>
      </c>
      <c r="E14" s="8" t="s">
        <v>83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85</v>
      </c>
      <c r="E15" s="8" t="s">
        <v>83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86</v>
      </c>
      <c r="E16" s="8" t="s">
        <v>83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248</v>
      </c>
      <c r="E17" s="8" t="s">
        <v>83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61" t="s">
        <v>87</v>
      </c>
      <c r="E18" s="162"/>
      <c r="F18" s="163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8" t="s">
        <v>88</v>
      </c>
      <c r="E19" s="149"/>
      <c r="F19" s="150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82" t="s">
        <v>78</v>
      </c>
      <c r="E21" s="183"/>
      <c r="F21" s="183"/>
      <c r="G21" s="183"/>
      <c r="H21" s="183"/>
      <c r="I21" s="183"/>
      <c r="J21" s="183"/>
      <c r="K21" s="184"/>
      <c r="M21" s="47"/>
      <c r="N21" s="47"/>
      <c r="O21" s="47"/>
      <c r="P21" s="47"/>
    </row>
    <row r="22" spans="1:16" x14ac:dyDescent="0.25">
      <c r="B22" s="38"/>
      <c r="D22" s="63" t="s">
        <v>79</v>
      </c>
      <c r="E22" s="63" t="s">
        <v>80</v>
      </c>
      <c r="F22" s="63" t="s">
        <v>81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82</v>
      </c>
      <c r="E23" s="8" t="s">
        <v>83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80"/>
      <c r="B24" s="180"/>
      <c r="D24" s="5" t="s">
        <v>84</v>
      </c>
      <c r="E24" s="8" t="s">
        <v>83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247</v>
      </c>
      <c r="E25" s="8" t="s">
        <v>83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85</v>
      </c>
      <c r="E26" s="8" t="s">
        <v>83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86</v>
      </c>
      <c r="E27" s="8" t="s">
        <v>83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248</v>
      </c>
      <c r="E28" s="8" t="s">
        <v>83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80"/>
      <c r="B29" s="180"/>
      <c r="D29" s="161" t="s">
        <v>87</v>
      </c>
      <c r="E29" s="162"/>
      <c r="F29" s="163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8" t="s">
        <v>88</v>
      </c>
      <c r="E30" s="149"/>
      <c r="F30" s="150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tabSelected="1" topLeftCell="A13" zoomScale="115" zoomScaleNormal="115" workbookViewId="0">
      <selection activeCell="H33" sqref="H33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5" t="s">
        <v>90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288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297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1" t="s">
        <v>92</v>
      </c>
      <c r="B5" s="222"/>
    </row>
    <row r="6" spans="1:8" x14ac:dyDescent="0.25">
      <c r="A6" s="223" t="s">
        <v>93</v>
      </c>
      <c r="B6" s="223"/>
    </row>
    <row r="7" spans="1:8" ht="15.75" thickBot="1" x14ac:dyDescent="0.3">
      <c r="B7" s="67" t="s">
        <v>94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95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3" t="s">
        <v>96</v>
      </c>
      <c r="B10" s="214"/>
    </row>
    <row r="11" spans="1:8" x14ac:dyDescent="0.25">
      <c r="B11" s="67" t="s">
        <v>298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104" t="s">
        <v>97</v>
      </c>
      <c r="C12" s="105">
        <v>0</v>
      </c>
      <c r="D12" s="105">
        <f>'Amortización y Depreciación'!G18</f>
        <v>1640000</v>
      </c>
      <c r="E12" s="105">
        <v>1640000</v>
      </c>
      <c r="F12" s="105">
        <v>1640000</v>
      </c>
      <c r="G12" s="105">
        <v>1640000</v>
      </c>
      <c r="H12" s="105">
        <v>1640000</v>
      </c>
    </row>
    <row r="13" spans="1:8" ht="15.75" thickBot="1" x14ac:dyDescent="0.3">
      <c r="B13" s="67" t="s">
        <v>168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98</v>
      </c>
      <c r="C14" s="71">
        <f>C11+C13</f>
        <v>0</v>
      </c>
      <c r="D14" s="71">
        <f>SUM(D11:D13)</f>
        <v>11291000</v>
      </c>
      <c r="E14" s="71">
        <f t="shared" ref="E14:H14" si="2">SUM(E11:E13)</f>
        <v>11291000</v>
      </c>
      <c r="F14" s="71">
        <f t="shared" si="2"/>
        <v>11291000</v>
      </c>
      <c r="G14" s="71">
        <f t="shared" si="2"/>
        <v>11291000</v>
      </c>
      <c r="H14" s="71">
        <f t="shared" si="2"/>
        <v>11291000</v>
      </c>
    </row>
    <row r="15" spans="1:8" ht="15.75" thickBot="1" x14ac:dyDescent="0.3"/>
    <row r="16" spans="1:8" ht="22.5" customHeight="1" thickBot="1" x14ac:dyDescent="0.3">
      <c r="A16" s="211" t="s">
        <v>99</v>
      </c>
      <c r="B16" s="212"/>
      <c r="C16" s="73">
        <f t="shared" ref="C16:H16" si="3">C8+C14</f>
        <v>35091000</v>
      </c>
      <c r="D16" s="73">
        <f t="shared" si="3"/>
        <v>174587000</v>
      </c>
      <c r="E16" s="73">
        <f t="shared" si="3"/>
        <v>216880663.99999997</v>
      </c>
      <c r="F16" s="73">
        <f t="shared" si="3"/>
        <v>275884897.56799996</v>
      </c>
      <c r="G16" s="73">
        <f t="shared" si="3"/>
        <v>361877914.27759993</v>
      </c>
      <c r="H16" s="73">
        <f t="shared" si="3"/>
        <v>492997420.21742237</v>
      </c>
    </row>
    <row r="17" spans="1:8" ht="15.75" thickBot="1" x14ac:dyDescent="0.3">
      <c r="A17" s="224" t="s">
        <v>100</v>
      </c>
      <c r="B17" s="225"/>
    </row>
    <row r="18" spans="1:8" x14ac:dyDescent="0.25">
      <c r="A18" s="226" t="s">
        <v>101</v>
      </c>
      <c r="B18" s="227"/>
    </row>
    <row r="19" spans="1:8" x14ac:dyDescent="0.25">
      <c r="B19" s="67" t="s">
        <v>294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x14ac:dyDescent="0.25">
      <c r="B20" s="67" t="s">
        <v>295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296</v>
      </c>
      <c r="C21" s="69">
        <f>'Estado de Resultados'!C21</f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</row>
    <row r="22" spans="1:8" ht="16.5" thickBot="1" x14ac:dyDescent="0.3">
      <c r="B22" s="70" t="s">
        <v>102</v>
      </c>
      <c r="C22" s="71">
        <f t="shared" ref="C22:H22" si="4">SUM(C19:C21)</f>
        <v>0</v>
      </c>
      <c r="D22" s="71">
        <f>SUM(D19:D21)</f>
        <v>141149936</v>
      </c>
      <c r="E22" s="71">
        <f t="shared" si="4"/>
        <v>151819389.59999999</v>
      </c>
      <c r="F22" s="71">
        <f t="shared" si="4"/>
        <v>166933658.16000003</v>
      </c>
      <c r="G22" s="71">
        <f t="shared" si="4"/>
        <v>183555293.35200003</v>
      </c>
      <c r="H22" s="71">
        <f t="shared" si="4"/>
        <v>201834788.22576007</v>
      </c>
    </row>
    <row r="24" spans="1:8" x14ac:dyDescent="0.25">
      <c r="A24" s="213" t="s">
        <v>103</v>
      </c>
      <c r="B24" s="214"/>
    </row>
    <row r="25" spans="1:8" ht="15.75" thickBot="1" x14ac:dyDescent="0.3">
      <c r="B25" s="68" t="s">
        <v>169</v>
      </c>
      <c r="C25" s="69">
        <f>'Estado de Resultados'!C16</f>
        <v>0</v>
      </c>
      <c r="D25" s="69">
        <f>'Estado de Resultados'!D16</f>
        <v>5715545.3724325309</v>
      </c>
      <c r="E25" s="69">
        <f>'Estado de Resultados'!E16</f>
        <v>5715545.3724325309</v>
      </c>
      <c r="F25" s="69">
        <f>'Estado de Resultados'!F16</f>
        <v>5715545.3724325309</v>
      </c>
      <c r="G25" s="69">
        <f>'Estado de Resultados'!G16</f>
        <v>5715545.3724325309</v>
      </c>
      <c r="H25" s="69">
        <f>'Estado de Resultados'!H16</f>
        <v>0</v>
      </c>
    </row>
    <row r="26" spans="1:8" ht="16.5" thickBot="1" x14ac:dyDescent="0.3">
      <c r="B26" s="70" t="s">
        <v>104</v>
      </c>
      <c r="C26" s="71">
        <f>SUM(C25)</f>
        <v>0</v>
      </c>
      <c r="D26" s="71">
        <f t="shared" ref="D26:H26" si="5">SUM(D25)</f>
        <v>5715545.3724325309</v>
      </c>
      <c r="E26" s="71">
        <f t="shared" si="5"/>
        <v>5715545.3724325309</v>
      </c>
      <c r="F26" s="71">
        <f t="shared" si="5"/>
        <v>5715545.3724325309</v>
      </c>
      <c r="G26" s="71">
        <f t="shared" si="5"/>
        <v>5715545.3724325309</v>
      </c>
      <c r="H26" s="71">
        <f t="shared" si="5"/>
        <v>0</v>
      </c>
    </row>
    <row r="27" spans="1:8" ht="15.75" thickBot="1" x14ac:dyDescent="0.3"/>
    <row r="28" spans="1:8" ht="22.5" customHeight="1" thickBot="1" x14ac:dyDescent="0.3">
      <c r="A28" s="211" t="s">
        <v>105</v>
      </c>
      <c r="B28" s="212"/>
      <c r="C28" s="73">
        <f>C22+C26</f>
        <v>0</v>
      </c>
      <c r="D28" s="73">
        <f>D22+D26</f>
        <v>146865481.37243253</v>
      </c>
      <c r="E28" s="73">
        <f>E22+E26</f>
        <v>157534934.97243252</v>
      </c>
      <c r="F28" s="73">
        <f t="shared" ref="F28:H28" si="6">F22+F26</f>
        <v>172649203.53243256</v>
      </c>
      <c r="G28" s="73">
        <f t="shared" si="6"/>
        <v>189270838.72443256</v>
      </c>
      <c r="H28" s="73">
        <f t="shared" si="6"/>
        <v>201834788.22576007</v>
      </c>
    </row>
    <row r="29" spans="1:8" ht="15.75" thickBot="1" x14ac:dyDescent="0.3"/>
    <row r="30" spans="1:8" ht="15.75" thickBot="1" x14ac:dyDescent="0.3">
      <c r="A30" s="224" t="s">
        <v>106</v>
      </c>
      <c r="B30" s="225"/>
    </row>
    <row r="31" spans="1:8" x14ac:dyDescent="0.25">
      <c r="B31" s="74" t="s">
        <v>12</v>
      </c>
      <c r="C31" s="7">
        <f>'Proyección de Ventas e Incremen'!B18</f>
        <v>35091000</v>
      </c>
      <c r="D31" s="7">
        <f>C31</f>
        <v>35091000</v>
      </c>
      <c r="E31" s="7">
        <f t="shared" ref="E31:H31" si="7">D31</f>
        <v>35091000</v>
      </c>
      <c r="F31" s="7">
        <f t="shared" si="7"/>
        <v>35091000</v>
      </c>
      <c r="G31" s="7">
        <f t="shared" si="7"/>
        <v>35091000</v>
      </c>
      <c r="H31" s="7">
        <f t="shared" si="7"/>
        <v>35091000</v>
      </c>
    </row>
    <row r="32" spans="1:8" x14ac:dyDescent="0.25">
      <c r="B32" s="74" t="s">
        <v>299</v>
      </c>
      <c r="C32" s="7">
        <v>0</v>
      </c>
      <c r="D32" s="7">
        <f>-18049318</f>
        <v>-18049318</v>
      </c>
      <c r="E32" s="137">
        <v>-6980845</v>
      </c>
      <c r="F32" s="7">
        <v>8380643</v>
      </c>
      <c r="G32" s="7">
        <v>32660626</v>
      </c>
      <c r="H32" s="7">
        <v>74155071</v>
      </c>
    </row>
    <row r="33" spans="1:10" x14ac:dyDescent="0.25">
      <c r="B33" s="67" t="s">
        <v>166</v>
      </c>
      <c r="C33" s="7">
        <v>0</v>
      </c>
      <c r="D33" s="3">
        <f>'Estado de Resultados'!D23</f>
        <v>10679837.107918855</v>
      </c>
      <c r="E33" s="3">
        <f>'Estado de Resultados'!E23</f>
        <v>31235573.867918842</v>
      </c>
      <c r="F33" s="3">
        <f>'Estado de Resultados'!F23</f>
        <v>59764051.123118833</v>
      </c>
      <c r="G33" s="3">
        <f>'Estado de Resultados'!G23</f>
        <v>104855449.10955878</v>
      </c>
      <c r="H33" s="3">
        <f>'Estado de Resultados'!H23</f>
        <v>181916560.79458046</v>
      </c>
    </row>
    <row r="34" spans="1:10" ht="15.75" thickBot="1" x14ac:dyDescent="0.3">
      <c r="B34" s="47"/>
    </row>
    <row r="35" spans="1:10" ht="22.5" customHeight="1" thickBot="1" x14ac:dyDescent="0.3">
      <c r="A35" s="211" t="s">
        <v>107</v>
      </c>
      <c r="B35" s="212"/>
      <c r="C35" s="73">
        <f>SUM(C31:C33)</f>
        <v>35091000</v>
      </c>
      <c r="D35" s="73">
        <f>SUM(D31:D33)</f>
        <v>27721519.107918855</v>
      </c>
      <c r="E35" s="73">
        <f t="shared" ref="E35:H35" si="8">SUM(E31:E33)</f>
        <v>59345728.867918842</v>
      </c>
      <c r="F35" s="73">
        <f t="shared" si="8"/>
        <v>103235694.12311883</v>
      </c>
      <c r="G35" s="73">
        <f t="shared" si="8"/>
        <v>172607075.10955876</v>
      </c>
      <c r="H35" s="73">
        <f t="shared" si="8"/>
        <v>291162631.79458046</v>
      </c>
    </row>
    <row r="36" spans="1:10" ht="15.75" thickBot="1" x14ac:dyDescent="0.3"/>
    <row r="37" spans="1:10" ht="22.5" customHeight="1" thickBot="1" x14ac:dyDescent="0.3">
      <c r="A37" s="211" t="s">
        <v>167</v>
      </c>
      <c r="B37" s="212"/>
      <c r="C37" s="73">
        <f t="shared" ref="C37:H37" si="9">C28+C35</f>
        <v>35091000</v>
      </c>
      <c r="D37" s="73">
        <f>D28+D35</f>
        <v>174587000.48035139</v>
      </c>
      <c r="E37" s="73">
        <f t="shared" si="9"/>
        <v>216880663.84035137</v>
      </c>
      <c r="F37" s="73">
        <f t="shared" si="9"/>
        <v>275884897.65555137</v>
      </c>
      <c r="G37" s="73">
        <f t="shared" si="9"/>
        <v>361877913.83399129</v>
      </c>
      <c r="H37" s="73">
        <f t="shared" si="9"/>
        <v>492997420.02034056</v>
      </c>
      <c r="J37" s="39"/>
    </row>
    <row r="39" spans="1:10" x14ac:dyDescent="0.25">
      <c r="D39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showGridLines="0" zoomScale="115" zoomScaleNormal="115" workbookViewId="0">
      <selection activeCell="C27" sqref="C2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5" t="s">
        <v>224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288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91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1" t="s">
        <v>225</v>
      </c>
      <c r="B5" s="222"/>
    </row>
    <row r="6" spans="1:8" x14ac:dyDescent="0.25">
      <c r="B6" s="110" t="s">
        <v>253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x14ac:dyDescent="0.25">
      <c r="B7" s="110" t="s">
        <v>254</v>
      </c>
      <c r="C7" s="7"/>
      <c r="D7" s="7">
        <f>'Costos de Operación Gravables'!J15</f>
        <v>139553936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5.75" thickBot="1" x14ac:dyDescent="0.3">
      <c r="B8" s="139" t="s">
        <v>300</v>
      </c>
      <c r="C8" s="138">
        <f>'Costos de Operación Gravables'!B49</f>
        <v>35091000</v>
      </c>
      <c r="D8" s="138"/>
      <c r="E8" s="138"/>
      <c r="F8" s="138"/>
      <c r="G8" s="138"/>
      <c r="H8" s="138"/>
    </row>
    <row r="9" spans="1:8" ht="16.5" thickBot="1" x14ac:dyDescent="0.3">
      <c r="B9" s="70" t="s">
        <v>226</v>
      </c>
      <c r="C9" s="71">
        <f>SUM(C6:C7)-C8</f>
        <v>-35091000</v>
      </c>
      <c r="D9" s="71">
        <f>D6-D7-D8</f>
        <v>23742064</v>
      </c>
      <c r="E9" s="71">
        <f t="shared" ref="E9:H9" si="0">E6-E7-E8</f>
        <v>55462034.399999976</v>
      </c>
      <c r="F9" s="71">
        <f t="shared" si="0"/>
        <v>99453505.007999957</v>
      </c>
      <c r="G9" s="71">
        <f t="shared" si="0"/>
        <v>168932482.46159989</v>
      </c>
      <c r="H9" s="71">
        <f t="shared" si="0"/>
        <v>281886545.21982229</v>
      </c>
    </row>
    <row r="10" spans="1:8" ht="15.75" thickBot="1" x14ac:dyDescent="0.3"/>
    <row r="11" spans="1:8" ht="15.75" thickBot="1" x14ac:dyDescent="0.3">
      <c r="A11" s="224" t="s">
        <v>285</v>
      </c>
      <c r="B11" s="225"/>
    </row>
    <row r="12" spans="1:8" ht="15.75" thickBot="1" x14ac:dyDescent="0.3">
      <c r="B12" s="110" t="s">
        <v>283</v>
      </c>
      <c r="C12" s="7"/>
      <c r="D12" s="7">
        <f>'Costos de Operación Gravables'!J25</f>
        <v>1596000</v>
      </c>
      <c r="E12" s="7">
        <f>'Costos de Operación Gravables'!K25</f>
        <v>1691760</v>
      </c>
      <c r="F12" s="7">
        <f>'Costos de Operación Gravables'!L25</f>
        <v>1793265.6</v>
      </c>
      <c r="G12" s="7">
        <f>'Costos de Operación Gravables'!M25</f>
        <v>1900861.5360000001</v>
      </c>
      <c r="H12" s="7">
        <f>'Costos de Operación Gravables'!N25</f>
        <v>2014913.2281600002</v>
      </c>
    </row>
    <row r="13" spans="1:8" ht="16.5" thickBot="1" x14ac:dyDescent="0.3">
      <c r="B13" s="70" t="s">
        <v>284</v>
      </c>
      <c r="C13" s="71">
        <f>C9-C12</f>
        <v>-35091000</v>
      </c>
      <c r="D13" s="71">
        <f>D9-D12</f>
        <v>22146064</v>
      </c>
      <c r="E13" s="71">
        <f t="shared" ref="E13:H13" si="1">E9-E12</f>
        <v>53770274.399999976</v>
      </c>
      <c r="F13" s="71">
        <f t="shared" si="1"/>
        <v>97660239.407999963</v>
      </c>
      <c r="G13" s="71">
        <f t="shared" si="1"/>
        <v>167031620.92559987</v>
      </c>
      <c r="H13" s="71">
        <f t="shared" si="1"/>
        <v>279871631.99166226</v>
      </c>
    </row>
    <row r="14" spans="1:8" ht="15.75" thickBot="1" x14ac:dyDescent="0.3"/>
    <row r="15" spans="1:8" ht="15.75" thickBot="1" x14ac:dyDescent="0.3">
      <c r="A15" s="224" t="s">
        <v>286</v>
      </c>
      <c r="B15" s="225"/>
    </row>
    <row r="16" spans="1:8" x14ac:dyDescent="0.25">
      <c r="B16" s="110" t="s">
        <v>287</v>
      </c>
      <c r="C16" s="7"/>
      <c r="D16" s="7">
        <f>'Amortización y Depreciación'!G4</f>
        <v>5715545.3724325309</v>
      </c>
      <c r="E16" s="7">
        <f>'Amortización y Depreciación'!G5</f>
        <v>5715545.3724325309</v>
      </c>
      <c r="F16" s="7">
        <f>'Amortización y Depreciación'!G6</f>
        <v>5715545.3724325309</v>
      </c>
      <c r="G16" s="7">
        <f>'Amortización y Depreciación'!G7</f>
        <v>5715545.3724325309</v>
      </c>
      <c r="H16" s="7"/>
    </row>
    <row r="17" spans="1:8" ht="15.75" thickBot="1" x14ac:dyDescent="0.3">
      <c r="B17" s="110" t="s">
        <v>289</v>
      </c>
      <c r="C17" s="7"/>
      <c r="D17" s="7"/>
      <c r="E17" s="7"/>
      <c r="F17" s="7"/>
      <c r="G17" s="7"/>
      <c r="H17" s="7"/>
    </row>
    <row r="18" spans="1:8" ht="16.5" thickBot="1" x14ac:dyDescent="0.3">
      <c r="B18" s="70" t="s">
        <v>290</v>
      </c>
      <c r="C18" s="71">
        <f>C13-C16+C17</f>
        <v>-35091000</v>
      </c>
      <c r="D18" s="71">
        <f>D13-D16+D17</f>
        <v>16430518.62756747</v>
      </c>
      <c r="E18" s="71">
        <f t="shared" ref="E18:H18" si="2">E13-E16+E17</f>
        <v>48054729.027567446</v>
      </c>
      <c r="F18" s="71">
        <f t="shared" si="2"/>
        <v>91944694.035567433</v>
      </c>
      <c r="G18" s="71">
        <f t="shared" si="2"/>
        <v>161316075.55316734</v>
      </c>
      <c r="H18" s="71">
        <f t="shared" si="2"/>
        <v>279871631.99166226</v>
      </c>
    </row>
    <row r="19" spans="1:8" ht="15.75" thickBot="1" x14ac:dyDescent="0.3"/>
    <row r="20" spans="1:8" ht="15.75" thickBot="1" x14ac:dyDescent="0.3">
      <c r="A20" s="224" t="s">
        <v>291</v>
      </c>
      <c r="B20" s="225"/>
    </row>
    <row r="21" spans="1:8" x14ac:dyDescent="0.25">
      <c r="B21" s="110" t="s">
        <v>292</v>
      </c>
      <c r="C21" s="7"/>
      <c r="D21" s="7">
        <f>D18*0.35</f>
        <v>5750681.5196486143</v>
      </c>
      <c r="E21" s="7">
        <f>E18*0.35</f>
        <v>16819155.159648605</v>
      </c>
      <c r="F21" s="7">
        <f t="shared" ref="F21:H21" si="3">F18*0.35</f>
        <v>32180642.9124486</v>
      </c>
      <c r="G21" s="7">
        <f t="shared" si="3"/>
        <v>56460626.443608567</v>
      </c>
      <c r="H21" s="7">
        <f t="shared" si="3"/>
        <v>97955071.197081789</v>
      </c>
    </row>
    <row r="22" spans="1:8" ht="15.75" thickBot="1" x14ac:dyDescent="0.3"/>
    <row r="23" spans="1:8" ht="23.25" customHeight="1" thickBot="1" x14ac:dyDescent="0.3">
      <c r="A23" s="219" t="s">
        <v>293</v>
      </c>
      <c r="B23" s="220"/>
      <c r="C23" s="73">
        <f>C18-C21</f>
        <v>-35091000</v>
      </c>
      <c r="D23" s="73">
        <f>D18-D21</f>
        <v>10679837.107918855</v>
      </c>
      <c r="E23" s="73">
        <f t="shared" ref="E23:G23" si="4">E18-E21</f>
        <v>31235573.867918842</v>
      </c>
      <c r="F23" s="73">
        <f t="shared" si="4"/>
        <v>59764051.123118833</v>
      </c>
      <c r="G23" s="73">
        <f t="shared" si="4"/>
        <v>104855449.10955878</v>
      </c>
      <c r="H23" s="73">
        <f>H18-H21</f>
        <v>181916560.79458046</v>
      </c>
    </row>
    <row r="29" spans="1:8" ht="22.5" customHeight="1" x14ac:dyDescent="0.25"/>
  </sheetData>
  <mergeCells count="8">
    <mergeCell ref="A15:B15"/>
    <mergeCell ref="A20:B20"/>
    <mergeCell ref="A23:B23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showGridLines="0" zoomScaleNormal="100" workbookViewId="0">
      <selection activeCell="A16" sqref="A16:XFD16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5" t="s">
        <v>232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288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91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4" t="s">
        <v>172</v>
      </c>
      <c r="B5" s="225"/>
    </row>
    <row r="6" spans="1:8" x14ac:dyDescent="0.25">
      <c r="B6" s="83" t="s">
        <v>173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177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221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222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4" t="s">
        <v>223</v>
      </c>
      <c r="B11" s="225"/>
    </row>
    <row r="12" spans="1:8" x14ac:dyDescent="0.25">
      <c r="B12" s="83" t="s">
        <v>227</v>
      </c>
      <c r="C12" s="3">
        <f>SUM('Costos de Operación Gravables'!B46:B48)</f>
        <v>35091000</v>
      </c>
      <c r="D12" s="3"/>
      <c r="E12" s="3"/>
      <c r="F12" s="3"/>
      <c r="G12" s="3"/>
      <c r="H12" s="3"/>
    </row>
    <row r="13" spans="1:8" x14ac:dyDescent="0.25">
      <c r="B13" s="83" t="s">
        <v>228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3" t="s">
        <v>229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3" t="s">
        <v>295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3" t="s">
        <v>230</v>
      </c>
      <c r="C16" s="3"/>
      <c r="D16" s="3">
        <f>'Amortización y Depreciación'!F4</f>
        <v>2627614.08</v>
      </c>
      <c r="E16" s="3">
        <f>'Amortización y Depreciación'!F5</f>
        <v>2113782.3129392266</v>
      </c>
      <c r="F16" s="3">
        <f>'Amortización y Depreciación'!F6</f>
        <v>1514448.939839541</v>
      </c>
      <c r="G16" s="3">
        <f>'Amortización y Depreciación'!F7</f>
        <v>815386.49345606752</v>
      </c>
      <c r="H16" s="3"/>
    </row>
    <row r="17" spans="1:8" ht="15.75" thickBot="1" x14ac:dyDescent="0.3">
      <c r="B17" s="83" t="s">
        <v>292</v>
      </c>
      <c r="C17" s="3"/>
      <c r="D17" s="3">
        <f>'Estado de Resultados'!D21</f>
        <v>5750681.5196486143</v>
      </c>
      <c r="E17" s="3">
        <f>'Estado de Resultados'!E21</f>
        <v>16819155.159648605</v>
      </c>
      <c r="F17" s="3">
        <f>'Estado de Resultados'!F21</f>
        <v>32180642.9124486</v>
      </c>
      <c r="G17" s="3">
        <f>'Estado de Resultados'!G21</f>
        <v>56460626.443608567</v>
      </c>
      <c r="H17" s="3">
        <f>'Estado de Resultados'!H21</f>
        <v>97955071.197081789</v>
      </c>
    </row>
    <row r="18" spans="1:8" ht="16.5" thickBot="1" x14ac:dyDescent="0.3">
      <c r="B18" s="70" t="s">
        <v>231</v>
      </c>
      <c r="C18" s="71">
        <f>SUM(C12:C17)</f>
        <v>35091000</v>
      </c>
      <c r="D18" s="71">
        <f>SUM(D12:D17)</f>
        <v>149717231.59964862</v>
      </c>
      <c r="E18" s="71">
        <f>SUM(E12:E17)</f>
        <v>172392327.07258782</v>
      </c>
      <c r="F18" s="71">
        <f>SUM(F12:F17)</f>
        <v>202268750.01228815</v>
      </c>
      <c r="G18" s="71">
        <f>SUM(G12:G17)</f>
        <v>242471306.28906465</v>
      </c>
      <c r="H18" s="71">
        <f>SUM(H12:H17)</f>
        <v>301429859.42284185</v>
      </c>
    </row>
    <row r="19" spans="1:8" ht="15.75" thickBot="1" x14ac:dyDescent="0.3"/>
    <row r="20" spans="1:8" ht="15.75" customHeight="1" thickBot="1" x14ac:dyDescent="0.3">
      <c r="A20" s="228" t="s">
        <v>239</v>
      </c>
      <c r="B20" s="229"/>
      <c r="C20" s="114">
        <f>-C18</f>
        <v>-35091000</v>
      </c>
      <c r="D20" s="71">
        <f>D9-D18</f>
        <v>13578768.400351375</v>
      </c>
      <c r="E20" s="71">
        <f>E9-E18</f>
        <v>33197336.927412152</v>
      </c>
      <c r="F20" s="71">
        <f>F9-F18</f>
        <v>62325147.555711806</v>
      </c>
      <c r="G20" s="71">
        <f>G9-G18</f>
        <v>108115607.98853528</v>
      </c>
      <c r="H20" s="71">
        <f>H9-H18</f>
        <v>180276560.79458052</v>
      </c>
    </row>
    <row r="22" spans="1:8" x14ac:dyDescent="0.25">
      <c r="B22" s="15" t="s">
        <v>117</v>
      </c>
      <c r="C22" s="3"/>
      <c r="D22" s="3">
        <f>D14</f>
        <v>1640000</v>
      </c>
      <c r="E22" s="3">
        <f>D22</f>
        <v>1640000</v>
      </c>
      <c r="F22" s="3">
        <f t="shared" ref="F22:H22" si="2">E22</f>
        <v>1640000</v>
      </c>
      <c r="G22" s="3">
        <f t="shared" si="2"/>
        <v>1640000</v>
      </c>
      <c r="H22" s="3">
        <f t="shared" si="2"/>
        <v>1640000</v>
      </c>
    </row>
    <row r="23" spans="1:8" ht="15.75" thickBot="1" x14ac:dyDescent="0.3"/>
    <row r="24" spans="1:8" ht="22.5" customHeight="1" thickBot="1" x14ac:dyDescent="0.3">
      <c r="A24" s="211" t="s">
        <v>240</v>
      </c>
      <c r="B24" s="212"/>
      <c r="C24" s="73">
        <f>C20</f>
        <v>-35091000</v>
      </c>
      <c r="D24" s="73">
        <f>D20+D22</f>
        <v>15218768.400351375</v>
      </c>
      <c r="E24" s="73">
        <f t="shared" ref="E24:H24" si="3">E20+E22</f>
        <v>34837336.927412152</v>
      </c>
      <c r="F24" s="73">
        <f t="shared" si="3"/>
        <v>63965147.555711806</v>
      </c>
      <c r="G24" s="73">
        <f t="shared" si="3"/>
        <v>109755607.98853528</v>
      </c>
      <c r="H24" s="73">
        <f t="shared" si="3"/>
        <v>181916560.79458052</v>
      </c>
    </row>
    <row r="33" ht="22.5" customHeight="1" x14ac:dyDescent="0.25"/>
    <row r="34" ht="15" customHeight="1" x14ac:dyDescent="0.25"/>
  </sheetData>
  <mergeCells count="7">
    <mergeCell ref="A20:B20"/>
    <mergeCell ref="A24:B24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topLeftCell="A4" zoomScale="115" zoomScaleNormal="115" workbookViewId="0">
      <selection activeCell="A3" sqref="A3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5" t="s">
        <v>115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288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91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4" t="s">
        <v>116</v>
      </c>
      <c r="B5" s="225"/>
    </row>
    <row r="6" spans="1:8" x14ac:dyDescent="0.25">
      <c r="B6" s="74" t="s">
        <v>238</v>
      </c>
      <c r="C6" s="69">
        <f>'Flujo de Caja'!C24</f>
        <v>-35091000</v>
      </c>
      <c r="D6" s="69">
        <f>'Flujo de Caja'!D24</f>
        <v>15218768.400351375</v>
      </c>
      <c r="E6" s="69">
        <f>'Flujo de Caja'!E24</f>
        <v>34837336.927412152</v>
      </c>
      <c r="F6" s="69">
        <f>'Flujo de Caja'!F24</f>
        <v>63965147.555711806</v>
      </c>
      <c r="G6" s="69">
        <f>'Flujo de Caja'!G24</f>
        <v>109755607.98853528</v>
      </c>
      <c r="H6" s="69">
        <f>'Flujo de Caja'!H24</f>
        <v>181916560.79458052</v>
      </c>
    </row>
    <row r="7" spans="1:8" x14ac:dyDescent="0.25">
      <c r="B7" s="67" t="s">
        <v>305</v>
      </c>
      <c r="C7" s="7">
        <v>0</v>
      </c>
      <c r="D7" s="7">
        <f>'Flujo de Caja'!D14</f>
        <v>1640000</v>
      </c>
      <c r="E7" s="7">
        <f>'Flujo de Caja'!E14</f>
        <v>1640000</v>
      </c>
      <c r="F7" s="7">
        <f>'Flujo de Caja'!F14</f>
        <v>1640000</v>
      </c>
      <c r="G7" s="7">
        <f>'Flujo de Caja'!G14</f>
        <v>1640000</v>
      </c>
      <c r="H7" s="7">
        <f>'Flujo de Caja'!H14</f>
        <v>1640000</v>
      </c>
    </row>
    <row r="8" spans="1:8" x14ac:dyDescent="0.25">
      <c r="B8" s="68" t="s">
        <v>303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68" t="s">
        <v>304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ht="15.75" thickBot="1" x14ac:dyDescent="0.3">
      <c r="B10" s="68" t="s">
        <v>237</v>
      </c>
      <c r="C10" s="72">
        <f>'Flujo de Caja'!C17</f>
        <v>0</v>
      </c>
      <c r="D10" s="72">
        <f>'Flujo de Caja'!D17</f>
        <v>5750681.5196486143</v>
      </c>
      <c r="E10" s="72">
        <f>'Flujo de Caja'!E17</f>
        <v>16819155.159648605</v>
      </c>
      <c r="F10" s="72">
        <f>'Flujo de Caja'!F17</f>
        <v>32180642.9124486</v>
      </c>
      <c r="G10" s="72">
        <f>'Flujo de Caja'!G17</f>
        <v>56460626.443608567</v>
      </c>
      <c r="H10" s="72">
        <f>'Flujo de Caja'!H17</f>
        <v>97955071.197081789</v>
      </c>
    </row>
    <row r="11" spans="1:8" ht="16.5" thickBot="1" x14ac:dyDescent="0.3">
      <c r="B11" s="70" t="s">
        <v>118</v>
      </c>
      <c r="C11" s="71">
        <f>SUM(C6:C10)</f>
        <v>-35091000</v>
      </c>
      <c r="D11" s="71">
        <f>SUM(D6:D10)</f>
        <v>28324995.292432521</v>
      </c>
      <c r="E11" s="71">
        <f t="shared" ref="E11:H11" si="0">SUM(E6:E10)</f>
        <v>59012037.459493287</v>
      </c>
      <c r="F11" s="71">
        <f t="shared" si="0"/>
        <v>103501335.84059294</v>
      </c>
      <c r="G11" s="71">
        <f t="shared" si="0"/>
        <v>173571779.8045764</v>
      </c>
      <c r="H11" s="71">
        <f t="shared" si="0"/>
        <v>281511631.99166232</v>
      </c>
    </row>
    <row r="12" spans="1:8" ht="15.75" thickBot="1" x14ac:dyDescent="0.3"/>
    <row r="13" spans="1:8" ht="15.75" thickBot="1" x14ac:dyDescent="0.3">
      <c r="A13" s="224" t="s">
        <v>119</v>
      </c>
      <c r="B13" s="225"/>
    </row>
    <row r="14" spans="1:8" ht="15.75" thickBot="1" x14ac:dyDescent="0.3">
      <c r="B14" s="67" t="s">
        <v>233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120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4" t="s">
        <v>121</v>
      </c>
      <c r="B17" s="225"/>
    </row>
    <row r="18" spans="1:8" x14ac:dyDescent="0.25">
      <c r="B18" s="74" t="s">
        <v>236</v>
      </c>
      <c r="C18" s="7">
        <f>'Proyección de Ventas e Incremen'!B17</f>
        <v>19300050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234</v>
      </c>
      <c r="C19" s="7">
        <f>'Proyección de Ventas e Incremen'!B16</f>
        <v>15790950</v>
      </c>
      <c r="D19" s="7">
        <f>0</f>
        <v>0</v>
      </c>
      <c r="E19" s="7">
        <f>0</f>
        <v>0</v>
      </c>
      <c r="F19" s="7">
        <f>0</f>
        <v>0</v>
      </c>
      <c r="G19" s="7">
        <f>0</f>
        <v>0</v>
      </c>
      <c r="H19" s="7">
        <f>0</f>
        <v>0</v>
      </c>
    </row>
    <row r="20" spans="1:8" x14ac:dyDescent="0.25">
      <c r="B20" s="67" t="s">
        <v>122</v>
      </c>
      <c r="C20" s="7">
        <f t="shared" ref="C20:H21" si="2">C8</f>
        <v>0</v>
      </c>
      <c r="D20" s="7">
        <f t="shared" si="2"/>
        <v>3087931.2924325308</v>
      </c>
      <c r="E20" s="7">
        <f t="shared" si="2"/>
        <v>3601763.0594933042</v>
      </c>
      <c r="F20" s="7">
        <f t="shared" si="2"/>
        <v>4201096.4325929899</v>
      </c>
      <c r="G20" s="7">
        <f t="shared" si="2"/>
        <v>4900158.8789764633</v>
      </c>
      <c r="H20" s="7">
        <f t="shared" si="2"/>
        <v>-5.5994384038448329E-2</v>
      </c>
    </row>
    <row r="21" spans="1:8" x14ac:dyDescent="0.25">
      <c r="B21" s="67" t="s">
        <v>114</v>
      </c>
      <c r="C21" s="7">
        <f t="shared" si="2"/>
        <v>0</v>
      </c>
      <c r="D21" s="7">
        <f t="shared" si="2"/>
        <v>2627614.08</v>
      </c>
      <c r="E21" s="7">
        <f t="shared" si="2"/>
        <v>2113782.3129392266</v>
      </c>
      <c r="F21" s="7">
        <f t="shared" si="2"/>
        <v>1514448.939839541</v>
      </c>
      <c r="G21" s="7">
        <f t="shared" si="2"/>
        <v>815386.49345606752</v>
      </c>
      <c r="H21" s="7">
        <f t="shared" si="2"/>
        <v>5.5994384038448329E-2</v>
      </c>
    </row>
    <row r="22" spans="1:8" ht="15.75" thickBot="1" x14ac:dyDescent="0.3">
      <c r="B22" s="67" t="s">
        <v>235</v>
      </c>
      <c r="C22" s="7">
        <v>0</v>
      </c>
      <c r="D22" s="7">
        <f>ABS('Balance General'!$D$32-'Balance General'!D32)</f>
        <v>0</v>
      </c>
      <c r="E22" s="7">
        <f>ABS('Balance General'!$D$32-'Balance General'!E32)</f>
        <v>11068473</v>
      </c>
      <c r="F22" s="7">
        <f>ABS('Balance General'!$D$32-'Balance General'!F32)</f>
        <v>26429961</v>
      </c>
      <c r="G22" s="7">
        <f>ABS('Balance General'!$D$32-'Balance General'!G32)</f>
        <v>50709944</v>
      </c>
      <c r="H22" s="7">
        <f>ABS('Balance General'!$D$32-'Balance General'!H32)</f>
        <v>92204389</v>
      </c>
    </row>
    <row r="23" spans="1:8" ht="16.5" thickBot="1" x14ac:dyDescent="0.3">
      <c r="B23" s="70" t="s">
        <v>123</v>
      </c>
      <c r="C23" s="71">
        <f>SUM(C18:C22)</f>
        <v>35091000</v>
      </c>
      <c r="D23" s="71">
        <f t="shared" ref="D23:H23" si="3">SUM(D18:D22)</f>
        <v>5715545.3724325309</v>
      </c>
      <c r="E23" s="71">
        <f t="shared" si="3"/>
        <v>16784018.37243253</v>
      </c>
      <c r="F23" s="71">
        <f t="shared" si="3"/>
        <v>32145506.37243253</v>
      </c>
      <c r="G23" s="71">
        <f t="shared" si="3"/>
        <v>56425489.37243253</v>
      </c>
      <c r="H23" s="71">
        <f t="shared" si="3"/>
        <v>92204389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selection activeCell="C22" sqref="C22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30" t="s">
        <v>138</v>
      </c>
      <c r="C2" s="231"/>
      <c r="G2" s="238" t="s">
        <v>145</v>
      </c>
      <c r="H2" s="239"/>
      <c r="I2" s="239"/>
      <c r="J2" s="240"/>
    </row>
    <row r="3" spans="1:10" x14ac:dyDescent="0.25">
      <c r="B3" s="15" t="s">
        <v>241</v>
      </c>
      <c r="C3" s="127">
        <f>'Proyección de Ventas e Incremen'!J21</f>
        <v>2752.2935779816517</v>
      </c>
      <c r="G3" s="236" t="s">
        <v>124</v>
      </c>
      <c r="H3" s="237"/>
      <c r="I3" s="133" t="s">
        <v>125</v>
      </c>
      <c r="J3" s="133" t="s">
        <v>126</v>
      </c>
    </row>
    <row r="4" spans="1:10" x14ac:dyDescent="0.25">
      <c r="A4" s="75"/>
      <c r="B4" s="15" t="s">
        <v>242</v>
      </c>
      <c r="C4" s="93">
        <f>SUM('Proyección de Ventas e Incremen'!J18:J19)*12</f>
        <v>59330.879999999997</v>
      </c>
      <c r="G4" s="241" t="s">
        <v>127</v>
      </c>
      <c r="H4" s="242"/>
      <c r="I4" s="78">
        <v>0</v>
      </c>
      <c r="J4" s="78">
        <f>'Costos de Operación Gravables'!J15</f>
        <v>139553936</v>
      </c>
    </row>
    <row r="5" spans="1:10" x14ac:dyDescent="0.25">
      <c r="B5" s="15" t="s">
        <v>243</v>
      </c>
      <c r="C5" s="127">
        <f>C3*C4</f>
        <v>163296000</v>
      </c>
      <c r="G5" s="136" t="s">
        <v>128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244</v>
      </c>
      <c r="C6" s="127">
        <f>'Costos de Operación Gravables'!J28</f>
        <v>141149936</v>
      </c>
      <c r="G6" s="241" t="s">
        <v>129</v>
      </c>
      <c r="H6" s="242"/>
      <c r="I6" s="78">
        <f>'Costos de Operación Gravables'!J25</f>
        <v>1596000</v>
      </c>
      <c r="J6" s="78">
        <v>0</v>
      </c>
    </row>
    <row r="7" spans="1:10" x14ac:dyDescent="0.25">
      <c r="B7" s="15" t="s">
        <v>245</v>
      </c>
      <c r="C7" s="127">
        <f>C6/C4</f>
        <v>2379.0298744936872</v>
      </c>
      <c r="G7" s="241" t="s">
        <v>135</v>
      </c>
      <c r="H7" s="242"/>
      <c r="I7" s="78">
        <v>0</v>
      </c>
      <c r="J7" s="78">
        <f>'Amortización y Depreciación'!G18</f>
        <v>1640000</v>
      </c>
    </row>
    <row r="8" spans="1:10" x14ac:dyDescent="0.25">
      <c r="B8" s="15" t="s">
        <v>275</v>
      </c>
      <c r="C8" s="127"/>
      <c r="G8" s="241" t="s">
        <v>136</v>
      </c>
      <c r="H8" s="242"/>
      <c r="I8" s="78">
        <v>0</v>
      </c>
      <c r="J8" s="78">
        <v>0</v>
      </c>
    </row>
    <row r="9" spans="1:10" x14ac:dyDescent="0.25">
      <c r="B9" s="15" t="s">
        <v>246</v>
      </c>
      <c r="C9" s="15"/>
      <c r="G9" s="234" t="s">
        <v>130</v>
      </c>
      <c r="H9" s="235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131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4" t="s">
        <v>28</v>
      </c>
      <c r="H11" s="135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2" t="s">
        <v>132</v>
      </c>
      <c r="C17" s="233"/>
      <c r="G17" s="232" t="s">
        <v>132</v>
      </c>
      <c r="H17" s="233"/>
    </row>
    <row r="18" spans="2:8" x14ac:dyDescent="0.25">
      <c r="B18" s="84" t="s">
        <v>133</v>
      </c>
      <c r="C18" s="141">
        <f>C4</f>
        <v>59330.879999999997</v>
      </c>
      <c r="G18" s="84" t="s">
        <v>133</v>
      </c>
      <c r="H18" s="141">
        <f>'[1]Proyección de Ventas e Incremen'!J18</f>
        <v>408.24</v>
      </c>
    </row>
    <row r="19" spans="2:8" x14ac:dyDescent="0.25">
      <c r="B19" s="85" t="s">
        <v>134</v>
      </c>
      <c r="C19" s="78">
        <f>J11/C18</f>
        <v>2617.7486260106034</v>
      </c>
      <c r="G19" s="85" t="s">
        <v>134</v>
      </c>
      <c r="H19" s="78">
        <f>J11/H18</f>
        <v>380446.13364687434</v>
      </c>
    </row>
    <row r="20" spans="2:8" x14ac:dyDescent="0.25">
      <c r="B20" s="85" t="s">
        <v>139</v>
      </c>
      <c r="C20" s="78">
        <f>SUM(I11:J11)/C18</f>
        <v>2647.3386135516616</v>
      </c>
      <c r="G20" s="85" t="s">
        <v>139</v>
      </c>
      <c r="H20" s="78">
        <f>SUM(I11:J11)/H18</f>
        <v>384746.54516950808</v>
      </c>
    </row>
    <row r="21" spans="2:8" x14ac:dyDescent="0.25">
      <c r="B21" s="85" t="s">
        <v>137</v>
      </c>
      <c r="C21" s="78">
        <f>C20*0.19</f>
        <v>502.99433657481569</v>
      </c>
      <c r="G21" s="85" t="s">
        <v>137</v>
      </c>
      <c r="H21" s="78">
        <f>H20*0.19</f>
        <v>73101.843582206537</v>
      </c>
    </row>
    <row r="22" spans="2:8" x14ac:dyDescent="0.25">
      <c r="B22" s="85" t="s">
        <v>140</v>
      </c>
      <c r="C22" s="78">
        <f>C20+C21</f>
        <v>3150.3329501264775</v>
      </c>
      <c r="G22" s="85" t="s">
        <v>140</v>
      </c>
      <c r="H22" s="78">
        <f>SUM(H20:H21)</f>
        <v>457848.38875171461</v>
      </c>
    </row>
    <row r="23" spans="2:8" x14ac:dyDescent="0.25">
      <c r="B23" s="85" t="s">
        <v>138</v>
      </c>
      <c r="C23" s="115">
        <f>((C20-C19)*C18)/(C22-C20)</f>
        <v>3490.2977475948014</v>
      </c>
      <c r="G23" s="85" t="s">
        <v>138</v>
      </c>
      <c r="H23" s="115">
        <f>((H20-H19)*H18)/(H22-H20)</f>
        <v>24.015810189872216</v>
      </c>
    </row>
    <row r="24" spans="2:8" ht="15.75" thickBot="1" x14ac:dyDescent="0.3"/>
    <row r="25" spans="2:8" ht="15.75" thickBot="1" x14ac:dyDescent="0.3">
      <c r="B25" s="232" t="s">
        <v>141</v>
      </c>
      <c r="C25" s="233"/>
      <c r="G25" s="232" t="s">
        <v>141</v>
      </c>
      <c r="H25" s="233"/>
    </row>
    <row r="26" spans="2:8" x14ac:dyDescent="0.25">
      <c r="B26" s="84" t="s">
        <v>143</v>
      </c>
      <c r="C26" s="86">
        <f>C22</f>
        <v>3150.3329501264775</v>
      </c>
      <c r="G26" s="84" t="s">
        <v>143</v>
      </c>
      <c r="H26" s="86">
        <f>H22</f>
        <v>457848.38875171461</v>
      </c>
    </row>
    <row r="27" spans="2:8" x14ac:dyDescent="0.25">
      <c r="B27" s="85" t="s">
        <v>142</v>
      </c>
      <c r="C27" s="115">
        <f>C18</f>
        <v>59330.879999999997</v>
      </c>
      <c r="G27" s="85" t="s">
        <v>142</v>
      </c>
      <c r="H27" s="115">
        <f>H18</f>
        <v>408.24</v>
      </c>
    </row>
    <row r="28" spans="2:8" x14ac:dyDescent="0.25">
      <c r="B28" s="85" t="s">
        <v>144</v>
      </c>
      <c r="C28" s="78">
        <f>C26*C27</f>
        <v>186912026.22400001</v>
      </c>
      <c r="G28" s="85" t="s">
        <v>144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zoomScale="85" zoomScaleNormal="85" workbookViewId="0">
      <selection activeCell="V9" sqref="V9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146</v>
      </c>
      <c r="D3" s="92" t="s">
        <v>147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opLeftCell="B1" zoomScale="115" zoomScaleNormal="115" workbookViewId="0">
      <selection activeCell="B31" sqref="B31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43" t="s">
        <v>153</v>
      </c>
      <c r="C2" s="244"/>
      <c r="D2" s="244"/>
      <c r="E2" s="244"/>
      <c r="F2" s="244"/>
      <c r="G2" s="245"/>
      <c r="I2" s="246" t="s">
        <v>154</v>
      </c>
      <c r="J2" s="247"/>
      <c r="L2" s="246" t="s">
        <v>155</v>
      </c>
      <c r="M2" s="247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160</v>
      </c>
      <c r="M3" s="99" t="s">
        <v>2</v>
      </c>
    </row>
    <row r="4" spans="2:13" x14ac:dyDescent="0.25">
      <c r="B4" s="95" t="s">
        <v>148</v>
      </c>
      <c r="C4" s="93">
        <f>'Balance General'!D8/'Balance General'!D22</f>
        <v>1.156897442730686</v>
      </c>
      <c r="D4" s="93">
        <f>'Balance General'!E8/'Balance General'!E22</f>
        <v>1.3541726425173295</v>
      </c>
      <c r="E4" s="93">
        <f>'Balance General'!F8/'Balance General'!F22</f>
        <v>1.5850242574472071</v>
      </c>
      <c r="F4" s="93">
        <f>'Balance General'!G8/'Balance General'!G22</f>
        <v>1.9099798642433425</v>
      </c>
      <c r="G4" s="93">
        <f>'Balance General'!H8/'Balance General'!H22</f>
        <v>2.3866372316283502</v>
      </c>
      <c r="I4" s="98" t="s">
        <v>45</v>
      </c>
      <c r="J4" s="3">
        <f>'Estado de Resultados'!C23</f>
        <v>-35091000</v>
      </c>
      <c r="L4" s="98" t="s">
        <v>156</v>
      </c>
      <c r="M4" s="59">
        <v>0.15</v>
      </c>
    </row>
    <row r="5" spans="2:13" x14ac:dyDescent="0.25">
      <c r="B5" s="95" t="s">
        <v>149</v>
      </c>
      <c r="C5" s="94">
        <f>'Balance General'!D28/'Balance General'!D16</f>
        <v>0.84121659328834641</v>
      </c>
      <c r="D5" s="94">
        <f>'Balance General'!E28/'Balance General'!E16</f>
        <v>0.72636689720035419</v>
      </c>
      <c r="E5" s="94">
        <f>'Balance General'!F28/'Balance General'!F16</f>
        <v>0.62580157541924919</v>
      </c>
      <c r="F5" s="94">
        <f>'Balance General'!G28/'Balance General'!G16</f>
        <v>0.52302401240005247</v>
      </c>
      <c r="G5" s="94">
        <f>'Balance General'!H28/'Balance General'!H16</f>
        <v>0.40940333549158658</v>
      </c>
      <c r="I5" s="98" t="s">
        <v>46</v>
      </c>
      <c r="J5" s="3">
        <f>'Estado de Resultados'!D23</f>
        <v>10679837.107918855</v>
      </c>
      <c r="L5" s="98" t="s">
        <v>157</v>
      </c>
      <c r="M5" s="3">
        <f>NPV(M4,J5:J9)</f>
        <v>222597355.11945263</v>
      </c>
    </row>
    <row r="6" spans="2:13" x14ac:dyDescent="0.25">
      <c r="B6" s="95" t="s">
        <v>150</v>
      </c>
      <c r="C6" s="94">
        <f>'Estado de Resultados'!D13/'Estado de Resultados'!D6</f>
        <v>0.13561914560062707</v>
      </c>
      <c r="D6" s="94">
        <f>'Estado de Resultados'!E13/'Estado de Resultados'!E6</f>
        <v>0.26154172030749556</v>
      </c>
      <c r="E6" s="94">
        <f>'Estado de Resultados'!F13/'Estado de Resultados'!F6</f>
        <v>0.36909482911600988</v>
      </c>
      <c r="F6" s="94">
        <f>'Estado de Resultados'!G13/'Estado de Resultados'!G6</f>
        <v>0.47643427099889346</v>
      </c>
      <c r="G6" s="94">
        <f>'Estado de Resultados'!H13/'Estado de Resultados'!H6</f>
        <v>0.58100041902148569</v>
      </c>
      <c r="I6" s="98" t="s">
        <v>47</v>
      </c>
      <c r="J6" s="3">
        <f>'Estado de Resultados'!E23</f>
        <v>31235573.867918842</v>
      </c>
      <c r="L6" s="98" t="s">
        <v>158</v>
      </c>
      <c r="M6" s="59">
        <f>IRR(J4:J9)</f>
        <v>0.95667005407561323</v>
      </c>
    </row>
    <row r="7" spans="2:13" x14ac:dyDescent="0.25">
      <c r="B7" s="96" t="s">
        <v>151</v>
      </c>
      <c r="C7" s="97">
        <f>'Estado de Resultados'!D23/'Estado de Resultados'!D6</f>
        <v>6.5401706765131143E-2</v>
      </c>
      <c r="D7" s="97">
        <f>'Estado de Resultados'!E23/'Estado de Resultados'!E6</f>
        <v>0.15193163537598295</v>
      </c>
      <c r="E7" s="97">
        <f>'Estado de Resultados'!F23/'Estado de Resultados'!F6</f>
        <v>0.22587085973046533</v>
      </c>
      <c r="F7" s="97">
        <f>'Estado de Resultados'!G23/'Estado de Resultados'!G6</f>
        <v>0.29908546166253275</v>
      </c>
      <c r="G7" s="97">
        <f>'Estado de Resultados'!H23/'Estado de Resultados'!H6</f>
        <v>0.3776502723639657</v>
      </c>
      <c r="I7" s="98" t="s">
        <v>48</v>
      </c>
      <c r="J7" s="3">
        <f>'Estado de Resultados'!F23</f>
        <v>59764051.123118833</v>
      </c>
      <c r="L7" s="98" t="s">
        <v>159</v>
      </c>
      <c r="M7" s="140">
        <f>-NPV(M4,J5:J9)/J4</f>
        <v>6.3434315100582097</v>
      </c>
    </row>
    <row r="8" spans="2:13" x14ac:dyDescent="0.25">
      <c r="B8" s="95" t="s">
        <v>152</v>
      </c>
      <c r="C8" s="94">
        <f>'Estado de Resultados'!D23/'Balance General'!C37</f>
        <v>0.30434690114043073</v>
      </c>
      <c r="D8" s="94">
        <f>'Estado de Resultados'!E23/'Balance General'!D37</f>
        <v>0.1789112235274023</v>
      </c>
      <c r="E8" s="94">
        <f>'Estado de Resultados'!F23/'Balance General'!E37</f>
        <v>0.27556191531722679</v>
      </c>
      <c r="F8" s="94">
        <f>'Estado de Resultados'!G23/'Balance General'!F37</f>
        <v>0.380069550746026</v>
      </c>
      <c r="G8" s="94">
        <f>'Estado de Resultados'!H23/'Balance General'!G37</f>
        <v>0.50270147428238265</v>
      </c>
      <c r="I8" s="98" t="s">
        <v>49</v>
      </c>
      <c r="J8" s="3">
        <f>'Estado de Resultados'!G23</f>
        <v>104855449.10955878</v>
      </c>
    </row>
    <row r="9" spans="2:13" x14ac:dyDescent="0.25">
      <c r="I9" s="98" t="s">
        <v>50</v>
      </c>
      <c r="J9" s="3">
        <f>'Estado de Resultados'!H23</f>
        <v>181916560.79458046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2026-01-21T00:06:01Z</dcterms:modified>
</cp:coreProperties>
</file>