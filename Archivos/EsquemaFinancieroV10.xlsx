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8_{F49571BC-E6ED-468D-9734-922B5AF24690}" xr6:coauthVersionLast="47" xr6:coauthVersionMax="47" xr10:uidLastSave="{00000000-0000-0000-0000-000000000000}"/>
  <bookViews>
    <workbookView xWindow="13800" yWindow="600" windowWidth="20670" windowHeight="14715" firstSheet="3" activeTab="4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6" l="1"/>
  <c r="D20" i="6"/>
  <c r="D32" i="6"/>
  <c r="E13" i="6" l="1"/>
  <c r="F13" i="6" s="1"/>
  <c r="G13" i="6" s="1"/>
  <c r="H13" i="6" s="1"/>
  <c r="H24" i="6"/>
  <c r="H25" i="6" s="1"/>
  <c r="C24" i="6"/>
  <c r="C25" i="6" s="1"/>
  <c r="C21" i="6"/>
  <c r="C20" i="6"/>
  <c r="J13" i="4"/>
  <c r="K13" i="4" s="1"/>
  <c r="L13" i="4" s="1"/>
  <c r="M13" i="4" s="1"/>
  <c r="N13" i="4" s="1"/>
  <c r="I25" i="3"/>
  <c r="G23" i="3"/>
  <c r="J23" i="3" s="1"/>
  <c r="K23" i="3" s="1"/>
  <c r="L23" i="3" s="1"/>
  <c r="M23" i="3" s="1"/>
  <c r="N23" i="3" s="1"/>
  <c r="G20" i="3"/>
  <c r="J20" i="3" s="1"/>
  <c r="C14" i="6" l="1"/>
  <c r="J25" i="3"/>
  <c r="K20" i="3"/>
  <c r="L20" i="3" s="1"/>
  <c r="M20" i="3" s="1"/>
  <c r="N20" i="3" s="1"/>
  <c r="N25" i="3" s="1"/>
  <c r="L25" i="3" l="1"/>
  <c r="M25" i="3"/>
  <c r="K25" i="3"/>
  <c r="F28" i="5" l="1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18" i="9"/>
  <c r="F18" i="9"/>
  <c r="G18" i="9"/>
  <c r="H18" i="9"/>
  <c r="D18" i="9"/>
  <c r="C8" i="7"/>
  <c r="C12" i="7" s="1"/>
  <c r="B9" i="2"/>
  <c r="B53" i="3" s="1"/>
  <c r="B58" i="2"/>
  <c r="B24" i="4"/>
  <c r="C16" i="8" l="1"/>
  <c r="C21" i="9"/>
  <c r="H14" i="9"/>
  <c r="H15" i="9" s="1"/>
  <c r="G14" i="9"/>
  <c r="G15" i="9" s="1"/>
  <c r="F14" i="9"/>
  <c r="F15" i="9" s="1"/>
  <c r="E14" i="9"/>
  <c r="E15" i="9" s="1"/>
  <c r="D14" i="9"/>
  <c r="D15" i="9" s="1"/>
  <c r="C11" i="4"/>
  <c r="D11" i="4" s="1"/>
  <c r="F11" i="4" s="1"/>
  <c r="C10" i="4"/>
  <c r="D10" i="4" s="1"/>
  <c r="C20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D11" i="6" l="1"/>
  <c r="J31" i="3"/>
  <c r="K31" i="3" s="1"/>
  <c r="L31" i="3" s="1"/>
  <c r="M31" i="3" s="1"/>
  <c r="N31" i="3" s="1"/>
  <c r="J18" i="5"/>
  <c r="K18" i="5"/>
  <c r="H18" i="5"/>
  <c r="I18" i="5"/>
  <c r="F10" i="4"/>
  <c r="E10" i="4"/>
  <c r="E12" i="4" s="1"/>
  <c r="G29" i="5"/>
  <c r="H29" i="5"/>
  <c r="J29" i="5"/>
  <c r="I29" i="5"/>
  <c r="D14" i="6" l="1"/>
  <c r="E11" i="6"/>
  <c r="F12" i="4"/>
  <c r="J7" i="4" s="1"/>
  <c r="K7" i="4" l="1"/>
  <c r="E7" i="6" s="1"/>
  <c r="E8" i="6" s="1"/>
  <c r="D7" i="6"/>
  <c r="D8" i="6" s="1"/>
  <c r="D16" i="6" s="1"/>
  <c r="E14" i="6"/>
  <c r="F11" i="6"/>
  <c r="K15" i="4"/>
  <c r="K16" i="4"/>
  <c r="K19" i="4" s="1"/>
  <c r="L7" i="4"/>
  <c r="J15" i="4"/>
  <c r="J16" i="4"/>
  <c r="J19" i="4" s="1"/>
  <c r="E8" i="8"/>
  <c r="E9" i="8" s="1"/>
  <c r="E6" i="7"/>
  <c r="D8" i="8"/>
  <c r="D9" i="8" s="1"/>
  <c r="J4" i="10"/>
  <c r="D6" i="7"/>
  <c r="M7" i="4"/>
  <c r="G7" i="6" s="1"/>
  <c r="G8" i="6" s="1"/>
  <c r="E16" i="6" l="1"/>
  <c r="J18" i="4"/>
  <c r="C4" i="10" s="1"/>
  <c r="J21" i="4"/>
  <c r="K18" i="4"/>
  <c r="K24" i="4" s="1"/>
  <c r="K39" i="3" s="1"/>
  <c r="K21" i="4"/>
  <c r="K22" i="4" s="1"/>
  <c r="F8" i="8"/>
  <c r="F9" i="8" s="1"/>
  <c r="F7" i="6"/>
  <c r="F8" i="6" s="1"/>
  <c r="F16" i="6" s="1"/>
  <c r="F14" i="6"/>
  <c r="G11" i="6"/>
  <c r="F6" i="7"/>
  <c r="M15" i="4"/>
  <c r="M16" i="4"/>
  <c r="M19" i="4" s="1"/>
  <c r="J24" i="4"/>
  <c r="J39" i="3" s="1"/>
  <c r="L15" i="4"/>
  <c r="L16" i="4"/>
  <c r="L19" i="4" s="1"/>
  <c r="G6" i="7"/>
  <c r="G8" i="8"/>
  <c r="G9" i="8" s="1"/>
  <c r="N7" i="4"/>
  <c r="H7" i="6" s="1"/>
  <c r="H8" i="6" s="1"/>
  <c r="L18" i="4" l="1"/>
  <c r="L21" i="4"/>
  <c r="L22" i="4" s="1"/>
  <c r="G14" i="6"/>
  <c r="G16" i="6" s="1"/>
  <c r="H11" i="6"/>
  <c r="H14" i="6" s="1"/>
  <c r="H16" i="6" s="1"/>
  <c r="M18" i="4"/>
  <c r="M21" i="4"/>
  <c r="M22" i="4" s="1"/>
  <c r="J22" i="4"/>
  <c r="C3" i="10"/>
  <c r="C5" i="10" s="1"/>
  <c r="N16" i="4"/>
  <c r="N19" i="4" s="1"/>
  <c r="N15" i="4"/>
  <c r="L24" i="4"/>
  <c r="L39" i="3" s="1"/>
  <c r="M24" i="4"/>
  <c r="M39" i="3" s="1"/>
  <c r="H8" i="8"/>
  <c r="H9" i="8" s="1"/>
  <c r="H6" i="7"/>
  <c r="N18" i="4" l="1"/>
  <c r="N21" i="4"/>
  <c r="N22" i="4" s="1"/>
  <c r="O22" i="4"/>
  <c r="N24" i="4"/>
  <c r="N39" i="3" s="1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3" i="2"/>
  <c r="B8" i="2" s="1"/>
  <c r="B52" i="3" s="1"/>
  <c r="B45" i="2"/>
  <c r="B38" i="2"/>
  <c r="B6" i="2" s="1"/>
  <c r="B50" i="3" s="1"/>
  <c r="B32" i="2"/>
  <c r="B24" i="2"/>
  <c r="B3" i="2" s="1"/>
  <c r="B48" i="3" s="1"/>
  <c r="D16" i="2"/>
  <c r="D15" i="2"/>
  <c r="D14" i="2"/>
  <c r="B7" i="2"/>
  <c r="B51" i="3" s="1"/>
  <c r="O21" i="4" l="1"/>
  <c r="D17" i="2"/>
  <c r="B4" i="2"/>
  <c r="B49" i="3" s="1"/>
  <c r="B47" i="3"/>
  <c r="C25" i="3"/>
  <c r="D6" i="3"/>
  <c r="F4" i="3" s="1"/>
  <c r="G4" i="3" s="1"/>
  <c r="J4" i="3" s="1"/>
  <c r="D22" i="3"/>
  <c r="F10" i="3" s="1"/>
  <c r="G10" i="3" s="1"/>
  <c r="J10" i="3" s="1"/>
  <c r="D19" i="6" s="1"/>
  <c r="D17" i="3"/>
  <c r="F7" i="3" s="1"/>
  <c r="G7" i="3" s="1"/>
  <c r="J7" i="3" s="1"/>
  <c r="J15" i="3" l="1"/>
  <c r="K7" i="3"/>
  <c r="K10" i="3"/>
  <c r="E19" i="6" s="1"/>
  <c r="K4" i="3"/>
  <c r="D25" i="3"/>
  <c r="D26" i="3" s="1"/>
  <c r="F13" i="3" s="1"/>
  <c r="I13" i="3" s="1"/>
  <c r="I15" i="3" s="1"/>
  <c r="I28" i="3" s="1"/>
  <c r="C26" i="3"/>
  <c r="L4" i="3" l="1"/>
  <c r="E20" i="6"/>
  <c r="J28" i="3"/>
  <c r="J34" i="3" s="1"/>
  <c r="D7" i="7"/>
  <c r="D8" i="7" s="1"/>
  <c r="D12" i="7" s="1"/>
  <c r="L10" i="3"/>
  <c r="F19" i="6" s="1"/>
  <c r="K15" i="3"/>
  <c r="L7" i="3"/>
  <c r="M4" i="3"/>
  <c r="C6" i="10" l="1"/>
  <c r="C7" i="10" s="1"/>
  <c r="K28" i="3"/>
  <c r="K34" i="3" s="1"/>
  <c r="E7" i="7"/>
  <c r="E8" i="7" s="1"/>
  <c r="E12" i="7" s="1"/>
  <c r="J43" i="3"/>
  <c r="J44" i="3" s="1"/>
  <c r="J40" i="3"/>
  <c r="F20" i="6"/>
  <c r="M7" i="3"/>
  <c r="G20" i="6" s="1"/>
  <c r="M10" i="3"/>
  <c r="H5" i="10"/>
  <c r="L15" i="3"/>
  <c r="N4" i="3"/>
  <c r="L28" i="3" l="1"/>
  <c r="L34" i="3" s="1"/>
  <c r="F7" i="7"/>
  <c r="F8" i="7" s="1"/>
  <c r="F12" i="7" s="1"/>
  <c r="M15" i="3"/>
  <c r="G19" i="6"/>
  <c r="K40" i="3"/>
  <c r="K43" i="3"/>
  <c r="K44" i="3" s="1"/>
  <c r="N10" i="3"/>
  <c r="H19" i="6" s="1"/>
  <c r="N7" i="3"/>
  <c r="H20" i="6" s="1"/>
  <c r="M28" i="3" l="1"/>
  <c r="M34" i="3" s="1"/>
  <c r="G7" i="7"/>
  <c r="G8" i="7" s="1"/>
  <c r="G12" i="7" s="1"/>
  <c r="L40" i="3"/>
  <c r="L43" i="3"/>
  <c r="L44" i="3"/>
  <c r="N15" i="3"/>
  <c r="N28" i="3" l="1"/>
  <c r="N34" i="3" s="1"/>
  <c r="H7" i="7"/>
  <c r="H8" i="7" s="1"/>
  <c r="H12" i="7" s="1"/>
  <c r="H17" i="7" s="1"/>
  <c r="H20" i="7" s="1"/>
  <c r="M40" i="3"/>
  <c r="M43" i="3"/>
  <c r="M44" i="3" s="1"/>
  <c r="E6" i="12"/>
  <c r="H22" i="7" l="1"/>
  <c r="H32" i="6" s="1"/>
  <c r="H21" i="6"/>
  <c r="H22" i="6" s="1"/>
  <c r="H27" i="6" s="1"/>
  <c r="N43" i="3"/>
  <c r="N40" i="3"/>
  <c r="N44" i="3"/>
  <c r="O44" i="3" s="1"/>
  <c r="O43" i="3"/>
  <c r="C6" i="12"/>
  <c r="F6" i="12"/>
  <c r="G6" i="12"/>
  <c r="I9" i="10" l="1"/>
  <c r="J4" i="12" l="1"/>
  <c r="J9" i="12"/>
  <c r="J6" i="12"/>
  <c r="J7" i="12"/>
  <c r="G8" i="12"/>
  <c r="G7" i="12"/>
  <c r="D8" i="12"/>
  <c r="D7" i="12"/>
  <c r="E8" i="12"/>
  <c r="E7" i="12"/>
  <c r="I10" i="10"/>
  <c r="I11" i="10" s="1"/>
  <c r="J8" i="12"/>
  <c r="C11" i="9"/>
  <c r="J5" i="12"/>
  <c r="C8" i="12"/>
  <c r="C7" i="12"/>
  <c r="F8" i="12"/>
  <c r="F7" i="12"/>
  <c r="C1" i="11" l="1"/>
  <c r="M7" i="12"/>
  <c r="M8" i="12"/>
  <c r="M6" i="12"/>
  <c r="M5" i="12" s="1"/>
  <c r="J7" i="10" l="1"/>
  <c r="J9" i="10" s="1"/>
  <c r="D15" i="8"/>
  <c r="D7" i="9" l="1"/>
  <c r="F7" i="9" s="1"/>
  <c r="E15" i="8"/>
  <c r="F15" i="8" s="1"/>
  <c r="G15" i="8" s="1"/>
  <c r="J10" i="10"/>
  <c r="J11" i="10" s="1"/>
  <c r="D23" i="8"/>
  <c r="H7" i="9"/>
  <c r="G7" i="9"/>
  <c r="E7" i="9"/>
  <c r="C19" i="10" l="1"/>
  <c r="C20" i="10"/>
  <c r="E23" i="8"/>
  <c r="H15" i="8"/>
  <c r="H19" i="8" s="1"/>
  <c r="H21" i="8" s="1"/>
  <c r="F23" i="8" l="1"/>
  <c r="C2" i="11"/>
  <c r="C21" i="10"/>
  <c r="C22" i="10" s="1"/>
  <c r="D2" i="11" l="1"/>
  <c r="C26" i="10"/>
  <c r="C28" i="10" s="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3" i="8"/>
  <c r="C23" i="10"/>
  <c r="H23" i="8" l="1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5" i="8" l="1"/>
  <c r="D6" i="12"/>
  <c r="B5" i="2"/>
  <c r="B10" i="2" s="1"/>
  <c r="B46" i="3"/>
  <c r="C12" i="8" s="1"/>
  <c r="C19" i="8" s="1"/>
  <c r="C21" i="8" s="1"/>
  <c r="C25" i="8" s="1"/>
  <c r="B54" i="3" l="1"/>
  <c r="B16" i="4" s="1"/>
  <c r="B17" i="4"/>
  <c r="C30" i="6" s="1"/>
  <c r="C34" i="6" s="1"/>
  <c r="C6" i="8"/>
  <c r="C14" i="9"/>
  <c r="C15" i="9" s="1"/>
  <c r="C22" i="4" l="1"/>
  <c r="C18" i="9"/>
  <c r="C23" i="9" s="1"/>
  <c r="C23" i="4"/>
  <c r="D30" i="6"/>
  <c r="E30" i="6" s="1"/>
  <c r="C7" i="8"/>
  <c r="B4" i="5"/>
  <c r="C19" i="6" s="1"/>
  <c r="B18" i="4"/>
  <c r="C9" i="8"/>
  <c r="E3" i="5"/>
  <c r="I3" i="5" s="1"/>
  <c r="E4" i="5" s="1"/>
  <c r="F4" i="5" s="1"/>
  <c r="D17" i="8" s="1"/>
  <c r="D19" i="8" s="1"/>
  <c r="D21" i="8" s="1"/>
  <c r="D25" i="8" s="1"/>
  <c r="C7" i="6" l="1"/>
  <c r="C8" i="6" s="1"/>
  <c r="C16" i="6" s="1"/>
  <c r="C22" i="6" s="1"/>
  <c r="C27" i="6" s="1"/>
  <c r="C36" i="6" s="1"/>
  <c r="C24" i="4"/>
  <c r="B8" i="5"/>
  <c r="B9" i="5" s="1"/>
  <c r="C17" i="7"/>
  <c r="C22" i="7" s="1"/>
  <c r="D9" i="9"/>
  <c r="D21" i="9" s="1"/>
  <c r="G6" i="5"/>
  <c r="F15" i="7" s="1"/>
  <c r="F24" i="6" s="1"/>
  <c r="G7" i="5"/>
  <c r="G15" i="7" s="1"/>
  <c r="G24" i="6" s="1"/>
  <c r="G4" i="5"/>
  <c r="D15" i="7" s="1"/>
  <c r="G5" i="5"/>
  <c r="E15" i="7" s="1"/>
  <c r="E24" i="6" s="1"/>
  <c r="D24" i="6" l="1"/>
  <c r="D17" i="7"/>
  <c r="D25" i="6"/>
  <c r="G25" i="6"/>
  <c r="G17" i="7"/>
  <c r="G20" i="7" s="1"/>
  <c r="E25" i="6"/>
  <c r="E17" i="7"/>
  <c r="E20" i="7" s="1"/>
  <c r="F30" i="6"/>
  <c r="F25" i="6"/>
  <c r="F17" i="7"/>
  <c r="F20" i="7" s="1"/>
  <c r="H4" i="5"/>
  <c r="K8" i="5"/>
  <c r="D20" i="7" l="1"/>
  <c r="D21" i="6" s="1"/>
  <c r="D22" i="6" s="1"/>
  <c r="D27" i="6" s="1"/>
  <c r="D22" i="7"/>
  <c r="F21" i="6"/>
  <c r="F22" i="6" s="1"/>
  <c r="F22" i="7"/>
  <c r="F32" i="6" s="1"/>
  <c r="F34" i="6" s="1"/>
  <c r="D34" i="6"/>
  <c r="G30" i="6"/>
  <c r="E21" i="6"/>
  <c r="E22" i="6" s="1"/>
  <c r="G21" i="6"/>
  <c r="G22" i="6" s="1"/>
  <c r="G27" i="6" s="1"/>
  <c r="D8" i="9"/>
  <c r="I4" i="5"/>
  <c r="E5" i="5" s="1"/>
  <c r="F5" i="5" s="1"/>
  <c r="E17" i="8" s="1"/>
  <c r="E19" i="8" s="1"/>
  <c r="E21" i="8" s="1"/>
  <c r="E25" i="8" s="1"/>
  <c r="G4" i="12"/>
  <c r="D36" i="6" l="1"/>
  <c r="G22" i="7"/>
  <c r="G32" i="6" s="1"/>
  <c r="G34" i="6" s="1"/>
  <c r="G36" i="6" s="1"/>
  <c r="C4" i="12"/>
  <c r="F4" i="12"/>
  <c r="E22" i="7"/>
  <c r="E32" i="6" s="1"/>
  <c r="E34" i="6" s="1"/>
  <c r="H5" i="5"/>
  <c r="I5" i="5" s="1"/>
  <c r="E6" i="5" s="1"/>
  <c r="E9" i="9"/>
  <c r="E21" i="9" s="1"/>
  <c r="E27" i="6"/>
  <c r="D4" i="12"/>
  <c r="H30" i="6"/>
  <c r="H34" i="6" s="1"/>
  <c r="H36" i="6" s="1"/>
  <c r="F27" i="6"/>
  <c r="E4" i="12"/>
  <c r="D11" i="9"/>
  <c r="D20" i="9"/>
  <c r="D23" i="9" s="1"/>
  <c r="C5" i="12"/>
  <c r="E8" i="9"/>
  <c r="G5" i="12"/>
  <c r="F5" i="12"/>
  <c r="F36" i="6" l="1"/>
  <c r="E5" i="12"/>
  <c r="E36" i="6"/>
  <c r="D5" i="12"/>
  <c r="F6" i="5"/>
  <c r="E11" i="9"/>
  <c r="E20" i="9"/>
  <c r="E23" i="9" s="1"/>
  <c r="F9" i="9" l="1"/>
  <c r="F21" i="9" s="1"/>
  <c r="F17" i="8"/>
  <c r="F19" i="8" s="1"/>
  <c r="F21" i="8" s="1"/>
  <c r="F25" i="8" s="1"/>
  <c r="H6" i="5"/>
  <c r="F8" i="9" l="1"/>
  <c r="I6" i="5"/>
  <c r="E7" i="5" s="1"/>
  <c r="F7" i="5" l="1"/>
  <c r="F20" i="9"/>
  <c r="F23" i="9" s="1"/>
  <c r="F11" i="9"/>
  <c r="G9" i="9" l="1"/>
  <c r="G21" i="9" s="1"/>
  <c r="G17" i="8"/>
  <c r="G19" i="8" s="1"/>
  <c r="G21" i="8" s="1"/>
  <c r="G25" i="8" s="1"/>
  <c r="H7" i="5"/>
  <c r="G8" i="9" l="1"/>
  <c r="I7" i="5"/>
  <c r="E8" i="5" s="1"/>
  <c r="F8" i="5" l="1"/>
  <c r="G11" i="9"/>
  <c r="G20" i="9"/>
  <c r="G23" i="9" s="1"/>
  <c r="H9" i="9" l="1"/>
  <c r="H21" i="9" s="1"/>
  <c r="H8" i="5"/>
  <c r="H8" i="9" l="1"/>
  <c r="I8" i="5"/>
  <c r="H20" i="9" l="1"/>
  <c r="H23" i="9" s="1"/>
  <c r="H11" i="9"/>
</calcChain>
</file>

<file path=xl/sharedStrings.xml><?xml version="1.0" encoding="utf-8"?>
<sst xmlns="http://schemas.openxmlformats.org/spreadsheetml/2006/main" count="532" uniqueCount="314">
  <si>
    <t>Inversión Inicial</t>
  </si>
  <si>
    <t>Tipo de inversión</t>
  </si>
  <si>
    <t>Valor</t>
  </si>
  <si>
    <t>Equipos de cómputo y hardware</t>
  </si>
  <si>
    <t>Marketing, lanzamiento y proyección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</si>
  <si>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</si>
  <si>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</si>
  <si>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</si>
  <si>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</si>
  <si>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</si>
  <si>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</si>
  <si>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</si>
  <si>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</si>
  <si>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</si>
  <si>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</si>
  <si>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</si>
  <si>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</si>
  <si>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</si>
  <si>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</si>
  <si>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</si>
  <si>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</si>
  <si>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</si>
  <si>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</si>
  <si>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</si>
  <si>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</si>
  <si>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</si>
  <si>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</si>
  <si>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</si>
  <si>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</si>
  <si>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</si>
  <si>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</si>
  <si>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</si>
  <si>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</si>
  <si>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</si>
  <si>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</si>
  <si>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</si>
  <si>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</si>
  <si>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</si>
  <si>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</si>
  <si>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</si>
  <si>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</si>
  <si>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</si>
  <si>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</si>
  <si>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</si>
  <si>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</si>
  <si>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</si>
  <si>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</si>
  <si>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</si>
  <si>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</si>
  <si>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</si>
  <si>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</si>
  <si>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</si>
  <si>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</si>
  <si>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</si>
  <si>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</si>
  <si>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</si>
  <si>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</si>
  <si>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</si>
  <si>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</si>
  <si>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</si>
  <si>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</si>
  <si>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</si>
  <si>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</si>
  <si>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</si>
  <si>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</si>
  <si>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</si>
  <si>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</si>
  <si>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</si>
  <si>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</si>
  <si>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</si>
  <si>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</si>
  <si>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</si>
  <si>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</si>
  <si>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</si>
  <si>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</si>
  <si>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</si>
  <si>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</si>
  <si>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</si>
  <si>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</si>
  <si>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</si>
  <si>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</si>
  <si>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</si>
  <si>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</si>
  <si>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</si>
  <si>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</si>
  <si>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</si>
  <si>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</si>
  <si>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</si>
  <si>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</si>
  <si>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</si>
  <si>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</si>
  <si>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</si>
  <si>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</si>
  <si>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EDUCAFIN S.A.S.</t>
  </si>
  <si>
    <t>TRIMESTRE</t>
  </si>
  <si>
    <t>ACTIVOS</t>
  </si>
  <si>
    <t>ACTIVOS CORRIENTES</t>
  </si>
  <si>
    <t>Efectivo y Equivalente de Efectivo</t>
  </si>
  <si>
    <t>Total Activos Corrientes</t>
  </si>
  <si>
    <t>ACTIVOS NO CORRIENTES</t>
  </si>
  <si>
    <t>Depreciación de Equipos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</si>
  <si>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</si>
  <si>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</si>
  <si>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</si>
  <si>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</si>
  <si>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</si>
  <si>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</si>
  <si>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</si>
  <si>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</si>
  <si>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</si>
  <si>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</si>
  <si>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</si>
  <si>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</si>
  <si>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</si>
  <si>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</si>
  <si>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</si>
  <si>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</si>
  <si>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Capital de Trabajo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</si>
  <si>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</si>
  <si>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</si>
  <si>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</si>
  <si>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</si>
  <si>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</si>
  <si>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</si>
  <si>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</si>
  <si>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</si>
  <si>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</si>
  <si>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</si>
  <si>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</si>
  <si>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</si>
  <si>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</si>
  <si>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</si>
  <si>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</si>
  <si>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</si>
  <si>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</si>
  <si>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</si>
  <si>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</si>
  <si>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</si>
  <si>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</si>
  <si>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</si>
  <si>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</si>
  <si>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</si>
  <si>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</si>
  <si>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</si>
  <si>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</si>
  <si>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</si>
  <si>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</si>
  <si>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</si>
  <si>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</si>
  <si>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</si>
  <si>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</si>
  <si>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</si>
  <si>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</si>
  <si>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</si>
  <si>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</si>
  <si>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</si>
  <si>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</si>
  <si>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</si>
  <si>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</si>
  <si>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</si>
  <si>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</si>
  <si>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VPN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</si>
  <si>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</si>
  <si>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</si>
  <si>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</si>
  <si>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</si>
  <si>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</si>
  <si>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</si>
  <si>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</si>
  <si>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</si>
  <si>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</si>
  <si>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</si>
  <si>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</si>
  <si>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Equipos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</si>
  <si>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</si>
  <si>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</si>
  <si>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</si>
  <si>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</si>
  <si>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</si>
  <si>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</si>
  <si>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</si>
  <si>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Suma de Activos Fijos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</si>
  <si>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</si>
  <si>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</si>
  <si>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</si>
  <si>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</si>
  <si>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</si>
  <si>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</si>
  <si>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</si>
  <si>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</si>
  <si>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Activos fijos tangibles</t>
  </si>
  <si>
    <t>Activos fijos intangibles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</si>
  <si>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</si>
  <si>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</si>
  <si>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</si>
  <si>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</si>
  <si>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</si>
  <si>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</si>
  <si>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</si>
  <si>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</si>
  <si>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</si>
  <si>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</si>
  <si>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</si>
  <si>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</si>
  <si>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</si>
  <si>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</si>
  <si>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</si>
  <si>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</si>
  <si>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</si>
  <si>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</si>
  <si>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</si>
  <si>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</si>
  <si>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</si>
  <si>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</si>
  <si>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</si>
  <si>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</si>
  <si>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</si>
  <si>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</si>
  <si>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</si>
  <si>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</si>
  <si>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</si>
  <si>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</si>
  <si>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</si>
  <si>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</si>
  <si>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</si>
  <si>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</si>
  <si>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</si>
  <si>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</si>
  <si>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</si>
  <si>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</si>
  <si>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</si>
  <si>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</si>
  <si>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</si>
  <si>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Depósito en banco</t>
  </si>
  <si>
    <t>Capital de trabajo</t>
  </si>
  <si>
    <t>ESTADO DE RESULTADOS PROYECTADOS</t>
  </si>
  <si>
    <t>UTILIDAD BRUTA</t>
  </si>
  <si>
    <t>Total de Utilidad Bruta</t>
  </si>
  <si>
    <t>Inversiones hacia activos fijos</t>
  </si>
  <si>
    <t>Compras realizadas</t>
  </si>
  <si>
    <t>Gastos generales</t>
  </si>
  <si>
    <t>Depreciación anual</t>
  </si>
  <si>
    <t>Intereses del financiamiento</t>
  </si>
  <si>
    <t>Impuesto sobre la renta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</si>
  <si>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</si>
  <si>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</si>
  <si>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</si>
  <si>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</si>
  <si>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</si>
  <si>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</si>
  <si>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</si>
  <si>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</si>
  <si>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</si>
  <si>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=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</si>
  <si>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</si>
  <si>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</si>
  <si>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</si>
  <si>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</si>
  <si>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</si>
  <si>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</si>
  <si>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</si>
  <si>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</si>
  <si>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</si>
  <si>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</si>
  <si>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</si>
  <si>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</si>
  <si>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</si>
  <si>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</si>
  <si>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Costo de ventas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</si>
  <si>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</si>
  <si>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</si>
  <si>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</si>
  <si>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</si>
  <si>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</si>
  <si>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</si>
  <si>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</si>
  <si>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</si>
  <si>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</si>
  <si>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</si>
  <si>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</si>
  <si>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</si>
  <si>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Efectivo generado por cada persona que entre en el negocio (sin importar su plan) al mes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</si>
  <si>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</si>
  <si>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</si>
  <si>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</si>
  <si>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</si>
  <si>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</si>
  <si>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</si>
  <si>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</si>
  <si>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</si>
  <si>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</si>
  <si>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Costos operativos</t>
  </si>
  <si>
    <t>Costos in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</si>
  <si>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</si>
  <si>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</si>
  <si>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</si>
  <si>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</si>
  <si>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</si>
  <si>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</si>
  <si>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</si>
  <si>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Gastos de administración</t>
  </si>
  <si>
    <t>Total de Utilidad Operativa</t>
  </si>
  <si>
    <t>UTILIDAD OPERATIVA</t>
  </si>
  <si>
    <t>RESULTADO ANTES DE IMPUESTOS</t>
  </si>
  <si>
    <t>Gastos financieros</t>
  </si>
  <si>
    <t>EDUFINANZAS S.A.S.</t>
  </si>
  <si>
    <t>Otros ingresos (préstamo)</t>
  </si>
  <si>
    <t>Total de Utilidad antes de Impuestos</t>
  </si>
  <si>
    <t>IMPUESTOS</t>
  </si>
  <si>
    <t>UTILIDAD NETA</t>
  </si>
  <si>
    <t>Acreedores comerciales y otras cuentas por pagar</t>
  </si>
  <si>
    <t>Salarios y beneficios a empleados</t>
  </si>
  <si>
    <t>Tributos (impuestos) por pagar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</si>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</sst>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1" fillId="13" borderId="3" xfId="0" applyFont="1" applyFill="1" applyBorder="1" applyAlignment="1">
      <alignment horizontal="center"/>
    </xf>
    <xf numFmtId="1" fontId="0" fillId="0" borderId="4" xfId="0" applyNumberFormat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15" xfId="0" applyFont="1" applyFill="1" applyBorder="1"/>
    <xf numFmtId="164" fontId="0" fillId="0" borderId="1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0" fillId="6" borderId="15" xfId="0" applyNumberForma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25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Equilibrio'!$C$4:$C$304</c:f>
              <c:numCache>
                <c:formatCode>"$"\ #,##0</c:formatCode>
                <c:ptCount val="301"/>
                <c:pt idx="0">
                  <c:v>0</c:v>
                </c:pt>
                <c:pt idx="1">
                  <c:v>54978.666666666664</c:v>
                </c:pt>
                <c:pt idx="2">
                  <c:v>109957.33333333333</c:v>
                </c:pt>
                <c:pt idx="3">
                  <c:v>164936</c:v>
                </c:pt>
                <c:pt idx="4">
                  <c:v>219914.66666666666</c:v>
                </c:pt>
                <c:pt idx="5">
                  <c:v>274893.33333333331</c:v>
                </c:pt>
                <c:pt idx="6">
                  <c:v>329872</c:v>
                </c:pt>
                <c:pt idx="7">
                  <c:v>384850.66666666663</c:v>
                </c:pt>
                <c:pt idx="8">
                  <c:v>439829.33333333331</c:v>
                </c:pt>
                <c:pt idx="9">
                  <c:v>494808</c:v>
                </c:pt>
                <c:pt idx="10">
                  <c:v>549786.66666666663</c:v>
                </c:pt>
                <c:pt idx="11">
                  <c:v>604765.33333333326</c:v>
                </c:pt>
                <c:pt idx="12">
                  <c:v>659744</c:v>
                </c:pt>
                <c:pt idx="13">
                  <c:v>714722.66666666663</c:v>
                </c:pt>
                <c:pt idx="14">
                  <c:v>769701.33333333326</c:v>
                </c:pt>
                <c:pt idx="15">
                  <c:v>824680</c:v>
                </c:pt>
                <c:pt idx="16">
                  <c:v>879658.66666666663</c:v>
                </c:pt>
                <c:pt idx="17">
                  <c:v>934637.33333333326</c:v>
                </c:pt>
                <c:pt idx="18">
                  <c:v>989616</c:v>
                </c:pt>
                <c:pt idx="19">
                  <c:v>1044594.6666666666</c:v>
                </c:pt>
                <c:pt idx="20">
                  <c:v>1099573.3333333333</c:v>
                </c:pt>
                <c:pt idx="21">
                  <c:v>1154552</c:v>
                </c:pt>
                <c:pt idx="22">
                  <c:v>1209530.6666666665</c:v>
                </c:pt>
                <c:pt idx="23">
                  <c:v>1264509.3333333333</c:v>
                </c:pt>
                <c:pt idx="24">
                  <c:v>1319488</c:v>
                </c:pt>
                <c:pt idx="25">
                  <c:v>1374466.6666666665</c:v>
                </c:pt>
                <c:pt idx="26">
                  <c:v>1429445.3333333333</c:v>
                </c:pt>
                <c:pt idx="27">
                  <c:v>1484424</c:v>
                </c:pt>
                <c:pt idx="28">
                  <c:v>1539402.6666666665</c:v>
                </c:pt>
                <c:pt idx="29">
                  <c:v>1594381.3333333333</c:v>
                </c:pt>
                <c:pt idx="30">
                  <c:v>1649360</c:v>
                </c:pt>
                <c:pt idx="31">
                  <c:v>1704338.6666666665</c:v>
                </c:pt>
                <c:pt idx="32">
                  <c:v>1759317.3333333333</c:v>
                </c:pt>
                <c:pt idx="33">
                  <c:v>1814296</c:v>
                </c:pt>
                <c:pt idx="34">
                  <c:v>1869274.6666666665</c:v>
                </c:pt>
                <c:pt idx="35">
                  <c:v>1924253.3333333333</c:v>
                </c:pt>
                <c:pt idx="36">
                  <c:v>1979232</c:v>
                </c:pt>
                <c:pt idx="37">
                  <c:v>2034210.6666666665</c:v>
                </c:pt>
                <c:pt idx="38">
                  <c:v>2089189.3333333333</c:v>
                </c:pt>
                <c:pt idx="39">
                  <c:v>2144168</c:v>
                </c:pt>
                <c:pt idx="40">
                  <c:v>2199146.6666666665</c:v>
                </c:pt>
                <c:pt idx="41">
                  <c:v>2254125.333333333</c:v>
                </c:pt>
                <c:pt idx="42">
                  <c:v>2309104</c:v>
                </c:pt>
                <c:pt idx="43">
                  <c:v>2364082.6666666665</c:v>
                </c:pt>
                <c:pt idx="44">
                  <c:v>2419061.333333333</c:v>
                </c:pt>
                <c:pt idx="45">
                  <c:v>2474040</c:v>
                </c:pt>
                <c:pt idx="46">
                  <c:v>2529018.6666666665</c:v>
                </c:pt>
                <c:pt idx="47">
                  <c:v>2583997.333333333</c:v>
                </c:pt>
                <c:pt idx="48">
                  <c:v>2638976</c:v>
                </c:pt>
                <c:pt idx="49">
                  <c:v>2693954.6666666665</c:v>
                </c:pt>
                <c:pt idx="50">
                  <c:v>2748933.333333333</c:v>
                </c:pt>
                <c:pt idx="51">
                  <c:v>2803912</c:v>
                </c:pt>
                <c:pt idx="52">
                  <c:v>2858890.6666666665</c:v>
                </c:pt>
                <c:pt idx="53">
                  <c:v>2913869.333333333</c:v>
                </c:pt>
                <c:pt idx="54">
                  <c:v>2968848</c:v>
                </c:pt>
                <c:pt idx="55">
                  <c:v>3023826.6666666665</c:v>
                </c:pt>
                <c:pt idx="56">
                  <c:v>3078805.333333333</c:v>
                </c:pt>
                <c:pt idx="57">
                  <c:v>3133784</c:v>
                </c:pt>
                <c:pt idx="58">
                  <c:v>3188762.6666666665</c:v>
                </c:pt>
                <c:pt idx="59">
                  <c:v>3243741.333333333</c:v>
                </c:pt>
                <c:pt idx="60">
                  <c:v>3298720</c:v>
                </c:pt>
                <c:pt idx="61">
                  <c:v>3353698.6666666665</c:v>
                </c:pt>
                <c:pt idx="62">
                  <c:v>3408677.333333333</c:v>
                </c:pt>
                <c:pt idx="63">
                  <c:v>3463656</c:v>
                </c:pt>
                <c:pt idx="64">
                  <c:v>3518634.6666666665</c:v>
                </c:pt>
                <c:pt idx="65">
                  <c:v>3573613.333333333</c:v>
                </c:pt>
                <c:pt idx="66">
                  <c:v>3628592</c:v>
                </c:pt>
                <c:pt idx="67">
                  <c:v>3683570.6666666665</c:v>
                </c:pt>
                <c:pt idx="68">
                  <c:v>3738549.333333333</c:v>
                </c:pt>
                <c:pt idx="69">
                  <c:v>3793528</c:v>
                </c:pt>
                <c:pt idx="70">
                  <c:v>3848506.6666666665</c:v>
                </c:pt>
                <c:pt idx="71">
                  <c:v>3903485.333333333</c:v>
                </c:pt>
                <c:pt idx="72">
                  <c:v>3958464</c:v>
                </c:pt>
                <c:pt idx="73">
                  <c:v>4013442.6666666665</c:v>
                </c:pt>
                <c:pt idx="74">
                  <c:v>4068421.333333333</c:v>
                </c:pt>
                <c:pt idx="75">
                  <c:v>4123400</c:v>
                </c:pt>
                <c:pt idx="76">
                  <c:v>4178378.6666666665</c:v>
                </c:pt>
                <c:pt idx="77">
                  <c:v>4233357.333333333</c:v>
                </c:pt>
                <c:pt idx="78">
                  <c:v>4288336</c:v>
                </c:pt>
                <c:pt idx="79">
                  <c:v>4343314.666666666</c:v>
                </c:pt>
                <c:pt idx="80">
                  <c:v>4398293.333333333</c:v>
                </c:pt>
                <c:pt idx="81">
                  <c:v>4453272</c:v>
                </c:pt>
                <c:pt idx="82">
                  <c:v>4508250.666666666</c:v>
                </c:pt>
                <c:pt idx="83">
                  <c:v>4563229.333333333</c:v>
                </c:pt>
                <c:pt idx="84">
                  <c:v>4618208</c:v>
                </c:pt>
                <c:pt idx="85">
                  <c:v>4673186.666666666</c:v>
                </c:pt>
                <c:pt idx="86">
                  <c:v>4728165.333333333</c:v>
                </c:pt>
                <c:pt idx="87">
                  <c:v>4783144</c:v>
                </c:pt>
                <c:pt idx="88">
                  <c:v>4838122.666666666</c:v>
                </c:pt>
                <c:pt idx="89">
                  <c:v>4893101.333333333</c:v>
                </c:pt>
                <c:pt idx="90">
                  <c:v>4948080</c:v>
                </c:pt>
                <c:pt idx="91">
                  <c:v>5003058.666666666</c:v>
                </c:pt>
                <c:pt idx="92">
                  <c:v>5058037.333333333</c:v>
                </c:pt>
                <c:pt idx="93">
                  <c:v>5113016</c:v>
                </c:pt>
                <c:pt idx="94">
                  <c:v>5167994.666666666</c:v>
                </c:pt>
                <c:pt idx="95">
                  <c:v>5222973.333333333</c:v>
                </c:pt>
                <c:pt idx="96">
                  <c:v>5277952</c:v>
                </c:pt>
                <c:pt idx="97">
                  <c:v>5332930.666666666</c:v>
                </c:pt>
                <c:pt idx="98">
                  <c:v>5387909.333333333</c:v>
                </c:pt>
                <c:pt idx="99">
                  <c:v>5442888</c:v>
                </c:pt>
                <c:pt idx="100">
                  <c:v>5497866.666666666</c:v>
                </c:pt>
                <c:pt idx="101">
                  <c:v>5552845.333333333</c:v>
                </c:pt>
                <c:pt idx="102">
                  <c:v>5607824</c:v>
                </c:pt>
                <c:pt idx="103">
                  <c:v>5662802.666666666</c:v>
                </c:pt>
                <c:pt idx="104">
                  <c:v>5717781.333333333</c:v>
                </c:pt>
                <c:pt idx="105">
                  <c:v>5772760</c:v>
                </c:pt>
                <c:pt idx="106">
                  <c:v>5827738.666666666</c:v>
                </c:pt>
                <c:pt idx="107">
                  <c:v>5882717.333333333</c:v>
                </c:pt>
                <c:pt idx="108">
                  <c:v>5937696</c:v>
                </c:pt>
                <c:pt idx="109">
                  <c:v>5992674.666666666</c:v>
                </c:pt>
                <c:pt idx="110">
                  <c:v>6047653.333333333</c:v>
                </c:pt>
                <c:pt idx="111">
                  <c:v>6102632</c:v>
                </c:pt>
                <c:pt idx="112">
                  <c:v>6157610.666666666</c:v>
                </c:pt>
                <c:pt idx="113">
                  <c:v>6212589.333333333</c:v>
                </c:pt>
                <c:pt idx="114">
                  <c:v>6267568</c:v>
                </c:pt>
                <c:pt idx="115">
                  <c:v>6322546.666666666</c:v>
                </c:pt>
                <c:pt idx="116">
                  <c:v>6377525.333333333</c:v>
                </c:pt>
                <c:pt idx="117">
                  <c:v>6432504</c:v>
                </c:pt>
                <c:pt idx="118">
                  <c:v>6487482.666666666</c:v>
                </c:pt>
                <c:pt idx="119">
                  <c:v>6542461.333333333</c:v>
                </c:pt>
                <c:pt idx="120">
                  <c:v>6597440</c:v>
                </c:pt>
                <c:pt idx="121">
                  <c:v>6652418.666666666</c:v>
                </c:pt>
                <c:pt idx="122">
                  <c:v>6707397.333333333</c:v>
                </c:pt>
                <c:pt idx="123">
                  <c:v>6762376</c:v>
                </c:pt>
                <c:pt idx="124">
                  <c:v>6817354.666666666</c:v>
                </c:pt>
                <c:pt idx="125">
                  <c:v>6872333.333333333</c:v>
                </c:pt>
                <c:pt idx="126">
                  <c:v>6927312</c:v>
                </c:pt>
                <c:pt idx="127">
                  <c:v>6982290.666666666</c:v>
                </c:pt>
                <c:pt idx="128">
                  <c:v>7037269.333333333</c:v>
                </c:pt>
                <c:pt idx="129">
                  <c:v>7092248</c:v>
                </c:pt>
                <c:pt idx="130">
                  <c:v>7147226.666666666</c:v>
                </c:pt>
                <c:pt idx="131">
                  <c:v>7202205.333333333</c:v>
                </c:pt>
                <c:pt idx="132">
                  <c:v>7257184</c:v>
                </c:pt>
                <c:pt idx="133">
                  <c:v>7312162.666666666</c:v>
                </c:pt>
                <c:pt idx="134">
                  <c:v>7367141.333333333</c:v>
                </c:pt>
                <c:pt idx="135">
                  <c:v>7422120</c:v>
                </c:pt>
                <c:pt idx="136">
                  <c:v>7477098.666666666</c:v>
                </c:pt>
                <c:pt idx="137">
                  <c:v>7532077.333333333</c:v>
                </c:pt>
                <c:pt idx="138">
                  <c:v>7587056</c:v>
                </c:pt>
                <c:pt idx="139">
                  <c:v>7642034.666666666</c:v>
                </c:pt>
                <c:pt idx="140">
                  <c:v>7697013.333333333</c:v>
                </c:pt>
                <c:pt idx="141">
                  <c:v>7751992</c:v>
                </c:pt>
                <c:pt idx="142">
                  <c:v>7806970.666666666</c:v>
                </c:pt>
                <c:pt idx="143">
                  <c:v>7861949.333333333</c:v>
                </c:pt>
                <c:pt idx="144">
                  <c:v>7916928</c:v>
                </c:pt>
                <c:pt idx="145">
                  <c:v>7971906.666666666</c:v>
                </c:pt>
                <c:pt idx="146">
                  <c:v>8026885.333333333</c:v>
                </c:pt>
                <c:pt idx="147">
                  <c:v>8081864</c:v>
                </c:pt>
                <c:pt idx="148">
                  <c:v>8136842.666666666</c:v>
                </c:pt>
                <c:pt idx="149">
                  <c:v>8191821.333333333</c:v>
                </c:pt>
                <c:pt idx="150">
                  <c:v>8246800</c:v>
                </c:pt>
                <c:pt idx="151">
                  <c:v>8301778.666666666</c:v>
                </c:pt>
                <c:pt idx="152">
                  <c:v>8356757.333333333</c:v>
                </c:pt>
                <c:pt idx="153">
                  <c:v>8411736</c:v>
                </c:pt>
                <c:pt idx="154">
                  <c:v>8466714.666666666</c:v>
                </c:pt>
                <c:pt idx="155">
                  <c:v>8521693.3333333321</c:v>
                </c:pt>
                <c:pt idx="156">
                  <c:v>8576672</c:v>
                </c:pt>
                <c:pt idx="157">
                  <c:v>8631650.666666666</c:v>
                </c:pt>
                <c:pt idx="158">
                  <c:v>8686629.3333333321</c:v>
                </c:pt>
                <c:pt idx="159">
                  <c:v>8741608</c:v>
                </c:pt>
                <c:pt idx="160">
                  <c:v>8796586.666666666</c:v>
                </c:pt>
                <c:pt idx="161">
                  <c:v>8851565.3333333321</c:v>
                </c:pt>
                <c:pt idx="162">
                  <c:v>8906544</c:v>
                </c:pt>
                <c:pt idx="163">
                  <c:v>8961522.666666666</c:v>
                </c:pt>
                <c:pt idx="164">
                  <c:v>9016501.3333333321</c:v>
                </c:pt>
                <c:pt idx="165">
                  <c:v>9071480</c:v>
                </c:pt>
                <c:pt idx="166">
                  <c:v>9126458.666666666</c:v>
                </c:pt>
                <c:pt idx="167">
                  <c:v>9181437.3333333321</c:v>
                </c:pt>
                <c:pt idx="168">
                  <c:v>9236416</c:v>
                </c:pt>
                <c:pt idx="169">
                  <c:v>9291394.666666666</c:v>
                </c:pt>
                <c:pt idx="170">
                  <c:v>9346373.3333333321</c:v>
                </c:pt>
                <c:pt idx="171">
                  <c:v>9401352</c:v>
                </c:pt>
                <c:pt idx="172">
                  <c:v>9456330.666666666</c:v>
                </c:pt>
                <c:pt idx="173">
                  <c:v>9511309.3333333321</c:v>
                </c:pt>
                <c:pt idx="174">
                  <c:v>9566288</c:v>
                </c:pt>
                <c:pt idx="175">
                  <c:v>9621266.666666666</c:v>
                </c:pt>
                <c:pt idx="176">
                  <c:v>9676245.3333333321</c:v>
                </c:pt>
                <c:pt idx="177">
                  <c:v>9731224</c:v>
                </c:pt>
                <c:pt idx="178">
                  <c:v>9786202.666666666</c:v>
                </c:pt>
                <c:pt idx="179">
                  <c:v>9841181.3333333321</c:v>
                </c:pt>
                <c:pt idx="180">
                  <c:v>9896160</c:v>
                </c:pt>
                <c:pt idx="181">
                  <c:v>9951138.666666666</c:v>
                </c:pt>
                <c:pt idx="182">
                  <c:v>10006117.333333332</c:v>
                </c:pt>
                <c:pt idx="183">
                  <c:v>10061096</c:v>
                </c:pt>
                <c:pt idx="184">
                  <c:v>10116074.666666666</c:v>
                </c:pt>
                <c:pt idx="185">
                  <c:v>10171053.333333332</c:v>
                </c:pt>
                <c:pt idx="186">
                  <c:v>10226032</c:v>
                </c:pt>
                <c:pt idx="187">
                  <c:v>10281010.666666666</c:v>
                </c:pt>
                <c:pt idx="188">
                  <c:v>10335989.333333332</c:v>
                </c:pt>
                <c:pt idx="189">
                  <c:v>10390968</c:v>
                </c:pt>
                <c:pt idx="190">
                  <c:v>10445946.666666666</c:v>
                </c:pt>
                <c:pt idx="191">
                  <c:v>10500925.333333332</c:v>
                </c:pt>
                <c:pt idx="192">
                  <c:v>10555904</c:v>
                </c:pt>
                <c:pt idx="193">
                  <c:v>10610882.666666666</c:v>
                </c:pt>
                <c:pt idx="194">
                  <c:v>10665861.333333332</c:v>
                </c:pt>
                <c:pt idx="195">
                  <c:v>10720840</c:v>
                </c:pt>
                <c:pt idx="196">
                  <c:v>10775818.666666666</c:v>
                </c:pt>
                <c:pt idx="197">
                  <c:v>10830797.333333332</c:v>
                </c:pt>
                <c:pt idx="198">
                  <c:v>10885776</c:v>
                </c:pt>
                <c:pt idx="199">
                  <c:v>10940754.666666666</c:v>
                </c:pt>
                <c:pt idx="200">
                  <c:v>10995733.333333332</c:v>
                </c:pt>
                <c:pt idx="201">
                  <c:v>11050712</c:v>
                </c:pt>
                <c:pt idx="202">
                  <c:v>11105690.666666666</c:v>
                </c:pt>
                <c:pt idx="203">
                  <c:v>11160669.333333332</c:v>
                </c:pt>
                <c:pt idx="204">
                  <c:v>11215648</c:v>
                </c:pt>
                <c:pt idx="205">
                  <c:v>11270626.666666666</c:v>
                </c:pt>
                <c:pt idx="206">
                  <c:v>11325605.333333332</c:v>
                </c:pt>
                <c:pt idx="207">
                  <c:v>11380584</c:v>
                </c:pt>
                <c:pt idx="208">
                  <c:v>11435562.666666666</c:v>
                </c:pt>
                <c:pt idx="209">
                  <c:v>11490541.333333332</c:v>
                </c:pt>
                <c:pt idx="210">
                  <c:v>11545520</c:v>
                </c:pt>
                <c:pt idx="211">
                  <c:v>11600498.666666666</c:v>
                </c:pt>
                <c:pt idx="212">
                  <c:v>11655477.333333332</c:v>
                </c:pt>
                <c:pt idx="213">
                  <c:v>11710456</c:v>
                </c:pt>
                <c:pt idx="214">
                  <c:v>11765434.666666666</c:v>
                </c:pt>
                <c:pt idx="215">
                  <c:v>11820413.333333332</c:v>
                </c:pt>
                <c:pt idx="216">
                  <c:v>11875392</c:v>
                </c:pt>
                <c:pt idx="217">
                  <c:v>11930370.666666666</c:v>
                </c:pt>
                <c:pt idx="218">
                  <c:v>11985349.333333332</c:v>
                </c:pt>
                <c:pt idx="219">
                  <c:v>12040328</c:v>
                </c:pt>
                <c:pt idx="220">
                  <c:v>12095306.666666666</c:v>
                </c:pt>
                <c:pt idx="221">
                  <c:v>12150285.333333332</c:v>
                </c:pt>
                <c:pt idx="222">
                  <c:v>12205264</c:v>
                </c:pt>
                <c:pt idx="223">
                  <c:v>12260242.666666666</c:v>
                </c:pt>
                <c:pt idx="224">
                  <c:v>12315221.333333332</c:v>
                </c:pt>
                <c:pt idx="225">
                  <c:v>12370200</c:v>
                </c:pt>
                <c:pt idx="226">
                  <c:v>12425178.666666666</c:v>
                </c:pt>
                <c:pt idx="227">
                  <c:v>12480157.333333332</c:v>
                </c:pt>
                <c:pt idx="228">
                  <c:v>12535136</c:v>
                </c:pt>
                <c:pt idx="229">
                  <c:v>12590114.666666666</c:v>
                </c:pt>
                <c:pt idx="230">
                  <c:v>12645093.333333332</c:v>
                </c:pt>
                <c:pt idx="231">
                  <c:v>12700072</c:v>
                </c:pt>
                <c:pt idx="232">
                  <c:v>12755050.666666666</c:v>
                </c:pt>
                <c:pt idx="233">
                  <c:v>12810029.333333332</c:v>
                </c:pt>
                <c:pt idx="234">
                  <c:v>12865008</c:v>
                </c:pt>
                <c:pt idx="235">
                  <c:v>12919986.666666666</c:v>
                </c:pt>
                <c:pt idx="236">
                  <c:v>12974965.333333332</c:v>
                </c:pt>
                <c:pt idx="237">
                  <c:v>13029944</c:v>
                </c:pt>
                <c:pt idx="238">
                  <c:v>13084922.666666666</c:v>
                </c:pt>
                <c:pt idx="239">
                  <c:v>13139901.333333332</c:v>
                </c:pt>
                <c:pt idx="240">
                  <c:v>13194880</c:v>
                </c:pt>
                <c:pt idx="241">
                  <c:v>13249858.666666666</c:v>
                </c:pt>
                <c:pt idx="242">
                  <c:v>13304837.333333332</c:v>
                </c:pt>
                <c:pt idx="243">
                  <c:v>13359816</c:v>
                </c:pt>
                <c:pt idx="244">
                  <c:v>13414794.666666666</c:v>
                </c:pt>
                <c:pt idx="245">
                  <c:v>13469773.333333332</c:v>
                </c:pt>
                <c:pt idx="246">
                  <c:v>13524752</c:v>
                </c:pt>
                <c:pt idx="247">
                  <c:v>13579730.666666666</c:v>
                </c:pt>
                <c:pt idx="248">
                  <c:v>13634709.333333332</c:v>
                </c:pt>
                <c:pt idx="249">
                  <c:v>13689688</c:v>
                </c:pt>
                <c:pt idx="250">
                  <c:v>13744666.666666666</c:v>
                </c:pt>
                <c:pt idx="251">
                  <c:v>13799645.333333332</c:v>
                </c:pt>
                <c:pt idx="252">
                  <c:v>13854624</c:v>
                </c:pt>
                <c:pt idx="253">
                  <c:v>13909602.666666666</c:v>
                </c:pt>
                <c:pt idx="254">
                  <c:v>13964581.333333332</c:v>
                </c:pt>
                <c:pt idx="255">
                  <c:v>14019560</c:v>
                </c:pt>
                <c:pt idx="256">
                  <c:v>14074538.666666666</c:v>
                </c:pt>
                <c:pt idx="257">
                  <c:v>14129517.333333332</c:v>
                </c:pt>
                <c:pt idx="258">
                  <c:v>14184496</c:v>
                </c:pt>
                <c:pt idx="259">
                  <c:v>14239474.666666666</c:v>
                </c:pt>
                <c:pt idx="260">
                  <c:v>14294453.333333332</c:v>
                </c:pt>
                <c:pt idx="261">
                  <c:v>14349432</c:v>
                </c:pt>
                <c:pt idx="262">
                  <c:v>14404410.666666666</c:v>
                </c:pt>
                <c:pt idx="263">
                  <c:v>14459389.333333332</c:v>
                </c:pt>
                <c:pt idx="264">
                  <c:v>14514368</c:v>
                </c:pt>
                <c:pt idx="265">
                  <c:v>14569346.666666666</c:v>
                </c:pt>
                <c:pt idx="266">
                  <c:v>14624325.333333332</c:v>
                </c:pt>
                <c:pt idx="267">
                  <c:v>14679304</c:v>
                </c:pt>
                <c:pt idx="268">
                  <c:v>14734282.666666666</c:v>
                </c:pt>
                <c:pt idx="269">
                  <c:v>14789261.333333332</c:v>
                </c:pt>
                <c:pt idx="270">
                  <c:v>14844240</c:v>
                </c:pt>
                <c:pt idx="271">
                  <c:v>14899218.666666666</c:v>
                </c:pt>
                <c:pt idx="272">
                  <c:v>14954197.333333332</c:v>
                </c:pt>
                <c:pt idx="273">
                  <c:v>15009176</c:v>
                </c:pt>
                <c:pt idx="274">
                  <c:v>15064154.666666666</c:v>
                </c:pt>
                <c:pt idx="275">
                  <c:v>15119133.333333332</c:v>
                </c:pt>
                <c:pt idx="276">
                  <c:v>15174112</c:v>
                </c:pt>
                <c:pt idx="277">
                  <c:v>15229090.666666666</c:v>
                </c:pt>
                <c:pt idx="278">
                  <c:v>15284069.333333332</c:v>
                </c:pt>
                <c:pt idx="279">
                  <c:v>15339048</c:v>
                </c:pt>
                <c:pt idx="280">
                  <c:v>15394026.666666666</c:v>
                </c:pt>
                <c:pt idx="281">
                  <c:v>15449005.333333332</c:v>
                </c:pt>
                <c:pt idx="282">
                  <c:v>15503984</c:v>
                </c:pt>
                <c:pt idx="283">
                  <c:v>15558962.666666666</c:v>
                </c:pt>
                <c:pt idx="284">
                  <c:v>15613941.333333332</c:v>
                </c:pt>
                <c:pt idx="285">
                  <c:v>15668920</c:v>
                </c:pt>
                <c:pt idx="286">
                  <c:v>15723898.666666666</c:v>
                </c:pt>
                <c:pt idx="287">
                  <c:v>15778877.333333332</c:v>
                </c:pt>
                <c:pt idx="288">
                  <c:v>15833856</c:v>
                </c:pt>
                <c:pt idx="289">
                  <c:v>15888834.666666666</c:v>
                </c:pt>
                <c:pt idx="290">
                  <c:v>15943813.333333332</c:v>
                </c:pt>
                <c:pt idx="291">
                  <c:v>15998792</c:v>
                </c:pt>
                <c:pt idx="292">
                  <c:v>16053770.666666666</c:v>
                </c:pt>
                <c:pt idx="293">
                  <c:v>16108749.333333332</c:v>
                </c:pt>
                <c:pt idx="294">
                  <c:v>16163728</c:v>
                </c:pt>
                <c:pt idx="295">
                  <c:v>16218706.666666666</c:v>
                </c:pt>
                <c:pt idx="296">
                  <c:v>16273685.333333332</c:v>
                </c:pt>
                <c:pt idx="297">
                  <c:v>16328664</c:v>
                </c:pt>
                <c:pt idx="298">
                  <c:v>16383642.666666666</c:v>
                </c:pt>
                <c:pt idx="299">
                  <c:v>16438621.333333332</c:v>
                </c:pt>
                <c:pt idx="300">
                  <c:v>16493600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Equilibrio'!$D$4:$D$304</c:f>
              <c:numCache>
                <c:formatCode>"$"\ #,##0</c:formatCode>
                <c:ptCount val="301"/>
                <c:pt idx="0">
                  <c:v>0</c:v>
                </c:pt>
                <c:pt idx="1">
                  <c:v>65424.613333333327</c:v>
                </c:pt>
                <c:pt idx="2">
                  <c:v>130849.22666666665</c:v>
                </c:pt>
                <c:pt idx="3">
                  <c:v>196273.83999999997</c:v>
                </c:pt>
                <c:pt idx="4">
                  <c:v>261698.45333333331</c:v>
                </c:pt>
                <c:pt idx="5">
                  <c:v>327123.06666666665</c:v>
                </c:pt>
                <c:pt idx="6">
                  <c:v>392547.67999999993</c:v>
                </c:pt>
                <c:pt idx="7">
                  <c:v>457972.29333333328</c:v>
                </c:pt>
                <c:pt idx="8">
                  <c:v>523396.90666666662</c:v>
                </c:pt>
                <c:pt idx="9">
                  <c:v>588821.5199999999</c:v>
                </c:pt>
                <c:pt idx="10">
                  <c:v>654246.1333333333</c:v>
                </c:pt>
                <c:pt idx="11">
                  <c:v>719670.74666666659</c:v>
                </c:pt>
                <c:pt idx="12">
                  <c:v>785095.35999999987</c:v>
                </c:pt>
                <c:pt idx="13">
                  <c:v>850519.97333333327</c:v>
                </c:pt>
                <c:pt idx="14">
                  <c:v>915944.58666666655</c:v>
                </c:pt>
                <c:pt idx="15">
                  <c:v>981369.2</c:v>
                </c:pt>
                <c:pt idx="16">
                  <c:v>1046793.8133333332</c:v>
                </c:pt>
                <c:pt idx="17">
                  <c:v>1112218.4266666665</c:v>
                </c:pt>
                <c:pt idx="18">
                  <c:v>1177643.0399999998</c:v>
                </c:pt>
                <c:pt idx="19">
                  <c:v>1243067.6533333333</c:v>
                </c:pt>
                <c:pt idx="20">
                  <c:v>1308492.2666666666</c:v>
                </c:pt>
                <c:pt idx="21">
                  <c:v>1373916.88</c:v>
                </c:pt>
                <c:pt idx="22">
                  <c:v>1439341.4933333332</c:v>
                </c:pt>
                <c:pt idx="23">
                  <c:v>1504766.1066666665</c:v>
                </c:pt>
                <c:pt idx="24">
                  <c:v>1570190.7199999997</c:v>
                </c:pt>
                <c:pt idx="25">
                  <c:v>1635615.3333333333</c:v>
                </c:pt>
                <c:pt idx="26">
                  <c:v>1701039.9466666665</c:v>
                </c:pt>
                <c:pt idx="27">
                  <c:v>1766464.5599999998</c:v>
                </c:pt>
                <c:pt idx="28">
                  <c:v>1831889.1733333331</c:v>
                </c:pt>
                <c:pt idx="29">
                  <c:v>1897313.7866666664</c:v>
                </c:pt>
                <c:pt idx="30">
                  <c:v>1962738.4</c:v>
                </c:pt>
                <c:pt idx="31">
                  <c:v>2028163.0133333332</c:v>
                </c:pt>
                <c:pt idx="32">
                  <c:v>2093587.6266666665</c:v>
                </c:pt>
                <c:pt idx="33">
                  <c:v>2159012.2399999998</c:v>
                </c:pt>
                <c:pt idx="34">
                  <c:v>2224436.853333333</c:v>
                </c:pt>
                <c:pt idx="35">
                  <c:v>2289861.4666666663</c:v>
                </c:pt>
                <c:pt idx="36">
                  <c:v>2355286.0799999996</c:v>
                </c:pt>
                <c:pt idx="37">
                  <c:v>2420710.6933333329</c:v>
                </c:pt>
                <c:pt idx="38">
                  <c:v>2486135.3066666666</c:v>
                </c:pt>
                <c:pt idx="39">
                  <c:v>2551559.92</c:v>
                </c:pt>
                <c:pt idx="40">
                  <c:v>2616984.5333333332</c:v>
                </c:pt>
                <c:pt idx="41">
                  <c:v>2682409.1466666665</c:v>
                </c:pt>
                <c:pt idx="42">
                  <c:v>2747833.76</c:v>
                </c:pt>
                <c:pt idx="43">
                  <c:v>2813258.3733333331</c:v>
                </c:pt>
                <c:pt idx="44">
                  <c:v>2878682.9866666663</c:v>
                </c:pt>
                <c:pt idx="45">
                  <c:v>2944107.5999999996</c:v>
                </c:pt>
                <c:pt idx="46">
                  <c:v>3009532.2133333329</c:v>
                </c:pt>
                <c:pt idx="47">
                  <c:v>3074956.8266666662</c:v>
                </c:pt>
                <c:pt idx="48">
                  <c:v>3140381.4399999995</c:v>
                </c:pt>
                <c:pt idx="49">
                  <c:v>3205806.0533333332</c:v>
                </c:pt>
                <c:pt idx="50">
                  <c:v>3271230.6666666665</c:v>
                </c:pt>
                <c:pt idx="51">
                  <c:v>3336655.28</c:v>
                </c:pt>
                <c:pt idx="52">
                  <c:v>3402079.8933333331</c:v>
                </c:pt>
                <c:pt idx="53">
                  <c:v>3467504.5066666664</c:v>
                </c:pt>
                <c:pt idx="54">
                  <c:v>3532929.1199999996</c:v>
                </c:pt>
                <c:pt idx="55">
                  <c:v>3598353.7333333329</c:v>
                </c:pt>
                <c:pt idx="56">
                  <c:v>3663778.3466666662</c:v>
                </c:pt>
                <c:pt idx="57">
                  <c:v>3729202.9599999995</c:v>
                </c:pt>
                <c:pt idx="58">
                  <c:v>3794627.5733333328</c:v>
                </c:pt>
                <c:pt idx="59">
                  <c:v>3860052.1866666665</c:v>
                </c:pt>
                <c:pt idx="60">
                  <c:v>3925476.8</c:v>
                </c:pt>
                <c:pt idx="61">
                  <c:v>3990901.4133333331</c:v>
                </c:pt>
                <c:pt idx="62">
                  <c:v>4056326.0266666664</c:v>
                </c:pt>
                <c:pt idx="63">
                  <c:v>4121750.6399999997</c:v>
                </c:pt>
                <c:pt idx="64">
                  <c:v>4187175.2533333329</c:v>
                </c:pt>
                <c:pt idx="65">
                  <c:v>4252599.8666666662</c:v>
                </c:pt>
                <c:pt idx="66">
                  <c:v>4318024.4799999995</c:v>
                </c:pt>
                <c:pt idx="67">
                  <c:v>4383449.0933333328</c:v>
                </c:pt>
                <c:pt idx="68">
                  <c:v>4448873.7066666661</c:v>
                </c:pt>
                <c:pt idx="69">
                  <c:v>4514298.3199999994</c:v>
                </c:pt>
                <c:pt idx="70">
                  <c:v>4579722.9333333327</c:v>
                </c:pt>
                <c:pt idx="71">
                  <c:v>4645147.5466666659</c:v>
                </c:pt>
                <c:pt idx="72">
                  <c:v>4710572.1599999992</c:v>
                </c:pt>
                <c:pt idx="73">
                  <c:v>4775996.7733333325</c:v>
                </c:pt>
                <c:pt idx="74">
                  <c:v>4841421.3866666658</c:v>
                </c:pt>
                <c:pt idx="75">
                  <c:v>4906846</c:v>
                </c:pt>
                <c:pt idx="76">
                  <c:v>4972270.6133333333</c:v>
                </c:pt>
                <c:pt idx="77">
                  <c:v>5037695.2266666666</c:v>
                </c:pt>
                <c:pt idx="78">
                  <c:v>5103119.84</c:v>
                </c:pt>
                <c:pt idx="79">
                  <c:v>5168544.4533333331</c:v>
                </c:pt>
                <c:pt idx="80">
                  <c:v>5233969.0666666664</c:v>
                </c:pt>
                <c:pt idx="81">
                  <c:v>5299393.68</c:v>
                </c:pt>
                <c:pt idx="82">
                  <c:v>5364818.293333333</c:v>
                </c:pt>
                <c:pt idx="83">
                  <c:v>5430242.9066666663</c:v>
                </c:pt>
                <c:pt idx="84">
                  <c:v>5495667.5199999996</c:v>
                </c:pt>
                <c:pt idx="85">
                  <c:v>5561092.1333333328</c:v>
                </c:pt>
                <c:pt idx="86">
                  <c:v>5626516.7466666661</c:v>
                </c:pt>
                <c:pt idx="87">
                  <c:v>5691941.3599999994</c:v>
                </c:pt>
                <c:pt idx="88">
                  <c:v>5757365.9733333327</c:v>
                </c:pt>
                <c:pt idx="89">
                  <c:v>5822790.586666666</c:v>
                </c:pt>
                <c:pt idx="90">
                  <c:v>5888215.1999999993</c:v>
                </c:pt>
                <c:pt idx="91">
                  <c:v>5953639.8133333325</c:v>
                </c:pt>
                <c:pt idx="92">
                  <c:v>6019064.4266666658</c:v>
                </c:pt>
                <c:pt idx="93">
                  <c:v>6084489.0399999991</c:v>
                </c:pt>
                <c:pt idx="94">
                  <c:v>6149913.6533333324</c:v>
                </c:pt>
                <c:pt idx="95">
                  <c:v>6215338.2666666657</c:v>
                </c:pt>
                <c:pt idx="96">
                  <c:v>6280762.879999999</c:v>
                </c:pt>
                <c:pt idx="97">
                  <c:v>6346187.4933333332</c:v>
                </c:pt>
                <c:pt idx="98">
                  <c:v>6411612.1066666665</c:v>
                </c:pt>
                <c:pt idx="99">
                  <c:v>6477036.7199999997</c:v>
                </c:pt>
                <c:pt idx="100">
                  <c:v>6542461.333333333</c:v>
                </c:pt>
                <c:pt idx="101">
                  <c:v>6607885.9466666663</c:v>
                </c:pt>
                <c:pt idx="102">
                  <c:v>6673310.5599999996</c:v>
                </c:pt>
                <c:pt idx="103">
                  <c:v>6738735.1733333329</c:v>
                </c:pt>
                <c:pt idx="104">
                  <c:v>6804159.7866666662</c:v>
                </c:pt>
                <c:pt idx="105">
                  <c:v>6869584.3999999994</c:v>
                </c:pt>
                <c:pt idx="106">
                  <c:v>6935009.0133333327</c:v>
                </c:pt>
                <c:pt idx="107">
                  <c:v>7000433.626666666</c:v>
                </c:pt>
                <c:pt idx="108">
                  <c:v>7065858.2399999993</c:v>
                </c:pt>
                <c:pt idx="109">
                  <c:v>7131282.8533333326</c:v>
                </c:pt>
                <c:pt idx="110">
                  <c:v>7196707.4666666659</c:v>
                </c:pt>
                <c:pt idx="111">
                  <c:v>7262132.0799999991</c:v>
                </c:pt>
                <c:pt idx="112">
                  <c:v>7327556.6933333324</c:v>
                </c:pt>
                <c:pt idx="113">
                  <c:v>7392981.3066666657</c:v>
                </c:pt>
                <c:pt idx="114">
                  <c:v>7458405.919999999</c:v>
                </c:pt>
                <c:pt idx="115">
                  <c:v>7523830.5333333323</c:v>
                </c:pt>
                <c:pt idx="116">
                  <c:v>7589255.1466666656</c:v>
                </c:pt>
                <c:pt idx="117">
                  <c:v>7654679.7599999988</c:v>
                </c:pt>
                <c:pt idx="118">
                  <c:v>7720104.3733333331</c:v>
                </c:pt>
                <c:pt idx="119">
                  <c:v>7785528.9866666663</c:v>
                </c:pt>
                <c:pt idx="120">
                  <c:v>7850953.5999999996</c:v>
                </c:pt>
                <c:pt idx="121">
                  <c:v>7916378.2133333329</c:v>
                </c:pt>
                <c:pt idx="122">
                  <c:v>7981802.8266666662</c:v>
                </c:pt>
                <c:pt idx="123">
                  <c:v>8047227.4399999995</c:v>
                </c:pt>
                <c:pt idx="124">
                  <c:v>8112652.0533333328</c:v>
                </c:pt>
                <c:pt idx="125">
                  <c:v>8178076.666666666</c:v>
                </c:pt>
                <c:pt idx="126">
                  <c:v>8243501.2799999993</c:v>
                </c:pt>
                <c:pt idx="127">
                  <c:v>8308925.8933333326</c:v>
                </c:pt>
                <c:pt idx="128">
                  <c:v>8374350.5066666659</c:v>
                </c:pt>
                <c:pt idx="129">
                  <c:v>8439775.1199999992</c:v>
                </c:pt>
                <c:pt idx="130">
                  <c:v>8505199.7333333325</c:v>
                </c:pt>
                <c:pt idx="131">
                  <c:v>8570624.3466666657</c:v>
                </c:pt>
                <c:pt idx="132">
                  <c:v>8636048.959999999</c:v>
                </c:pt>
                <c:pt idx="133">
                  <c:v>8701473.5733333323</c:v>
                </c:pt>
                <c:pt idx="134">
                  <c:v>8766898.1866666656</c:v>
                </c:pt>
                <c:pt idx="135">
                  <c:v>8832322.7999999989</c:v>
                </c:pt>
                <c:pt idx="136">
                  <c:v>8897747.4133333322</c:v>
                </c:pt>
                <c:pt idx="137">
                  <c:v>8963172.0266666654</c:v>
                </c:pt>
                <c:pt idx="138">
                  <c:v>9028596.6399999987</c:v>
                </c:pt>
                <c:pt idx="139">
                  <c:v>9094021.253333332</c:v>
                </c:pt>
                <c:pt idx="140">
                  <c:v>9159445.8666666653</c:v>
                </c:pt>
                <c:pt idx="141">
                  <c:v>9224870.4799999986</c:v>
                </c:pt>
                <c:pt idx="142">
                  <c:v>9290295.0933333319</c:v>
                </c:pt>
                <c:pt idx="143">
                  <c:v>9355719.7066666652</c:v>
                </c:pt>
                <c:pt idx="144">
                  <c:v>9421144.3199999984</c:v>
                </c:pt>
                <c:pt idx="145">
                  <c:v>9486568.9333333317</c:v>
                </c:pt>
                <c:pt idx="146">
                  <c:v>9551993.546666665</c:v>
                </c:pt>
                <c:pt idx="147">
                  <c:v>9617418.1599999983</c:v>
                </c:pt>
                <c:pt idx="148">
                  <c:v>9682842.7733333316</c:v>
                </c:pt>
                <c:pt idx="149">
                  <c:v>9748267.3866666649</c:v>
                </c:pt>
                <c:pt idx="150">
                  <c:v>9813692</c:v>
                </c:pt>
                <c:pt idx="151">
                  <c:v>9879116.6133333333</c:v>
                </c:pt>
                <c:pt idx="152">
                  <c:v>9944541.2266666666</c:v>
                </c:pt>
                <c:pt idx="153">
                  <c:v>10009965.84</c:v>
                </c:pt>
                <c:pt idx="154">
                  <c:v>10075390.453333333</c:v>
                </c:pt>
                <c:pt idx="155">
                  <c:v>10140815.066666666</c:v>
                </c:pt>
                <c:pt idx="156">
                  <c:v>10206239.68</c:v>
                </c:pt>
                <c:pt idx="157">
                  <c:v>10271664.293333333</c:v>
                </c:pt>
                <c:pt idx="158">
                  <c:v>10337088.906666666</c:v>
                </c:pt>
                <c:pt idx="159">
                  <c:v>10402513.52</c:v>
                </c:pt>
                <c:pt idx="160">
                  <c:v>10467938.133333333</c:v>
                </c:pt>
                <c:pt idx="161">
                  <c:v>10533362.746666666</c:v>
                </c:pt>
                <c:pt idx="162">
                  <c:v>10598787.359999999</c:v>
                </c:pt>
                <c:pt idx="163">
                  <c:v>10664211.973333333</c:v>
                </c:pt>
                <c:pt idx="164">
                  <c:v>10729636.586666666</c:v>
                </c:pt>
                <c:pt idx="165">
                  <c:v>10795061.199999999</c:v>
                </c:pt>
                <c:pt idx="166">
                  <c:v>10860485.813333333</c:v>
                </c:pt>
                <c:pt idx="167">
                  <c:v>10925910.426666666</c:v>
                </c:pt>
                <c:pt idx="168">
                  <c:v>10991335.039999999</c:v>
                </c:pt>
                <c:pt idx="169">
                  <c:v>11056759.653333332</c:v>
                </c:pt>
                <c:pt idx="170">
                  <c:v>11122184.266666666</c:v>
                </c:pt>
                <c:pt idx="171">
                  <c:v>11187608.879999999</c:v>
                </c:pt>
                <c:pt idx="172">
                  <c:v>11253033.493333332</c:v>
                </c:pt>
                <c:pt idx="173">
                  <c:v>11318458.106666666</c:v>
                </c:pt>
                <c:pt idx="174">
                  <c:v>11383882.719999999</c:v>
                </c:pt>
                <c:pt idx="175">
                  <c:v>11449307.333333332</c:v>
                </c:pt>
                <c:pt idx="176">
                  <c:v>11514731.946666665</c:v>
                </c:pt>
                <c:pt idx="177">
                  <c:v>11580156.559999999</c:v>
                </c:pt>
                <c:pt idx="178">
                  <c:v>11645581.173333332</c:v>
                </c:pt>
                <c:pt idx="179">
                  <c:v>11711005.786666665</c:v>
                </c:pt>
                <c:pt idx="180">
                  <c:v>11776430.399999999</c:v>
                </c:pt>
                <c:pt idx="181">
                  <c:v>11841855.013333332</c:v>
                </c:pt>
                <c:pt idx="182">
                  <c:v>11907279.626666665</c:v>
                </c:pt>
                <c:pt idx="183">
                  <c:v>11972704.239999998</c:v>
                </c:pt>
                <c:pt idx="184">
                  <c:v>12038128.853333332</c:v>
                </c:pt>
                <c:pt idx="185">
                  <c:v>12103553.466666665</c:v>
                </c:pt>
                <c:pt idx="186">
                  <c:v>12168978.079999998</c:v>
                </c:pt>
                <c:pt idx="187">
                  <c:v>12234402.693333331</c:v>
                </c:pt>
                <c:pt idx="188">
                  <c:v>12299827.306666665</c:v>
                </c:pt>
                <c:pt idx="189">
                  <c:v>12365251.919999998</c:v>
                </c:pt>
                <c:pt idx="190">
                  <c:v>12430676.533333331</c:v>
                </c:pt>
                <c:pt idx="191">
                  <c:v>12496101.146666665</c:v>
                </c:pt>
                <c:pt idx="192">
                  <c:v>12561525.759999998</c:v>
                </c:pt>
                <c:pt idx="193">
                  <c:v>12626950.373333333</c:v>
                </c:pt>
                <c:pt idx="194">
                  <c:v>12692374.986666666</c:v>
                </c:pt>
                <c:pt idx="195">
                  <c:v>12757799.6</c:v>
                </c:pt>
                <c:pt idx="196">
                  <c:v>12823224.213333333</c:v>
                </c:pt>
                <c:pt idx="197">
                  <c:v>12888648.826666666</c:v>
                </c:pt>
                <c:pt idx="198">
                  <c:v>12954073.439999999</c:v>
                </c:pt>
                <c:pt idx="199">
                  <c:v>13019498.053333333</c:v>
                </c:pt>
                <c:pt idx="200">
                  <c:v>13084922.666666666</c:v>
                </c:pt>
                <c:pt idx="201">
                  <c:v>13150347.279999999</c:v>
                </c:pt>
                <c:pt idx="202">
                  <c:v>13215771.893333333</c:v>
                </c:pt>
                <c:pt idx="203">
                  <c:v>13281196.506666666</c:v>
                </c:pt>
                <c:pt idx="204">
                  <c:v>13346621.119999999</c:v>
                </c:pt>
                <c:pt idx="205">
                  <c:v>13412045.733333332</c:v>
                </c:pt>
                <c:pt idx="206">
                  <c:v>13477470.346666666</c:v>
                </c:pt>
                <c:pt idx="207">
                  <c:v>13542894.959999999</c:v>
                </c:pt>
                <c:pt idx="208">
                  <c:v>13608319.573333332</c:v>
                </c:pt>
                <c:pt idx="209">
                  <c:v>13673744.186666666</c:v>
                </c:pt>
                <c:pt idx="210">
                  <c:v>13739168.799999999</c:v>
                </c:pt>
                <c:pt idx="211">
                  <c:v>13804593.413333332</c:v>
                </c:pt>
                <c:pt idx="212">
                  <c:v>13870018.026666665</c:v>
                </c:pt>
                <c:pt idx="213">
                  <c:v>13935442.639999999</c:v>
                </c:pt>
                <c:pt idx="214">
                  <c:v>14000867.253333332</c:v>
                </c:pt>
                <c:pt idx="215">
                  <c:v>14066291.866666665</c:v>
                </c:pt>
                <c:pt idx="216">
                  <c:v>14131716.479999999</c:v>
                </c:pt>
                <c:pt idx="217">
                  <c:v>14197141.093333332</c:v>
                </c:pt>
                <c:pt idx="218">
                  <c:v>14262565.706666665</c:v>
                </c:pt>
                <c:pt idx="219">
                  <c:v>14327990.319999998</c:v>
                </c:pt>
                <c:pt idx="220">
                  <c:v>14393414.933333332</c:v>
                </c:pt>
                <c:pt idx="221">
                  <c:v>14458839.546666665</c:v>
                </c:pt>
                <c:pt idx="222">
                  <c:v>14524264.159999998</c:v>
                </c:pt>
                <c:pt idx="223">
                  <c:v>14589688.773333332</c:v>
                </c:pt>
                <c:pt idx="224">
                  <c:v>14655113.386666665</c:v>
                </c:pt>
                <c:pt idx="225">
                  <c:v>14720537.999999998</c:v>
                </c:pt>
                <c:pt idx="226">
                  <c:v>14785962.613333331</c:v>
                </c:pt>
                <c:pt idx="227">
                  <c:v>14851387.226666665</c:v>
                </c:pt>
                <c:pt idx="228">
                  <c:v>14916811.839999998</c:v>
                </c:pt>
                <c:pt idx="229">
                  <c:v>14982236.453333331</c:v>
                </c:pt>
                <c:pt idx="230">
                  <c:v>15047661.066666665</c:v>
                </c:pt>
                <c:pt idx="231">
                  <c:v>15113085.679999998</c:v>
                </c:pt>
                <c:pt idx="232">
                  <c:v>15178510.293333331</c:v>
                </c:pt>
                <c:pt idx="233">
                  <c:v>15243934.906666664</c:v>
                </c:pt>
                <c:pt idx="234">
                  <c:v>15309359.519999998</c:v>
                </c:pt>
                <c:pt idx="235">
                  <c:v>15374784.133333333</c:v>
                </c:pt>
                <c:pt idx="236">
                  <c:v>15440208.746666666</c:v>
                </c:pt>
                <c:pt idx="237">
                  <c:v>15505633.359999999</c:v>
                </c:pt>
                <c:pt idx="238">
                  <c:v>15571057.973333333</c:v>
                </c:pt>
                <c:pt idx="239">
                  <c:v>15636482.586666666</c:v>
                </c:pt>
                <c:pt idx="240">
                  <c:v>15701907.199999999</c:v>
                </c:pt>
                <c:pt idx="241">
                  <c:v>15767331.813333333</c:v>
                </c:pt>
                <c:pt idx="242">
                  <c:v>15832756.426666666</c:v>
                </c:pt>
                <c:pt idx="243">
                  <c:v>15898181.039999999</c:v>
                </c:pt>
                <c:pt idx="244">
                  <c:v>15963605.653333332</c:v>
                </c:pt>
                <c:pt idx="245">
                  <c:v>16029030.266666666</c:v>
                </c:pt>
                <c:pt idx="246">
                  <c:v>16094454.879999999</c:v>
                </c:pt>
                <c:pt idx="247">
                  <c:v>16159879.493333332</c:v>
                </c:pt>
                <c:pt idx="248">
                  <c:v>16225304.106666666</c:v>
                </c:pt>
                <c:pt idx="249">
                  <c:v>16290728.719999999</c:v>
                </c:pt>
                <c:pt idx="250">
                  <c:v>16356153.333333332</c:v>
                </c:pt>
                <c:pt idx="251">
                  <c:v>16421577.946666665</c:v>
                </c:pt>
                <c:pt idx="252">
                  <c:v>16487002.559999999</c:v>
                </c:pt>
                <c:pt idx="253">
                  <c:v>16552427.173333332</c:v>
                </c:pt>
                <c:pt idx="254">
                  <c:v>16617851.786666665</c:v>
                </c:pt>
                <c:pt idx="255">
                  <c:v>16683276.399999999</c:v>
                </c:pt>
                <c:pt idx="256">
                  <c:v>16748701.013333332</c:v>
                </c:pt>
                <c:pt idx="257">
                  <c:v>16814125.626666665</c:v>
                </c:pt>
                <c:pt idx="258">
                  <c:v>16879550.239999998</c:v>
                </c:pt>
                <c:pt idx="259">
                  <c:v>16944974.853333332</c:v>
                </c:pt>
                <c:pt idx="260">
                  <c:v>17010399.466666665</c:v>
                </c:pt>
                <c:pt idx="261">
                  <c:v>17075824.079999998</c:v>
                </c:pt>
                <c:pt idx="262">
                  <c:v>17141248.693333331</c:v>
                </c:pt>
                <c:pt idx="263">
                  <c:v>17206673.306666665</c:v>
                </c:pt>
                <c:pt idx="264">
                  <c:v>17272097.919999998</c:v>
                </c:pt>
                <c:pt idx="265">
                  <c:v>17337522.533333331</c:v>
                </c:pt>
                <c:pt idx="266">
                  <c:v>17402947.146666665</c:v>
                </c:pt>
                <c:pt idx="267">
                  <c:v>17468371.759999998</c:v>
                </c:pt>
                <c:pt idx="268">
                  <c:v>17533796.373333331</c:v>
                </c:pt>
                <c:pt idx="269">
                  <c:v>17599220.986666664</c:v>
                </c:pt>
                <c:pt idx="270">
                  <c:v>17664645.599999998</c:v>
                </c:pt>
                <c:pt idx="271">
                  <c:v>17730070.213333331</c:v>
                </c:pt>
                <c:pt idx="272">
                  <c:v>17795494.826666664</c:v>
                </c:pt>
                <c:pt idx="273">
                  <c:v>17860919.439999998</c:v>
                </c:pt>
                <c:pt idx="274">
                  <c:v>17926344.053333331</c:v>
                </c:pt>
                <c:pt idx="275">
                  <c:v>17991768.666666664</c:v>
                </c:pt>
                <c:pt idx="276">
                  <c:v>18057193.279999997</c:v>
                </c:pt>
                <c:pt idx="277">
                  <c:v>18122617.893333331</c:v>
                </c:pt>
                <c:pt idx="278">
                  <c:v>18188042.506666664</c:v>
                </c:pt>
                <c:pt idx="279">
                  <c:v>18253467.119999997</c:v>
                </c:pt>
                <c:pt idx="280">
                  <c:v>18318891.733333331</c:v>
                </c:pt>
                <c:pt idx="281">
                  <c:v>18384316.346666664</c:v>
                </c:pt>
                <c:pt idx="282">
                  <c:v>18449740.959999997</c:v>
                </c:pt>
                <c:pt idx="283">
                  <c:v>18515165.57333333</c:v>
                </c:pt>
                <c:pt idx="284">
                  <c:v>18580590.186666664</c:v>
                </c:pt>
                <c:pt idx="285">
                  <c:v>18646014.799999997</c:v>
                </c:pt>
                <c:pt idx="286">
                  <c:v>18711439.41333333</c:v>
                </c:pt>
                <c:pt idx="287">
                  <c:v>18776864.026666664</c:v>
                </c:pt>
                <c:pt idx="288">
                  <c:v>18842288.639999997</c:v>
                </c:pt>
                <c:pt idx="289">
                  <c:v>18907713.25333333</c:v>
                </c:pt>
                <c:pt idx="290">
                  <c:v>18973137.866666663</c:v>
                </c:pt>
                <c:pt idx="291">
                  <c:v>19038562.479999997</c:v>
                </c:pt>
                <c:pt idx="292">
                  <c:v>19103987.09333333</c:v>
                </c:pt>
                <c:pt idx="293">
                  <c:v>19169411.706666663</c:v>
                </c:pt>
                <c:pt idx="294">
                  <c:v>19234836.319999997</c:v>
                </c:pt>
                <c:pt idx="295">
                  <c:v>19300260.93333333</c:v>
                </c:pt>
                <c:pt idx="296">
                  <c:v>19365685.546666663</c:v>
                </c:pt>
                <c:pt idx="297">
                  <c:v>19431110.159999996</c:v>
                </c:pt>
                <c:pt idx="298">
                  <c:v>19496534.77333333</c:v>
                </c:pt>
                <c:pt idx="299">
                  <c:v>19561959.386666667</c:v>
                </c:pt>
                <c:pt idx="300">
                  <c:v>19627384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687-9EDB-FCBBF60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zoomScale="145" zoomScaleNormal="145" workbookViewId="0">
      <selection activeCell="B10" sqref="B10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39" t="s">
        <v>0</v>
      </c>
      <c r="B1" s="140"/>
    </row>
    <row r="2" spans="1:4" x14ac:dyDescent="0.25">
      <c r="A2" s="1" t="s">
        <v>1</v>
      </c>
      <c r="B2" s="1" t="s">
        <v>2</v>
      </c>
    </row>
    <row r="3" spans="1:4" x14ac:dyDescent="0.25">
      <c r="A3" s="115" t="s">
        <v>189</v>
      </c>
      <c r="B3" s="3">
        <f>B24</f>
        <v>5000000</v>
      </c>
    </row>
    <row r="4" spans="1:4" x14ac:dyDescent="0.25">
      <c r="A4" s="115" t="s">
        <v>188</v>
      </c>
      <c r="B4" s="3">
        <f>B32</f>
        <v>3740000</v>
      </c>
    </row>
    <row r="5" spans="1:4" x14ac:dyDescent="0.25">
      <c r="A5" s="115" t="s">
        <v>3</v>
      </c>
      <c r="B5" s="3">
        <f>D17</f>
        <v>8200000</v>
      </c>
    </row>
    <row r="6" spans="1:4" x14ac:dyDescent="0.25">
      <c r="A6" s="115" t="s">
        <v>264</v>
      </c>
      <c r="B6" s="3">
        <f>B38</f>
        <v>7000000</v>
      </c>
    </row>
    <row r="7" spans="1:4" x14ac:dyDescent="0.25">
      <c r="A7" s="115" t="s">
        <v>5</v>
      </c>
      <c r="B7" s="3">
        <f>B45</f>
        <v>6000000</v>
      </c>
    </row>
    <row r="8" spans="1:4" x14ac:dyDescent="0.25">
      <c r="A8" s="115" t="s">
        <v>6</v>
      </c>
      <c r="B8" s="3">
        <f>B53</f>
        <v>3700000</v>
      </c>
    </row>
    <row r="9" spans="1:4" x14ac:dyDescent="0.25">
      <c r="A9" s="115" t="s">
        <v>234</v>
      </c>
      <c r="B9" s="3">
        <f>B57</f>
        <v>1000000</v>
      </c>
    </row>
    <row r="10" spans="1:4" x14ac:dyDescent="0.25">
      <c r="A10" s="4" t="s">
        <v>37</v>
      </c>
      <c r="B10" s="5">
        <f>SUM(B3:B8)</f>
        <v>33640000</v>
      </c>
    </row>
    <row r="11" spans="1:4" ht="15.75" thickBot="1" x14ac:dyDescent="0.3"/>
    <row r="12" spans="1:4" ht="15.75" thickBot="1" x14ac:dyDescent="0.3">
      <c r="A12" s="141" t="s">
        <v>185</v>
      </c>
      <c r="B12" s="148"/>
      <c r="C12" s="148"/>
      <c r="D12" s="142"/>
    </row>
    <row r="13" spans="1:4" x14ac:dyDescent="0.25">
      <c r="A13" s="105" t="s">
        <v>8</v>
      </c>
      <c r="B13" s="105" t="s">
        <v>9</v>
      </c>
      <c r="C13" s="105" t="s">
        <v>10</v>
      </c>
      <c r="D13" s="105" t="s">
        <v>11</v>
      </c>
    </row>
    <row r="14" spans="1:4" x14ac:dyDescent="0.25">
      <c r="A14" s="6" t="s">
        <v>192</v>
      </c>
      <c r="B14" s="6">
        <v>2</v>
      </c>
      <c r="C14" s="7">
        <v>3000000</v>
      </c>
      <c r="D14" s="7">
        <f>C14*B14</f>
        <v>6000000</v>
      </c>
    </row>
    <row r="15" spans="1:4" x14ac:dyDescent="0.25">
      <c r="A15" s="6" t="s">
        <v>12</v>
      </c>
      <c r="B15" s="6">
        <v>2</v>
      </c>
      <c r="C15" s="7">
        <v>800000</v>
      </c>
      <c r="D15" s="7">
        <f t="shared" ref="D15:D16" si="0">C15*B15</f>
        <v>1600000</v>
      </c>
    </row>
    <row r="16" spans="1:4" x14ac:dyDescent="0.25">
      <c r="A16" s="6" t="s">
        <v>193</v>
      </c>
      <c r="B16" s="6">
        <v>2</v>
      </c>
      <c r="C16" s="7">
        <v>300000</v>
      </c>
      <c r="D16" s="7">
        <f t="shared" si="0"/>
        <v>600000</v>
      </c>
    </row>
    <row r="17" spans="1:4" x14ac:dyDescent="0.25">
      <c r="A17" s="145" t="s">
        <v>7</v>
      </c>
      <c r="B17" s="146"/>
      <c r="C17" s="147"/>
      <c r="D17" s="5">
        <f>SUM(D14:D16)</f>
        <v>8200000</v>
      </c>
    </row>
    <row r="18" spans="1:4" ht="15.75" thickBot="1" x14ac:dyDescent="0.3"/>
    <row r="19" spans="1:4" ht="15.75" thickBot="1" x14ac:dyDescent="0.3">
      <c r="A19" s="141" t="s">
        <v>186</v>
      </c>
      <c r="B19" s="142"/>
    </row>
    <row r="20" spans="1:4" x14ac:dyDescent="0.25">
      <c r="A20" s="105" t="s">
        <v>8</v>
      </c>
      <c r="B20" s="105" t="s">
        <v>2</v>
      </c>
    </row>
    <row r="21" spans="1:4" x14ac:dyDescent="0.25">
      <c r="A21" s="8" t="s">
        <v>194</v>
      </c>
      <c r="B21" s="7">
        <v>1500000</v>
      </c>
    </row>
    <row r="22" spans="1:4" x14ac:dyDescent="0.25">
      <c r="A22" s="8" t="s">
        <v>195</v>
      </c>
      <c r="B22" s="7">
        <v>2000000</v>
      </c>
    </row>
    <row r="23" spans="1:4" x14ac:dyDescent="0.25">
      <c r="A23" s="8" t="s">
        <v>14</v>
      </c>
      <c r="B23" s="7">
        <v>1500000</v>
      </c>
    </row>
    <row r="24" spans="1:4" x14ac:dyDescent="0.25">
      <c r="A24" s="9" t="s">
        <v>7</v>
      </c>
      <c r="B24" s="10">
        <f>SUM(B21:B23)</f>
        <v>5000000</v>
      </c>
    </row>
    <row r="25" spans="1:4" ht="15.75" thickBot="1" x14ac:dyDescent="0.3"/>
    <row r="26" spans="1:4" ht="15.75" thickBot="1" x14ac:dyDescent="0.3">
      <c r="A26" s="141" t="s">
        <v>187</v>
      </c>
      <c r="B26" s="142"/>
    </row>
    <row r="27" spans="1:4" x14ac:dyDescent="0.25">
      <c r="A27" s="105" t="s">
        <v>8</v>
      </c>
      <c r="B27" s="105" t="s">
        <v>2</v>
      </c>
    </row>
    <row r="28" spans="1:4" x14ac:dyDescent="0.25">
      <c r="A28" s="8" t="s">
        <v>198</v>
      </c>
      <c r="B28" s="7">
        <v>920000</v>
      </c>
    </row>
    <row r="29" spans="1:4" x14ac:dyDescent="0.25">
      <c r="A29" s="8" t="s">
        <v>199</v>
      </c>
      <c r="B29" s="7">
        <v>1300000</v>
      </c>
    </row>
    <row r="30" spans="1:4" x14ac:dyDescent="0.25">
      <c r="A30" s="8" t="s">
        <v>200</v>
      </c>
      <c r="B30" s="7">
        <v>600000</v>
      </c>
    </row>
    <row r="31" spans="1:4" x14ac:dyDescent="0.25">
      <c r="A31" s="8" t="s">
        <v>201</v>
      </c>
      <c r="B31" s="7">
        <v>920000</v>
      </c>
    </row>
    <row r="32" spans="1:4" x14ac:dyDescent="0.25">
      <c r="A32" s="9" t="s">
        <v>7</v>
      </c>
      <c r="B32" s="10">
        <f>SUM(B28:B31)</f>
        <v>3740000</v>
      </c>
    </row>
    <row r="33" spans="1:2" ht="15.75" thickBot="1" x14ac:dyDescent="0.3"/>
    <row r="34" spans="1:2" ht="15.75" thickBot="1" x14ac:dyDescent="0.3">
      <c r="A34" s="141" t="s">
        <v>263</v>
      </c>
      <c r="B34" s="142"/>
    </row>
    <row r="35" spans="1:2" x14ac:dyDescent="0.25">
      <c r="A35" s="105" t="s">
        <v>8</v>
      </c>
      <c r="B35" s="105" t="s">
        <v>2</v>
      </c>
    </row>
    <row r="36" spans="1:2" x14ac:dyDescent="0.25">
      <c r="A36" s="8" t="s">
        <v>197</v>
      </c>
      <c r="B36" s="7">
        <v>3500000</v>
      </c>
    </row>
    <row r="37" spans="1:2" x14ac:dyDescent="0.25">
      <c r="A37" s="8" t="s">
        <v>196</v>
      </c>
      <c r="B37" s="7">
        <v>3500000</v>
      </c>
    </row>
    <row r="38" spans="1:2" x14ac:dyDescent="0.25">
      <c r="A38" s="9" t="s">
        <v>7</v>
      </c>
      <c r="B38" s="10">
        <f>SUM(B36:B37)</f>
        <v>7000000</v>
      </c>
    </row>
    <row r="39" spans="1:2" ht="15.75" thickBot="1" x14ac:dyDescent="0.3"/>
    <row r="40" spans="1:2" ht="15.75" thickBot="1" x14ac:dyDescent="0.3">
      <c r="A40" s="141" t="s">
        <v>15</v>
      </c>
      <c r="B40" s="142"/>
    </row>
    <row r="41" spans="1:2" x14ac:dyDescent="0.25">
      <c r="A41" s="105" t="s">
        <v>8</v>
      </c>
      <c r="B41" s="105" t="s">
        <v>2</v>
      </c>
    </row>
    <row r="42" spans="1:2" x14ac:dyDescent="0.25">
      <c r="A42" s="8" t="s">
        <v>202</v>
      </c>
      <c r="B42" s="7">
        <v>2000000</v>
      </c>
    </row>
    <row r="43" spans="1:2" x14ac:dyDescent="0.25">
      <c r="A43" s="8" t="s">
        <v>203</v>
      </c>
      <c r="B43" s="7">
        <v>2000000</v>
      </c>
    </row>
    <row r="44" spans="1:2" x14ac:dyDescent="0.25">
      <c r="A44" s="8" t="s">
        <v>204</v>
      </c>
      <c r="B44" s="7">
        <v>2000000</v>
      </c>
    </row>
    <row r="45" spans="1:2" x14ac:dyDescent="0.25">
      <c r="A45" s="9" t="s">
        <v>7</v>
      </c>
      <c r="B45" s="10">
        <f>SUM(B42:B44)</f>
        <v>6000000</v>
      </c>
    </row>
    <row r="46" spans="1:2" ht="15.75" thickBot="1" x14ac:dyDescent="0.3"/>
    <row r="47" spans="1:2" ht="15.75" thickBot="1" x14ac:dyDescent="0.3">
      <c r="A47" s="141" t="s">
        <v>16</v>
      </c>
      <c r="B47" s="142"/>
    </row>
    <row r="48" spans="1:2" x14ac:dyDescent="0.25">
      <c r="A48" s="105" t="s">
        <v>8</v>
      </c>
      <c r="B48" s="105" t="s">
        <v>2</v>
      </c>
    </row>
    <row r="49" spans="1:4" x14ac:dyDescent="0.25">
      <c r="A49" s="8" t="s">
        <v>205</v>
      </c>
      <c r="B49" s="7">
        <v>1500000</v>
      </c>
    </row>
    <row r="50" spans="1:4" x14ac:dyDescent="0.25">
      <c r="A50" s="8" t="s">
        <v>206</v>
      </c>
      <c r="B50" s="7">
        <v>1000000</v>
      </c>
    </row>
    <row r="51" spans="1:4" x14ac:dyDescent="0.25">
      <c r="A51" s="8" t="s">
        <v>207</v>
      </c>
      <c r="B51" s="7">
        <v>200000</v>
      </c>
    </row>
    <row r="52" spans="1:4" x14ac:dyDescent="0.25">
      <c r="A52" s="8" t="s">
        <v>17</v>
      </c>
      <c r="B52" s="7">
        <v>1000000</v>
      </c>
    </row>
    <row r="53" spans="1:4" x14ac:dyDescent="0.25">
      <c r="A53" s="9" t="s">
        <v>7</v>
      </c>
      <c r="B53" s="10">
        <f>SUM(B49:B52)</f>
        <v>3700000</v>
      </c>
    </row>
    <row r="54" spans="1:4" ht="15.75" thickBot="1" x14ac:dyDescent="0.3"/>
    <row r="55" spans="1:4" ht="15.75" thickBot="1" x14ac:dyDescent="0.3">
      <c r="A55" s="141" t="s">
        <v>117</v>
      </c>
      <c r="B55" s="142"/>
    </row>
    <row r="56" spans="1:4" x14ac:dyDescent="0.25">
      <c r="A56" s="105" t="s">
        <v>8</v>
      </c>
      <c r="B56" s="105" t="s">
        <v>2</v>
      </c>
    </row>
    <row r="57" spans="1:4" x14ac:dyDescent="0.25">
      <c r="A57" s="8" t="s">
        <v>233</v>
      </c>
      <c r="B57" s="7">
        <v>1000000</v>
      </c>
    </row>
    <row r="58" spans="1:4" x14ac:dyDescent="0.25">
      <c r="A58" s="9" t="s">
        <v>7</v>
      </c>
      <c r="B58" s="10">
        <f>SUM(B57)</f>
        <v>1000000</v>
      </c>
    </row>
    <row r="60" spans="1:4" x14ac:dyDescent="0.25">
      <c r="A60" s="143"/>
      <c r="B60" s="144"/>
      <c r="C60" s="144"/>
      <c r="D60" s="144"/>
    </row>
  </sheetData>
  <mergeCells count="10">
    <mergeCell ref="A1:B1"/>
    <mergeCell ref="A34:B34"/>
    <mergeCell ref="A26:B26"/>
    <mergeCell ref="A19:B19"/>
    <mergeCell ref="A60:D60"/>
    <mergeCell ref="A17:C17"/>
    <mergeCell ref="A12:D12"/>
    <mergeCell ref="A55:B55"/>
    <mergeCell ref="A47:B47"/>
    <mergeCell ref="A40:B40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zoomScale="130" zoomScaleNormal="130" workbookViewId="0">
      <selection activeCell="B18" sqref="B18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52" t="s">
        <v>53</v>
      </c>
      <c r="B1" s="153"/>
      <c r="C1" s="153"/>
      <c r="D1" s="153"/>
      <c r="E1" s="153"/>
      <c r="F1" s="154"/>
      <c r="H1" s="155" t="s">
        <v>54</v>
      </c>
      <c r="I1" s="156"/>
      <c r="J1" s="156"/>
      <c r="K1" s="156"/>
      <c r="L1" s="156"/>
      <c r="M1" s="156"/>
      <c r="N1" s="157"/>
    </row>
    <row r="2" spans="1:14" x14ac:dyDescent="0.25">
      <c r="A2" s="158" t="s">
        <v>55</v>
      </c>
      <c r="B2" s="158"/>
      <c r="C2" s="158"/>
      <c r="D2" s="158"/>
      <c r="E2" s="158"/>
      <c r="F2" s="158"/>
      <c r="H2" s="159" t="s">
        <v>56</v>
      </c>
      <c r="I2" s="160"/>
      <c r="J2" s="160"/>
      <c r="K2" s="160"/>
      <c r="L2" s="160"/>
      <c r="M2" s="160"/>
      <c r="N2" s="161"/>
    </row>
    <row r="3" spans="1:14" x14ac:dyDescent="0.25">
      <c r="A3" s="162" t="s">
        <v>8</v>
      </c>
      <c r="B3" s="162"/>
      <c r="C3" s="1" t="s">
        <v>20</v>
      </c>
      <c r="D3" s="1" t="s">
        <v>57</v>
      </c>
      <c r="E3" s="1" t="s">
        <v>58</v>
      </c>
      <c r="F3" s="1" t="s">
        <v>59</v>
      </c>
      <c r="H3" s="20" t="s">
        <v>60</v>
      </c>
      <c r="I3" s="20" t="s">
        <v>47</v>
      </c>
      <c r="J3" s="20" t="s">
        <v>166</v>
      </c>
      <c r="K3" s="20" t="s">
        <v>167</v>
      </c>
      <c r="L3" s="20" t="s">
        <v>168</v>
      </c>
      <c r="M3" s="20" t="s">
        <v>169</v>
      </c>
      <c r="N3" s="20" t="s">
        <v>170</v>
      </c>
    </row>
    <row r="4" spans="1:14" x14ac:dyDescent="0.25">
      <c r="A4" s="149" t="s">
        <v>61</v>
      </c>
      <c r="B4" s="149"/>
      <c r="C4" s="8" t="s">
        <v>25</v>
      </c>
      <c r="D4" s="3">
        <v>0</v>
      </c>
      <c r="E4" s="12">
        <f>D4*3</f>
        <v>0</v>
      </c>
      <c r="F4" s="12">
        <f>D4*12</f>
        <v>0</v>
      </c>
      <c r="H4" s="27" t="s">
        <v>62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49" t="s">
        <v>63</v>
      </c>
      <c r="B5" s="149"/>
      <c r="C5" s="8" t="s">
        <v>25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64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49" t="s">
        <v>65</v>
      </c>
      <c r="B6" s="149"/>
      <c r="C6" s="8" t="s">
        <v>25</v>
      </c>
      <c r="D6" s="3">
        <v>300</v>
      </c>
      <c r="E6" s="12">
        <f t="shared" si="0"/>
        <v>900</v>
      </c>
      <c r="F6" s="12">
        <f>D6*12</f>
        <v>3600</v>
      </c>
      <c r="H6" s="2" t="s">
        <v>66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50" t="s">
        <v>67</v>
      </c>
      <c r="B7" s="150"/>
      <c r="C7" s="150"/>
      <c r="D7" s="150"/>
      <c r="E7" s="150"/>
      <c r="F7" s="150"/>
      <c r="H7" s="30" t="s">
        <v>68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69</v>
      </c>
      <c r="B8" s="1" t="s">
        <v>57</v>
      </c>
      <c r="C8" s="1" t="s">
        <v>70</v>
      </c>
      <c r="D8" s="1" t="s">
        <v>71</v>
      </c>
      <c r="E8" s="1" t="s">
        <v>72</v>
      </c>
      <c r="F8" s="1" t="s">
        <v>73</v>
      </c>
      <c r="G8" s="33"/>
      <c r="H8" s="151"/>
      <c r="I8" s="151"/>
      <c r="J8" s="151"/>
      <c r="K8" s="151"/>
      <c r="L8" s="151"/>
      <c r="M8" s="151"/>
      <c r="N8" s="151"/>
    </row>
    <row r="9" spans="1:14" ht="15.75" thickBot="1" x14ac:dyDescent="0.3">
      <c r="A9" s="34" t="s">
        <v>61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67" t="s">
        <v>276</v>
      </c>
      <c r="I9" s="168"/>
      <c r="J9" s="168"/>
      <c r="K9" s="168"/>
      <c r="L9" s="168"/>
      <c r="M9" s="168"/>
      <c r="N9" s="169"/>
    </row>
    <row r="10" spans="1:14" x14ac:dyDescent="0.25">
      <c r="A10" s="37" t="s">
        <v>63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70" t="s">
        <v>60</v>
      </c>
      <c r="I10" s="171"/>
      <c r="J10" s="114" t="s">
        <v>166</v>
      </c>
      <c r="K10" s="114" t="s">
        <v>167</v>
      </c>
      <c r="L10" s="114" t="s">
        <v>168</v>
      </c>
      <c r="M10" s="114" t="s">
        <v>169</v>
      </c>
      <c r="N10" s="114" t="s">
        <v>170</v>
      </c>
    </row>
    <row r="11" spans="1:14" x14ac:dyDescent="0.25">
      <c r="A11" s="37" t="s">
        <v>65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72" t="s">
        <v>277</v>
      </c>
      <c r="I11" s="173"/>
      <c r="J11" s="173"/>
      <c r="K11" s="173"/>
      <c r="L11" s="173"/>
      <c r="M11" s="173"/>
      <c r="N11" s="174"/>
    </row>
    <row r="12" spans="1:14" x14ac:dyDescent="0.25">
      <c r="A12" s="175" t="s">
        <v>29</v>
      </c>
      <c r="B12" s="175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76" t="s">
        <v>278</v>
      </c>
      <c r="I12" s="177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76" t="s">
        <v>279</v>
      </c>
      <c r="I13" s="177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63" t="s">
        <v>74</v>
      </c>
      <c r="B14" s="164"/>
      <c r="C14" s="38"/>
      <c r="D14" s="42"/>
      <c r="E14" s="42"/>
      <c r="H14" s="172" t="s">
        <v>280</v>
      </c>
      <c r="I14" s="173"/>
      <c r="J14" s="173"/>
      <c r="K14" s="173"/>
      <c r="L14" s="173"/>
      <c r="M14" s="173"/>
      <c r="N14" s="174"/>
    </row>
    <row r="15" spans="1:14" x14ac:dyDescent="0.25">
      <c r="A15" s="11" t="s">
        <v>8</v>
      </c>
      <c r="B15" s="1" t="s">
        <v>2</v>
      </c>
      <c r="C15" s="38"/>
      <c r="D15" s="42"/>
      <c r="E15" s="42"/>
      <c r="H15" s="125" t="s">
        <v>269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208</v>
      </c>
      <c r="B16" s="3">
        <f>'Costos de Operación Gravables'!$B$54*0.45</f>
        <v>16240950</v>
      </c>
      <c r="C16" s="38"/>
      <c r="D16" s="42"/>
      <c r="E16" s="42"/>
      <c r="H16" s="125" t="s">
        <v>270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209</v>
      </c>
      <c r="B17" s="3">
        <f>'Costos de Operación Gravables'!$B$54*0.55</f>
        <v>19850050</v>
      </c>
      <c r="C17" s="38"/>
      <c r="D17" s="42"/>
      <c r="E17" s="42"/>
      <c r="H17" s="172" t="s">
        <v>273</v>
      </c>
      <c r="I17" s="173"/>
      <c r="J17" s="173"/>
      <c r="K17" s="173"/>
      <c r="L17" s="173"/>
      <c r="M17" s="173"/>
      <c r="N17" s="174"/>
    </row>
    <row r="18" spans="1:16" x14ac:dyDescent="0.25">
      <c r="A18" s="9" t="s">
        <v>29</v>
      </c>
      <c r="B18" s="10">
        <f>SUM(B16:B17)</f>
        <v>36091000</v>
      </c>
      <c r="C18" s="38"/>
      <c r="D18" s="42"/>
      <c r="E18" s="42"/>
      <c r="H18" s="126" t="s">
        <v>271</v>
      </c>
      <c r="I18" s="127"/>
      <c r="J18" s="35">
        <f t="shared" ref="J18:N19" si="8">J15/(12*J12)</f>
        <v>408.24</v>
      </c>
      <c r="K18" s="35">
        <f t="shared" si="8"/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26" t="s">
        <v>272</v>
      </c>
      <c r="I19" s="127"/>
      <c r="J19" s="35">
        <f t="shared" si="8"/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63" t="s">
        <v>210</v>
      </c>
      <c r="B20" s="166"/>
      <c r="C20" s="164"/>
      <c r="D20" s="42"/>
      <c r="E20" s="42"/>
      <c r="H20" s="172" t="s">
        <v>281</v>
      </c>
      <c r="I20" s="173"/>
      <c r="J20" s="173"/>
      <c r="K20" s="173"/>
      <c r="L20" s="173"/>
      <c r="M20" s="173"/>
      <c r="N20" s="174"/>
      <c r="O20" s="113" t="s">
        <v>289</v>
      </c>
      <c r="P20" s="23"/>
    </row>
    <row r="21" spans="1:16" x14ac:dyDescent="0.25">
      <c r="A21" s="11" t="s">
        <v>8</v>
      </c>
      <c r="B21" s="105" t="s">
        <v>211</v>
      </c>
      <c r="C21" s="105" t="s">
        <v>2</v>
      </c>
      <c r="D21" s="42"/>
      <c r="E21" s="42"/>
      <c r="H21" s="176" t="s">
        <v>282</v>
      </c>
      <c r="I21" s="177"/>
      <c r="J21" s="128">
        <f>(SUM(J15:J16)/12)/SUM(J18:J19)</f>
        <v>2752.2935779816517</v>
      </c>
      <c r="K21" s="128">
        <f t="shared" ref="K21:N21" si="9">(SUM(K15:K16)/12)/SUM(K18:K19)</f>
        <v>2878.8990825688074</v>
      </c>
      <c r="L21" s="128">
        <f t="shared" si="9"/>
        <v>2991.1761467889905</v>
      </c>
      <c r="M21" s="128">
        <f t="shared" si="9"/>
        <v>3101.8496642201826</v>
      </c>
      <c r="N21" s="128">
        <f t="shared" si="9"/>
        <v>3210.4144024678885</v>
      </c>
      <c r="O21" s="133">
        <f>AVERAGE(J21:N21)</f>
        <v>2986.9265748055041</v>
      </c>
      <c r="P21" s="131"/>
    </row>
    <row r="22" spans="1:16" x14ac:dyDescent="0.25">
      <c r="A22" s="106" t="s">
        <v>213</v>
      </c>
      <c r="B22" s="79">
        <v>0.5</v>
      </c>
      <c r="C22" s="3">
        <f>$B$17*B22</f>
        <v>9925025</v>
      </c>
      <c r="D22" s="46"/>
      <c r="E22" s="46"/>
      <c r="H22" s="176" t="s">
        <v>285</v>
      </c>
      <c r="I22" s="177"/>
      <c r="J22" s="128">
        <f>J21*12</f>
        <v>33027.522935779823</v>
      </c>
      <c r="K22" s="128">
        <f t="shared" ref="K22:N22" si="10">K21*12</f>
        <v>34546.788990825691</v>
      </c>
      <c r="L22" s="128">
        <f t="shared" si="10"/>
        <v>35894.113761467888</v>
      </c>
      <c r="M22" s="128">
        <f t="shared" si="10"/>
        <v>37222.195970642191</v>
      </c>
      <c r="N22" s="128">
        <f t="shared" si="10"/>
        <v>38524.972829614664</v>
      </c>
      <c r="O22" s="133">
        <f>AVERAGE(J22:N22)</f>
        <v>35843.118897666049</v>
      </c>
      <c r="P22" s="24"/>
    </row>
    <row r="23" spans="1:16" x14ac:dyDescent="0.25">
      <c r="A23" s="106" t="s">
        <v>212</v>
      </c>
      <c r="B23" s="79">
        <v>0.5</v>
      </c>
      <c r="C23" s="3">
        <f>$B$17*B23</f>
        <v>9925025</v>
      </c>
      <c r="D23" s="47"/>
      <c r="E23" s="48"/>
      <c r="H23" s="172" t="s">
        <v>275</v>
      </c>
      <c r="I23" s="173"/>
      <c r="J23" s="173"/>
      <c r="K23" s="173"/>
      <c r="L23" s="173"/>
      <c r="M23" s="173"/>
      <c r="N23" s="174"/>
      <c r="O23" s="18"/>
    </row>
    <row r="24" spans="1:16" x14ac:dyDescent="0.25">
      <c r="A24" s="9" t="s">
        <v>29</v>
      </c>
      <c r="B24" s="116">
        <f>SUM(B22:B23)</f>
        <v>1</v>
      </c>
      <c r="C24" s="10">
        <f>SUM(C22:C23)</f>
        <v>19850050</v>
      </c>
      <c r="D24" s="18"/>
      <c r="E24" s="18"/>
      <c r="H24" s="126" t="s">
        <v>274</v>
      </c>
      <c r="I24" s="127"/>
      <c r="J24" s="129">
        <f>SUM(J18:J19)*12</f>
        <v>59330.879999999997</v>
      </c>
      <c r="K24" s="129">
        <f>SUM(K18:K19)*12</f>
        <v>71412.598393881432</v>
      </c>
      <c r="L24" s="129">
        <f>SUM(L18:L19)*12</f>
        <v>88458.146422449878</v>
      </c>
      <c r="M24" s="129">
        <f>SUM(M18:M19)*12</f>
        <v>113025.11476349673</v>
      </c>
      <c r="N24" s="129">
        <f>SUM(N18:N19)*12</f>
        <v>150044.93496139569</v>
      </c>
      <c r="O24" s="119"/>
    </row>
    <row r="25" spans="1:16" x14ac:dyDescent="0.25">
      <c r="B25" s="49"/>
      <c r="C25" s="38"/>
      <c r="D25" s="42"/>
      <c r="E25" s="42"/>
      <c r="I25" s="118"/>
      <c r="J25" s="119"/>
      <c r="K25" s="119"/>
      <c r="L25" s="119"/>
      <c r="M25" s="119"/>
      <c r="N25" s="119"/>
      <c r="O25" s="119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20"/>
      <c r="K27" s="120"/>
      <c r="L27" s="120"/>
      <c r="M27" s="120"/>
      <c r="N27" s="120"/>
      <c r="O27" s="120"/>
    </row>
    <row r="28" spans="1:16" x14ac:dyDescent="0.25">
      <c r="A28" s="47"/>
      <c r="B28" s="47"/>
      <c r="C28" s="47"/>
      <c r="D28" s="47"/>
      <c r="E28" s="48"/>
      <c r="I28" s="118"/>
      <c r="J28" s="118"/>
      <c r="K28" s="118"/>
      <c r="L28" s="118"/>
      <c r="M28" s="118"/>
      <c r="N28" s="118"/>
      <c r="O28" s="118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7"/>
      <c r="M29" s="107"/>
      <c r="N29" s="107"/>
      <c r="O29" s="107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65"/>
      <c r="B31" s="165"/>
      <c r="C31" s="44"/>
      <c r="D31" s="46"/>
      <c r="E31" s="46"/>
    </row>
  </sheetData>
  <mergeCells count="25">
    <mergeCell ref="A14:B14"/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A1:F1"/>
    <mergeCell ref="H1:N1"/>
    <mergeCell ref="A2:F2"/>
    <mergeCell ref="H2:N2"/>
    <mergeCell ref="A3:B3"/>
    <mergeCell ref="A4:B4"/>
    <mergeCell ref="A5:B5"/>
    <mergeCell ref="A6:B6"/>
    <mergeCell ref="A7:F7"/>
    <mergeCell ref="H8:N8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4"/>
  <sheetViews>
    <sheetView showGridLines="0" topLeftCell="B1" zoomScaleNormal="100" workbookViewId="0">
      <selection activeCell="J10" sqref="J10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80" t="s">
        <v>18</v>
      </c>
      <c r="B1" s="181"/>
      <c r="C1" s="181"/>
      <c r="D1" s="182"/>
      <c r="F1" s="178" t="s">
        <v>18</v>
      </c>
      <c r="G1" s="181"/>
      <c r="H1" s="181"/>
      <c r="I1" s="181"/>
      <c r="J1" s="181"/>
      <c r="K1" s="181"/>
      <c r="L1" s="181"/>
      <c r="M1" s="181"/>
      <c r="N1" s="179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83" t="s">
        <v>19</v>
      </c>
      <c r="B2" s="183"/>
      <c r="C2" s="183"/>
      <c r="D2" s="183"/>
      <c r="F2" s="187" t="s">
        <v>19</v>
      </c>
      <c r="G2" s="188"/>
      <c r="H2" s="188"/>
      <c r="I2" s="188"/>
      <c r="J2" s="188"/>
      <c r="K2" s="188"/>
      <c r="L2" s="188"/>
      <c r="M2" s="188"/>
      <c r="N2" s="188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20</v>
      </c>
      <c r="C3" s="1" t="s">
        <v>21</v>
      </c>
      <c r="D3" s="1" t="s">
        <v>22</v>
      </c>
      <c r="F3" s="4" t="s">
        <v>23</v>
      </c>
      <c r="G3" s="9" t="s">
        <v>46</v>
      </c>
      <c r="H3" s="9" t="s">
        <v>24</v>
      </c>
      <c r="I3" s="4" t="s">
        <v>47</v>
      </c>
      <c r="J3" s="4" t="s">
        <v>48</v>
      </c>
      <c r="K3" s="4" t="s">
        <v>49</v>
      </c>
      <c r="L3" s="4" t="s">
        <v>50</v>
      </c>
      <c r="M3" s="4" t="s">
        <v>51</v>
      </c>
      <c r="N3" s="4" t="s">
        <v>52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27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28</v>
      </c>
      <c r="B5" s="8">
        <v>1</v>
      </c>
      <c r="C5" s="3">
        <v>3000000</v>
      </c>
      <c r="D5" s="12">
        <f>C5*B5</f>
        <v>3000000</v>
      </c>
      <c r="F5" s="189" t="s">
        <v>26</v>
      </c>
      <c r="G5" s="189"/>
      <c r="H5" s="189"/>
      <c r="I5" s="189"/>
      <c r="J5" s="189"/>
      <c r="K5" s="189"/>
      <c r="L5" s="189"/>
      <c r="M5" s="189"/>
      <c r="N5" s="189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75" t="s">
        <v>29</v>
      </c>
      <c r="B6" s="175"/>
      <c r="C6" s="5">
        <f>SUM(C4:C5)</f>
        <v>6000000</v>
      </c>
      <c r="D6" s="14">
        <f>SUM(D4:D5)</f>
        <v>6000000</v>
      </c>
      <c r="F6" s="4" t="s">
        <v>23</v>
      </c>
      <c r="G6" s="9" t="s">
        <v>46</v>
      </c>
      <c r="H6" s="9" t="s">
        <v>24</v>
      </c>
      <c r="I6" s="4" t="s">
        <v>47</v>
      </c>
      <c r="J6" s="4" t="s">
        <v>48</v>
      </c>
      <c r="K6" s="4" t="s">
        <v>49</v>
      </c>
      <c r="L6" s="4" t="s">
        <v>50</v>
      </c>
      <c r="M6" s="4" t="s">
        <v>51</v>
      </c>
      <c r="N6" s="4" t="s">
        <v>52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84" t="s">
        <v>26</v>
      </c>
      <c r="B7" s="185"/>
      <c r="C7" s="185"/>
      <c r="D7" s="186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20</v>
      </c>
      <c r="C8" s="1" t="s">
        <v>21</v>
      </c>
      <c r="D8" s="1" t="s">
        <v>22</v>
      </c>
      <c r="F8" s="189" t="s">
        <v>183</v>
      </c>
      <c r="G8" s="189"/>
      <c r="H8" s="189"/>
      <c r="I8" s="189"/>
      <c r="J8" s="189"/>
      <c r="K8" s="189"/>
      <c r="L8" s="189"/>
      <c r="M8" s="189"/>
      <c r="N8" s="189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30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23</v>
      </c>
      <c r="G9" s="9" t="s">
        <v>46</v>
      </c>
      <c r="H9" s="9" t="s">
        <v>24</v>
      </c>
      <c r="I9" s="4" t="s">
        <v>47</v>
      </c>
      <c r="J9" s="4" t="s">
        <v>48</v>
      </c>
      <c r="K9" s="4" t="s">
        <v>49</v>
      </c>
      <c r="L9" s="4" t="s">
        <v>50</v>
      </c>
      <c r="M9" s="4" t="s">
        <v>51</v>
      </c>
      <c r="N9" s="4" t="s">
        <v>52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31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32</v>
      </c>
      <c r="B11" s="6">
        <f t="shared" si="1"/>
        <v>2</v>
      </c>
      <c r="C11" s="3">
        <v>166600</v>
      </c>
      <c r="D11" s="12">
        <f t="shared" si="2"/>
        <v>333200</v>
      </c>
      <c r="F11" s="189" t="s">
        <v>177</v>
      </c>
      <c r="G11" s="189"/>
      <c r="H11" s="189"/>
      <c r="I11" s="189"/>
      <c r="J11" s="189"/>
      <c r="K11" s="189"/>
      <c r="L11" s="189"/>
      <c r="M11" s="189"/>
      <c r="N11" s="189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33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23</v>
      </c>
      <c r="G12" s="9" t="s">
        <v>46</v>
      </c>
      <c r="H12" s="9" t="s">
        <v>24</v>
      </c>
      <c r="I12" s="4" t="s">
        <v>47</v>
      </c>
      <c r="J12" s="4" t="s">
        <v>48</v>
      </c>
      <c r="K12" s="4" t="s">
        <v>49</v>
      </c>
      <c r="L12" s="4" t="s">
        <v>50</v>
      </c>
      <c r="M12" s="4" t="s">
        <v>51</v>
      </c>
      <c r="N12" s="4" t="s">
        <v>52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34</v>
      </c>
      <c r="B13" s="6">
        <f t="shared" si="1"/>
        <v>2</v>
      </c>
      <c r="C13" s="3">
        <v>210109</v>
      </c>
      <c r="D13" s="12">
        <f t="shared" si="2"/>
        <v>420218</v>
      </c>
      <c r="F13" s="69">
        <f>D26</f>
        <v>1451000</v>
      </c>
      <c r="G13" s="72" t="s">
        <v>25</v>
      </c>
      <c r="H13" s="135" t="s">
        <v>25</v>
      </c>
      <c r="I13" s="69">
        <f>F13</f>
        <v>1451000</v>
      </c>
      <c r="J13" s="136"/>
      <c r="K13" s="136"/>
      <c r="L13" s="136"/>
      <c r="M13" s="136"/>
      <c r="N13" s="136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35</v>
      </c>
      <c r="B14" s="6">
        <f t="shared" si="1"/>
        <v>2</v>
      </c>
      <c r="C14" s="3">
        <v>148827</v>
      </c>
      <c r="D14" s="12">
        <f t="shared" si="2"/>
        <v>297654</v>
      </c>
      <c r="F14" s="190" t="s">
        <v>7</v>
      </c>
      <c r="G14" s="191"/>
      <c r="H14" s="191"/>
      <c r="I14" s="191"/>
      <c r="J14" s="191"/>
      <c r="K14" s="191"/>
      <c r="L14" s="191"/>
      <c r="M14" s="191"/>
      <c r="N14" s="192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36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1451000</v>
      </c>
      <c r="J15" s="16">
        <f>SUM(J4,J7,J10,J13)</f>
        <v>138102936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38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45" t="s">
        <v>29</v>
      </c>
      <c r="B17" s="147"/>
      <c r="C17" s="5">
        <f>SUM(C9:C16)</f>
        <v>894289</v>
      </c>
      <c r="D17" s="14">
        <f>SUM(D9:D16)</f>
        <v>1788578</v>
      </c>
      <c r="F17" s="178" t="s">
        <v>296</v>
      </c>
      <c r="G17" s="181"/>
      <c r="H17" s="181"/>
      <c r="I17" s="181"/>
      <c r="J17" s="181"/>
      <c r="K17" s="181"/>
      <c r="L17" s="181"/>
      <c r="M17" s="181"/>
      <c r="N17" s="179"/>
      <c r="O17" s="24"/>
      <c r="P17" s="1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193" t="s">
        <v>182</v>
      </c>
      <c r="B18" s="193"/>
      <c r="C18" s="193"/>
      <c r="D18" s="193"/>
      <c r="F18" s="187" t="s">
        <v>266</v>
      </c>
      <c r="G18" s="188"/>
      <c r="H18" s="188"/>
      <c r="I18" s="188"/>
      <c r="J18" s="188"/>
      <c r="K18" s="188"/>
      <c r="L18" s="188"/>
      <c r="M18" s="188"/>
      <c r="N18" s="188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20</v>
      </c>
      <c r="C19" s="1" t="s">
        <v>21</v>
      </c>
      <c r="D19" s="1" t="s">
        <v>22</v>
      </c>
      <c r="F19" s="113" t="s">
        <v>23</v>
      </c>
      <c r="G19" s="9" t="s">
        <v>46</v>
      </c>
      <c r="H19" s="9" t="s">
        <v>24</v>
      </c>
      <c r="I19" s="113" t="s">
        <v>47</v>
      </c>
      <c r="J19" s="113" t="s">
        <v>48</v>
      </c>
      <c r="K19" s="113" t="s">
        <v>49</v>
      </c>
      <c r="L19" s="113" t="s">
        <v>50</v>
      </c>
      <c r="M19" s="113" t="s">
        <v>51</v>
      </c>
      <c r="N19" s="113" t="s">
        <v>52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176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180</v>
      </c>
      <c r="B21" s="8">
        <v>1</v>
      </c>
      <c r="C21" s="3">
        <v>3500000</v>
      </c>
      <c r="D21" s="12">
        <f t="shared" ref="D21" si="5">C21*B21</f>
        <v>3500000</v>
      </c>
      <c r="F21" s="187" t="s">
        <v>265</v>
      </c>
      <c r="G21" s="188"/>
      <c r="H21" s="188"/>
      <c r="I21" s="188"/>
      <c r="J21" s="188"/>
      <c r="K21" s="188"/>
      <c r="L21" s="188"/>
      <c r="M21" s="188"/>
      <c r="N21" s="188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45" t="s">
        <v>29</v>
      </c>
      <c r="B22" s="147"/>
      <c r="C22" s="5">
        <f>SUM(C20:C21)</f>
        <v>3720000</v>
      </c>
      <c r="D22" s="14">
        <f>SUM(D20:D21)</f>
        <v>3720000</v>
      </c>
      <c r="F22" s="113" t="s">
        <v>23</v>
      </c>
      <c r="G22" s="9" t="s">
        <v>46</v>
      </c>
      <c r="H22" s="9" t="s">
        <v>24</v>
      </c>
      <c r="I22" s="113" t="s">
        <v>47</v>
      </c>
      <c r="J22" s="113" t="s">
        <v>48</v>
      </c>
      <c r="K22" s="113" t="s">
        <v>49</v>
      </c>
      <c r="L22" s="113" t="s">
        <v>50</v>
      </c>
      <c r="M22" s="113" t="s">
        <v>51</v>
      </c>
      <c r="N22" s="113" t="s">
        <v>52</v>
      </c>
    </row>
    <row r="23" spans="1:30" ht="15.75" thickBot="1" x14ac:dyDescent="0.3">
      <c r="A23" s="193" t="s">
        <v>177</v>
      </c>
      <c r="B23" s="193"/>
      <c r="C23" s="193"/>
      <c r="D23" s="193"/>
      <c r="F23" s="69">
        <v>120000</v>
      </c>
      <c r="G23" s="72">
        <f>F23*12</f>
        <v>1440000</v>
      </c>
      <c r="H23" s="135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293</v>
      </c>
    </row>
    <row r="24" spans="1:30" ht="15.75" thickBot="1" x14ac:dyDescent="0.3">
      <c r="A24" s="11" t="s">
        <v>1</v>
      </c>
      <c r="B24" s="1" t="s">
        <v>20</v>
      </c>
      <c r="C24" s="1" t="s">
        <v>21</v>
      </c>
      <c r="D24" s="1" t="s">
        <v>22</v>
      </c>
      <c r="F24" s="190" t="s">
        <v>7</v>
      </c>
      <c r="G24" s="191"/>
      <c r="H24" s="191"/>
      <c r="I24" s="191"/>
      <c r="J24" s="191"/>
      <c r="K24" s="191"/>
      <c r="L24" s="191"/>
      <c r="M24" s="191"/>
      <c r="N24" s="192"/>
      <c r="P24" t="s">
        <v>294</v>
      </c>
    </row>
    <row r="25" spans="1:30" ht="15.75" thickBot="1" x14ac:dyDescent="0.3">
      <c r="A25" s="15" t="s">
        <v>177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295</v>
      </c>
    </row>
    <row r="26" spans="1:30" ht="15.75" thickBot="1" x14ac:dyDescent="0.3">
      <c r="A26" s="145" t="s">
        <v>29</v>
      </c>
      <c r="B26" s="147"/>
      <c r="C26" s="5">
        <f>SUM(C25)</f>
        <v>1451000</v>
      </c>
      <c r="D26" s="14">
        <f>SUM(D25)</f>
        <v>1451000</v>
      </c>
    </row>
    <row r="27" spans="1:30" ht="15.75" thickBot="1" x14ac:dyDescent="0.3">
      <c r="F27" s="190" t="s">
        <v>297</v>
      </c>
      <c r="G27" s="191"/>
      <c r="H27" s="191"/>
      <c r="I27" s="191"/>
      <c r="J27" s="191"/>
      <c r="K27" s="191"/>
      <c r="L27" s="191"/>
      <c r="M27" s="191"/>
      <c r="N27" s="192"/>
    </row>
    <row r="28" spans="1:30" ht="15.75" thickBot="1" x14ac:dyDescent="0.3">
      <c r="I28" s="16">
        <f t="shared" ref="I28:N28" si="8">SUM(I15,I25)</f>
        <v>1451000</v>
      </c>
      <c r="J28" s="16">
        <f t="shared" si="8"/>
        <v>139698936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24"/>
      <c r="B29" s="124"/>
      <c r="I29" s="137"/>
      <c r="J29" s="137"/>
      <c r="K29" s="137"/>
      <c r="L29" s="137"/>
      <c r="M29" s="137"/>
      <c r="N29" s="137"/>
    </row>
    <row r="30" spans="1:30" ht="15.75" thickBot="1" x14ac:dyDescent="0.3">
      <c r="A30" s="124"/>
      <c r="B30" s="124"/>
      <c r="F30" s="197" t="s">
        <v>80</v>
      </c>
      <c r="G30" s="198"/>
      <c r="H30" s="198"/>
      <c r="I30" s="198"/>
      <c r="J30" s="198"/>
      <c r="K30" s="198"/>
      <c r="L30" s="198"/>
      <c r="M30" s="198"/>
      <c r="N30" s="199"/>
    </row>
    <row r="31" spans="1:30" x14ac:dyDescent="0.25">
      <c r="A31" s="124"/>
      <c r="B31" s="124"/>
      <c r="J31" s="138">
        <f>'Amortización y Depreciación'!G18</f>
        <v>1640000</v>
      </c>
      <c r="K31" s="138">
        <f>J31</f>
        <v>1640000</v>
      </c>
      <c r="L31" s="138">
        <f t="shared" ref="L31:N31" si="9">K31</f>
        <v>1640000</v>
      </c>
      <c r="M31" s="138">
        <f t="shared" si="9"/>
        <v>1640000</v>
      </c>
      <c r="N31" s="138">
        <f t="shared" si="9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200" t="s">
        <v>298</v>
      </c>
      <c r="G33" s="201"/>
      <c r="H33" s="201"/>
      <c r="I33" s="201"/>
      <c r="J33" s="201"/>
      <c r="K33" s="201"/>
      <c r="L33" s="201"/>
      <c r="M33" s="201"/>
      <c r="N33" s="202"/>
    </row>
    <row r="34" spans="1:15" ht="15.75" thickBot="1" x14ac:dyDescent="0.3">
      <c r="A34" s="23"/>
      <c r="B34" s="23"/>
      <c r="J34" s="16">
        <f>SUM(J28,J31)</f>
        <v>141338936</v>
      </c>
      <c r="K34" s="16">
        <f t="shared" ref="K34:N34" si="10">SUM(K28,K31)</f>
        <v>153459389.59999999</v>
      </c>
      <c r="L34" s="16">
        <f t="shared" si="10"/>
        <v>168573658.16</v>
      </c>
      <c r="M34" s="16">
        <f t="shared" si="10"/>
        <v>185195293.35200006</v>
      </c>
      <c r="N34" s="16">
        <f t="shared" si="10"/>
        <v>203474788.22576007</v>
      </c>
    </row>
    <row r="35" spans="1:15" ht="15.75" thickBot="1" x14ac:dyDescent="0.3">
      <c r="A35" s="178" t="s">
        <v>39</v>
      </c>
      <c r="B35" s="179"/>
    </row>
    <row r="36" spans="1:15" ht="15.75" thickBot="1" x14ac:dyDescent="0.3">
      <c r="A36" s="15" t="s">
        <v>40</v>
      </c>
      <c r="B36" s="12">
        <v>1288000</v>
      </c>
      <c r="F36" s="178" t="s">
        <v>283</v>
      </c>
      <c r="G36" s="181"/>
      <c r="H36" s="181"/>
      <c r="I36" s="181"/>
      <c r="J36" s="181"/>
      <c r="K36" s="181"/>
      <c r="L36" s="181"/>
      <c r="M36" s="181"/>
      <c r="N36" s="179"/>
    </row>
    <row r="37" spans="1:15" x14ac:dyDescent="0.25">
      <c r="A37" s="15" t="s">
        <v>41</v>
      </c>
      <c r="B37" s="12">
        <v>30000</v>
      </c>
      <c r="F37" s="194" t="s">
        <v>284</v>
      </c>
      <c r="G37" s="194"/>
      <c r="H37" s="194"/>
      <c r="I37" s="194"/>
      <c r="J37" s="194"/>
      <c r="K37" s="194"/>
      <c r="L37" s="194"/>
      <c r="M37" s="194"/>
      <c r="N37" s="194"/>
    </row>
    <row r="38" spans="1:15" x14ac:dyDescent="0.25">
      <c r="A38" s="15" t="s">
        <v>42</v>
      </c>
      <c r="B38" s="12">
        <v>69000</v>
      </c>
      <c r="F38" s="196" t="s">
        <v>60</v>
      </c>
      <c r="G38" s="196"/>
      <c r="H38" s="196"/>
      <c r="I38" s="113" t="s">
        <v>47</v>
      </c>
      <c r="J38" s="113" t="s">
        <v>48</v>
      </c>
      <c r="K38" s="113" t="s">
        <v>49</v>
      </c>
      <c r="L38" s="113" t="s">
        <v>50</v>
      </c>
      <c r="M38" s="113" t="s">
        <v>51</v>
      </c>
      <c r="N38" s="113" t="s">
        <v>52</v>
      </c>
      <c r="O38" s="39"/>
    </row>
    <row r="39" spans="1:15" x14ac:dyDescent="0.25">
      <c r="A39" s="15" t="s">
        <v>43</v>
      </c>
      <c r="B39" s="12">
        <v>64000</v>
      </c>
      <c r="C39" s="17"/>
      <c r="D39" s="17"/>
      <c r="F39" s="195" t="s">
        <v>274</v>
      </c>
      <c r="G39" s="195"/>
      <c r="H39" s="195"/>
      <c r="I39" s="130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44</v>
      </c>
      <c r="B40" s="12" t="s">
        <v>25</v>
      </c>
      <c r="C40" s="18"/>
      <c r="D40" s="18"/>
      <c r="F40" s="195" t="s">
        <v>299</v>
      </c>
      <c r="G40" s="195"/>
      <c r="H40" s="195"/>
      <c r="I40" s="130"/>
      <c r="J40" s="7">
        <f>J34</f>
        <v>141338936</v>
      </c>
      <c r="K40" s="7">
        <f t="shared" ref="K40:N40" si="11">K34</f>
        <v>153459389.59999999</v>
      </c>
      <c r="L40" s="7">
        <f t="shared" si="11"/>
        <v>168573658.16</v>
      </c>
      <c r="M40" s="7">
        <f t="shared" si="11"/>
        <v>185195293.35200006</v>
      </c>
      <c r="N40" s="7">
        <f t="shared" si="11"/>
        <v>203474788.22576007</v>
      </c>
    </row>
    <row r="41" spans="1:15" x14ac:dyDescent="0.25">
      <c r="A41" s="15" t="s">
        <v>45</v>
      </c>
      <c r="B41" s="12" t="s">
        <v>25</v>
      </c>
      <c r="F41" s="189" t="s">
        <v>286</v>
      </c>
      <c r="G41" s="189"/>
      <c r="H41" s="189"/>
      <c r="I41" s="189"/>
      <c r="J41" s="189"/>
      <c r="K41" s="189"/>
      <c r="L41" s="189"/>
      <c r="M41" s="189"/>
      <c r="N41" s="189"/>
    </row>
    <row r="42" spans="1:15" x14ac:dyDescent="0.25">
      <c r="A42" s="19" t="s">
        <v>29</v>
      </c>
      <c r="B42" s="5">
        <f>SUM(B36:B39)</f>
        <v>1451000</v>
      </c>
      <c r="F42" s="196" t="s">
        <v>60</v>
      </c>
      <c r="G42" s="196"/>
      <c r="H42" s="196"/>
      <c r="I42" s="113" t="s">
        <v>47</v>
      </c>
      <c r="J42" s="113" t="s">
        <v>48</v>
      </c>
      <c r="K42" s="113" t="s">
        <v>49</v>
      </c>
      <c r="L42" s="113" t="s">
        <v>50</v>
      </c>
      <c r="M42" s="113" t="s">
        <v>51</v>
      </c>
      <c r="N42" s="113" t="s">
        <v>52</v>
      </c>
      <c r="O42" s="113" t="s">
        <v>289</v>
      </c>
    </row>
    <row r="43" spans="1:15" ht="15.75" thickBot="1" x14ac:dyDescent="0.3">
      <c r="F43" s="195" t="s">
        <v>287</v>
      </c>
      <c r="G43" s="195"/>
      <c r="H43" s="195"/>
      <c r="I43" s="130"/>
      <c r="J43" s="128">
        <f>(J34/12)/(J39/12)</f>
        <v>2382.2153994682026</v>
      </c>
      <c r="K43" s="128">
        <f t="shared" ref="K43:N43" si="12">(K34/12)/(K39/12)</f>
        <v>2148.9119994427797</v>
      </c>
      <c r="L43" s="128">
        <f t="shared" si="12"/>
        <v>1905.688339375123</v>
      </c>
      <c r="M43" s="128">
        <f t="shared" si="12"/>
        <v>1638.5322301111421</v>
      </c>
      <c r="N43" s="128">
        <f t="shared" si="12"/>
        <v>1356.0923484562215</v>
      </c>
      <c r="O43" s="132">
        <f>AVERAGE(J43:N43)</f>
        <v>1886.2880633706936</v>
      </c>
    </row>
    <row r="44" spans="1:15" ht="15.75" thickBot="1" x14ac:dyDescent="0.3">
      <c r="A44" s="178" t="s">
        <v>181</v>
      </c>
      <c r="B44" s="179"/>
      <c r="F44" s="195" t="s">
        <v>288</v>
      </c>
      <c r="G44" s="195"/>
      <c r="H44" s="195"/>
      <c r="I44" s="130"/>
      <c r="J44" s="128">
        <f>J43*12</f>
        <v>28586.584793618429</v>
      </c>
      <c r="K44" s="128">
        <f t="shared" ref="K44:N44" si="13">K43*12</f>
        <v>25786.943993313354</v>
      </c>
      <c r="L44" s="128">
        <f t="shared" si="13"/>
        <v>22868.260072501474</v>
      </c>
      <c r="M44" s="128">
        <f t="shared" si="13"/>
        <v>19662.386761333706</v>
      </c>
      <c r="N44" s="128">
        <f t="shared" si="13"/>
        <v>16273.108181474658</v>
      </c>
      <c r="O44" s="132">
        <f>AVERAGE(J44:N44)</f>
        <v>22635.456760448324</v>
      </c>
    </row>
    <row r="45" spans="1:15" x14ac:dyDescent="0.25">
      <c r="A45" s="77" t="s">
        <v>8</v>
      </c>
      <c r="B45" s="77" t="s">
        <v>2</v>
      </c>
    </row>
    <row r="46" spans="1:15" x14ac:dyDescent="0.25">
      <c r="A46" s="15" t="s">
        <v>190</v>
      </c>
      <c r="B46" s="12">
        <f>'Inversión Inicial'!D17</f>
        <v>8200000</v>
      </c>
    </row>
    <row r="47" spans="1:15" x14ac:dyDescent="0.25">
      <c r="A47" s="15" t="s">
        <v>191</v>
      </c>
      <c r="B47" s="12">
        <f>B42</f>
        <v>1451000</v>
      </c>
    </row>
    <row r="48" spans="1:15" x14ac:dyDescent="0.25">
      <c r="A48" s="115" t="s">
        <v>189</v>
      </c>
      <c r="B48" s="12">
        <f>'Inversión Inicial'!B3</f>
        <v>5000000</v>
      </c>
    </row>
    <row r="49" spans="1:7" x14ac:dyDescent="0.25">
      <c r="A49" s="115" t="s">
        <v>188</v>
      </c>
      <c r="B49" s="12">
        <f>'Inversión Inicial'!B4</f>
        <v>3740000</v>
      </c>
    </row>
    <row r="50" spans="1:7" x14ac:dyDescent="0.25">
      <c r="A50" s="115" t="s">
        <v>4</v>
      </c>
      <c r="B50" s="12">
        <f>'Inversión Inicial'!B6</f>
        <v>7000000</v>
      </c>
    </row>
    <row r="51" spans="1:7" x14ac:dyDescent="0.25">
      <c r="A51" s="115" t="s">
        <v>5</v>
      </c>
      <c r="B51" s="12">
        <f>'Inversión Inicial'!B7</f>
        <v>6000000</v>
      </c>
      <c r="G51" t="s">
        <v>291</v>
      </c>
    </row>
    <row r="52" spans="1:7" x14ac:dyDescent="0.25">
      <c r="A52" s="115" t="s">
        <v>6</v>
      </c>
      <c r="B52" s="12">
        <f>'Inversión Inicial'!B8</f>
        <v>3700000</v>
      </c>
      <c r="G52" t="s">
        <v>292</v>
      </c>
    </row>
    <row r="53" spans="1:7" x14ac:dyDescent="0.25">
      <c r="A53" s="115" t="s">
        <v>234</v>
      </c>
      <c r="B53" s="12">
        <f>'Inversión Inicial'!B9</f>
        <v>1000000</v>
      </c>
    </row>
    <row r="54" spans="1:7" x14ac:dyDescent="0.25">
      <c r="A54" s="19" t="s">
        <v>29</v>
      </c>
      <c r="B54" s="5">
        <f>SUM(B46:B53)</f>
        <v>36091000</v>
      </c>
    </row>
  </sheetData>
  <mergeCells count="33">
    <mergeCell ref="F43:H43"/>
    <mergeCell ref="F44:H44"/>
    <mergeCell ref="F30:N30"/>
    <mergeCell ref="F33:N33"/>
    <mergeCell ref="F40:H40"/>
    <mergeCell ref="F41:N41"/>
    <mergeCell ref="F42:H42"/>
    <mergeCell ref="F24:N24"/>
    <mergeCell ref="F27:N27"/>
    <mergeCell ref="F36:N36"/>
    <mergeCell ref="F37:N37"/>
    <mergeCell ref="F39:H39"/>
    <mergeCell ref="F38:H38"/>
    <mergeCell ref="F14:N14"/>
    <mergeCell ref="A17:B17"/>
    <mergeCell ref="A18:D18"/>
    <mergeCell ref="A22:B22"/>
    <mergeCell ref="A23:D23"/>
    <mergeCell ref="F17:N17"/>
    <mergeCell ref="F18:N18"/>
    <mergeCell ref="F21:N21"/>
    <mergeCell ref="F1:N1"/>
    <mergeCell ref="F2:N2"/>
    <mergeCell ref="F5:N5"/>
    <mergeCell ref="F8:N8"/>
    <mergeCell ref="F11:N11"/>
    <mergeCell ref="A44:B44"/>
    <mergeCell ref="A1:D1"/>
    <mergeCell ref="A2:D2"/>
    <mergeCell ref="A7:D7"/>
    <mergeCell ref="A35:B35"/>
    <mergeCell ref="A26:B26"/>
    <mergeCell ref="A6:B6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topLeftCell="B1" zoomScale="130" zoomScaleNormal="130" workbookViewId="0">
      <selection activeCell="F4" sqref="F4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03" t="s">
        <v>75</v>
      </c>
      <c r="B1" s="204"/>
      <c r="D1" s="205" t="s">
        <v>220</v>
      </c>
      <c r="E1" s="206"/>
      <c r="F1" s="206"/>
      <c r="G1" s="206"/>
      <c r="H1" s="206"/>
      <c r="I1" s="206"/>
      <c r="J1" s="17"/>
      <c r="K1" s="17"/>
      <c r="L1" s="17"/>
      <c r="M1" s="17"/>
      <c r="N1" s="17"/>
      <c r="O1" s="17"/>
      <c r="P1" s="17"/>
    </row>
    <row r="2" spans="1:16" x14ac:dyDescent="0.25">
      <c r="A2" s="207" t="s">
        <v>76</v>
      </c>
      <c r="B2" s="207"/>
      <c r="D2" s="55" t="s">
        <v>77</v>
      </c>
      <c r="E2" s="55" t="s">
        <v>78</v>
      </c>
      <c r="F2" s="55" t="s">
        <v>221</v>
      </c>
      <c r="G2" s="55" t="s">
        <v>222</v>
      </c>
      <c r="H2" s="55" t="s">
        <v>79</v>
      </c>
      <c r="I2" s="55" t="s">
        <v>223</v>
      </c>
      <c r="K2" s="45"/>
      <c r="L2" s="45"/>
      <c r="M2" s="45"/>
      <c r="N2" s="45"/>
      <c r="O2" s="45"/>
      <c r="P2" s="45"/>
    </row>
    <row r="3" spans="1:16" x14ac:dyDescent="0.25">
      <c r="A3" s="56" t="s">
        <v>8</v>
      </c>
      <c r="B3" s="1" t="s">
        <v>20</v>
      </c>
      <c r="D3" s="20" t="s">
        <v>224</v>
      </c>
      <c r="E3" s="3">
        <f>B4</f>
        <v>16240950</v>
      </c>
      <c r="F3" s="3">
        <v>0</v>
      </c>
      <c r="G3" s="3">
        <v>0</v>
      </c>
      <c r="H3" s="3">
        <v>0</v>
      </c>
      <c r="I3" s="5">
        <f>E3</f>
        <v>16240950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218</v>
      </c>
      <c r="B4" s="3">
        <f>'Proyección de Ventas e Incremen'!B16</f>
        <v>16240950</v>
      </c>
      <c r="D4" s="20" t="s">
        <v>225</v>
      </c>
      <c r="E4" s="3">
        <f>I3</f>
        <v>16240950</v>
      </c>
      <c r="F4" s="3">
        <f>E4*$B$7</f>
        <v>2702494.08</v>
      </c>
      <c r="G4" s="3">
        <f>$B$8</f>
        <v>5878423.1864712453</v>
      </c>
      <c r="H4" s="3">
        <f>G4-F4</f>
        <v>3175929.1064712452</v>
      </c>
      <c r="I4" s="5">
        <f t="shared" ref="I4:I8" si="0">E4-H4</f>
        <v>13065020.893528756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217</v>
      </c>
      <c r="B5" s="3">
        <v>0</v>
      </c>
      <c r="D5" s="20" t="s">
        <v>226</v>
      </c>
      <c r="E5" s="3">
        <f>I4</f>
        <v>13065020.893528756</v>
      </c>
      <c r="F5" s="3">
        <f>E5*$B$7</f>
        <v>2174019.476683185</v>
      </c>
      <c r="G5" s="3">
        <f t="shared" ref="G5:G7" si="1">$B$8</f>
        <v>5878423.1864712453</v>
      </c>
      <c r="H5" s="3">
        <f t="shared" ref="H5:H8" si="2">G5-F5</f>
        <v>3704403.7097880603</v>
      </c>
      <c r="I5" s="5">
        <f t="shared" si="0"/>
        <v>9360617.1837406959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219</v>
      </c>
      <c r="B6" s="8" t="s">
        <v>91</v>
      </c>
      <c r="D6" s="20" t="s">
        <v>227</v>
      </c>
      <c r="E6" s="3">
        <f t="shared" ref="E6:E8" si="3">I5</f>
        <v>9360617.1837406959</v>
      </c>
      <c r="F6" s="3">
        <f t="shared" ref="F6:F8" si="4">E6*$B$7</f>
        <v>1557606.6993744518</v>
      </c>
      <c r="G6" s="3">
        <f t="shared" si="1"/>
        <v>5878423.1864712453</v>
      </c>
      <c r="H6" s="3">
        <f t="shared" si="2"/>
        <v>4320816.4870967939</v>
      </c>
      <c r="I6" s="5">
        <f t="shared" si="0"/>
        <v>5039800.696643902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216</v>
      </c>
      <c r="B7" s="59">
        <v>0.16639999999999999</v>
      </c>
      <c r="D7" s="20" t="s">
        <v>228</v>
      </c>
      <c r="E7" s="3">
        <f t="shared" si="3"/>
        <v>5039800.696643902</v>
      </c>
      <c r="F7" s="3">
        <f t="shared" si="4"/>
        <v>838622.83592154528</v>
      </c>
      <c r="G7" s="3">
        <f t="shared" si="1"/>
        <v>5878423.1864712453</v>
      </c>
      <c r="H7" s="3">
        <f t="shared" si="2"/>
        <v>5039800.3505496997</v>
      </c>
      <c r="I7" s="5">
        <f t="shared" si="0"/>
        <v>0.34609420225024223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215</v>
      </c>
      <c r="B8" s="3">
        <f>((B4*1.44780279145524)/4)</f>
        <v>5878423.1864712453</v>
      </c>
      <c r="D8" s="20" t="s">
        <v>229</v>
      </c>
      <c r="E8" s="3">
        <f t="shared" si="3"/>
        <v>0.34609420225024223</v>
      </c>
      <c r="F8" s="3">
        <f t="shared" si="4"/>
        <v>5.7590075254440307E-2</v>
      </c>
      <c r="G8" s="3">
        <v>0</v>
      </c>
      <c r="H8" s="3">
        <f t="shared" si="2"/>
        <v>-5.7590075254440307E-2</v>
      </c>
      <c r="I8" s="5">
        <f t="shared" si="0"/>
        <v>0.40368427750468255</v>
      </c>
      <c r="K8" s="39">
        <f>SUM(G4:G7)</f>
        <v>23513692.745884981</v>
      </c>
    </row>
    <row r="9" spans="1:16" ht="15.75" thickBot="1" x14ac:dyDescent="0.3">
      <c r="A9" s="37" t="s">
        <v>214</v>
      </c>
      <c r="B9" s="3">
        <f>B8/12</f>
        <v>489868.59887260379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197" t="s">
        <v>80</v>
      </c>
      <c r="E10" s="198"/>
      <c r="F10" s="198"/>
      <c r="G10" s="198"/>
      <c r="H10" s="198"/>
      <c r="I10" s="198"/>
      <c r="J10" s="198"/>
      <c r="K10" s="199"/>
    </row>
    <row r="11" spans="1:16" x14ac:dyDescent="0.25">
      <c r="A11" s="61"/>
      <c r="B11" s="60"/>
      <c r="D11" s="63" t="s">
        <v>81</v>
      </c>
      <c r="E11" s="63" t="s">
        <v>82</v>
      </c>
      <c r="F11" s="63" t="s">
        <v>83</v>
      </c>
      <c r="G11" s="63" t="s">
        <v>48</v>
      </c>
      <c r="H11" s="63" t="s">
        <v>49</v>
      </c>
      <c r="I11" s="63" t="s">
        <v>50</v>
      </c>
      <c r="J11" s="64" t="s">
        <v>51</v>
      </c>
      <c r="K11" s="63" t="s">
        <v>52</v>
      </c>
    </row>
    <row r="12" spans="1:16" x14ac:dyDescent="0.25">
      <c r="A12" s="61"/>
      <c r="B12" s="60"/>
      <c r="C12" s="47"/>
      <c r="D12" s="20" t="s">
        <v>84</v>
      </c>
      <c r="E12" s="8" t="s">
        <v>85</v>
      </c>
      <c r="F12" s="3">
        <f>'Inversión Inicial'!$C$14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86</v>
      </c>
      <c r="E13" s="8" t="s">
        <v>85</v>
      </c>
      <c r="F13" s="3">
        <f>'Inversión Inicial'!$C$16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4" t="s">
        <v>261</v>
      </c>
      <c r="E14" s="8" t="s">
        <v>85</v>
      </c>
      <c r="F14" s="3">
        <f>'Inversión Inicial'!C15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87</v>
      </c>
      <c r="E15" s="8" t="s">
        <v>85</v>
      </c>
      <c r="F15" s="3">
        <f>'Inversión Inicial'!$C$14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88</v>
      </c>
      <c r="E16" s="8" t="s">
        <v>85</v>
      </c>
      <c r="F16" s="3">
        <f>'Inversión Inicial'!$C$16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262</v>
      </c>
      <c r="E17" s="8" t="s">
        <v>85</v>
      </c>
      <c r="F17" s="3">
        <f>'Inversión Inicial'!C15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72" t="s">
        <v>89</v>
      </c>
      <c r="E18" s="173"/>
      <c r="F18" s="174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45" t="s">
        <v>90</v>
      </c>
      <c r="E19" s="146"/>
      <c r="F19" s="147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108" t="s">
        <v>80</v>
      </c>
      <c r="E21" s="109"/>
      <c r="F21" s="109"/>
      <c r="G21" s="109"/>
      <c r="H21" s="109"/>
      <c r="I21" s="109"/>
      <c r="J21" s="109"/>
      <c r="K21" s="110"/>
      <c r="M21" s="47"/>
      <c r="N21" s="47"/>
      <c r="O21" s="47"/>
      <c r="P21" s="47"/>
    </row>
    <row r="22" spans="1:16" x14ac:dyDescent="0.25">
      <c r="B22" s="38"/>
      <c r="D22" s="63" t="s">
        <v>81</v>
      </c>
      <c r="E22" s="63" t="s">
        <v>82</v>
      </c>
      <c r="F22" s="63" t="s">
        <v>83</v>
      </c>
      <c r="G22" s="63" t="s">
        <v>48</v>
      </c>
      <c r="H22" s="63" t="s">
        <v>49</v>
      </c>
      <c r="I22" s="63" t="s">
        <v>50</v>
      </c>
      <c r="J22" s="64" t="s">
        <v>51</v>
      </c>
      <c r="K22" s="63" t="s">
        <v>52</v>
      </c>
      <c r="M22" s="44"/>
      <c r="N22" s="44"/>
      <c r="O22" s="44"/>
      <c r="P22" s="44"/>
    </row>
    <row r="23" spans="1:16" x14ac:dyDescent="0.25">
      <c r="A23" s="18"/>
      <c r="B23" s="44"/>
      <c r="D23" s="104" t="s">
        <v>84</v>
      </c>
      <c r="E23" s="8" t="s">
        <v>85</v>
      </c>
      <c r="F23" s="3">
        <f>'Inversión Inicial'!$C$14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51"/>
      <c r="B24" s="151"/>
      <c r="D24" s="5" t="s">
        <v>86</v>
      </c>
      <c r="E24" s="8" t="s">
        <v>85</v>
      </c>
      <c r="F24" s="3">
        <f>'Inversión Inicial'!$C$16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4" t="s">
        <v>261</v>
      </c>
      <c r="E25" s="8" t="s">
        <v>85</v>
      </c>
      <c r="F25" s="3">
        <f>'Inversión Inicial'!C15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4" t="s">
        <v>87</v>
      </c>
      <c r="E26" s="8" t="s">
        <v>85</v>
      </c>
      <c r="F26" s="3">
        <f>'Inversión Inicial'!$C$14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88</v>
      </c>
      <c r="E27" s="8" t="s">
        <v>85</v>
      </c>
      <c r="F27" s="3">
        <f>'Inversión Inicial'!$C$16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262</v>
      </c>
      <c r="E28" s="8" t="s">
        <v>85</v>
      </c>
      <c r="F28" s="3">
        <f>'Inversión Inicial'!$C$15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51"/>
      <c r="B29" s="151"/>
      <c r="D29" s="172" t="s">
        <v>89</v>
      </c>
      <c r="E29" s="173"/>
      <c r="F29" s="174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45" t="s">
        <v>90</v>
      </c>
      <c r="E30" s="146"/>
      <c r="F30" s="147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0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"/>
  <sheetViews>
    <sheetView showGridLines="0" tabSelected="1" topLeftCell="A13" zoomScale="115" zoomScaleNormal="115" workbookViewId="0">
      <selection activeCell="C21" sqref="C21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12" t="s">
        <v>92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93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94</v>
      </c>
      <c r="B4" s="217"/>
      <c r="C4" s="66" t="s">
        <v>111</v>
      </c>
      <c r="D4" s="66" t="s">
        <v>112</v>
      </c>
      <c r="E4" s="66" t="s">
        <v>113</v>
      </c>
      <c r="F4" s="66" t="s">
        <v>114</v>
      </c>
      <c r="G4" s="66" t="s">
        <v>115</v>
      </c>
      <c r="H4" s="66" t="s">
        <v>116</v>
      </c>
    </row>
    <row r="5" spans="1:8" ht="15.75" thickBot="1" x14ac:dyDescent="0.3">
      <c r="A5" s="218" t="s">
        <v>95</v>
      </c>
      <c r="B5" s="219"/>
    </row>
    <row r="6" spans="1:8" x14ac:dyDescent="0.25">
      <c r="A6" s="220" t="s">
        <v>96</v>
      </c>
      <c r="B6" s="220"/>
    </row>
    <row r="7" spans="1:8" ht="15.75" thickBot="1" x14ac:dyDescent="0.3">
      <c r="B7" s="67" t="s">
        <v>97</v>
      </c>
      <c r="C7" s="3">
        <f>'Proyección de Ventas e Incremen'!B18</f>
        <v>36091000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98</v>
      </c>
      <c r="C8" s="71">
        <f t="shared" ref="C8:H8" si="0">SUM(C7:C7)</f>
        <v>36091000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10" t="s">
        <v>99</v>
      </c>
      <c r="B10" s="211"/>
    </row>
    <row r="11" spans="1:8" x14ac:dyDescent="0.25">
      <c r="B11" s="67" t="s">
        <v>173</v>
      </c>
      <c r="C11" s="3">
        <v>0</v>
      </c>
      <c r="D11" s="3">
        <f>8200000-D12</f>
        <v>6560000</v>
      </c>
      <c r="E11" s="3">
        <f>D11-E12</f>
        <v>4920000</v>
      </c>
      <c r="F11" s="3">
        <f>E11-E12</f>
        <v>3280000</v>
      </c>
      <c r="G11" s="3">
        <f>F11-F12</f>
        <v>1640000</v>
      </c>
      <c r="H11" s="3">
        <f>G11-G12</f>
        <v>0</v>
      </c>
    </row>
    <row r="12" spans="1:8" x14ac:dyDescent="0.25">
      <c r="B12" s="111" t="s">
        <v>100</v>
      </c>
      <c r="C12" s="112">
        <v>0</v>
      </c>
      <c r="D12" s="112">
        <f>'Amortización y Depreciación'!G18</f>
        <v>1640000</v>
      </c>
      <c r="E12" s="112">
        <v>1640000</v>
      </c>
      <c r="F12" s="112">
        <v>1640000</v>
      </c>
      <c r="G12" s="112">
        <v>1640000</v>
      </c>
      <c r="H12" s="112">
        <v>1640000</v>
      </c>
    </row>
    <row r="13" spans="1:8" ht="15.75" thickBot="1" x14ac:dyDescent="0.3">
      <c r="B13" s="67" t="s">
        <v>174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101</v>
      </c>
      <c r="C14" s="71">
        <f>C11+C13</f>
        <v>0</v>
      </c>
      <c r="D14" s="71">
        <f>SUM(D11:D13)</f>
        <v>9651000</v>
      </c>
      <c r="E14" s="71">
        <f>SUM(E11:E13)</f>
        <v>8011000</v>
      </c>
      <c r="F14" s="71">
        <f>SUM(F11:F13)</f>
        <v>6371000</v>
      </c>
      <c r="G14" s="71">
        <f>SUM(G11:G13)</f>
        <v>4731000</v>
      </c>
      <c r="H14" s="71">
        <f>SUM(H11:H13)</f>
        <v>3091000</v>
      </c>
    </row>
    <row r="15" spans="1:8" ht="15.75" thickBot="1" x14ac:dyDescent="0.3"/>
    <row r="16" spans="1:8" ht="22.5" customHeight="1" thickBot="1" x14ac:dyDescent="0.3">
      <c r="A16" s="208" t="s">
        <v>102</v>
      </c>
      <c r="B16" s="209"/>
      <c r="C16" s="73">
        <f>C8+C14</f>
        <v>36091000</v>
      </c>
      <c r="D16" s="73">
        <f>D8+D14</f>
        <v>172947000</v>
      </c>
      <c r="E16" s="73">
        <f>E8+E14</f>
        <v>213600663.99999997</v>
      </c>
      <c r="F16" s="73">
        <f>F8+F14</f>
        <v>270964897.56799996</v>
      </c>
      <c r="G16" s="73">
        <f>G8+G14</f>
        <v>355317914.27759993</v>
      </c>
      <c r="H16" s="73">
        <f>H8+H14</f>
        <v>484797420.21742237</v>
      </c>
    </row>
    <row r="17" spans="1:8" ht="15.75" thickBot="1" x14ac:dyDescent="0.3">
      <c r="A17" s="221" t="s">
        <v>103</v>
      </c>
      <c r="B17" s="222"/>
    </row>
    <row r="18" spans="1:8" x14ac:dyDescent="0.25">
      <c r="A18" s="223" t="s">
        <v>104</v>
      </c>
      <c r="B18" s="224"/>
    </row>
    <row r="19" spans="1:8" x14ac:dyDescent="0.25">
      <c r="B19" s="67" t="s">
        <v>310</v>
      </c>
      <c r="C19" s="3">
        <f>'Amortización y Depreciación'!B4</f>
        <v>16240950</v>
      </c>
      <c r="D19" s="3">
        <f>'Costos de Operación Gravables'!J10</f>
        <v>44640000</v>
      </c>
      <c r="E19" s="3">
        <f>'Costos de Operación Gravables'!K10</f>
        <v>47318400</v>
      </c>
      <c r="F19" s="3">
        <f>'Costos de Operación Gravables'!L10</f>
        <v>52050240.000000007</v>
      </c>
      <c r="G19" s="3">
        <f>'Costos de Operación Gravables'!M10</f>
        <v>57255264.000000015</v>
      </c>
      <c r="H19" s="3">
        <f>'Costos de Operación Gravables'!N10</f>
        <v>62980790.400000021</v>
      </c>
    </row>
    <row r="20" spans="1:8" x14ac:dyDescent="0.25">
      <c r="B20" s="67" t="s">
        <v>311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5.75" thickBot="1" x14ac:dyDescent="0.3">
      <c r="B21" s="68" t="s">
        <v>312</v>
      </c>
      <c r="C21" s="69">
        <f>'Estado de Resultados'!C20</f>
        <v>0</v>
      </c>
      <c r="D21" s="69">
        <f>'Estado de Resultados'!D20</f>
        <v>3382274.2847350636</v>
      </c>
      <c r="E21" s="69">
        <f>'Estado de Resultados'!E20</f>
        <v>14550413.924735054</v>
      </c>
      <c r="F21" s="69">
        <f>'Estado de Resultados'!F20</f>
        <v>30521428.637535051</v>
      </c>
      <c r="G21" s="69">
        <f>'Estado de Resultados'!G20</f>
        <v>55413070.74629502</v>
      </c>
      <c r="H21" s="69">
        <f>'Estado de Resultados'!H20</f>
        <v>97578440.826937795</v>
      </c>
    </row>
    <row r="22" spans="1:8" ht="16.5" thickBot="1" x14ac:dyDescent="0.3">
      <c r="B22" s="70" t="s">
        <v>105</v>
      </c>
      <c r="C22" s="71">
        <f t="shared" ref="C22:H22" si="2">SUM(C19:C21)</f>
        <v>16240950</v>
      </c>
      <c r="D22" s="71">
        <f>SUM(D19:D21)</f>
        <v>141485210.28473505</v>
      </c>
      <c r="E22" s="71">
        <f t="shared" si="2"/>
        <v>164678043.52473503</v>
      </c>
      <c r="F22" s="71">
        <f t="shared" si="2"/>
        <v>195661821.19753504</v>
      </c>
      <c r="G22" s="71">
        <f t="shared" si="2"/>
        <v>237067502.56229508</v>
      </c>
      <c r="H22" s="71">
        <f t="shared" si="2"/>
        <v>297398315.82453787</v>
      </c>
    </row>
    <row r="24" spans="1:8" ht="15.75" thickBot="1" x14ac:dyDescent="0.3">
      <c r="B24" s="68" t="s">
        <v>175</v>
      </c>
      <c r="C24" s="69">
        <f>'Estado de Resultados'!C15</f>
        <v>0</v>
      </c>
      <c r="D24" s="69">
        <f>'Estado de Resultados'!D15</f>
        <v>5878423.1864712453</v>
      </c>
      <c r="E24" s="69">
        <f>'Estado de Resultados'!E15</f>
        <v>5878423.1864712453</v>
      </c>
      <c r="F24" s="69">
        <f>'Estado de Resultados'!F15</f>
        <v>5878423.1864712453</v>
      </c>
      <c r="G24" s="69">
        <f>'Estado de Resultados'!G15</f>
        <v>5878423.1864712453</v>
      </c>
      <c r="H24" s="69">
        <f>'Estado de Resultados'!H15</f>
        <v>0</v>
      </c>
    </row>
    <row r="25" spans="1:8" thickBot="1" x14ac:dyDescent="0.3">
      <c r="B25" s="70" t="s">
        <v>107</v>
      </c>
      <c r="C25" s="71">
        <f>SUM(C24)</f>
        <v>0</v>
      </c>
      <c r="D25" s="71">
        <f t="shared" ref="D25:H25" si="3">SUM(D24)</f>
        <v>5878423.1864712453</v>
      </c>
      <c r="E25" s="71">
        <f t="shared" si="3"/>
        <v>5878423.1864712453</v>
      </c>
      <c r="F25" s="71">
        <f t="shared" si="3"/>
        <v>5878423.1864712453</v>
      </c>
      <c r="G25" s="71">
        <f t="shared" si="3"/>
        <v>5878423.1864712453</v>
      </c>
      <c r="H25" s="71">
        <f t="shared" si="3"/>
        <v>0</v>
      </c>
    </row>
    <row r="26" spans="1:8" ht="15.75" thickBot="1" x14ac:dyDescent="0.3"/>
    <row r="27" spans="1:8" ht="22.5" customHeight="1" thickBot="1" x14ac:dyDescent="0.3">
      <c r="A27" s="208" t="s">
        <v>108</v>
      </c>
      <c r="B27" s="209"/>
      <c r="C27" s="73">
        <f>C22+C25</f>
        <v>16240950</v>
      </c>
      <c r="D27" s="73">
        <f>D22+D25</f>
        <v>147363633.47120631</v>
      </c>
      <c r="E27" s="73">
        <f>E22+E25</f>
        <v>170556466.71120629</v>
      </c>
      <c r="F27" s="73">
        <f>F22+F25</f>
        <v>201540244.38400629</v>
      </c>
      <c r="G27" s="73">
        <f>G22+G25</f>
        <v>242945925.74876633</v>
      </c>
      <c r="H27" s="73">
        <f>H22+H25</f>
        <v>297398315.82453787</v>
      </c>
    </row>
    <row r="28" spans="1:8" ht="15.75" thickBot="1" x14ac:dyDescent="0.3"/>
    <row r="29" spans="1:8" ht="15.75" thickBot="1" x14ac:dyDescent="0.3">
      <c r="A29" s="221" t="s">
        <v>109</v>
      </c>
      <c r="B29" s="222"/>
    </row>
    <row r="30" spans="1:8" x14ac:dyDescent="0.25">
      <c r="B30" s="74" t="s">
        <v>13</v>
      </c>
      <c r="C30" s="7">
        <f>'Proyección de Ventas e Incremen'!B17</f>
        <v>19850050</v>
      </c>
      <c r="D30" s="7">
        <f>C30</f>
        <v>19850050</v>
      </c>
      <c r="E30" s="7">
        <f>D30</f>
        <v>19850050</v>
      </c>
      <c r="F30" s="7">
        <f t="shared" ref="F30:H30" si="4">E30</f>
        <v>19850050</v>
      </c>
      <c r="G30" s="7">
        <f t="shared" si="4"/>
        <v>19850050</v>
      </c>
      <c r="H30" s="7">
        <f t="shared" si="4"/>
        <v>19850050</v>
      </c>
    </row>
    <row r="31" spans="1:8" x14ac:dyDescent="0.25">
      <c r="B31" s="74" t="s">
        <v>313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</row>
    <row r="32" spans="1:8" x14ac:dyDescent="0.25">
      <c r="B32" s="67" t="s">
        <v>171</v>
      </c>
      <c r="C32" s="3">
        <v>0</v>
      </c>
      <c r="D32" s="3">
        <f>'Estado de Resultados'!D22</f>
        <v>6281366.5287936907</v>
      </c>
      <c r="E32" s="3">
        <f>'Estado de Resultados'!E22</f>
        <v>27022197.288793676</v>
      </c>
      <c r="F32" s="3">
        <f>'Estado de Resultados'!F22</f>
        <v>56682653.183993667</v>
      </c>
      <c r="G32" s="3">
        <f>'Estado de Resultados'!G22</f>
        <v>102909988.52883361</v>
      </c>
      <c r="H32" s="3">
        <f>'Estado de Resultados'!H22</f>
        <v>181217104.39288449</v>
      </c>
    </row>
    <row r="33" spans="1:10" ht="15.75" thickBot="1" x14ac:dyDescent="0.3">
      <c r="B33" s="47"/>
    </row>
    <row r="34" spans="1:10" ht="22.5" customHeight="1" thickBot="1" x14ac:dyDescent="0.3">
      <c r="A34" s="208" t="s">
        <v>110</v>
      </c>
      <c r="B34" s="209"/>
      <c r="C34" s="73">
        <f>SUM(C30:C32)</f>
        <v>19850050</v>
      </c>
      <c r="D34" s="73">
        <f>SUM(D30:D32)</f>
        <v>26131416.528793693</v>
      </c>
      <c r="E34" s="73">
        <f t="shared" ref="E34:H34" si="5">SUM(E30:E32)</f>
        <v>46872247.288793676</v>
      </c>
      <c r="F34" s="73">
        <f t="shared" si="5"/>
        <v>76532703.183993667</v>
      </c>
      <c r="G34" s="73">
        <f t="shared" si="5"/>
        <v>122760038.52883361</v>
      </c>
      <c r="H34" s="73">
        <f t="shared" si="5"/>
        <v>201067154.39288449</v>
      </c>
    </row>
    <row r="35" spans="1:10" ht="15.75" thickBot="1" x14ac:dyDescent="0.3"/>
    <row r="36" spans="1:10" ht="22.5" customHeight="1" thickBot="1" x14ac:dyDescent="0.3">
      <c r="A36" s="208" t="s">
        <v>172</v>
      </c>
      <c r="B36" s="209"/>
      <c r="C36" s="73">
        <f t="shared" ref="C36:H36" si="6">C27+C34</f>
        <v>36091000</v>
      </c>
      <c r="D36" s="73">
        <f>D27+D34</f>
        <v>173495050</v>
      </c>
      <c r="E36" s="73">
        <f t="shared" si="6"/>
        <v>217428713.99999997</v>
      </c>
      <c r="F36" s="73">
        <f t="shared" si="6"/>
        <v>278072947.56799996</v>
      </c>
      <c r="G36" s="73">
        <f t="shared" si="6"/>
        <v>365705964.27759993</v>
      </c>
      <c r="H36" s="73">
        <f t="shared" si="6"/>
        <v>498465470.21742237</v>
      </c>
      <c r="J36" s="39"/>
    </row>
  </sheetData>
  <mergeCells count="14">
    <mergeCell ref="A34:B34"/>
    <mergeCell ref="A36:B36"/>
    <mergeCell ref="A10:B10"/>
    <mergeCell ref="A1:H1"/>
    <mergeCell ref="A2:H2"/>
    <mergeCell ref="A4:B4"/>
    <mergeCell ref="A5:B5"/>
    <mergeCell ref="A6:B6"/>
    <mergeCell ref="A29:B29"/>
    <mergeCell ref="A16:B16"/>
    <mergeCell ref="A17:B17"/>
    <mergeCell ref="A18:B18"/>
    <mergeCell ref="A23:B23"/>
    <mergeCell ref="A27:B27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showGridLines="0" zoomScale="115" zoomScaleNormal="115" workbookViewId="0">
      <selection activeCell="H20" sqref="H20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2" t="s">
        <v>235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305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94</v>
      </c>
      <c r="B4" s="217"/>
      <c r="C4" s="66" t="s">
        <v>111</v>
      </c>
      <c r="D4" s="66" t="s">
        <v>112</v>
      </c>
      <c r="E4" s="66" t="s">
        <v>113</v>
      </c>
      <c r="F4" s="66" t="s">
        <v>114</v>
      </c>
      <c r="G4" s="66" t="s">
        <v>115</v>
      </c>
      <c r="H4" s="66" t="s">
        <v>116</v>
      </c>
    </row>
    <row r="5" spans="1:8" ht="15.75" thickBot="1" x14ac:dyDescent="0.3">
      <c r="A5" s="218" t="s">
        <v>236</v>
      </c>
      <c r="B5" s="219"/>
    </row>
    <row r="6" spans="1:8" x14ac:dyDescent="0.25">
      <c r="B6" s="117" t="s">
        <v>267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17" t="s">
        <v>268</v>
      </c>
      <c r="C7" s="7"/>
      <c r="D7" s="7">
        <f>'Costos de Operación Gravables'!J15</f>
        <v>138102936</v>
      </c>
      <c r="E7" s="7">
        <f>'Costos de Operación Gravables'!K15</f>
        <v>150127629.59999999</v>
      </c>
      <c r="F7" s="7">
        <f>'Costos de Operación Gravables'!L15</f>
        <v>165140392.56</v>
      </c>
      <c r="G7" s="7">
        <f>'Costos de Operación Gravables'!M15</f>
        <v>181654431.81600004</v>
      </c>
      <c r="H7" s="7">
        <f>'Costos de Operación Gravables'!N15</f>
        <v>199819874.99760008</v>
      </c>
    </row>
    <row r="8" spans="1:8" ht="16.5" thickBot="1" x14ac:dyDescent="0.3">
      <c r="B8" s="70" t="s">
        <v>237</v>
      </c>
      <c r="C8" s="71">
        <f>SUM(C6:C7)</f>
        <v>0</v>
      </c>
      <c r="D8" s="71">
        <f>D6-D7</f>
        <v>25193064</v>
      </c>
      <c r="E8" s="71">
        <f>E6-E7</f>
        <v>55462034.399999976</v>
      </c>
      <c r="F8" s="71">
        <f>F6-F7</f>
        <v>99453505.007999957</v>
      </c>
      <c r="G8" s="71">
        <f>G6-G7</f>
        <v>168932482.46159989</v>
      </c>
      <c r="H8" s="71">
        <f>H6-H7</f>
        <v>281886545.21982229</v>
      </c>
    </row>
    <row r="9" spans="1:8" ht="15.75" thickBot="1" x14ac:dyDescent="0.3"/>
    <row r="10" spans="1:8" ht="15.75" thickBot="1" x14ac:dyDescent="0.3">
      <c r="A10" s="221" t="s">
        <v>302</v>
      </c>
      <c r="B10" s="222"/>
    </row>
    <row r="11" spans="1:8" ht="15.75" thickBot="1" x14ac:dyDescent="0.3">
      <c r="B11" s="117" t="s">
        <v>300</v>
      </c>
      <c r="C11" s="7"/>
      <c r="D11" s="7">
        <v>9651000</v>
      </c>
      <c r="E11" s="7">
        <v>8011000</v>
      </c>
      <c r="F11" s="7">
        <v>6371000</v>
      </c>
      <c r="G11" s="7">
        <v>4731000</v>
      </c>
      <c r="H11" s="7">
        <v>3091000</v>
      </c>
    </row>
    <row r="12" spans="1:8" ht="16.5" thickBot="1" x14ac:dyDescent="0.3">
      <c r="B12" s="70" t="s">
        <v>301</v>
      </c>
      <c r="C12" s="71">
        <f>C8-C11</f>
        <v>0</v>
      </c>
      <c r="D12" s="71">
        <f>D8-D11</f>
        <v>15542064</v>
      </c>
      <c r="E12" s="71">
        <f t="shared" ref="E12:H12" si="0">E8-E11</f>
        <v>47451034.399999976</v>
      </c>
      <c r="F12" s="71">
        <f t="shared" si="0"/>
        <v>93082505.007999957</v>
      </c>
      <c r="G12" s="71">
        <f t="shared" si="0"/>
        <v>164201482.46159989</v>
      </c>
      <c r="H12" s="71">
        <f t="shared" si="0"/>
        <v>278795545.21982229</v>
      </c>
    </row>
    <row r="13" spans="1:8" ht="15.75" thickBot="1" x14ac:dyDescent="0.3"/>
    <row r="14" spans="1:8" ht="15.75" thickBot="1" x14ac:dyDescent="0.3">
      <c r="A14" s="221" t="s">
        <v>303</v>
      </c>
      <c r="B14" s="222"/>
    </row>
    <row r="15" spans="1:8" x14ac:dyDescent="0.25">
      <c r="B15" s="117" t="s">
        <v>304</v>
      </c>
      <c r="C15" s="7"/>
      <c r="D15" s="7">
        <f>'Amortización y Depreciación'!G4</f>
        <v>5878423.1864712453</v>
      </c>
      <c r="E15" s="7">
        <f>'Amortización y Depreciación'!G5</f>
        <v>5878423.1864712453</v>
      </c>
      <c r="F15" s="7">
        <f>'Amortización y Depreciación'!G6</f>
        <v>5878423.1864712453</v>
      </c>
      <c r="G15" s="7">
        <f>'Amortización y Depreciación'!G7</f>
        <v>5878423.1864712453</v>
      </c>
      <c r="H15" s="7"/>
    </row>
    <row r="16" spans="1:8" ht="15.75" thickBot="1" x14ac:dyDescent="0.3">
      <c r="B16" s="117" t="s">
        <v>306</v>
      </c>
      <c r="C16" s="7">
        <v>0</v>
      </c>
      <c r="D16" s="7"/>
      <c r="E16" s="7"/>
      <c r="F16" s="7"/>
      <c r="G16" s="7"/>
      <c r="H16" s="7"/>
    </row>
    <row r="17" spans="1:8" ht="16.5" thickBot="1" x14ac:dyDescent="0.3">
      <c r="B17" s="70" t="s">
        <v>307</v>
      </c>
      <c r="C17" s="71">
        <f>C12-C15+C16</f>
        <v>0</v>
      </c>
      <c r="D17" s="71">
        <f>D12-D15+D16</f>
        <v>9663640.8135287538</v>
      </c>
      <c r="E17" s="71">
        <f t="shared" ref="E17:H17" si="1">E12-E15+E16</f>
        <v>41572611.21352873</v>
      </c>
      <c r="F17" s="71">
        <f t="shared" si="1"/>
        <v>87204081.821528718</v>
      </c>
      <c r="G17" s="71">
        <f t="shared" si="1"/>
        <v>158323059.27512863</v>
      </c>
      <c r="H17" s="71">
        <f t="shared" si="1"/>
        <v>278795545.21982229</v>
      </c>
    </row>
    <row r="18" spans="1:8" ht="15.75" thickBot="1" x14ac:dyDescent="0.3"/>
    <row r="19" spans="1:8" ht="15.75" thickBot="1" x14ac:dyDescent="0.3">
      <c r="A19" s="221" t="s">
        <v>308</v>
      </c>
      <c r="B19" s="222"/>
    </row>
    <row r="20" spans="1:8" x14ac:dyDescent="0.25">
      <c r="B20" s="117" t="s">
        <v>243</v>
      </c>
      <c r="C20" s="7"/>
      <c r="D20" s="7">
        <f>D17*0.35</f>
        <v>3382274.2847350636</v>
      </c>
      <c r="E20" s="7">
        <f t="shared" ref="E20:H20" si="2">E17*0.35</f>
        <v>14550413.924735054</v>
      </c>
      <c r="F20" s="7">
        <f t="shared" si="2"/>
        <v>30521428.637535051</v>
      </c>
      <c r="G20" s="7">
        <f t="shared" si="2"/>
        <v>55413070.74629502</v>
      </c>
      <c r="H20" s="7">
        <f t="shared" si="2"/>
        <v>97578440.826937795</v>
      </c>
    </row>
    <row r="21" spans="1:8" ht="15.75" thickBot="1" x14ac:dyDescent="0.3"/>
    <row r="22" spans="1:8" ht="23.25" customHeight="1" thickBot="1" x14ac:dyDescent="0.3">
      <c r="A22" s="216" t="s">
        <v>309</v>
      </c>
      <c r="B22" s="217"/>
      <c r="C22" s="73">
        <f>C17-C20</f>
        <v>0</v>
      </c>
      <c r="D22" s="73">
        <f>D17-D20</f>
        <v>6281366.5287936907</v>
      </c>
      <c r="E22" s="73">
        <f t="shared" ref="E22:G22" si="3">E17-E20</f>
        <v>27022197.288793676</v>
      </c>
      <c r="F22" s="73">
        <f t="shared" si="3"/>
        <v>56682653.183993667</v>
      </c>
      <c r="G22" s="73">
        <f t="shared" si="3"/>
        <v>102909988.52883361</v>
      </c>
      <c r="H22" s="73">
        <f>H17-H20</f>
        <v>181217104.39288449</v>
      </c>
    </row>
    <row r="28" spans="1:8" ht="22.5" customHeight="1" x14ac:dyDescent="0.25"/>
  </sheetData>
  <mergeCells count="8">
    <mergeCell ref="A14:B14"/>
    <mergeCell ref="A19:B19"/>
    <mergeCell ref="A22:B22"/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showGridLines="0" zoomScaleNormal="100" workbookViewId="0">
      <selection activeCell="D13" sqref="D13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2" t="s">
        <v>245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93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94</v>
      </c>
      <c r="B4" s="217"/>
      <c r="C4" s="66" t="s">
        <v>111</v>
      </c>
      <c r="D4" s="66" t="s">
        <v>112</v>
      </c>
      <c r="E4" s="66" t="s">
        <v>113</v>
      </c>
      <c r="F4" s="66" t="s">
        <v>114</v>
      </c>
      <c r="G4" s="66" t="s">
        <v>115</v>
      </c>
      <c r="H4" s="66" t="s">
        <v>116</v>
      </c>
    </row>
    <row r="5" spans="1:8" ht="15.75" thickBot="1" x14ac:dyDescent="0.3">
      <c r="A5" s="221" t="s">
        <v>178</v>
      </c>
      <c r="B5" s="222"/>
    </row>
    <row r="6" spans="1:8" x14ac:dyDescent="0.25">
      <c r="B6" s="86" t="s">
        <v>179</v>
      </c>
      <c r="C6" s="7">
        <f>'Proyección de Ventas e Incremen'!B17</f>
        <v>19850050</v>
      </c>
      <c r="D6" s="7"/>
      <c r="E6" s="7"/>
      <c r="F6" s="7"/>
      <c r="G6" s="7"/>
      <c r="H6" s="7"/>
    </row>
    <row r="7" spans="1:8" x14ac:dyDescent="0.25">
      <c r="B7" s="86" t="s">
        <v>184</v>
      </c>
      <c r="C7" s="7">
        <f>'Proyección de Ventas e Incremen'!B16</f>
        <v>16240950</v>
      </c>
      <c r="D7" s="7"/>
      <c r="E7" s="7"/>
      <c r="F7" s="7"/>
      <c r="G7" s="7"/>
      <c r="H7" s="7"/>
    </row>
    <row r="8" spans="1:8" ht="15.75" thickBot="1" x14ac:dyDescent="0.3">
      <c r="B8" s="86" t="s">
        <v>230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231</v>
      </c>
      <c r="C9" s="71">
        <f>SUM(C6:C8)</f>
        <v>36091000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21" t="s">
        <v>232</v>
      </c>
      <c r="B11" s="222"/>
    </row>
    <row r="12" spans="1:8" x14ac:dyDescent="0.25">
      <c r="B12" s="86" t="s">
        <v>238</v>
      </c>
      <c r="C12" s="3">
        <f>SUM('Costos de Operación Gravables'!B46:B52)</f>
        <v>35091000</v>
      </c>
      <c r="D12" s="3"/>
      <c r="E12" s="3"/>
      <c r="F12" s="3"/>
      <c r="G12" s="3"/>
      <c r="H12" s="3"/>
    </row>
    <row r="13" spans="1:8" x14ac:dyDescent="0.25">
      <c r="B13" s="86" t="s">
        <v>239</v>
      </c>
      <c r="C13" s="3"/>
      <c r="D13" s="3"/>
      <c r="E13" s="3"/>
      <c r="F13" s="3"/>
      <c r="G13" s="3"/>
      <c r="H13" s="3"/>
    </row>
    <row r="14" spans="1:8" x14ac:dyDescent="0.25">
      <c r="B14" s="86" t="s">
        <v>240</v>
      </c>
      <c r="C14" s="3"/>
      <c r="D14" s="3"/>
      <c r="E14" s="3"/>
      <c r="F14" s="3"/>
      <c r="G14" s="3"/>
      <c r="H14" s="3"/>
    </row>
    <row r="15" spans="1:8" x14ac:dyDescent="0.25">
      <c r="B15" s="86" t="s">
        <v>241</v>
      </c>
      <c r="C15" s="3"/>
      <c r="D15" s="3">
        <f>'Amortización y Depreciación'!G18</f>
        <v>1640000</v>
      </c>
      <c r="E15" s="3">
        <f>D15</f>
        <v>1640000</v>
      </c>
      <c r="F15" s="3">
        <f t="shared" ref="F15:H15" si="1">E15</f>
        <v>1640000</v>
      </c>
      <c r="G15" s="3">
        <f t="shared" si="1"/>
        <v>1640000</v>
      </c>
      <c r="H15" s="3">
        <f t="shared" si="1"/>
        <v>1640000</v>
      </c>
    </row>
    <row r="16" spans="1:8" x14ac:dyDescent="0.25">
      <c r="B16" s="86" t="s">
        <v>234</v>
      </c>
      <c r="C16" s="3">
        <f>'Inversión Inicial'!B9</f>
        <v>1000000</v>
      </c>
      <c r="D16" s="3"/>
      <c r="E16" s="3"/>
      <c r="F16" s="3"/>
      <c r="G16" s="3"/>
      <c r="H16" s="3"/>
    </row>
    <row r="17" spans="1:8" x14ac:dyDescent="0.25">
      <c r="B17" s="86" t="s">
        <v>242</v>
      </c>
      <c r="C17" s="3"/>
      <c r="D17" s="3">
        <f>'Amortización y Depreciación'!F4</f>
        <v>2702494.08</v>
      </c>
      <c r="E17" s="3">
        <f>'Amortización y Depreciación'!F5</f>
        <v>2174019.476683185</v>
      </c>
      <c r="F17" s="3">
        <f>'Amortización y Depreciación'!F6</f>
        <v>1557606.6993744518</v>
      </c>
      <c r="G17" s="3">
        <f>'Amortización y Depreciación'!F7</f>
        <v>838622.83592154528</v>
      </c>
      <c r="H17" s="3"/>
    </row>
    <row r="18" spans="1:8" ht="15.75" thickBot="1" x14ac:dyDescent="0.3">
      <c r="B18" s="86" t="s">
        <v>243</v>
      </c>
      <c r="C18" s="3"/>
      <c r="D18" s="3"/>
      <c r="E18" s="3"/>
      <c r="F18" s="3"/>
      <c r="G18" s="3"/>
      <c r="H18" s="3"/>
    </row>
    <row r="19" spans="1:8" ht="16.5" thickBot="1" x14ac:dyDescent="0.3">
      <c r="B19" s="70" t="s">
        <v>244</v>
      </c>
      <c r="C19" s="71">
        <f>SUM(C12:C18)</f>
        <v>36091000</v>
      </c>
      <c r="D19" s="71">
        <f t="shared" ref="D19:H19" si="2">SUM(D12:D18)</f>
        <v>4342494.08</v>
      </c>
      <c r="E19" s="71">
        <f t="shared" si="2"/>
        <v>3814019.476683185</v>
      </c>
      <c r="F19" s="71">
        <f t="shared" si="2"/>
        <v>3197606.6993744518</v>
      </c>
      <c r="G19" s="71">
        <f t="shared" si="2"/>
        <v>2478622.8359215455</v>
      </c>
      <c r="H19" s="71">
        <f t="shared" si="2"/>
        <v>1640000</v>
      </c>
    </row>
    <row r="20" spans="1:8" ht="15.75" thickBot="1" x14ac:dyDescent="0.3"/>
    <row r="21" spans="1:8" ht="15.75" customHeight="1" thickBot="1" x14ac:dyDescent="0.3">
      <c r="A21" s="225" t="s">
        <v>252</v>
      </c>
      <c r="B21" s="226"/>
      <c r="C21" s="121">
        <f>-C19</f>
        <v>-36091000</v>
      </c>
      <c r="D21" s="71">
        <f>D9-D19</f>
        <v>158953505.91999999</v>
      </c>
      <c r="E21" s="71">
        <f t="shared" ref="E21:H21" si="3">E9-E19</f>
        <v>201775644.52331677</v>
      </c>
      <c r="F21" s="71">
        <f t="shared" si="3"/>
        <v>261396290.86862552</v>
      </c>
      <c r="G21" s="71">
        <f t="shared" si="3"/>
        <v>348108291.4416784</v>
      </c>
      <c r="H21" s="71">
        <f t="shared" si="3"/>
        <v>480066420.21742237</v>
      </c>
    </row>
    <row r="23" spans="1:8" x14ac:dyDescent="0.25">
      <c r="B23" s="15" t="s">
        <v>121</v>
      </c>
      <c r="C23" s="3"/>
      <c r="D23" s="3">
        <f>D15</f>
        <v>1640000</v>
      </c>
      <c r="E23" s="3">
        <f>D23</f>
        <v>1640000</v>
      </c>
      <c r="F23" s="3">
        <f t="shared" ref="F23:H23" si="4">E23</f>
        <v>1640000</v>
      </c>
      <c r="G23" s="3">
        <f t="shared" si="4"/>
        <v>1640000</v>
      </c>
      <c r="H23" s="3">
        <f t="shared" si="4"/>
        <v>1640000</v>
      </c>
    </row>
    <row r="24" spans="1:8" ht="15.75" thickBot="1" x14ac:dyDescent="0.3"/>
    <row r="25" spans="1:8" ht="22.5" customHeight="1" thickBot="1" x14ac:dyDescent="0.3">
      <c r="A25" s="208" t="s">
        <v>254</v>
      </c>
      <c r="B25" s="209"/>
      <c r="C25" s="73">
        <f>C21</f>
        <v>-36091000</v>
      </c>
      <c r="D25" s="73">
        <f>D21+D23</f>
        <v>160593505.91999999</v>
      </c>
      <c r="E25" s="73">
        <f t="shared" ref="E25:H25" si="5">E21+E23</f>
        <v>203415644.52331677</v>
      </c>
      <c r="F25" s="73">
        <f t="shared" si="5"/>
        <v>263036290.86862552</v>
      </c>
      <c r="G25" s="73">
        <f t="shared" si="5"/>
        <v>349748291.4416784</v>
      </c>
      <c r="H25" s="73">
        <f t="shared" si="5"/>
        <v>481706420.21742237</v>
      </c>
    </row>
    <row r="34" ht="22.5" customHeight="1" x14ac:dyDescent="0.25"/>
    <row r="35" ht="15" customHeight="1" x14ac:dyDescent="0.25"/>
  </sheetData>
  <mergeCells count="7">
    <mergeCell ref="A21:B21"/>
    <mergeCell ref="A25:B25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zoomScale="115" zoomScaleNormal="115" workbookViewId="0">
      <selection activeCell="C7" sqref="C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2" t="s">
        <v>119</v>
      </c>
      <c r="B1" s="213"/>
      <c r="C1" s="213"/>
      <c r="D1" s="213"/>
      <c r="E1" s="213"/>
      <c r="F1" s="213"/>
      <c r="G1" s="213"/>
      <c r="H1" s="213"/>
    </row>
    <row r="2" spans="1:8" ht="22.5" customHeight="1" thickBot="1" x14ac:dyDescent="0.4">
      <c r="A2" s="214" t="s">
        <v>93</v>
      </c>
      <c r="B2" s="215"/>
      <c r="C2" s="215"/>
      <c r="D2" s="215"/>
      <c r="E2" s="215"/>
      <c r="F2" s="215"/>
      <c r="G2" s="215"/>
      <c r="H2" s="215"/>
    </row>
    <row r="3" spans="1:8" ht="15.75" thickBot="1" x14ac:dyDescent="0.3"/>
    <row r="4" spans="1:8" ht="22.5" customHeight="1" thickBot="1" x14ac:dyDescent="0.3">
      <c r="A4" s="216" t="s">
        <v>94</v>
      </c>
      <c r="B4" s="217"/>
      <c r="C4" s="66" t="s">
        <v>111</v>
      </c>
      <c r="D4" s="66" t="s">
        <v>112</v>
      </c>
      <c r="E4" s="66" t="s">
        <v>113</v>
      </c>
      <c r="F4" s="66" t="s">
        <v>114</v>
      </c>
      <c r="G4" s="66" t="s">
        <v>115</v>
      </c>
      <c r="H4" s="66" t="s">
        <v>116</v>
      </c>
    </row>
    <row r="5" spans="1:8" ht="15.75" thickBot="1" x14ac:dyDescent="0.3">
      <c r="A5" s="221" t="s">
        <v>120</v>
      </c>
      <c r="B5" s="222"/>
    </row>
    <row r="6" spans="1:8" x14ac:dyDescent="0.25">
      <c r="B6" s="74" t="s">
        <v>251</v>
      </c>
      <c r="C6" s="69"/>
      <c r="D6" s="69"/>
      <c r="E6" s="69"/>
      <c r="F6" s="69"/>
      <c r="G6" s="69"/>
      <c r="H6" s="69"/>
    </row>
    <row r="7" spans="1:8" x14ac:dyDescent="0.25">
      <c r="B7" s="67" t="s">
        <v>121</v>
      </c>
      <c r="C7" s="7">
        <v>0</v>
      </c>
      <c r="D7" s="7">
        <f>'Flujo de Caja'!D15</f>
        <v>1640000</v>
      </c>
      <c r="E7" s="7">
        <f>D7*2</f>
        <v>3280000</v>
      </c>
      <c r="F7" s="7">
        <f>D7*3</f>
        <v>4920000</v>
      </c>
      <c r="G7" s="7">
        <f>D7*4</f>
        <v>6560000</v>
      </c>
      <c r="H7" s="7">
        <f>D7*5</f>
        <v>8200000</v>
      </c>
    </row>
    <row r="8" spans="1:8" x14ac:dyDescent="0.25">
      <c r="B8" s="68" t="s">
        <v>79</v>
      </c>
      <c r="C8" s="7">
        <v>0</v>
      </c>
      <c r="D8" s="7">
        <f>'Amortización y Depreciación'!H4</f>
        <v>3175929.1064712452</v>
      </c>
      <c r="E8" s="7">
        <f>'Amortización y Depreciación'!H5</f>
        <v>3704403.7097880603</v>
      </c>
      <c r="F8" s="7">
        <f>'Amortización y Depreciación'!H6</f>
        <v>4320816.4870967939</v>
      </c>
      <c r="G8" s="7">
        <f>'Amortización y Depreciación'!H7</f>
        <v>5039800.3505496997</v>
      </c>
      <c r="H8" s="7">
        <f>'Amortización y Depreciación'!H8</f>
        <v>-5.7590075254440307E-2</v>
      </c>
    </row>
    <row r="9" spans="1:8" x14ac:dyDescent="0.25">
      <c r="B9" s="68" t="s">
        <v>118</v>
      </c>
      <c r="C9" s="72">
        <v>0</v>
      </c>
      <c r="D9" s="7">
        <f>'Amortización y Depreciación'!F4</f>
        <v>2702494.08</v>
      </c>
      <c r="E9" s="7">
        <f>'Amortización y Depreciación'!F5</f>
        <v>2174019.476683185</v>
      </c>
      <c r="F9" s="7">
        <f>'Amortización y Depreciación'!F6</f>
        <v>1557606.6993744518</v>
      </c>
      <c r="G9" s="7">
        <f>'Amortización y Depreciación'!F7</f>
        <v>838622.83592154528</v>
      </c>
      <c r="H9" s="7">
        <f>'Amortización y Depreciación'!F8</f>
        <v>5.7590075254440307E-2</v>
      </c>
    </row>
    <row r="10" spans="1:8" ht="15.75" thickBot="1" x14ac:dyDescent="0.3">
      <c r="B10" s="68" t="s">
        <v>250</v>
      </c>
      <c r="C10" s="72"/>
      <c r="D10" s="72"/>
      <c r="E10" s="72"/>
      <c r="F10" s="72"/>
      <c r="G10" s="72"/>
      <c r="H10" s="72"/>
    </row>
    <row r="11" spans="1:8" ht="16.5" thickBot="1" x14ac:dyDescent="0.3">
      <c r="B11" s="70" t="s">
        <v>122</v>
      </c>
      <c r="C11" s="71">
        <f>SUM(C6:C10)</f>
        <v>0</v>
      </c>
      <c r="D11" s="71">
        <f t="shared" ref="D11:H11" si="0">SUM(D6:D10)</f>
        <v>7518423.1864712453</v>
      </c>
      <c r="E11" s="71">
        <f t="shared" si="0"/>
        <v>9158423.1864712443</v>
      </c>
      <c r="F11" s="71">
        <f t="shared" si="0"/>
        <v>10798423.186471246</v>
      </c>
      <c r="G11" s="71">
        <f t="shared" si="0"/>
        <v>12438423.186471244</v>
      </c>
      <c r="H11" s="71">
        <f t="shared" si="0"/>
        <v>8200000</v>
      </c>
    </row>
    <row r="12" spans="1:8" ht="15.75" thickBot="1" x14ac:dyDescent="0.3"/>
    <row r="13" spans="1:8" ht="15.75" thickBot="1" x14ac:dyDescent="0.3">
      <c r="A13" s="221" t="s">
        <v>123</v>
      </c>
      <c r="B13" s="222"/>
    </row>
    <row r="14" spans="1:8" ht="15.75" thickBot="1" x14ac:dyDescent="0.3">
      <c r="B14" s="67" t="s">
        <v>246</v>
      </c>
      <c r="C14" s="69">
        <f>'Inversión Inicial'!B5</f>
        <v>8200000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0" t="s">
        <v>124</v>
      </c>
      <c r="C15" s="71">
        <f t="shared" ref="C15:H15" si="1">SUM(C14:C14)</f>
        <v>8200000</v>
      </c>
      <c r="D15" s="71">
        <f t="shared" si="1"/>
        <v>0</v>
      </c>
      <c r="E15" s="71">
        <f t="shared" si="1"/>
        <v>0</v>
      </c>
      <c r="F15" s="71">
        <f t="shared" si="1"/>
        <v>0</v>
      </c>
      <c r="G15" s="71">
        <f t="shared" si="1"/>
        <v>0</v>
      </c>
      <c r="H15" s="71">
        <f t="shared" si="1"/>
        <v>0</v>
      </c>
    </row>
    <row r="16" spans="1:8" ht="15.75" thickBot="1" x14ac:dyDescent="0.3"/>
    <row r="17" spans="1:8" ht="15.75" thickBot="1" x14ac:dyDescent="0.3">
      <c r="A17" s="221" t="s">
        <v>125</v>
      </c>
      <c r="B17" s="222"/>
    </row>
    <row r="18" spans="1:8" x14ac:dyDescent="0.25">
      <c r="B18" s="74" t="s">
        <v>249</v>
      </c>
      <c r="C18" s="7">
        <f>'Proyección de Ventas e Incremen'!B17</f>
        <v>19850050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67" t="s">
        <v>247</v>
      </c>
      <c r="C19" s="7"/>
      <c r="D19" s="7"/>
      <c r="E19" s="7"/>
      <c r="F19" s="7"/>
      <c r="G19" s="7"/>
      <c r="H19" s="7"/>
    </row>
    <row r="20" spans="1:8" x14ac:dyDescent="0.25">
      <c r="B20" s="67" t="s">
        <v>126</v>
      </c>
      <c r="C20" s="7">
        <f>C8</f>
        <v>0</v>
      </c>
      <c r="D20" s="7">
        <f>D8</f>
        <v>3175929.1064712452</v>
      </c>
      <c r="E20" s="7">
        <f t="shared" ref="E20:H20" si="2">E8</f>
        <v>3704403.7097880603</v>
      </c>
      <c r="F20" s="7">
        <f t="shared" si="2"/>
        <v>4320816.4870967939</v>
      </c>
      <c r="G20" s="7">
        <f t="shared" si="2"/>
        <v>5039800.3505496997</v>
      </c>
      <c r="H20" s="7">
        <f t="shared" si="2"/>
        <v>-5.7590075254440307E-2</v>
      </c>
    </row>
    <row r="21" spans="1:8" x14ac:dyDescent="0.25">
      <c r="B21" s="67" t="s">
        <v>118</v>
      </c>
      <c r="C21" s="7">
        <f>C9</f>
        <v>0</v>
      </c>
      <c r="D21" s="7">
        <f>D9</f>
        <v>2702494.08</v>
      </c>
      <c r="E21" s="7">
        <f t="shared" ref="E21:H21" si="3">E9</f>
        <v>2174019.476683185</v>
      </c>
      <c r="F21" s="7">
        <f t="shared" si="3"/>
        <v>1557606.6993744518</v>
      </c>
      <c r="G21" s="7">
        <f t="shared" si="3"/>
        <v>838622.83592154528</v>
      </c>
      <c r="H21" s="7">
        <f t="shared" si="3"/>
        <v>5.7590075254440307E-2</v>
      </c>
    </row>
    <row r="22" spans="1:8" ht="15.75" thickBot="1" x14ac:dyDescent="0.3">
      <c r="B22" s="67" t="s">
        <v>248</v>
      </c>
      <c r="C22" s="7"/>
      <c r="D22" s="7"/>
      <c r="E22" s="7"/>
      <c r="F22" s="7"/>
      <c r="G22" s="7"/>
      <c r="H22" s="7"/>
    </row>
    <row r="23" spans="1:8" ht="16.5" thickBot="1" x14ac:dyDescent="0.3">
      <c r="B23" s="70" t="s">
        <v>127</v>
      </c>
      <c r="C23" s="71">
        <f t="shared" ref="C23:H23" si="4">SUM(C18:C21)</f>
        <v>19850050</v>
      </c>
      <c r="D23" s="71">
        <f t="shared" si="4"/>
        <v>5878423.1864712453</v>
      </c>
      <c r="E23" s="71">
        <f t="shared" si="4"/>
        <v>5878423.1864712453</v>
      </c>
      <c r="F23" s="71">
        <f t="shared" si="4"/>
        <v>5878423.1864712462</v>
      </c>
      <c r="G23" s="71">
        <f t="shared" si="4"/>
        <v>5878423.1864712453</v>
      </c>
      <c r="H23" s="71">
        <f t="shared" si="4"/>
        <v>0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zoomScaleNormal="100" workbookViewId="0">
      <selection activeCell="G4" sqref="G4:H4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</cols>
  <sheetData>
    <row r="1" spans="1:10" ht="15.75" thickBot="1" x14ac:dyDescent="0.3"/>
    <row r="2" spans="1:10" ht="15.75" thickBot="1" x14ac:dyDescent="0.3">
      <c r="B2" s="227" t="s">
        <v>142</v>
      </c>
      <c r="C2" s="228"/>
      <c r="G2" s="235" t="s">
        <v>149</v>
      </c>
      <c r="H2" s="236"/>
      <c r="I2" s="236"/>
      <c r="J2" s="237"/>
    </row>
    <row r="3" spans="1:10" x14ac:dyDescent="0.25">
      <c r="B3" s="15" t="s">
        <v>255</v>
      </c>
      <c r="C3" s="134">
        <f>'Proyección de Ventas e Incremen'!J21</f>
        <v>2752.2935779816517</v>
      </c>
      <c r="G3" s="232" t="s">
        <v>128</v>
      </c>
      <c r="H3" s="232"/>
      <c r="I3" s="84" t="s">
        <v>129</v>
      </c>
      <c r="J3" s="84" t="s">
        <v>130</v>
      </c>
    </row>
    <row r="4" spans="1:10" x14ac:dyDescent="0.25">
      <c r="A4" s="75"/>
      <c r="B4" s="15" t="s">
        <v>256</v>
      </c>
      <c r="C4" s="96">
        <f>SUM('Proyección de Ventas e Incremen'!J18:J19)*12</f>
        <v>59330.879999999997</v>
      </c>
      <c r="G4" s="238" t="s">
        <v>131</v>
      </c>
      <c r="H4" s="238"/>
      <c r="I4" s="78">
        <v>0</v>
      </c>
      <c r="J4" s="78">
        <f>'Proyección de Ventas e Incremen'!J7</f>
        <v>163296000</v>
      </c>
    </row>
    <row r="5" spans="1:10" x14ac:dyDescent="0.25">
      <c r="B5" s="15" t="s">
        <v>257</v>
      </c>
      <c r="C5" s="134">
        <f>C3*C4</f>
        <v>163296000</v>
      </c>
      <c r="G5" s="80" t="s">
        <v>132</v>
      </c>
      <c r="H5" s="78">
        <f>J4</f>
        <v>163296000</v>
      </c>
      <c r="I5" s="78">
        <v>0</v>
      </c>
      <c r="J5" s="78">
        <v>0</v>
      </c>
    </row>
    <row r="6" spans="1:10" x14ac:dyDescent="0.25">
      <c r="B6" s="15" t="s">
        <v>258</v>
      </c>
      <c r="C6" s="134">
        <f>'Costos de Operación Gravables'!J28</f>
        <v>139698936</v>
      </c>
      <c r="G6" s="238" t="s">
        <v>133</v>
      </c>
      <c r="H6" s="238"/>
      <c r="I6" s="78" t="s">
        <v>253</v>
      </c>
      <c r="J6" s="78">
        <v>0</v>
      </c>
    </row>
    <row r="7" spans="1:10" x14ac:dyDescent="0.25">
      <c r="B7" s="15" t="s">
        <v>259</v>
      </c>
      <c r="C7" s="134">
        <f>C6/C4</f>
        <v>2354.5738070967432</v>
      </c>
      <c r="G7" s="238" t="s">
        <v>139</v>
      </c>
      <c r="H7" s="238"/>
      <c r="I7" s="78">
        <v>0</v>
      </c>
      <c r="J7" s="78">
        <f>'Balance General'!D12</f>
        <v>1640000</v>
      </c>
    </row>
    <row r="8" spans="1:10" x14ac:dyDescent="0.25">
      <c r="B8" s="15" t="s">
        <v>290</v>
      </c>
      <c r="C8" s="134"/>
      <c r="G8" s="238" t="s">
        <v>140</v>
      </c>
      <c r="H8" s="238"/>
      <c r="I8" s="78">
        <v>0</v>
      </c>
      <c r="J8" s="78">
        <v>0</v>
      </c>
    </row>
    <row r="9" spans="1:10" x14ac:dyDescent="0.25">
      <c r="B9" s="15" t="s">
        <v>260</v>
      </c>
      <c r="C9" s="15"/>
      <c r="G9" s="231" t="s">
        <v>134</v>
      </c>
      <c r="H9" s="231"/>
      <c r="I9" s="82">
        <f>SUM(I4:I8)</f>
        <v>0</v>
      </c>
      <c r="J9" s="82">
        <f>SUM(J4:J8)</f>
        <v>164936000</v>
      </c>
    </row>
    <row r="10" spans="1:10" x14ac:dyDescent="0.25">
      <c r="G10" s="81" t="s">
        <v>135</v>
      </c>
      <c r="H10" s="79">
        <v>0.1</v>
      </c>
      <c r="I10" s="78">
        <f>I9*$H$10</f>
        <v>0</v>
      </c>
      <c r="J10" s="78">
        <f>J9*$H$10</f>
        <v>16493600</v>
      </c>
    </row>
    <row r="11" spans="1:10" x14ac:dyDescent="0.25">
      <c r="G11" s="233" t="s">
        <v>29</v>
      </c>
      <c r="H11" s="234"/>
      <c r="I11" s="83">
        <f>I9+I10</f>
        <v>0</v>
      </c>
      <c r="J11" s="83">
        <f>J9+J10</f>
        <v>181429600</v>
      </c>
    </row>
    <row r="16" spans="1:10" ht="15.75" thickBot="1" x14ac:dyDescent="0.3"/>
    <row r="17" spans="2:3" ht="15.75" thickBot="1" x14ac:dyDescent="0.3">
      <c r="B17" s="229" t="s">
        <v>136</v>
      </c>
      <c r="C17" s="230"/>
    </row>
    <row r="18" spans="2:3" x14ac:dyDescent="0.25">
      <c r="B18" s="87" t="s">
        <v>137</v>
      </c>
      <c r="C18" s="86">
        <v>3300</v>
      </c>
    </row>
    <row r="19" spans="2:3" x14ac:dyDescent="0.25">
      <c r="B19" s="88" t="s">
        <v>138</v>
      </c>
      <c r="C19" s="78">
        <f>J11/C18</f>
        <v>54978.666666666664</v>
      </c>
    </row>
    <row r="20" spans="2:3" x14ac:dyDescent="0.25">
      <c r="B20" s="88" t="s">
        <v>143</v>
      </c>
      <c r="C20" s="78">
        <f>SUM(I11:J11)/C18</f>
        <v>54978.666666666664</v>
      </c>
    </row>
    <row r="21" spans="2:3" x14ac:dyDescent="0.25">
      <c r="B21" s="88" t="s">
        <v>141</v>
      </c>
      <c r="C21" s="78">
        <f>C20*0.19</f>
        <v>10445.946666666667</v>
      </c>
    </row>
    <row r="22" spans="2:3" x14ac:dyDescent="0.25">
      <c r="B22" s="88" t="s">
        <v>144</v>
      </c>
      <c r="C22" s="78">
        <f>SUM(C20:C21)</f>
        <v>65424.613333333327</v>
      </c>
    </row>
    <row r="23" spans="2:3" x14ac:dyDescent="0.25">
      <c r="B23" s="88" t="s">
        <v>142</v>
      </c>
      <c r="C23" s="85">
        <f>((C20-C19)*C18)/(C22-C20)</f>
        <v>0</v>
      </c>
    </row>
    <row r="24" spans="2:3" ht="15.75" thickBot="1" x14ac:dyDescent="0.3"/>
    <row r="25" spans="2:3" ht="15.75" thickBot="1" x14ac:dyDescent="0.3">
      <c r="B25" s="229" t="s">
        <v>145</v>
      </c>
      <c r="C25" s="230"/>
    </row>
    <row r="26" spans="2:3" x14ac:dyDescent="0.25">
      <c r="B26" s="87" t="s">
        <v>147</v>
      </c>
      <c r="C26" s="89">
        <f>C22</f>
        <v>65424.613333333327</v>
      </c>
    </row>
    <row r="27" spans="2:3" x14ac:dyDescent="0.25">
      <c r="B27" s="88" t="s">
        <v>146</v>
      </c>
      <c r="C27" s="122">
        <v>270</v>
      </c>
    </row>
    <row r="28" spans="2:3" x14ac:dyDescent="0.25">
      <c r="B28" s="88" t="s">
        <v>148</v>
      </c>
      <c r="C28" s="78">
        <f>C26*C27</f>
        <v>17664645.599999998</v>
      </c>
    </row>
  </sheetData>
  <mergeCells count="11">
    <mergeCell ref="B2:C2"/>
    <mergeCell ref="B25:C25"/>
    <mergeCell ref="G9:H9"/>
    <mergeCell ref="G3:H3"/>
    <mergeCell ref="G11:H11"/>
    <mergeCell ref="B17:C17"/>
    <mergeCell ref="G2:J2"/>
    <mergeCell ref="G6:H6"/>
    <mergeCell ref="G4:H4"/>
    <mergeCell ref="G7:H7"/>
    <mergeCell ref="G8:H8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304"/>
  <sheetViews>
    <sheetView showGridLines="0" topLeftCell="B6" zoomScale="130" zoomScaleNormal="130" workbookViewId="0">
      <selection activeCell="X16" sqref="X16"/>
    </sheetView>
  </sheetViews>
  <sheetFormatPr baseColWidth="10" defaultRowHeight="15" x14ac:dyDescent="0.25"/>
  <cols>
    <col min="2" max="2" width="11.42578125" style="93"/>
    <col min="3" max="3" width="12.5703125" bestFit="1" customWidth="1"/>
    <col min="4" max="4" width="12.5703125" style="90" bestFit="1" customWidth="1"/>
  </cols>
  <sheetData>
    <row r="1" spans="2:4" x14ac:dyDescent="0.25">
      <c r="C1" s="91">
        <f>'Costos Fijos y Punto de Equil.'!I11</f>
        <v>0</v>
      </c>
      <c r="D1" s="60"/>
    </row>
    <row r="2" spans="2:4" x14ac:dyDescent="0.25">
      <c r="C2" s="92">
        <f>'Costos Fijos y Punto de Equil.'!C20</f>
        <v>54978.666666666664</v>
      </c>
      <c r="D2" s="92">
        <f>'Costos Fijos y Punto de Equil.'!C22</f>
        <v>65424.613333333327</v>
      </c>
    </row>
    <row r="3" spans="2:4" x14ac:dyDescent="0.25">
      <c r="C3" s="94" t="s">
        <v>150</v>
      </c>
      <c r="D3" s="95" t="s">
        <v>151</v>
      </c>
    </row>
    <row r="4" spans="2:4" x14ac:dyDescent="0.25">
      <c r="B4" s="93">
        <v>0</v>
      </c>
      <c r="C4" s="39">
        <f>($C$2*B4)+$C$1</f>
        <v>0</v>
      </c>
      <c r="D4" s="39">
        <f>$D$2*B4</f>
        <v>0</v>
      </c>
    </row>
    <row r="5" spans="2:4" x14ac:dyDescent="0.25">
      <c r="B5" s="93">
        <v>1</v>
      </c>
      <c r="C5" s="39">
        <f t="shared" ref="C5:C68" si="0">($C$2*B5)+$C$1</f>
        <v>54978.666666666664</v>
      </c>
      <c r="D5" s="39">
        <f t="shared" ref="D5:D68" si="1">$D$2*B5</f>
        <v>65424.613333333327</v>
      </c>
    </row>
    <row r="6" spans="2:4" x14ac:dyDescent="0.25">
      <c r="B6" s="93">
        <v>2</v>
      </c>
      <c r="C6" s="39">
        <f t="shared" si="0"/>
        <v>109957.33333333333</v>
      </c>
      <c r="D6" s="39">
        <f t="shared" si="1"/>
        <v>130849.22666666665</v>
      </c>
    </row>
    <row r="7" spans="2:4" x14ac:dyDescent="0.25">
      <c r="B7" s="93">
        <v>3</v>
      </c>
      <c r="C7" s="39">
        <f t="shared" si="0"/>
        <v>164936</v>
      </c>
      <c r="D7" s="39">
        <f t="shared" si="1"/>
        <v>196273.83999999997</v>
      </c>
    </row>
    <row r="8" spans="2:4" x14ac:dyDescent="0.25">
      <c r="B8" s="93">
        <v>4</v>
      </c>
      <c r="C8" s="39">
        <f t="shared" si="0"/>
        <v>219914.66666666666</v>
      </c>
      <c r="D8" s="39">
        <f t="shared" si="1"/>
        <v>261698.45333333331</v>
      </c>
    </row>
    <row r="9" spans="2:4" x14ac:dyDescent="0.25">
      <c r="B9" s="93">
        <v>5</v>
      </c>
      <c r="C9" s="39">
        <f t="shared" si="0"/>
        <v>274893.33333333331</v>
      </c>
      <c r="D9" s="39">
        <f t="shared" si="1"/>
        <v>327123.06666666665</v>
      </c>
    </row>
    <row r="10" spans="2:4" x14ac:dyDescent="0.25">
      <c r="B10" s="93">
        <v>6</v>
      </c>
      <c r="C10" s="39">
        <f t="shared" si="0"/>
        <v>329872</v>
      </c>
      <c r="D10" s="39">
        <f t="shared" si="1"/>
        <v>392547.67999999993</v>
      </c>
    </row>
    <row r="11" spans="2:4" x14ac:dyDescent="0.25">
      <c r="B11" s="93">
        <v>7</v>
      </c>
      <c r="C11" s="39">
        <f t="shared" si="0"/>
        <v>384850.66666666663</v>
      </c>
      <c r="D11" s="39">
        <f t="shared" si="1"/>
        <v>457972.29333333328</v>
      </c>
    </row>
    <row r="12" spans="2:4" x14ac:dyDescent="0.25">
      <c r="B12" s="93">
        <v>8</v>
      </c>
      <c r="C12" s="39">
        <f t="shared" si="0"/>
        <v>439829.33333333331</v>
      </c>
      <c r="D12" s="39">
        <f t="shared" si="1"/>
        <v>523396.90666666662</v>
      </c>
    </row>
    <row r="13" spans="2:4" x14ac:dyDescent="0.25">
      <c r="B13" s="93">
        <v>9</v>
      </c>
      <c r="C13" s="39">
        <f t="shared" si="0"/>
        <v>494808</v>
      </c>
      <c r="D13" s="39">
        <f t="shared" si="1"/>
        <v>588821.5199999999</v>
      </c>
    </row>
    <row r="14" spans="2:4" x14ac:dyDescent="0.25">
      <c r="B14" s="93">
        <v>10</v>
      </c>
      <c r="C14" s="39">
        <f t="shared" si="0"/>
        <v>549786.66666666663</v>
      </c>
      <c r="D14" s="39">
        <f t="shared" si="1"/>
        <v>654246.1333333333</v>
      </c>
    </row>
    <row r="15" spans="2:4" x14ac:dyDescent="0.25">
      <c r="B15" s="93">
        <v>11</v>
      </c>
      <c r="C15" s="39">
        <f t="shared" si="0"/>
        <v>604765.33333333326</v>
      </c>
      <c r="D15" s="39">
        <f t="shared" si="1"/>
        <v>719670.74666666659</v>
      </c>
    </row>
    <row r="16" spans="2:4" x14ac:dyDescent="0.25">
      <c r="B16" s="93">
        <v>12</v>
      </c>
      <c r="C16" s="39">
        <f t="shared" si="0"/>
        <v>659744</v>
      </c>
      <c r="D16" s="39">
        <f t="shared" si="1"/>
        <v>785095.35999999987</v>
      </c>
    </row>
    <row r="17" spans="2:4" x14ac:dyDescent="0.25">
      <c r="B17" s="93">
        <v>13</v>
      </c>
      <c r="C17" s="39">
        <f t="shared" si="0"/>
        <v>714722.66666666663</v>
      </c>
      <c r="D17" s="39">
        <f t="shared" si="1"/>
        <v>850519.97333333327</v>
      </c>
    </row>
    <row r="18" spans="2:4" x14ac:dyDescent="0.25">
      <c r="B18" s="93">
        <v>14</v>
      </c>
      <c r="C18" s="39">
        <f t="shared" si="0"/>
        <v>769701.33333333326</v>
      </c>
      <c r="D18" s="39">
        <f t="shared" si="1"/>
        <v>915944.58666666655</v>
      </c>
    </row>
    <row r="19" spans="2:4" x14ac:dyDescent="0.25">
      <c r="B19" s="93">
        <v>15</v>
      </c>
      <c r="C19" s="39">
        <f t="shared" si="0"/>
        <v>824680</v>
      </c>
      <c r="D19" s="39">
        <f t="shared" si="1"/>
        <v>981369.2</v>
      </c>
    </row>
    <row r="20" spans="2:4" x14ac:dyDescent="0.25">
      <c r="B20" s="93">
        <v>16</v>
      </c>
      <c r="C20" s="39">
        <f t="shared" si="0"/>
        <v>879658.66666666663</v>
      </c>
      <c r="D20" s="39">
        <f t="shared" si="1"/>
        <v>1046793.8133333332</v>
      </c>
    </row>
    <row r="21" spans="2:4" x14ac:dyDescent="0.25">
      <c r="B21" s="93">
        <v>17</v>
      </c>
      <c r="C21" s="39">
        <f t="shared" si="0"/>
        <v>934637.33333333326</v>
      </c>
      <c r="D21" s="39">
        <f t="shared" si="1"/>
        <v>1112218.4266666665</v>
      </c>
    </row>
    <row r="22" spans="2:4" x14ac:dyDescent="0.25">
      <c r="B22" s="93">
        <v>18</v>
      </c>
      <c r="C22" s="39">
        <f t="shared" si="0"/>
        <v>989616</v>
      </c>
      <c r="D22" s="39">
        <f t="shared" si="1"/>
        <v>1177643.0399999998</v>
      </c>
    </row>
    <row r="23" spans="2:4" x14ac:dyDescent="0.25">
      <c r="B23" s="93">
        <v>19</v>
      </c>
      <c r="C23" s="39">
        <f t="shared" si="0"/>
        <v>1044594.6666666666</v>
      </c>
      <c r="D23" s="39">
        <f t="shared" si="1"/>
        <v>1243067.6533333333</v>
      </c>
    </row>
    <row r="24" spans="2:4" x14ac:dyDescent="0.25">
      <c r="B24" s="93">
        <v>20</v>
      </c>
      <c r="C24" s="39">
        <f t="shared" si="0"/>
        <v>1099573.3333333333</v>
      </c>
      <c r="D24" s="39">
        <f t="shared" si="1"/>
        <v>1308492.2666666666</v>
      </c>
    </row>
    <row r="25" spans="2:4" x14ac:dyDescent="0.25">
      <c r="B25" s="93">
        <v>21</v>
      </c>
      <c r="C25" s="39">
        <f t="shared" si="0"/>
        <v>1154552</v>
      </c>
      <c r="D25" s="39">
        <f t="shared" si="1"/>
        <v>1373916.88</v>
      </c>
    </row>
    <row r="26" spans="2:4" x14ac:dyDescent="0.25">
      <c r="B26" s="93">
        <v>22</v>
      </c>
      <c r="C26" s="39">
        <f t="shared" si="0"/>
        <v>1209530.6666666665</v>
      </c>
      <c r="D26" s="39">
        <f t="shared" si="1"/>
        <v>1439341.4933333332</v>
      </c>
    </row>
    <row r="27" spans="2:4" x14ac:dyDescent="0.25">
      <c r="B27" s="93">
        <v>23</v>
      </c>
      <c r="C27" s="39">
        <f t="shared" si="0"/>
        <v>1264509.3333333333</v>
      </c>
      <c r="D27" s="39">
        <f t="shared" si="1"/>
        <v>1504766.1066666665</v>
      </c>
    </row>
    <row r="28" spans="2:4" x14ac:dyDescent="0.25">
      <c r="B28" s="93">
        <v>24</v>
      </c>
      <c r="C28" s="39">
        <f t="shared" si="0"/>
        <v>1319488</v>
      </c>
      <c r="D28" s="39">
        <f t="shared" si="1"/>
        <v>1570190.7199999997</v>
      </c>
    </row>
    <row r="29" spans="2:4" x14ac:dyDescent="0.25">
      <c r="B29" s="93">
        <v>25</v>
      </c>
      <c r="C29" s="39">
        <f t="shared" si="0"/>
        <v>1374466.6666666665</v>
      </c>
      <c r="D29" s="39">
        <f t="shared" si="1"/>
        <v>1635615.3333333333</v>
      </c>
    </row>
    <row r="30" spans="2:4" x14ac:dyDescent="0.25">
      <c r="B30" s="93">
        <v>26</v>
      </c>
      <c r="C30" s="39">
        <f t="shared" si="0"/>
        <v>1429445.3333333333</v>
      </c>
      <c r="D30" s="39">
        <f t="shared" si="1"/>
        <v>1701039.9466666665</v>
      </c>
    </row>
    <row r="31" spans="2:4" x14ac:dyDescent="0.25">
      <c r="B31" s="93">
        <v>27</v>
      </c>
      <c r="C31" s="39">
        <f t="shared" si="0"/>
        <v>1484424</v>
      </c>
      <c r="D31" s="39">
        <f t="shared" si="1"/>
        <v>1766464.5599999998</v>
      </c>
    </row>
    <row r="32" spans="2:4" x14ac:dyDescent="0.25">
      <c r="B32" s="93">
        <v>28</v>
      </c>
      <c r="C32" s="39">
        <f t="shared" si="0"/>
        <v>1539402.6666666665</v>
      </c>
      <c r="D32" s="39">
        <f t="shared" si="1"/>
        <v>1831889.1733333331</v>
      </c>
    </row>
    <row r="33" spans="2:4" x14ac:dyDescent="0.25">
      <c r="B33" s="93">
        <v>29</v>
      </c>
      <c r="C33" s="39">
        <f t="shared" si="0"/>
        <v>1594381.3333333333</v>
      </c>
      <c r="D33" s="39">
        <f t="shared" si="1"/>
        <v>1897313.7866666664</v>
      </c>
    </row>
    <row r="34" spans="2:4" x14ac:dyDescent="0.25">
      <c r="B34" s="93">
        <v>30</v>
      </c>
      <c r="C34" s="39">
        <f t="shared" si="0"/>
        <v>1649360</v>
      </c>
      <c r="D34" s="39">
        <f t="shared" si="1"/>
        <v>1962738.4</v>
      </c>
    </row>
    <row r="35" spans="2:4" x14ac:dyDescent="0.25">
      <c r="B35" s="93">
        <v>31</v>
      </c>
      <c r="C35" s="39">
        <f t="shared" si="0"/>
        <v>1704338.6666666665</v>
      </c>
      <c r="D35" s="39">
        <f t="shared" si="1"/>
        <v>2028163.0133333332</v>
      </c>
    </row>
    <row r="36" spans="2:4" x14ac:dyDescent="0.25">
      <c r="B36" s="93">
        <v>32</v>
      </c>
      <c r="C36" s="39">
        <f t="shared" si="0"/>
        <v>1759317.3333333333</v>
      </c>
      <c r="D36" s="39">
        <f t="shared" si="1"/>
        <v>2093587.6266666665</v>
      </c>
    </row>
    <row r="37" spans="2:4" x14ac:dyDescent="0.25">
      <c r="B37" s="93">
        <v>33</v>
      </c>
      <c r="C37" s="39">
        <f t="shared" si="0"/>
        <v>1814296</v>
      </c>
      <c r="D37" s="39">
        <f t="shared" si="1"/>
        <v>2159012.2399999998</v>
      </c>
    </row>
    <row r="38" spans="2:4" x14ac:dyDescent="0.25">
      <c r="B38" s="93">
        <v>34</v>
      </c>
      <c r="C38" s="39">
        <f t="shared" si="0"/>
        <v>1869274.6666666665</v>
      </c>
      <c r="D38" s="39">
        <f t="shared" si="1"/>
        <v>2224436.853333333</v>
      </c>
    </row>
    <row r="39" spans="2:4" x14ac:dyDescent="0.25">
      <c r="B39" s="93">
        <v>35</v>
      </c>
      <c r="C39" s="39">
        <f t="shared" si="0"/>
        <v>1924253.3333333333</v>
      </c>
      <c r="D39" s="39">
        <f t="shared" si="1"/>
        <v>2289861.4666666663</v>
      </c>
    </row>
    <row r="40" spans="2:4" x14ac:dyDescent="0.25">
      <c r="B40" s="93">
        <v>36</v>
      </c>
      <c r="C40" s="39">
        <f t="shared" si="0"/>
        <v>1979232</v>
      </c>
      <c r="D40" s="39">
        <f t="shared" si="1"/>
        <v>2355286.0799999996</v>
      </c>
    </row>
    <row r="41" spans="2:4" x14ac:dyDescent="0.25">
      <c r="B41" s="93">
        <v>37</v>
      </c>
      <c r="C41" s="39">
        <f t="shared" si="0"/>
        <v>2034210.6666666665</v>
      </c>
      <c r="D41" s="39">
        <f t="shared" si="1"/>
        <v>2420710.6933333329</v>
      </c>
    </row>
    <row r="42" spans="2:4" x14ac:dyDescent="0.25">
      <c r="B42" s="93">
        <v>38</v>
      </c>
      <c r="C42" s="39">
        <f t="shared" si="0"/>
        <v>2089189.3333333333</v>
      </c>
      <c r="D42" s="39">
        <f t="shared" si="1"/>
        <v>2486135.3066666666</v>
      </c>
    </row>
    <row r="43" spans="2:4" x14ac:dyDescent="0.25">
      <c r="B43" s="93">
        <v>39</v>
      </c>
      <c r="C43" s="39">
        <f t="shared" si="0"/>
        <v>2144168</v>
      </c>
      <c r="D43" s="39">
        <f t="shared" si="1"/>
        <v>2551559.92</v>
      </c>
    </row>
    <row r="44" spans="2:4" x14ac:dyDescent="0.25">
      <c r="B44" s="93">
        <v>40</v>
      </c>
      <c r="C44" s="39">
        <f t="shared" si="0"/>
        <v>2199146.6666666665</v>
      </c>
      <c r="D44" s="39">
        <f t="shared" si="1"/>
        <v>2616984.5333333332</v>
      </c>
    </row>
    <row r="45" spans="2:4" x14ac:dyDescent="0.25">
      <c r="B45" s="93">
        <v>41</v>
      </c>
      <c r="C45" s="39">
        <f t="shared" si="0"/>
        <v>2254125.333333333</v>
      </c>
      <c r="D45" s="39">
        <f t="shared" si="1"/>
        <v>2682409.1466666665</v>
      </c>
    </row>
    <row r="46" spans="2:4" x14ac:dyDescent="0.25">
      <c r="B46" s="93">
        <v>42</v>
      </c>
      <c r="C46" s="39">
        <f t="shared" si="0"/>
        <v>2309104</v>
      </c>
      <c r="D46" s="39">
        <f t="shared" si="1"/>
        <v>2747833.76</v>
      </c>
    </row>
    <row r="47" spans="2:4" x14ac:dyDescent="0.25">
      <c r="B47" s="93">
        <v>43</v>
      </c>
      <c r="C47" s="39">
        <f t="shared" si="0"/>
        <v>2364082.6666666665</v>
      </c>
      <c r="D47" s="39">
        <f t="shared" si="1"/>
        <v>2813258.3733333331</v>
      </c>
    </row>
    <row r="48" spans="2:4" x14ac:dyDescent="0.25">
      <c r="B48" s="93">
        <v>44</v>
      </c>
      <c r="C48" s="39">
        <f t="shared" si="0"/>
        <v>2419061.333333333</v>
      </c>
      <c r="D48" s="39">
        <f t="shared" si="1"/>
        <v>2878682.9866666663</v>
      </c>
    </row>
    <row r="49" spans="2:4" x14ac:dyDescent="0.25">
      <c r="B49" s="93">
        <v>45</v>
      </c>
      <c r="C49" s="39">
        <f t="shared" si="0"/>
        <v>2474040</v>
      </c>
      <c r="D49" s="39">
        <f t="shared" si="1"/>
        <v>2944107.5999999996</v>
      </c>
    </row>
    <row r="50" spans="2:4" x14ac:dyDescent="0.25">
      <c r="B50" s="93">
        <v>46</v>
      </c>
      <c r="C50" s="39">
        <f t="shared" si="0"/>
        <v>2529018.6666666665</v>
      </c>
      <c r="D50" s="39">
        <f t="shared" si="1"/>
        <v>3009532.2133333329</v>
      </c>
    </row>
    <row r="51" spans="2:4" x14ac:dyDescent="0.25">
      <c r="B51" s="93">
        <v>47</v>
      </c>
      <c r="C51" s="39">
        <f t="shared" si="0"/>
        <v>2583997.333333333</v>
      </c>
      <c r="D51" s="39">
        <f t="shared" si="1"/>
        <v>3074956.8266666662</v>
      </c>
    </row>
    <row r="52" spans="2:4" x14ac:dyDescent="0.25">
      <c r="B52" s="93">
        <v>48</v>
      </c>
      <c r="C52" s="39">
        <f t="shared" si="0"/>
        <v>2638976</v>
      </c>
      <c r="D52" s="39">
        <f t="shared" si="1"/>
        <v>3140381.4399999995</v>
      </c>
    </row>
    <row r="53" spans="2:4" x14ac:dyDescent="0.25">
      <c r="B53" s="93">
        <v>49</v>
      </c>
      <c r="C53" s="39">
        <f t="shared" si="0"/>
        <v>2693954.6666666665</v>
      </c>
      <c r="D53" s="39">
        <f t="shared" si="1"/>
        <v>3205806.0533333332</v>
      </c>
    </row>
    <row r="54" spans="2:4" x14ac:dyDescent="0.25">
      <c r="B54" s="93">
        <v>50</v>
      </c>
      <c r="C54" s="39">
        <f t="shared" si="0"/>
        <v>2748933.333333333</v>
      </c>
      <c r="D54" s="39">
        <f t="shared" si="1"/>
        <v>3271230.6666666665</v>
      </c>
    </row>
    <row r="55" spans="2:4" x14ac:dyDescent="0.25">
      <c r="B55" s="93">
        <v>51</v>
      </c>
      <c r="C55" s="39">
        <f t="shared" si="0"/>
        <v>2803912</v>
      </c>
      <c r="D55" s="39">
        <f t="shared" si="1"/>
        <v>3336655.28</v>
      </c>
    </row>
    <row r="56" spans="2:4" x14ac:dyDescent="0.25">
      <c r="B56" s="93">
        <v>52</v>
      </c>
      <c r="C56" s="39">
        <f t="shared" si="0"/>
        <v>2858890.6666666665</v>
      </c>
      <c r="D56" s="39">
        <f t="shared" si="1"/>
        <v>3402079.8933333331</v>
      </c>
    </row>
    <row r="57" spans="2:4" x14ac:dyDescent="0.25">
      <c r="B57" s="93">
        <v>53</v>
      </c>
      <c r="C57" s="39">
        <f t="shared" si="0"/>
        <v>2913869.333333333</v>
      </c>
      <c r="D57" s="39">
        <f t="shared" si="1"/>
        <v>3467504.5066666664</v>
      </c>
    </row>
    <row r="58" spans="2:4" x14ac:dyDescent="0.25">
      <c r="B58" s="93">
        <v>54</v>
      </c>
      <c r="C58" s="39">
        <f t="shared" si="0"/>
        <v>2968848</v>
      </c>
      <c r="D58" s="39">
        <f t="shared" si="1"/>
        <v>3532929.1199999996</v>
      </c>
    </row>
    <row r="59" spans="2:4" x14ac:dyDescent="0.25">
      <c r="B59" s="93">
        <v>55</v>
      </c>
      <c r="C59" s="39">
        <f t="shared" si="0"/>
        <v>3023826.6666666665</v>
      </c>
      <c r="D59" s="39">
        <f t="shared" si="1"/>
        <v>3598353.7333333329</v>
      </c>
    </row>
    <row r="60" spans="2:4" x14ac:dyDescent="0.25">
      <c r="B60" s="93">
        <v>56</v>
      </c>
      <c r="C60" s="39">
        <f t="shared" si="0"/>
        <v>3078805.333333333</v>
      </c>
      <c r="D60" s="39">
        <f t="shared" si="1"/>
        <v>3663778.3466666662</v>
      </c>
    </row>
    <row r="61" spans="2:4" x14ac:dyDescent="0.25">
      <c r="B61" s="93">
        <v>57</v>
      </c>
      <c r="C61" s="39">
        <f t="shared" si="0"/>
        <v>3133784</v>
      </c>
      <c r="D61" s="39">
        <f t="shared" si="1"/>
        <v>3729202.9599999995</v>
      </c>
    </row>
    <row r="62" spans="2:4" x14ac:dyDescent="0.25">
      <c r="B62" s="93">
        <v>58</v>
      </c>
      <c r="C62" s="39">
        <f t="shared" si="0"/>
        <v>3188762.6666666665</v>
      </c>
      <c r="D62" s="39">
        <f t="shared" si="1"/>
        <v>3794627.5733333328</v>
      </c>
    </row>
    <row r="63" spans="2:4" x14ac:dyDescent="0.25">
      <c r="B63" s="93">
        <v>59</v>
      </c>
      <c r="C63" s="39">
        <f t="shared" si="0"/>
        <v>3243741.333333333</v>
      </c>
      <c r="D63" s="39">
        <f t="shared" si="1"/>
        <v>3860052.1866666665</v>
      </c>
    </row>
    <row r="64" spans="2:4" x14ac:dyDescent="0.25">
      <c r="B64" s="93">
        <v>60</v>
      </c>
      <c r="C64" s="39">
        <f t="shared" si="0"/>
        <v>3298720</v>
      </c>
      <c r="D64" s="39">
        <f t="shared" si="1"/>
        <v>3925476.8</v>
      </c>
    </row>
    <row r="65" spans="2:4" x14ac:dyDescent="0.25">
      <c r="B65" s="93">
        <v>61</v>
      </c>
      <c r="C65" s="39">
        <f t="shared" si="0"/>
        <v>3353698.6666666665</v>
      </c>
      <c r="D65" s="39">
        <f t="shared" si="1"/>
        <v>3990901.4133333331</v>
      </c>
    </row>
    <row r="66" spans="2:4" x14ac:dyDescent="0.25">
      <c r="B66" s="93">
        <v>62</v>
      </c>
      <c r="C66" s="39">
        <f t="shared" si="0"/>
        <v>3408677.333333333</v>
      </c>
      <c r="D66" s="39">
        <f t="shared" si="1"/>
        <v>4056326.0266666664</v>
      </c>
    </row>
    <row r="67" spans="2:4" x14ac:dyDescent="0.25">
      <c r="B67" s="93">
        <v>63</v>
      </c>
      <c r="C67" s="39">
        <f t="shared" si="0"/>
        <v>3463656</v>
      </c>
      <c r="D67" s="39">
        <f t="shared" si="1"/>
        <v>4121750.6399999997</v>
      </c>
    </row>
    <row r="68" spans="2:4" x14ac:dyDescent="0.25">
      <c r="B68" s="93">
        <v>64</v>
      </c>
      <c r="C68" s="39">
        <f t="shared" si="0"/>
        <v>3518634.6666666665</v>
      </c>
      <c r="D68" s="39">
        <f t="shared" si="1"/>
        <v>4187175.2533333329</v>
      </c>
    </row>
    <row r="69" spans="2:4" x14ac:dyDescent="0.25">
      <c r="B69" s="93">
        <v>65</v>
      </c>
      <c r="C69" s="39">
        <f t="shared" ref="C69:C132" si="2">($C$2*B69)+$C$1</f>
        <v>3573613.333333333</v>
      </c>
      <c r="D69" s="39">
        <f t="shared" ref="D69:D132" si="3">$D$2*B69</f>
        <v>4252599.8666666662</v>
      </c>
    </row>
    <row r="70" spans="2:4" x14ac:dyDescent="0.25">
      <c r="B70" s="93">
        <v>66</v>
      </c>
      <c r="C70" s="39">
        <f t="shared" si="2"/>
        <v>3628592</v>
      </c>
      <c r="D70" s="39">
        <f t="shared" si="3"/>
        <v>4318024.4799999995</v>
      </c>
    </row>
    <row r="71" spans="2:4" x14ac:dyDescent="0.25">
      <c r="B71" s="93">
        <v>67</v>
      </c>
      <c r="C71" s="39">
        <f t="shared" si="2"/>
        <v>3683570.6666666665</v>
      </c>
      <c r="D71" s="39">
        <f t="shared" si="3"/>
        <v>4383449.0933333328</v>
      </c>
    </row>
    <row r="72" spans="2:4" x14ac:dyDescent="0.25">
      <c r="B72" s="93">
        <v>68</v>
      </c>
      <c r="C72" s="39">
        <f t="shared" si="2"/>
        <v>3738549.333333333</v>
      </c>
      <c r="D72" s="39">
        <f t="shared" si="3"/>
        <v>4448873.7066666661</v>
      </c>
    </row>
    <row r="73" spans="2:4" x14ac:dyDescent="0.25">
      <c r="B73" s="93">
        <v>69</v>
      </c>
      <c r="C73" s="39">
        <f t="shared" si="2"/>
        <v>3793528</v>
      </c>
      <c r="D73" s="39">
        <f t="shared" si="3"/>
        <v>4514298.3199999994</v>
      </c>
    </row>
    <row r="74" spans="2:4" x14ac:dyDescent="0.25">
      <c r="B74" s="93">
        <v>70</v>
      </c>
      <c r="C74" s="39">
        <f t="shared" si="2"/>
        <v>3848506.6666666665</v>
      </c>
      <c r="D74" s="39">
        <f t="shared" si="3"/>
        <v>4579722.9333333327</v>
      </c>
    </row>
    <row r="75" spans="2:4" x14ac:dyDescent="0.25">
      <c r="B75" s="93">
        <v>71</v>
      </c>
      <c r="C75" s="39">
        <f t="shared" si="2"/>
        <v>3903485.333333333</v>
      </c>
      <c r="D75" s="39">
        <f t="shared" si="3"/>
        <v>4645147.5466666659</v>
      </c>
    </row>
    <row r="76" spans="2:4" x14ac:dyDescent="0.25">
      <c r="B76" s="93">
        <v>72</v>
      </c>
      <c r="C76" s="39">
        <f t="shared" si="2"/>
        <v>3958464</v>
      </c>
      <c r="D76" s="39">
        <f t="shared" si="3"/>
        <v>4710572.1599999992</v>
      </c>
    </row>
    <row r="77" spans="2:4" x14ac:dyDescent="0.25">
      <c r="B77" s="93">
        <v>73</v>
      </c>
      <c r="C77" s="39">
        <f t="shared" si="2"/>
        <v>4013442.6666666665</v>
      </c>
      <c r="D77" s="39">
        <f t="shared" si="3"/>
        <v>4775996.7733333325</v>
      </c>
    </row>
    <row r="78" spans="2:4" x14ac:dyDescent="0.25">
      <c r="B78" s="93">
        <v>74</v>
      </c>
      <c r="C78" s="39">
        <f t="shared" si="2"/>
        <v>4068421.333333333</v>
      </c>
      <c r="D78" s="39">
        <f t="shared" si="3"/>
        <v>4841421.3866666658</v>
      </c>
    </row>
    <row r="79" spans="2:4" x14ac:dyDescent="0.25">
      <c r="B79" s="93">
        <v>75</v>
      </c>
      <c r="C79" s="39">
        <f t="shared" si="2"/>
        <v>4123400</v>
      </c>
      <c r="D79" s="39">
        <f t="shared" si="3"/>
        <v>4906846</v>
      </c>
    </row>
    <row r="80" spans="2:4" x14ac:dyDescent="0.25">
      <c r="B80" s="93">
        <v>76</v>
      </c>
      <c r="C80" s="39">
        <f t="shared" si="2"/>
        <v>4178378.6666666665</v>
      </c>
      <c r="D80" s="39">
        <f t="shared" si="3"/>
        <v>4972270.6133333333</v>
      </c>
    </row>
    <row r="81" spans="2:4" x14ac:dyDescent="0.25">
      <c r="B81" s="93">
        <v>77</v>
      </c>
      <c r="C81" s="39">
        <f t="shared" si="2"/>
        <v>4233357.333333333</v>
      </c>
      <c r="D81" s="39">
        <f t="shared" si="3"/>
        <v>5037695.2266666666</v>
      </c>
    </row>
    <row r="82" spans="2:4" x14ac:dyDescent="0.25">
      <c r="B82" s="93">
        <v>78</v>
      </c>
      <c r="C82" s="39">
        <f t="shared" si="2"/>
        <v>4288336</v>
      </c>
      <c r="D82" s="39">
        <f t="shared" si="3"/>
        <v>5103119.84</v>
      </c>
    </row>
    <row r="83" spans="2:4" x14ac:dyDescent="0.25">
      <c r="B83" s="93">
        <v>79</v>
      </c>
      <c r="C83" s="39">
        <f t="shared" si="2"/>
        <v>4343314.666666666</v>
      </c>
      <c r="D83" s="39">
        <f t="shared" si="3"/>
        <v>5168544.4533333331</v>
      </c>
    </row>
    <row r="84" spans="2:4" x14ac:dyDescent="0.25">
      <c r="B84" s="93">
        <v>80</v>
      </c>
      <c r="C84" s="39">
        <f t="shared" si="2"/>
        <v>4398293.333333333</v>
      </c>
      <c r="D84" s="39">
        <f t="shared" si="3"/>
        <v>5233969.0666666664</v>
      </c>
    </row>
    <row r="85" spans="2:4" x14ac:dyDescent="0.25">
      <c r="B85" s="93">
        <v>81</v>
      </c>
      <c r="C85" s="39">
        <f t="shared" si="2"/>
        <v>4453272</v>
      </c>
      <c r="D85" s="39">
        <f t="shared" si="3"/>
        <v>5299393.68</v>
      </c>
    </row>
    <row r="86" spans="2:4" x14ac:dyDescent="0.25">
      <c r="B86" s="93">
        <v>82</v>
      </c>
      <c r="C86" s="39">
        <f t="shared" si="2"/>
        <v>4508250.666666666</v>
      </c>
      <c r="D86" s="39">
        <f t="shared" si="3"/>
        <v>5364818.293333333</v>
      </c>
    </row>
    <row r="87" spans="2:4" x14ac:dyDescent="0.25">
      <c r="B87" s="93">
        <v>83</v>
      </c>
      <c r="C87" s="39">
        <f t="shared" si="2"/>
        <v>4563229.333333333</v>
      </c>
      <c r="D87" s="39">
        <f t="shared" si="3"/>
        <v>5430242.9066666663</v>
      </c>
    </row>
    <row r="88" spans="2:4" x14ac:dyDescent="0.25">
      <c r="B88" s="93">
        <v>84</v>
      </c>
      <c r="C88" s="39">
        <f t="shared" si="2"/>
        <v>4618208</v>
      </c>
      <c r="D88" s="39">
        <f t="shared" si="3"/>
        <v>5495667.5199999996</v>
      </c>
    </row>
    <row r="89" spans="2:4" x14ac:dyDescent="0.25">
      <c r="B89" s="93">
        <v>85</v>
      </c>
      <c r="C89" s="39">
        <f t="shared" si="2"/>
        <v>4673186.666666666</v>
      </c>
      <c r="D89" s="39">
        <f t="shared" si="3"/>
        <v>5561092.1333333328</v>
      </c>
    </row>
    <row r="90" spans="2:4" x14ac:dyDescent="0.25">
      <c r="B90" s="93">
        <v>86</v>
      </c>
      <c r="C90" s="39">
        <f t="shared" si="2"/>
        <v>4728165.333333333</v>
      </c>
      <c r="D90" s="39">
        <f t="shared" si="3"/>
        <v>5626516.7466666661</v>
      </c>
    </row>
    <row r="91" spans="2:4" x14ac:dyDescent="0.25">
      <c r="B91" s="93">
        <v>87</v>
      </c>
      <c r="C91" s="39">
        <f t="shared" si="2"/>
        <v>4783144</v>
      </c>
      <c r="D91" s="39">
        <f t="shared" si="3"/>
        <v>5691941.3599999994</v>
      </c>
    </row>
    <row r="92" spans="2:4" x14ac:dyDescent="0.25">
      <c r="B92" s="93">
        <v>88</v>
      </c>
      <c r="C92" s="39">
        <f t="shared" si="2"/>
        <v>4838122.666666666</v>
      </c>
      <c r="D92" s="39">
        <f t="shared" si="3"/>
        <v>5757365.9733333327</v>
      </c>
    </row>
    <row r="93" spans="2:4" x14ac:dyDescent="0.25">
      <c r="B93" s="93">
        <v>89</v>
      </c>
      <c r="C93" s="39">
        <f t="shared" si="2"/>
        <v>4893101.333333333</v>
      </c>
      <c r="D93" s="39">
        <f t="shared" si="3"/>
        <v>5822790.586666666</v>
      </c>
    </row>
    <row r="94" spans="2:4" x14ac:dyDescent="0.25">
      <c r="B94" s="93">
        <v>90</v>
      </c>
      <c r="C94" s="39">
        <f t="shared" si="2"/>
        <v>4948080</v>
      </c>
      <c r="D94" s="39">
        <f t="shared" si="3"/>
        <v>5888215.1999999993</v>
      </c>
    </row>
    <row r="95" spans="2:4" x14ac:dyDescent="0.25">
      <c r="B95" s="93">
        <v>91</v>
      </c>
      <c r="C95" s="39">
        <f t="shared" si="2"/>
        <v>5003058.666666666</v>
      </c>
      <c r="D95" s="39">
        <f t="shared" si="3"/>
        <v>5953639.8133333325</v>
      </c>
    </row>
    <row r="96" spans="2:4" x14ac:dyDescent="0.25">
      <c r="B96" s="93">
        <v>92</v>
      </c>
      <c r="C96" s="39">
        <f t="shared" si="2"/>
        <v>5058037.333333333</v>
      </c>
      <c r="D96" s="39">
        <f t="shared" si="3"/>
        <v>6019064.4266666658</v>
      </c>
    </row>
    <row r="97" spans="2:4" x14ac:dyDescent="0.25">
      <c r="B97" s="93">
        <v>93</v>
      </c>
      <c r="C97" s="39">
        <f t="shared" si="2"/>
        <v>5113016</v>
      </c>
      <c r="D97" s="39">
        <f t="shared" si="3"/>
        <v>6084489.0399999991</v>
      </c>
    </row>
    <row r="98" spans="2:4" x14ac:dyDescent="0.25">
      <c r="B98" s="93">
        <v>94</v>
      </c>
      <c r="C98" s="39">
        <f t="shared" si="2"/>
        <v>5167994.666666666</v>
      </c>
      <c r="D98" s="39">
        <f t="shared" si="3"/>
        <v>6149913.6533333324</v>
      </c>
    </row>
    <row r="99" spans="2:4" x14ac:dyDescent="0.25">
      <c r="B99" s="93">
        <v>95</v>
      </c>
      <c r="C99" s="39">
        <f t="shared" si="2"/>
        <v>5222973.333333333</v>
      </c>
      <c r="D99" s="39">
        <f t="shared" si="3"/>
        <v>6215338.2666666657</v>
      </c>
    </row>
    <row r="100" spans="2:4" x14ac:dyDescent="0.25">
      <c r="B100" s="93">
        <v>96</v>
      </c>
      <c r="C100" s="39">
        <f t="shared" si="2"/>
        <v>5277952</v>
      </c>
      <c r="D100" s="39">
        <f t="shared" si="3"/>
        <v>6280762.879999999</v>
      </c>
    </row>
    <row r="101" spans="2:4" x14ac:dyDescent="0.25">
      <c r="B101" s="93">
        <v>97</v>
      </c>
      <c r="C101" s="39">
        <f t="shared" si="2"/>
        <v>5332930.666666666</v>
      </c>
      <c r="D101" s="39">
        <f t="shared" si="3"/>
        <v>6346187.4933333332</v>
      </c>
    </row>
    <row r="102" spans="2:4" x14ac:dyDescent="0.25">
      <c r="B102" s="93">
        <v>98</v>
      </c>
      <c r="C102" s="39">
        <f t="shared" si="2"/>
        <v>5387909.333333333</v>
      </c>
      <c r="D102" s="39">
        <f t="shared" si="3"/>
        <v>6411612.1066666665</v>
      </c>
    </row>
    <row r="103" spans="2:4" x14ac:dyDescent="0.25">
      <c r="B103" s="93">
        <v>99</v>
      </c>
      <c r="C103" s="39">
        <f t="shared" si="2"/>
        <v>5442888</v>
      </c>
      <c r="D103" s="39">
        <f t="shared" si="3"/>
        <v>6477036.7199999997</v>
      </c>
    </row>
    <row r="104" spans="2:4" x14ac:dyDescent="0.25">
      <c r="B104" s="93">
        <v>100</v>
      </c>
      <c r="C104" s="39">
        <f t="shared" si="2"/>
        <v>5497866.666666666</v>
      </c>
      <c r="D104" s="39">
        <f t="shared" si="3"/>
        <v>6542461.333333333</v>
      </c>
    </row>
    <row r="105" spans="2:4" x14ac:dyDescent="0.25">
      <c r="B105" s="93">
        <v>101</v>
      </c>
      <c r="C105" s="39">
        <f t="shared" si="2"/>
        <v>5552845.333333333</v>
      </c>
      <c r="D105" s="39">
        <f t="shared" si="3"/>
        <v>6607885.9466666663</v>
      </c>
    </row>
    <row r="106" spans="2:4" x14ac:dyDescent="0.25">
      <c r="B106" s="93">
        <v>102</v>
      </c>
      <c r="C106" s="39">
        <f t="shared" si="2"/>
        <v>5607824</v>
      </c>
      <c r="D106" s="39">
        <f t="shared" si="3"/>
        <v>6673310.5599999996</v>
      </c>
    </row>
    <row r="107" spans="2:4" x14ac:dyDescent="0.25">
      <c r="B107" s="93">
        <v>103</v>
      </c>
      <c r="C107" s="39">
        <f t="shared" si="2"/>
        <v>5662802.666666666</v>
      </c>
      <c r="D107" s="39">
        <f t="shared" si="3"/>
        <v>6738735.1733333329</v>
      </c>
    </row>
    <row r="108" spans="2:4" x14ac:dyDescent="0.25">
      <c r="B108" s="93">
        <v>104</v>
      </c>
      <c r="C108" s="39">
        <f t="shared" si="2"/>
        <v>5717781.333333333</v>
      </c>
      <c r="D108" s="39">
        <f t="shared" si="3"/>
        <v>6804159.7866666662</v>
      </c>
    </row>
    <row r="109" spans="2:4" x14ac:dyDescent="0.25">
      <c r="B109" s="93">
        <v>105</v>
      </c>
      <c r="C109" s="39">
        <f t="shared" si="2"/>
        <v>5772760</v>
      </c>
      <c r="D109" s="39">
        <f t="shared" si="3"/>
        <v>6869584.3999999994</v>
      </c>
    </row>
    <row r="110" spans="2:4" x14ac:dyDescent="0.25">
      <c r="B110" s="93">
        <v>106</v>
      </c>
      <c r="C110" s="39">
        <f t="shared" si="2"/>
        <v>5827738.666666666</v>
      </c>
      <c r="D110" s="39">
        <f t="shared" si="3"/>
        <v>6935009.0133333327</v>
      </c>
    </row>
    <row r="111" spans="2:4" x14ac:dyDescent="0.25">
      <c r="B111" s="93">
        <v>107</v>
      </c>
      <c r="C111" s="39">
        <f t="shared" si="2"/>
        <v>5882717.333333333</v>
      </c>
      <c r="D111" s="39">
        <f t="shared" si="3"/>
        <v>7000433.626666666</v>
      </c>
    </row>
    <row r="112" spans="2:4" x14ac:dyDescent="0.25">
      <c r="B112" s="93">
        <v>108</v>
      </c>
      <c r="C112" s="39">
        <f t="shared" si="2"/>
        <v>5937696</v>
      </c>
      <c r="D112" s="39">
        <f t="shared" si="3"/>
        <v>7065858.2399999993</v>
      </c>
    </row>
    <row r="113" spans="2:4" x14ac:dyDescent="0.25">
      <c r="B113" s="93">
        <v>109</v>
      </c>
      <c r="C113" s="39">
        <f t="shared" si="2"/>
        <v>5992674.666666666</v>
      </c>
      <c r="D113" s="39">
        <f t="shared" si="3"/>
        <v>7131282.8533333326</v>
      </c>
    </row>
    <row r="114" spans="2:4" x14ac:dyDescent="0.25">
      <c r="B114" s="93">
        <v>110</v>
      </c>
      <c r="C114" s="39">
        <f t="shared" si="2"/>
        <v>6047653.333333333</v>
      </c>
      <c r="D114" s="39">
        <f t="shared" si="3"/>
        <v>7196707.4666666659</v>
      </c>
    </row>
    <row r="115" spans="2:4" x14ac:dyDescent="0.25">
      <c r="B115" s="93">
        <v>111</v>
      </c>
      <c r="C115" s="39">
        <f t="shared" si="2"/>
        <v>6102632</v>
      </c>
      <c r="D115" s="39">
        <f t="shared" si="3"/>
        <v>7262132.0799999991</v>
      </c>
    </row>
    <row r="116" spans="2:4" x14ac:dyDescent="0.25">
      <c r="B116" s="93">
        <v>112</v>
      </c>
      <c r="C116" s="39">
        <f t="shared" si="2"/>
        <v>6157610.666666666</v>
      </c>
      <c r="D116" s="39">
        <f t="shared" si="3"/>
        <v>7327556.6933333324</v>
      </c>
    </row>
    <row r="117" spans="2:4" x14ac:dyDescent="0.25">
      <c r="B117" s="93">
        <v>113</v>
      </c>
      <c r="C117" s="39">
        <f t="shared" si="2"/>
        <v>6212589.333333333</v>
      </c>
      <c r="D117" s="39">
        <f t="shared" si="3"/>
        <v>7392981.3066666657</v>
      </c>
    </row>
    <row r="118" spans="2:4" x14ac:dyDescent="0.25">
      <c r="B118" s="93">
        <v>114</v>
      </c>
      <c r="C118" s="39">
        <f t="shared" si="2"/>
        <v>6267568</v>
      </c>
      <c r="D118" s="39">
        <f t="shared" si="3"/>
        <v>7458405.919999999</v>
      </c>
    </row>
    <row r="119" spans="2:4" x14ac:dyDescent="0.25">
      <c r="B119" s="93">
        <v>115</v>
      </c>
      <c r="C119" s="39">
        <f t="shared" si="2"/>
        <v>6322546.666666666</v>
      </c>
      <c r="D119" s="39">
        <f t="shared" si="3"/>
        <v>7523830.5333333323</v>
      </c>
    </row>
    <row r="120" spans="2:4" x14ac:dyDescent="0.25">
      <c r="B120" s="93">
        <v>116</v>
      </c>
      <c r="C120" s="39">
        <f t="shared" si="2"/>
        <v>6377525.333333333</v>
      </c>
      <c r="D120" s="39">
        <f t="shared" si="3"/>
        <v>7589255.1466666656</v>
      </c>
    </row>
    <row r="121" spans="2:4" x14ac:dyDescent="0.25">
      <c r="B121" s="93">
        <v>117</v>
      </c>
      <c r="C121" s="39">
        <f t="shared" si="2"/>
        <v>6432504</v>
      </c>
      <c r="D121" s="39">
        <f t="shared" si="3"/>
        <v>7654679.7599999988</v>
      </c>
    </row>
    <row r="122" spans="2:4" x14ac:dyDescent="0.25">
      <c r="B122" s="93">
        <v>118</v>
      </c>
      <c r="C122" s="39">
        <f t="shared" si="2"/>
        <v>6487482.666666666</v>
      </c>
      <c r="D122" s="39">
        <f t="shared" si="3"/>
        <v>7720104.3733333331</v>
      </c>
    </row>
    <row r="123" spans="2:4" x14ac:dyDescent="0.25">
      <c r="B123" s="93">
        <v>119</v>
      </c>
      <c r="C123" s="39">
        <f t="shared" si="2"/>
        <v>6542461.333333333</v>
      </c>
      <c r="D123" s="39">
        <f t="shared" si="3"/>
        <v>7785528.9866666663</v>
      </c>
    </row>
    <row r="124" spans="2:4" x14ac:dyDescent="0.25">
      <c r="B124" s="93">
        <v>120</v>
      </c>
      <c r="C124" s="39">
        <f t="shared" si="2"/>
        <v>6597440</v>
      </c>
      <c r="D124" s="39">
        <f t="shared" si="3"/>
        <v>7850953.5999999996</v>
      </c>
    </row>
    <row r="125" spans="2:4" x14ac:dyDescent="0.25">
      <c r="B125" s="93">
        <v>121</v>
      </c>
      <c r="C125" s="39">
        <f t="shared" si="2"/>
        <v>6652418.666666666</v>
      </c>
      <c r="D125" s="39">
        <f t="shared" si="3"/>
        <v>7916378.2133333329</v>
      </c>
    </row>
    <row r="126" spans="2:4" x14ac:dyDescent="0.25">
      <c r="B126" s="93">
        <v>122</v>
      </c>
      <c r="C126" s="39">
        <f t="shared" si="2"/>
        <v>6707397.333333333</v>
      </c>
      <c r="D126" s="39">
        <f t="shared" si="3"/>
        <v>7981802.8266666662</v>
      </c>
    </row>
    <row r="127" spans="2:4" x14ac:dyDescent="0.25">
      <c r="B127" s="93">
        <v>123</v>
      </c>
      <c r="C127" s="39">
        <f t="shared" si="2"/>
        <v>6762376</v>
      </c>
      <c r="D127" s="39">
        <f t="shared" si="3"/>
        <v>8047227.4399999995</v>
      </c>
    </row>
    <row r="128" spans="2:4" x14ac:dyDescent="0.25">
      <c r="B128" s="93">
        <v>124</v>
      </c>
      <c r="C128" s="39">
        <f t="shared" si="2"/>
        <v>6817354.666666666</v>
      </c>
      <c r="D128" s="39">
        <f t="shared" si="3"/>
        <v>8112652.0533333328</v>
      </c>
    </row>
    <row r="129" spans="2:4" x14ac:dyDescent="0.25">
      <c r="B129" s="93">
        <v>125</v>
      </c>
      <c r="C129" s="39">
        <f t="shared" si="2"/>
        <v>6872333.333333333</v>
      </c>
      <c r="D129" s="39">
        <f t="shared" si="3"/>
        <v>8178076.666666666</v>
      </c>
    </row>
    <row r="130" spans="2:4" x14ac:dyDescent="0.25">
      <c r="B130" s="93">
        <v>126</v>
      </c>
      <c r="C130" s="39">
        <f t="shared" si="2"/>
        <v>6927312</v>
      </c>
      <c r="D130" s="39">
        <f t="shared" si="3"/>
        <v>8243501.2799999993</v>
      </c>
    </row>
    <row r="131" spans="2:4" x14ac:dyDescent="0.25">
      <c r="B131" s="93">
        <v>127</v>
      </c>
      <c r="C131" s="39">
        <f t="shared" si="2"/>
        <v>6982290.666666666</v>
      </c>
      <c r="D131" s="39">
        <f t="shared" si="3"/>
        <v>8308925.8933333326</v>
      </c>
    </row>
    <row r="132" spans="2:4" x14ac:dyDescent="0.25">
      <c r="B132" s="93">
        <v>128</v>
      </c>
      <c r="C132" s="39">
        <f t="shared" si="2"/>
        <v>7037269.333333333</v>
      </c>
      <c r="D132" s="39">
        <f t="shared" si="3"/>
        <v>8374350.5066666659</v>
      </c>
    </row>
    <row r="133" spans="2:4" x14ac:dyDescent="0.25">
      <c r="B133" s="93">
        <v>129</v>
      </c>
      <c r="C133" s="39">
        <f t="shared" ref="C133:C196" si="4">($C$2*B133)+$C$1</f>
        <v>7092248</v>
      </c>
      <c r="D133" s="39">
        <f t="shared" ref="D133:D196" si="5">$D$2*B133</f>
        <v>8439775.1199999992</v>
      </c>
    </row>
    <row r="134" spans="2:4" x14ac:dyDescent="0.25">
      <c r="B134" s="93">
        <v>130</v>
      </c>
      <c r="C134" s="39">
        <f t="shared" si="4"/>
        <v>7147226.666666666</v>
      </c>
      <c r="D134" s="39">
        <f t="shared" si="5"/>
        <v>8505199.7333333325</v>
      </c>
    </row>
    <row r="135" spans="2:4" x14ac:dyDescent="0.25">
      <c r="B135" s="93">
        <v>131</v>
      </c>
      <c r="C135" s="39">
        <f t="shared" si="4"/>
        <v>7202205.333333333</v>
      </c>
      <c r="D135" s="39">
        <f t="shared" si="5"/>
        <v>8570624.3466666657</v>
      </c>
    </row>
    <row r="136" spans="2:4" x14ac:dyDescent="0.25">
      <c r="B136" s="93">
        <v>132</v>
      </c>
      <c r="C136" s="39">
        <f t="shared" si="4"/>
        <v>7257184</v>
      </c>
      <c r="D136" s="39">
        <f t="shared" si="5"/>
        <v>8636048.959999999</v>
      </c>
    </row>
    <row r="137" spans="2:4" x14ac:dyDescent="0.25">
      <c r="B137" s="93">
        <v>133</v>
      </c>
      <c r="C137" s="39">
        <f t="shared" si="4"/>
        <v>7312162.666666666</v>
      </c>
      <c r="D137" s="39">
        <f t="shared" si="5"/>
        <v>8701473.5733333323</v>
      </c>
    </row>
    <row r="138" spans="2:4" x14ac:dyDescent="0.25">
      <c r="B138" s="93">
        <v>134</v>
      </c>
      <c r="C138" s="39">
        <f t="shared" si="4"/>
        <v>7367141.333333333</v>
      </c>
      <c r="D138" s="39">
        <f t="shared" si="5"/>
        <v>8766898.1866666656</v>
      </c>
    </row>
    <row r="139" spans="2:4" x14ac:dyDescent="0.25">
      <c r="B139" s="93">
        <v>135</v>
      </c>
      <c r="C139" s="39">
        <f t="shared" si="4"/>
        <v>7422120</v>
      </c>
      <c r="D139" s="39">
        <f t="shared" si="5"/>
        <v>8832322.7999999989</v>
      </c>
    </row>
    <row r="140" spans="2:4" x14ac:dyDescent="0.25">
      <c r="B140" s="93">
        <v>136</v>
      </c>
      <c r="C140" s="39">
        <f t="shared" si="4"/>
        <v>7477098.666666666</v>
      </c>
      <c r="D140" s="39">
        <f t="shared" si="5"/>
        <v>8897747.4133333322</v>
      </c>
    </row>
    <row r="141" spans="2:4" x14ac:dyDescent="0.25">
      <c r="B141" s="93">
        <v>137</v>
      </c>
      <c r="C141" s="39">
        <f t="shared" si="4"/>
        <v>7532077.333333333</v>
      </c>
      <c r="D141" s="39">
        <f t="shared" si="5"/>
        <v>8963172.0266666654</v>
      </c>
    </row>
    <row r="142" spans="2:4" x14ac:dyDescent="0.25">
      <c r="B142" s="93">
        <v>138</v>
      </c>
      <c r="C142" s="39">
        <f t="shared" si="4"/>
        <v>7587056</v>
      </c>
      <c r="D142" s="39">
        <f t="shared" si="5"/>
        <v>9028596.6399999987</v>
      </c>
    </row>
    <row r="143" spans="2:4" x14ac:dyDescent="0.25">
      <c r="B143" s="93">
        <v>139</v>
      </c>
      <c r="C143" s="39">
        <f t="shared" si="4"/>
        <v>7642034.666666666</v>
      </c>
      <c r="D143" s="39">
        <f t="shared" si="5"/>
        <v>9094021.253333332</v>
      </c>
    </row>
    <row r="144" spans="2:4" x14ac:dyDescent="0.25">
      <c r="B144" s="93">
        <v>140</v>
      </c>
      <c r="C144" s="39">
        <f t="shared" si="4"/>
        <v>7697013.333333333</v>
      </c>
      <c r="D144" s="39">
        <f t="shared" si="5"/>
        <v>9159445.8666666653</v>
      </c>
    </row>
    <row r="145" spans="2:4" x14ac:dyDescent="0.25">
      <c r="B145" s="93">
        <v>141</v>
      </c>
      <c r="C145" s="39">
        <f t="shared" si="4"/>
        <v>7751992</v>
      </c>
      <c r="D145" s="39">
        <f t="shared" si="5"/>
        <v>9224870.4799999986</v>
      </c>
    </row>
    <row r="146" spans="2:4" x14ac:dyDescent="0.25">
      <c r="B146" s="93">
        <v>142</v>
      </c>
      <c r="C146" s="39">
        <f t="shared" si="4"/>
        <v>7806970.666666666</v>
      </c>
      <c r="D146" s="39">
        <f t="shared" si="5"/>
        <v>9290295.0933333319</v>
      </c>
    </row>
    <row r="147" spans="2:4" x14ac:dyDescent="0.25">
      <c r="B147" s="93">
        <v>143</v>
      </c>
      <c r="C147" s="39">
        <f t="shared" si="4"/>
        <v>7861949.333333333</v>
      </c>
      <c r="D147" s="39">
        <f t="shared" si="5"/>
        <v>9355719.7066666652</v>
      </c>
    </row>
    <row r="148" spans="2:4" x14ac:dyDescent="0.25">
      <c r="B148" s="93">
        <v>144</v>
      </c>
      <c r="C148" s="39">
        <f t="shared" si="4"/>
        <v>7916928</v>
      </c>
      <c r="D148" s="39">
        <f t="shared" si="5"/>
        <v>9421144.3199999984</v>
      </c>
    </row>
    <row r="149" spans="2:4" x14ac:dyDescent="0.25">
      <c r="B149" s="93">
        <v>145</v>
      </c>
      <c r="C149" s="39">
        <f t="shared" si="4"/>
        <v>7971906.666666666</v>
      </c>
      <c r="D149" s="39">
        <f t="shared" si="5"/>
        <v>9486568.9333333317</v>
      </c>
    </row>
    <row r="150" spans="2:4" x14ac:dyDescent="0.25">
      <c r="B150" s="93">
        <v>146</v>
      </c>
      <c r="C150" s="39">
        <f t="shared" si="4"/>
        <v>8026885.333333333</v>
      </c>
      <c r="D150" s="39">
        <f t="shared" si="5"/>
        <v>9551993.546666665</v>
      </c>
    </row>
    <row r="151" spans="2:4" x14ac:dyDescent="0.25">
      <c r="B151" s="93">
        <v>147</v>
      </c>
      <c r="C151" s="39">
        <f t="shared" si="4"/>
        <v>8081864</v>
      </c>
      <c r="D151" s="39">
        <f t="shared" si="5"/>
        <v>9617418.1599999983</v>
      </c>
    </row>
    <row r="152" spans="2:4" x14ac:dyDescent="0.25">
      <c r="B152" s="93">
        <v>148</v>
      </c>
      <c r="C152" s="39">
        <f t="shared" si="4"/>
        <v>8136842.666666666</v>
      </c>
      <c r="D152" s="39">
        <f t="shared" si="5"/>
        <v>9682842.7733333316</v>
      </c>
    </row>
    <row r="153" spans="2:4" x14ac:dyDescent="0.25">
      <c r="B153" s="93">
        <v>149</v>
      </c>
      <c r="C153" s="39">
        <f t="shared" si="4"/>
        <v>8191821.333333333</v>
      </c>
      <c r="D153" s="39">
        <f t="shared" si="5"/>
        <v>9748267.3866666649</v>
      </c>
    </row>
    <row r="154" spans="2:4" x14ac:dyDescent="0.25">
      <c r="B154" s="93">
        <v>150</v>
      </c>
      <c r="C154" s="39">
        <f t="shared" si="4"/>
        <v>8246800</v>
      </c>
      <c r="D154" s="39">
        <f t="shared" si="5"/>
        <v>9813692</v>
      </c>
    </row>
    <row r="155" spans="2:4" x14ac:dyDescent="0.25">
      <c r="B155" s="93">
        <v>151</v>
      </c>
      <c r="C155" s="39">
        <f t="shared" si="4"/>
        <v>8301778.666666666</v>
      </c>
      <c r="D155" s="39">
        <f t="shared" si="5"/>
        <v>9879116.6133333333</v>
      </c>
    </row>
    <row r="156" spans="2:4" x14ac:dyDescent="0.25">
      <c r="B156" s="93">
        <v>152</v>
      </c>
      <c r="C156" s="39">
        <f t="shared" si="4"/>
        <v>8356757.333333333</v>
      </c>
      <c r="D156" s="39">
        <f t="shared" si="5"/>
        <v>9944541.2266666666</v>
      </c>
    </row>
    <row r="157" spans="2:4" x14ac:dyDescent="0.25">
      <c r="B157" s="93">
        <v>153</v>
      </c>
      <c r="C157" s="39">
        <f t="shared" si="4"/>
        <v>8411736</v>
      </c>
      <c r="D157" s="39">
        <f t="shared" si="5"/>
        <v>10009965.84</v>
      </c>
    </row>
    <row r="158" spans="2:4" x14ac:dyDescent="0.25">
      <c r="B158" s="93">
        <v>154</v>
      </c>
      <c r="C158" s="39">
        <f t="shared" si="4"/>
        <v>8466714.666666666</v>
      </c>
      <c r="D158" s="39">
        <f t="shared" si="5"/>
        <v>10075390.453333333</v>
      </c>
    </row>
    <row r="159" spans="2:4" x14ac:dyDescent="0.25">
      <c r="B159" s="93">
        <v>155</v>
      </c>
      <c r="C159" s="39">
        <f t="shared" si="4"/>
        <v>8521693.3333333321</v>
      </c>
      <c r="D159" s="39">
        <f t="shared" si="5"/>
        <v>10140815.066666666</v>
      </c>
    </row>
    <row r="160" spans="2:4" x14ac:dyDescent="0.25">
      <c r="B160" s="93">
        <v>156</v>
      </c>
      <c r="C160" s="39">
        <f t="shared" si="4"/>
        <v>8576672</v>
      </c>
      <c r="D160" s="39">
        <f t="shared" si="5"/>
        <v>10206239.68</v>
      </c>
    </row>
    <row r="161" spans="2:4" x14ac:dyDescent="0.25">
      <c r="B161" s="93">
        <v>157</v>
      </c>
      <c r="C161" s="39">
        <f t="shared" si="4"/>
        <v>8631650.666666666</v>
      </c>
      <c r="D161" s="39">
        <f t="shared" si="5"/>
        <v>10271664.293333333</v>
      </c>
    </row>
    <row r="162" spans="2:4" x14ac:dyDescent="0.25">
      <c r="B162" s="93">
        <v>158</v>
      </c>
      <c r="C162" s="39">
        <f t="shared" si="4"/>
        <v>8686629.3333333321</v>
      </c>
      <c r="D162" s="39">
        <f t="shared" si="5"/>
        <v>10337088.906666666</v>
      </c>
    </row>
    <row r="163" spans="2:4" x14ac:dyDescent="0.25">
      <c r="B163" s="93">
        <v>159</v>
      </c>
      <c r="C163" s="39">
        <f t="shared" si="4"/>
        <v>8741608</v>
      </c>
      <c r="D163" s="39">
        <f t="shared" si="5"/>
        <v>10402513.52</v>
      </c>
    </row>
    <row r="164" spans="2:4" x14ac:dyDescent="0.25">
      <c r="B164" s="93">
        <v>160</v>
      </c>
      <c r="C164" s="39">
        <f t="shared" si="4"/>
        <v>8796586.666666666</v>
      </c>
      <c r="D164" s="39">
        <f t="shared" si="5"/>
        <v>10467938.133333333</v>
      </c>
    </row>
    <row r="165" spans="2:4" x14ac:dyDescent="0.25">
      <c r="B165" s="93">
        <v>161</v>
      </c>
      <c r="C165" s="39">
        <f t="shared" si="4"/>
        <v>8851565.3333333321</v>
      </c>
      <c r="D165" s="39">
        <f t="shared" si="5"/>
        <v>10533362.746666666</v>
      </c>
    </row>
    <row r="166" spans="2:4" x14ac:dyDescent="0.25">
      <c r="B166" s="93">
        <v>162</v>
      </c>
      <c r="C166" s="39">
        <f t="shared" si="4"/>
        <v>8906544</v>
      </c>
      <c r="D166" s="39">
        <f t="shared" si="5"/>
        <v>10598787.359999999</v>
      </c>
    </row>
    <row r="167" spans="2:4" x14ac:dyDescent="0.25">
      <c r="B167" s="93">
        <v>163</v>
      </c>
      <c r="C167" s="39">
        <f t="shared" si="4"/>
        <v>8961522.666666666</v>
      </c>
      <c r="D167" s="39">
        <f t="shared" si="5"/>
        <v>10664211.973333333</v>
      </c>
    </row>
    <row r="168" spans="2:4" x14ac:dyDescent="0.25">
      <c r="B168" s="93">
        <v>164</v>
      </c>
      <c r="C168" s="39">
        <f t="shared" si="4"/>
        <v>9016501.3333333321</v>
      </c>
      <c r="D168" s="39">
        <f t="shared" si="5"/>
        <v>10729636.586666666</v>
      </c>
    </row>
    <row r="169" spans="2:4" x14ac:dyDescent="0.25">
      <c r="B169" s="93">
        <v>165</v>
      </c>
      <c r="C169" s="39">
        <f t="shared" si="4"/>
        <v>9071480</v>
      </c>
      <c r="D169" s="39">
        <f t="shared" si="5"/>
        <v>10795061.199999999</v>
      </c>
    </row>
    <row r="170" spans="2:4" x14ac:dyDescent="0.25">
      <c r="B170" s="93">
        <v>166</v>
      </c>
      <c r="C170" s="39">
        <f t="shared" si="4"/>
        <v>9126458.666666666</v>
      </c>
      <c r="D170" s="39">
        <f t="shared" si="5"/>
        <v>10860485.813333333</v>
      </c>
    </row>
    <row r="171" spans="2:4" x14ac:dyDescent="0.25">
      <c r="B171" s="93">
        <v>167</v>
      </c>
      <c r="C171" s="39">
        <f t="shared" si="4"/>
        <v>9181437.3333333321</v>
      </c>
      <c r="D171" s="39">
        <f t="shared" si="5"/>
        <v>10925910.426666666</v>
      </c>
    </row>
    <row r="172" spans="2:4" x14ac:dyDescent="0.25">
      <c r="B172" s="93">
        <v>168</v>
      </c>
      <c r="C172" s="39">
        <f t="shared" si="4"/>
        <v>9236416</v>
      </c>
      <c r="D172" s="39">
        <f t="shared" si="5"/>
        <v>10991335.039999999</v>
      </c>
    </row>
    <row r="173" spans="2:4" x14ac:dyDescent="0.25">
      <c r="B173" s="93">
        <v>169</v>
      </c>
      <c r="C173" s="39">
        <f t="shared" si="4"/>
        <v>9291394.666666666</v>
      </c>
      <c r="D173" s="39">
        <f t="shared" si="5"/>
        <v>11056759.653333332</v>
      </c>
    </row>
    <row r="174" spans="2:4" x14ac:dyDescent="0.25">
      <c r="B174" s="93">
        <v>170</v>
      </c>
      <c r="C174" s="39">
        <f t="shared" si="4"/>
        <v>9346373.3333333321</v>
      </c>
      <c r="D174" s="39">
        <f t="shared" si="5"/>
        <v>11122184.266666666</v>
      </c>
    </row>
    <row r="175" spans="2:4" x14ac:dyDescent="0.25">
      <c r="B175" s="93">
        <v>171</v>
      </c>
      <c r="C175" s="39">
        <f t="shared" si="4"/>
        <v>9401352</v>
      </c>
      <c r="D175" s="39">
        <f t="shared" si="5"/>
        <v>11187608.879999999</v>
      </c>
    </row>
    <row r="176" spans="2:4" x14ac:dyDescent="0.25">
      <c r="B176" s="93">
        <v>172</v>
      </c>
      <c r="C176" s="39">
        <f t="shared" si="4"/>
        <v>9456330.666666666</v>
      </c>
      <c r="D176" s="39">
        <f t="shared" si="5"/>
        <v>11253033.493333332</v>
      </c>
    </row>
    <row r="177" spans="2:4" x14ac:dyDescent="0.25">
      <c r="B177" s="93">
        <v>173</v>
      </c>
      <c r="C177" s="39">
        <f t="shared" si="4"/>
        <v>9511309.3333333321</v>
      </c>
      <c r="D177" s="39">
        <f t="shared" si="5"/>
        <v>11318458.106666666</v>
      </c>
    </row>
    <row r="178" spans="2:4" x14ac:dyDescent="0.25">
      <c r="B178" s="93">
        <v>174</v>
      </c>
      <c r="C178" s="39">
        <f t="shared" si="4"/>
        <v>9566288</v>
      </c>
      <c r="D178" s="39">
        <f t="shared" si="5"/>
        <v>11383882.719999999</v>
      </c>
    </row>
    <row r="179" spans="2:4" x14ac:dyDescent="0.25">
      <c r="B179" s="93">
        <v>175</v>
      </c>
      <c r="C179" s="39">
        <f t="shared" si="4"/>
        <v>9621266.666666666</v>
      </c>
      <c r="D179" s="39">
        <f t="shared" si="5"/>
        <v>11449307.333333332</v>
      </c>
    </row>
    <row r="180" spans="2:4" x14ac:dyDescent="0.25">
      <c r="B180" s="93">
        <v>176</v>
      </c>
      <c r="C180" s="39">
        <f t="shared" si="4"/>
        <v>9676245.3333333321</v>
      </c>
      <c r="D180" s="39">
        <f t="shared" si="5"/>
        <v>11514731.946666665</v>
      </c>
    </row>
    <row r="181" spans="2:4" x14ac:dyDescent="0.25">
      <c r="B181" s="93">
        <v>177</v>
      </c>
      <c r="C181" s="39">
        <f t="shared" si="4"/>
        <v>9731224</v>
      </c>
      <c r="D181" s="39">
        <f t="shared" si="5"/>
        <v>11580156.559999999</v>
      </c>
    </row>
    <row r="182" spans="2:4" x14ac:dyDescent="0.25">
      <c r="B182" s="93">
        <v>178</v>
      </c>
      <c r="C182" s="39">
        <f t="shared" si="4"/>
        <v>9786202.666666666</v>
      </c>
      <c r="D182" s="39">
        <f t="shared" si="5"/>
        <v>11645581.173333332</v>
      </c>
    </row>
    <row r="183" spans="2:4" x14ac:dyDescent="0.25">
      <c r="B183" s="93">
        <v>179</v>
      </c>
      <c r="C183" s="39">
        <f t="shared" si="4"/>
        <v>9841181.3333333321</v>
      </c>
      <c r="D183" s="39">
        <f t="shared" si="5"/>
        <v>11711005.786666665</v>
      </c>
    </row>
    <row r="184" spans="2:4" x14ac:dyDescent="0.25">
      <c r="B184" s="93">
        <v>180</v>
      </c>
      <c r="C184" s="39">
        <f t="shared" si="4"/>
        <v>9896160</v>
      </c>
      <c r="D184" s="39">
        <f t="shared" si="5"/>
        <v>11776430.399999999</v>
      </c>
    </row>
    <row r="185" spans="2:4" x14ac:dyDescent="0.25">
      <c r="B185" s="93">
        <v>181</v>
      </c>
      <c r="C185" s="39">
        <f t="shared" si="4"/>
        <v>9951138.666666666</v>
      </c>
      <c r="D185" s="39">
        <f t="shared" si="5"/>
        <v>11841855.013333332</v>
      </c>
    </row>
    <row r="186" spans="2:4" x14ac:dyDescent="0.25">
      <c r="B186" s="93">
        <v>182</v>
      </c>
      <c r="C186" s="39">
        <f t="shared" si="4"/>
        <v>10006117.333333332</v>
      </c>
      <c r="D186" s="39">
        <f t="shared" si="5"/>
        <v>11907279.626666665</v>
      </c>
    </row>
    <row r="187" spans="2:4" x14ac:dyDescent="0.25">
      <c r="B187" s="93">
        <v>183</v>
      </c>
      <c r="C187" s="39">
        <f t="shared" si="4"/>
        <v>10061096</v>
      </c>
      <c r="D187" s="39">
        <f t="shared" si="5"/>
        <v>11972704.239999998</v>
      </c>
    </row>
    <row r="188" spans="2:4" x14ac:dyDescent="0.25">
      <c r="B188" s="93">
        <v>184</v>
      </c>
      <c r="C188" s="39">
        <f t="shared" si="4"/>
        <v>10116074.666666666</v>
      </c>
      <c r="D188" s="39">
        <f t="shared" si="5"/>
        <v>12038128.853333332</v>
      </c>
    </row>
    <row r="189" spans="2:4" x14ac:dyDescent="0.25">
      <c r="B189" s="93">
        <v>185</v>
      </c>
      <c r="C189" s="39">
        <f t="shared" si="4"/>
        <v>10171053.333333332</v>
      </c>
      <c r="D189" s="39">
        <f t="shared" si="5"/>
        <v>12103553.466666665</v>
      </c>
    </row>
    <row r="190" spans="2:4" x14ac:dyDescent="0.25">
      <c r="B190" s="93">
        <v>186</v>
      </c>
      <c r="C190" s="39">
        <f t="shared" si="4"/>
        <v>10226032</v>
      </c>
      <c r="D190" s="39">
        <f t="shared" si="5"/>
        <v>12168978.079999998</v>
      </c>
    </row>
    <row r="191" spans="2:4" x14ac:dyDescent="0.25">
      <c r="B191" s="93">
        <v>187</v>
      </c>
      <c r="C191" s="39">
        <f t="shared" si="4"/>
        <v>10281010.666666666</v>
      </c>
      <c r="D191" s="39">
        <f t="shared" si="5"/>
        <v>12234402.693333331</v>
      </c>
    </row>
    <row r="192" spans="2:4" x14ac:dyDescent="0.25">
      <c r="B192" s="93">
        <v>188</v>
      </c>
      <c r="C192" s="39">
        <f t="shared" si="4"/>
        <v>10335989.333333332</v>
      </c>
      <c r="D192" s="39">
        <f t="shared" si="5"/>
        <v>12299827.306666665</v>
      </c>
    </row>
    <row r="193" spans="2:4" x14ac:dyDescent="0.25">
      <c r="B193" s="93">
        <v>189</v>
      </c>
      <c r="C193" s="39">
        <f t="shared" si="4"/>
        <v>10390968</v>
      </c>
      <c r="D193" s="39">
        <f t="shared" si="5"/>
        <v>12365251.919999998</v>
      </c>
    </row>
    <row r="194" spans="2:4" x14ac:dyDescent="0.25">
      <c r="B194" s="93">
        <v>190</v>
      </c>
      <c r="C194" s="39">
        <f t="shared" si="4"/>
        <v>10445946.666666666</v>
      </c>
      <c r="D194" s="39">
        <f t="shared" si="5"/>
        <v>12430676.533333331</v>
      </c>
    </row>
    <row r="195" spans="2:4" x14ac:dyDescent="0.25">
      <c r="B195" s="93">
        <v>191</v>
      </c>
      <c r="C195" s="39">
        <f t="shared" si="4"/>
        <v>10500925.333333332</v>
      </c>
      <c r="D195" s="39">
        <f t="shared" si="5"/>
        <v>12496101.146666665</v>
      </c>
    </row>
    <row r="196" spans="2:4" x14ac:dyDescent="0.25">
      <c r="B196" s="93">
        <v>192</v>
      </c>
      <c r="C196" s="39">
        <f t="shared" si="4"/>
        <v>10555904</v>
      </c>
      <c r="D196" s="39">
        <f t="shared" si="5"/>
        <v>12561525.759999998</v>
      </c>
    </row>
    <row r="197" spans="2:4" x14ac:dyDescent="0.25">
      <c r="B197" s="93">
        <v>193</v>
      </c>
      <c r="C197" s="39">
        <f t="shared" ref="C197:C260" si="6">($C$2*B197)+$C$1</f>
        <v>10610882.666666666</v>
      </c>
      <c r="D197" s="39">
        <f t="shared" ref="D197:D260" si="7">$D$2*B197</f>
        <v>12626950.373333333</v>
      </c>
    </row>
    <row r="198" spans="2:4" x14ac:dyDescent="0.25">
      <c r="B198" s="93">
        <v>194</v>
      </c>
      <c r="C198" s="39">
        <f t="shared" si="6"/>
        <v>10665861.333333332</v>
      </c>
      <c r="D198" s="39">
        <f t="shared" si="7"/>
        <v>12692374.986666666</v>
      </c>
    </row>
    <row r="199" spans="2:4" x14ac:dyDescent="0.25">
      <c r="B199" s="93">
        <v>195</v>
      </c>
      <c r="C199" s="39">
        <f t="shared" si="6"/>
        <v>10720840</v>
      </c>
      <c r="D199" s="39">
        <f t="shared" si="7"/>
        <v>12757799.6</v>
      </c>
    </row>
    <row r="200" spans="2:4" x14ac:dyDescent="0.25">
      <c r="B200" s="93">
        <v>196</v>
      </c>
      <c r="C200" s="39">
        <f t="shared" si="6"/>
        <v>10775818.666666666</v>
      </c>
      <c r="D200" s="39">
        <f t="shared" si="7"/>
        <v>12823224.213333333</v>
      </c>
    </row>
    <row r="201" spans="2:4" x14ac:dyDescent="0.25">
      <c r="B201" s="93">
        <v>197</v>
      </c>
      <c r="C201" s="39">
        <f t="shared" si="6"/>
        <v>10830797.333333332</v>
      </c>
      <c r="D201" s="39">
        <f t="shared" si="7"/>
        <v>12888648.826666666</v>
      </c>
    </row>
    <row r="202" spans="2:4" x14ac:dyDescent="0.25">
      <c r="B202" s="93">
        <v>198</v>
      </c>
      <c r="C202" s="39">
        <f t="shared" si="6"/>
        <v>10885776</v>
      </c>
      <c r="D202" s="39">
        <f t="shared" si="7"/>
        <v>12954073.439999999</v>
      </c>
    </row>
    <row r="203" spans="2:4" x14ac:dyDescent="0.25">
      <c r="B203" s="93">
        <v>199</v>
      </c>
      <c r="C203" s="39">
        <f t="shared" si="6"/>
        <v>10940754.666666666</v>
      </c>
      <c r="D203" s="39">
        <f t="shared" si="7"/>
        <v>13019498.053333333</v>
      </c>
    </row>
    <row r="204" spans="2:4" x14ac:dyDescent="0.25">
      <c r="B204" s="93">
        <v>200</v>
      </c>
      <c r="C204" s="39">
        <f t="shared" si="6"/>
        <v>10995733.333333332</v>
      </c>
      <c r="D204" s="39">
        <f t="shared" si="7"/>
        <v>13084922.666666666</v>
      </c>
    </row>
    <row r="205" spans="2:4" x14ac:dyDescent="0.25">
      <c r="B205" s="93">
        <v>201</v>
      </c>
      <c r="C205" s="39">
        <f t="shared" si="6"/>
        <v>11050712</v>
      </c>
      <c r="D205" s="39">
        <f t="shared" si="7"/>
        <v>13150347.279999999</v>
      </c>
    </row>
    <row r="206" spans="2:4" x14ac:dyDescent="0.25">
      <c r="B206" s="93">
        <v>202</v>
      </c>
      <c r="C206" s="39">
        <f t="shared" si="6"/>
        <v>11105690.666666666</v>
      </c>
      <c r="D206" s="39">
        <f t="shared" si="7"/>
        <v>13215771.893333333</v>
      </c>
    </row>
    <row r="207" spans="2:4" x14ac:dyDescent="0.25">
      <c r="B207" s="93">
        <v>203</v>
      </c>
      <c r="C207" s="39">
        <f t="shared" si="6"/>
        <v>11160669.333333332</v>
      </c>
      <c r="D207" s="39">
        <f t="shared" si="7"/>
        <v>13281196.506666666</v>
      </c>
    </row>
    <row r="208" spans="2:4" x14ac:dyDescent="0.25">
      <c r="B208" s="93">
        <v>204</v>
      </c>
      <c r="C208" s="39">
        <f t="shared" si="6"/>
        <v>11215648</v>
      </c>
      <c r="D208" s="39">
        <f t="shared" si="7"/>
        <v>13346621.119999999</v>
      </c>
    </row>
    <row r="209" spans="2:4" x14ac:dyDescent="0.25">
      <c r="B209" s="93">
        <v>205</v>
      </c>
      <c r="C209" s="39">
        <f t="shared" si="6"/>
        <v>11270626.666666666</v>
      </c>
      <c r="D209" s="39">
        <f t="shared" si="7"/>
        <v>13412045.733333332</v>
      </c>
    </row>
    <row r="210" spans="2:4" x14ac:dyDescent="0.25">
      <c r="B210" s="93">
        <v>206</v>
      </c>
      <c r="C210" s="39">
        <f t="shared" si="6"/>
        <v>11325605.333333332</v>
      </c>
      <c r="D210" s="39">
        <f t="shared" si="7"/>
        <v>13477470.346666666</v>
      </c>
    </row>
    <row r="211" spans="2:4" x14ac:dyDescent="0.25">
      <c r="B211" s="93">
        <v>207</v>
      </c>
      <c r="C211" s="39">
        <f t="shared" si="6"/>
        <v>11380584</v>
      </c>
      <c r="D211" s="39">
        <f t="shared" si="7"/>
        <v>13542894.959999999</v>
      </c>
    </row>
    <row r="212" spans="2:4" x14ac:dyDescent="0.25">
      <c r="B212" s="93">
        <v>208</v>
      </c>
      <c r="C212" s="39">
        <f t="shared" si="6"/>
        <v>11435562.666666666</v>
      </c>
      <c r="D212" s="39">
        <f t="shared" si="7"/>
        <v>13608319.573333332</v>
      </c>
    </row>
    <row r="213" spans="2:4" x14ac:dyDescent="0.25">
      <c r="B213" s="93">
        <v>209</v>
      </c>
      <c r="C213" s="39">
        <f t="shared" si="6"/>
        <v>11490541.333333332</v>
      </c>
      <c r="D213" s="39">
        <f t="shared" si="7"/>
        <v>13673744.186666666</v>
      </c>
    </row>
    <row r="214" spans="2:4" x14ac:dyDescent="0.25">
      <c r="B214" s="93">
        <v>210</v>
      </c>
      <c r="C214" s="39">
        <f t="shared" si="6"/>
        <v>11545520</v>
      </c>
      <c r="D214" s="39">
        <f t="shared" si="7"/>
        <v>13739168.799999999</v>
      </c>
    </row>
    <row r="215" spans="2:4" x14ac:dyDescent="0.25">
      <c r="B215" s="93">
        <v>211</v>
      </c>
      <c r="C215" s="39">
        <f t="shared" si="6"/>
        <v>11600498.666666666</v>
      </c>
      <c r="D215" s="39">
        <f t="shared" si="7"/>
        <v>13804593.413333332</v>
      </c>
    </row>
    <row r="216" spans="2:4" x14ac:dyDescent="0.25">
      <c r="B216" s="93">
        <v>212</v>
      </c>
      <c r="C216" s="39">
        <f t="shared" si="6"/>
        <v>11655477.333333332</v>
      </c>
      <c r="D216" s="39">
        <f t="shared" si="7"/>
        <v>13870018.026666665</v>
      </c>
    </row>
    <row r="217" spans="2:4" x14ac:dyDescent="0.25">
      <c r="B217" s="93">
        <v>213</v>
      </c>
      <c r="C217" s="39">
        <f t="shared" si="6"/>
        <v>11710456</v>
      </c>
      <c r="D217" s="39">
        <f t="shared" si="7"/>
        <v>13935442.639999999</v>
      </c>
    </row>
    <row r="218" spans="2:4" x14ac:dyDescent="0.25">
      <c r="B218" s="93">
        <v>214</v>
      </c>
      <c r="C218" s="39">
        <f t="shared" si="6"/>
        <v>11765434.666666666</v>
      </c>
      <c r="D218" s="39">
        <f t="shared" si="7"/>
        <v>14000867.253333332</v>
      </c>
    </row>
    <row r="219" spans="2:4" x14ac:dyDescent="0.25">
      <c r="B219" s="93">
        <v>215</v>
      </c>
      <c r="C219" s="39">
        <f t="shared" si="6"/>
        <v>11820413.333333332</v>
      </c>
      <c r="D219" s="39">
        <f t="shared" si="7"/>
        <v>14066291.866666665</v>
      </c>
    </row>
    <row r="220" spans="2:4" x14ac:dyDescent="0.25">
      <c r="B220" s="93">
        <v>216</v>
      </c>
      <c r="C220" s="39">
        <f t="shared" si="6"/>
        <v>11875392</v>
      </c>
      <c r="D220" s="39">
        <f t="shared" si="7"/>
        <v>14131716.479999999</v>
      </c>
    </row>
    <row r="221" spans="2:4" x14ac:dyDescent="0.25">
      <c r="B221" s="93">
        <v>217</v>
      </c>
      <c r="C221" s="39">
        <f t="shared" si="6"/>
        <v>11930370.666666666</v>
      </c>
      <c r="D221" s="39">
        <f t="shared" si="7"/>
        <v>14197141.093333332</v>
      </c>
    </row>
    <row r="222" spans="2:4" x14ac:dyDescent="0.25">
      <c r="B222" s="93">
        <v>218</v>
      </c>
      <c r="C222" s="39">
        <f t="shared" si="6"/>
        <v>11985349.333333332</v>
      </c>
      <c r="D222" s="39">
        <f t="shared" si="7"/>
        <v>14262565.706666665</v>
      </c>
    </row>
    <row r="223" spans="2:4" x14ac:dyDescent="0.25">
      <c r="B223" s="93">
        <v>219</v>
      </c>
      <c r="C223" s="39">
        <f t="shared" si="6"/>
        <v>12040328</v>
      </c>
      <c r="D223" s="39">
        <f t="shared" si="7"/>
        <v>14327990.319999998</v>
      </c>
    </row>
    <row r="224" spans="2:4" x14ac:dyDescent="0.25">
      <c r="B224" s="93">
        <v>220</v>
      </c>
      <c r="C224" s="39">
        <f t="shared" si="6"/>
        <v>12095306.666666666</v>
      </c>
      <c r="D224" s="39">
        <f t="shared" si="7"/>
        <v>14393414.933333332</v>
      </c>
    </row>
    <row r="225" spans="2:4" x14ac:dyDescent="0.25">
      <c r="B225" s="93">
        <v>221</v>
      </c>
      <c r="C225" s="39">
        <f t="shared" si="6"/>
        <v>12150285.333333332</v>
      </c>
      <c r="D225" s="39">
        <f t="shared" si="7"/>
        <v>14458839.546666665</v>
      </c>
    </row>
    <row r="226" spans="2:4" x14ac:dyDescent="0.25">
      <c r="B226" s="93">
        <v>222</v>
      </c>
      <c r="C226" s="39">
        <f t="shared" si="6"/>
        <v>12205264</v>
      </c>
      <c r="D226" s="39">
        <f t="shared" si="7"/>
        <v>14524264.159999998</v>
      </c>
    </row>
    <row r="227" spans="2:4" x14ac:dyDescent="0.25">
      <c r="B227" s="93">
        <v>223</v>
      </c>
      <c r="C227" s="39">
        <f t="shared" si="6"/>
        <v>12260242.666666666</v>
      </c>
      <c r="D227" s="39">
        <f t="shared" si="7"/>
        <v>14589688.773333332</v>
      </c>
    </row>
    <row r="228" spans="2:4" x14ac:dyDescent="0.25">
      <c r="B228" s="93">
        <v>224</v>
      </c>
      <c r="C228" s="39">
        <f t="shared" si="6"/>
        <v>12315221.333333332</v>
      </c>
      <c r="D228" s="39">
        <f t="shared" si="7"/>
        <v>14655113.386666665</v>
      </c>
    </row>
    <row r="229" spans="2:4" x14ac:dyDescent="0.25">
      <c r="B229" s="93">
        <v>225</v>
      </c>
      <c r="C229" s="39">
        <f t="shared" si="6"/>
        <v>12370200</v>
      </c>
      <c r="D229" s="39">
        <f t="shared" si="7"/>
        <v>14720537.999999998</v>
      </c>
    </row>
    <row r="230" spans="2:4" x14ac:dyDescent="0.25">
      <c r="B230" s="93">
        <v>226</v>
      </c>
      <c r="C230" s="39">
        <f t="shared" si="6"/>
        <v>12425178.666666666</v>
      </c>
      <c r="D230" s="39">
        <f t="shared" si="7"/>
        <v>14785962.613333331</v>
      </c>
    </row>
    <row r="231" spans="2:4" x14ac:dyDescent="0.25">
      <c r="B231" s="93">
        <v>227</v>
      </c>
      <c r="C231" s="39">
        <f t="shared" si="6"/>
        <v>12480157.333333332</v>
      </c>
      <c r="D231" s="39">
        <f t="shared" si="7"/>
        <v>14851387.226666665</v>
      </c>
    </row>
    <row r="232" spans="2:4" x14ac:dyDescent="0.25">
      <c r="B232" s="93">
        <v>228</v>
      </c>
      <c r="C232" s="39">
        <f t="shared" si="6"/>
        <v>12535136</v>
      </c>
      <c r="D232" s="39">
        <f t="shared" si="7"/>
        <v>14916811.839999998</v>
      </c>
    </row>
    <row r="233" spans="2:4" x14ac:dyDescent="0.25">
      <c r="B233" s="93">
        <v>229</v>
      </c>
      <c r="C233" s="39">
        <f t="shared" si="6"/>
        <v>12590114.666666666</v>
      </c>
      <c r="D233" s="39">
        <f t="shared" si="7"/>
        <v>14982236.453333331</v>
      </c>
    </row>
    <row r="234" spans="2:4" x14ac:dyDescent="0.25">
      <c r="B234" s="93">
        <v>230</v>
      </c>
      <c r="C234" s="39">
        <f t="shared" si="6"/>
        <v>12645093.333333332</v>
      </c>
      <c r="D234" s="39">
        <f t="shared" si="7"/>
        <v>15047661.066666665</v>
      </c>
    </row>
    <row r="235" spans="2:4" x14ac:dyDescent="0.25">
      <c r="B235" s="93">
        <v>231</v>
      </c>
      <c r="C235" s="39">
        <f t="shared" si="6"/>
        <v>12700072</v>
      </c>
      <c r="D235" s="39">
        <f t="shared" si="7"/>
        <v>15113085.679999998</v>
      </c>
    </row>
    <row r="236" spans="2:4" x14ac:dyDescent="0.25">
      <c r="B236" s="93">
        <v>232</v>
      </c>
      <c r="C236" s="39">
        <f t="shared" si="6"/>
        <v>12755050.666666666</v>
      </c>
      <c r="D236" s="39">
        <f t="shared" si="7"/>
        <v>15178510.293333331</v>
      </c>
    </row>
    <row r="237" spans="2:4" x14ac:dyDescent="0.25">
      <c r="B237" s="93">
        <v>233</v>
      </c>
      <c r="C237" s="39">
        <f t="shared" si="6"/>
        <v>12810029.333333332</v>
      </c>
      <c r="D237" s="39">
        <f t="shared" si="7"/>
        <v>15243934.906666664</v>
      </c>
    </row>
    <row r="238" spans="2:4" x14ac:dyDescent="0.25">
      <c r="B238" s="93">
        <v>234</v>
      </c>
      <c r="C238" s="39">
        <f t="shared" si="6"/>
        <v>12865008</v>
      </c>
      <c r="D238" s="39">
        <f t="shared" si="7"/>
        <v>15309359.519999998</v>
      </c>
    </row>
    <row r="239" spans="2:4" x14ac:dyDescent="0.25">
      <c r="B239" s="93">
        <v>235</v>
      </c>
      <c r="C239" s="39">
        <f t="shared" si="6"/>
        <v>12919986.666666666</v>
      </c>
      <c r="D239" s="39">
        <f t="shared" si="7"/>
        <v>15374784.133333333</v>
      </c>
    </row>
    <row r="240" spans="2:4" x14ac:dyDescent="0.25">
      <c r="B240" s="93">
        <v>236</v>
      </c>
      <c r="C240" s="39">
        <f t="shared" si="6"/>
        <v>12974965.333333332</v>
      </c>
      <c r="D240" s="39">
        <f t="shared" si="7"/>
        <v>15440208.746666666</v>
      </c>
    </row>
    <row r="241" spans="2:4" x14ac:dyDescent="0.25">
      <c r="B241" s="93">
        <v>237</v>
      </c>
      <c r="C241" s="39">
        <f t="shared" si="6"/>
        <v>13029944</v>
      </c>
      <c r="D241" s="39">
        <f t="shared" si="7"/>
        <v>15505633.359999999</v>
      </c>
    </row>
    <row r="242" spans="2:4" x14ac:dyDescent="0.25">
      <c r="B242" s="93">
        <v>238</v>
      </c>
      <c r="C242" s="39">
        <f t="shared" si="6"/>
        <v>13084922.666666666</v>
      </c>
      <c r="D242" s="39">
        <f t="shared" si="7"/>
        <v>15571057.973333333</v>
      </c>
    </row>
    <row r="243" spans="2:4" x14ac:dyDescent="0.25">
      <c r="B243" s="93">
        <v>239</v>
      </c>
      <c r="C243" s="39">
        <f t="shared" si="6"/>
        <v>13139901.333333332</v>
      </c>
      <c r="D243" s="39">
        <f t="shared" si="7"/>
        <v>15636482.586666666</v>
      </c>
    </row>
    <row r="244" spans="2:4" x14ac:dyDescent="0.25">
      <c r="B244" s="93">
        <v>240</v>
      </c>
      <c r="C244" s="39">
        <f t="shared" si="6"/>
        <v>13194880</v>
      </c>
      <c r="D244" s="39">
        <f t="shared" si="7"/>
        <v>15701907.199999999</v>
      </c>
    </row>
    <row r="245" spans="2:4" x14ac:dyDescent="0.25">
      <c r="B245" s="93">
        <v>241</v>
      </c>
      <c r="C245" s="39">
        <f t="shared" si="6"/>
        <v>13249858.666666666</v>
      </c>
      <c r="D245" s="39">
        <f t="shared" si="7"/>
        <v>15767331.813333333</v>
      </c>
    </row>
    <row r="246" spans="2:4" x14ac:dyDescent="0.25">
      <c r="B246" s="93">
        <v>242</v>
      </c>
      <c r="C246" s="39">
        <f t="shared" si="6"/>
        <v>13304837.333333332</v>
      </c>
      <c r="D246" s="39">
        <f t="shared" si="7"/>
        <v>15832756.426666666</v>
      </c>
    </row>
    <row r="247" spans="2:4" x14ac:dyDescent="0.25">
      <c r="B247" s="93">
        <v>243</v>
      </c>
      <c r="C247" s="39">
        <f t="shared" si="6"/>
        <v>13359816</v>
      </c>
      <c r="D247" s="39">
        <f t="shared" si="7"/>
        <v>15898181.039999999</v>
      </c>
    </row>
    <row r="248" spans="2:4" x14ac:dyDescent="0.25">
      <c r="B248" s="93">
        <v>244</v>
      </c>
      <c r="C248" s="39">
        <f t="shared" si="6"/>
        <v>13414794.666666666</v>
      </c>
      <c r="D248" s="39">
        <f t="shared" si="7"/>
        <v>15963605.653333332</v>
      </c>
    </row>
    <row r="249" spans="2:4" x14ac:dyDescent="0.25">
      <c r="B249" s="93">
        <v>245</v>
      </c>
      <c r="C249" s="39">
        <f t="shared" si="6"/>
        <v>13469773.333333332</v>
      </c>
      <c r="D249" s="39">
        <f t="shared" si="7"/>
        <v>16029030.266666666</v>
      </c>
    </row>
    <row r="250" spans="2:4" x14ac:dyDescent="0.25">
      <c r="B250" s="93">
        <v>246</v>
      </c>
      <c r="C250" s="39">
        <f t="shared" si="6"/>
        <v>13524752</v>
      </c>
      <c r="D250" s="39">
        <f t="shared" si="7"/>
        <v>16094454.879999999</v>
      </c>
    </row>
    <row r="251" spans="2:4" x14ac:dyDescent="0.25">
      <c r="B251" s="93">
        <v>247</v>
      </c>
      <c r="C251" s="39">
        <f t="shared" si="6"/>
        <v>13579730.666666666</v>
      </c>
      <c r="D251" s="39">
        <f t="shared" si="7"/>
        <v>16159879.493333332</v>
      </c>
    </row>
    <row r="252" spans="2:4" x14ac:dyDescent="0.25">
      <c r="B252" s="93">
        <v>248</v>
      </c>
      <c r="C252" s="39">
        <f t="shared" si="6"/>
        <v>13634709.333333332</v>
      </c>
      <c r="D252" s="39">
        <f t="shared" si="7"/>
        <v>16225304.106666666</v>
      </c>
    </row>
    <row r="253" spans="2:4" x14ac:dyDescent="0.25">
      <c r="B253" s="93">
        <v>249</v>
      </c>
      <c r="C253" s="39">
        <f t="shared" si="6"/>
        <v>13689688</v>
      </c>
      <c r="D253" s="39">
        <f t="shared" si="7"/>
        <v>16290728.719999999</v>
      </c>
    </row>
    <row r="254" spans="2:4" x14ac:dyDescent="0.25">
      <c r="B254" s="93">
        <v>250</v>
      </c>
      <c r="C254" s="39">
        <f t="shared" si="6"/>
        <v>13744666.666666666</v>
      </c>
      <c r="D254" s="39">
        <f t="shared" si="7"/>
        <v>16356153.333333332</v>
      </c>
    </row>
    <row r="255" spans="2:4" x14ac:dyDescent="0.25">
      <c r="B255" s="93">
        <v>251</v>
      </c>
      <c r="C255" s="39">
        <f t="shared" si="6"/>
        <v>13799645.333333332</v>
      </c>
      <c r="D255" s="39">
        <f t="shared" si="7"/>
        <v>16421577.946666665</v>
      </c>
    </row>
    <row r="256" spans="2:4" x14ac:dyDescent="0.25">
      <c r="B256" s="93">
        <v>252</v>
      </c>
      <c r="C256" s="39">
        <f t="shared" si="6"/>
        <v>13854624</v>
      </c>
      <c r="D256" s="39">
        <f t="shared" si="7"/>
        <v>16487002.559999999</v>
      </c>
    </row>
    <row r="257" spans="2:4" x14ac:dyDescent="0.25">
      <c r="B257" s="93">
        <v>253</v>
      </c>
      <c r="C257" s="39">
        <f t="shared" si="6"/>
        <v>13909602.666666666</v>
      </c>
      <c r="D257" s="39">
        <f t="shared" si="7"/>
        <v>16552427.173333332</v>
      </c>
    </row>
    <row r="258" spans="2:4" x14ac:dyDescent="0.25">
      <c r="B258" s="93">
        <v>254</v>
      </c>
      <c r="C258" s="39">
        <f t="shared" si="6"/>
        <v>13964581.333333332</v>
      </c>
      <c r="D258" s="39">
        <f t="shared" si="7"/>
        <v>16617851.786666665</v>
      </c>
    </row>
    <row r="259" spans="2:4" x14ac:dyDescent="0.25">
      <c r="B259" s="93">
        <v>255</v>
      </c>
      <c r="C259" s="39">
        <f t="shared" si="6"/>
        <v>14019560</v>
      </c>
      <c r="D259" s="39">
        <f t="shared" si="7"/>
        <v>16683276.399999999</v>
      </c>
    </row>
    <row r="260" spans="2:4" x14ac:dyDescent="0.25">
      <c r="B260" s="93">
        <v>256</v>
      </c>
      <c r="C260" s="39">
        <f t="shared" si="6"/>
        <v>14074538.666666666</v>
      </c>
      <c r="D260" s="39">
        <f t="shared" si="7"/>
        <v>16748701.013333332</v>
      </c>
    </row>
    <row r="261" spans="2:4" x14ac:dyDescent="0.25">
      <c r="B261" s="93">
        <v>257</v>
      </c>
      <c r="C261" s="39">
        <f t="shared" ref="C261:C304" si="8">($C$2*B261)+$C$1</f>
        <v>14129517.333333332</v>
      </c>
      <c r="D261" s="39">
        <f t="shared" ref="D261:D304" si="9">$D$2*B261</f>
        <v>16814125.626666665</v>
      </c>
    </row>
    <row r="262" spans="2:4" x14ac:dyDescent="0.25">
      <c r="B262" s="93">
        <v>258</v>
      </c>
      <c r="C262" s="39">
        <f t="shared" si="8"/>
        <v>14184496</v>
      </c>
      <c r="D262" s="39">
        <f t="shared" si="9"/>
        <v>16879550.239999998</v>
      </c>
    </row>
    <row r="263" spans="2:4" x14ac:dyDescent="0.25">
      <c r="B263" s="93">
        <v>259</v>
      </c>
      <c r="C263" s="39">
        <f t="shared" si="8"/>
        <v>14239474.666666666</v>
      </c>
      <c r="D263" s="39">
        <f t="shared" si="9"/>
        <v>16944974.853333332</v>
      </c>
    </row>
    <row r="264" spans="2:4" x14ac:dyDescent="0.25">
      <c r="B264" s="93">
        <v>260</v>
      </c>
      <c r="C264" s="39">
        <f t="shared" si="8"/>
        <v>14294453.333333332</v>
      </c>
      <c r="D264" s="39">
        <f t="shared" si="9"/>
        <v>17010399.466666665</v>
      </c>
    </row>
    <row r="265" spans="2:4" x14ac:dyDescent="0.25">
      <c r="B265" s="93">
        <v>261</v>
      </c>
      <c r="C265" s="39">
        <f t="shared" si="8"/>
        <v>14349432</v>
      </c>
      <c r="D265" s="39">
        <f t="shared" si="9"/>
        <v>17075824.079999998</v>
      </c>
    </row>
    <row r="266" spans="2:4" x14ac:dyDescent="0.25">
      <c r="B266" s="93">
        <v>262</v>
      </c>
      <c r="C266" s="39">
        <f t="shared" si="8"/>
        <v>14404410.666666666</v>
      </c>
      <c r="D266" s="39">
        <f t="shared" si="9"/>
        <v>17141248.693333331</v>
      </c>
    </row>
    <row r="267" spans="2:4" x14ac:dyDescent="0.25">
      <c r="B267" s="93">
        <v>263</v>
      </c>
      <c r="C267" s="39">
        <f t="shared" si="8"/>
        <v>14459389.333333332</v>
      </c>
      <c r="D267" s="39">
        <f t="shared" si="9"/>
        <v>17206673.306666665</v>
      </c>
    </row>
    <row r="268" spans="2:4" x14ac:dyDescent="0.25">
      <c r="B268" s="93">
        <v>264</v>
      </c>
      <c r="C268" s="39">
        <f t="shared" si="8"/>
        <v>14514368</v>
      </c>
      <c r="D268" s="39">
        <f t="shared" si="9"/>
        <v>17272097.919999998</v>
      </c>
    </row>
    <row r="269" spans="2:4" x14ac:dyDescent="0.25">
      <c r="B269" s="93">
        <v>265</v>
      </c>
      <c r="C269" s="39">
        <f t="shared" si="8"/>
        <v>14569346.666666666</v>
      </c>
      <c r="D269" s="39">
        <f t="shared" si="9"/>
        <v>17337522.533333331</v>
      </c>
    </row>
    <row r="270" spans="2:4" x14ac:dyDescent="0.25">
      <c r="B270" s="93">
        <v>266</v>
      </c>
      <c r="C270" s="39">
        <f t="shared" si="8"/>
        <v>14624325.333333332</v>
      </c>
      <c r="D270" s="39">
        <f t="shared" si="9"/>
        <v>17402947.146666665</v>
      </c>
    </row>
    <row r="271" spans="2:4" x14ac:dyDescent="0.25">
      <c r="B271" s="93">
        <v>267</v>
      </c>
      <c r="C271" s="39">
        <f t="shared" si="8"/>
        <v>14679304</v>
      </c>
      <c r="D271" s="39">
        <f t="shared" si="9"/>
        <v>17468371.759999998</v>
      </c>
    </row>
    <row r="272" spans="2:4" x14ac:dyDescent="0.25">
      <c r="B272" s="93">
        <v>268</v>
      </c>
      <c r="C272" s="39">
        <f t="shared" si="8"/>
        <v>14734282.666666666</v>
      </c>
      <c r="D272" s="39">
        <f t="shared" si="9"/>
        <v>17533796.373333331</v>
      </c>
    </row>
    <row r="273" spans="2:4" x14ac:dyDescent="0.25">
      <c r="B273" s="93">
        <v>269</v>
      </c>
      <c r="C273" s="39">
        <f t="shared" si="8"/>
        <v>14789261.333333332</v>
      </c>
      <c r="D273" s="39">
        <f t="shared" si="9"/>
        <v>17599220.986666664</v>
      </c>
    </row>
    <row r="274" spans="2:4" x14ac:dyDescent="0.25">
      <c r="B274" s="93">
        <v>270</v>
      </c>
      <c r="C274" s="39">
        <f t="shared" si="8"/>
        <v>14844240</v>
      </c>
      <c r="D274" s="39">
        <f t="shared" si="9"/>
        <v>17664645.599999998</v>
      </c>
    </row>
    <row r="275" spans="2:4" x14ac:dyDescent="0.25">
      <c r="B275" s="93">
        <v>271</v>
      </c>
      <c r="C275" s="39">
        <f t="shared" si="8"/>
        <v>14899218.666666666</v>
      </c>
      <c r="D275" s="39">
        <f t="shared" si="9"/>
        <v>17730070.213333331</v>
      </c>
    </row>
    <row r="276" spans="2:4" x14ac:dyDescent="0.25">
      <c r="B276" s="93">
        <v>272</v>
      </c>
      <c r="C276" s="39">
        <f t="shared" si="8"/>
        <v>14954197.333333332</v>
      </c>
      <c r="D276" s="39">
        <f t="shared" si="9"/>
        <v>17795494.826666664</v>
      </c>
    </row>
    <row r="277" spans="2:4" x14ac:dyDescent="0.25">
      <c r="B277" s="93">
        <v>273</v>
      </c>
      <c r="C277" s="39">
        <f t="shared" si="8"/>
        <v>15009176</v>
      </c>
      <c r="D277" s="39">
        <f t="shared" si="9"/>
        <v>17860919.439999998</v>
      </c>
    </row>
    <row r="278" spans="2:4" x14ac:dyDescent="0.25">
      <c r="B278" s="93">
        <v>274</v>
      </c>
      <c r="C278" s="39">
        <f t="shared" si="8"/>
        <v>15064154.666666666</v>
      </c>
      <c r="D278" s="39">
        <f t="shared" si="9"/>
        <v>17926344.053333331</v>
      </c>
    </row>
    <row r="279" spans="2:4" x14ac:dyDescent="0.25">
      <c r="B279" s="93">
        <v>275</v>
      </c>
      <c r="C279" s="39">
        <f t="shared" si="8"/>
        <v>15119133.333333332</v>
      </c>
      <c r="D279" s="39">
        <f t="shared" si="9"/>
        <v>17991768.666666664</v>
      </c>
    </row>
    <row r="280" spans="2:4" x14ac:dyDescent="0.25">
      <c r="B280" s="93">
        <v>276</v>
      </c>
      <c r="C280" s="39">
        <f t="shared" si="8"/>
        <v>15174112</v>
      </c>
      <c r="D280" s="39">
        <f t="shared" si="9"/>
        <v>18057193.279999997</v>
      </c>
    </row>
    <row r="281" spans="2:4" x14ac:dyDescent="0.25">
      <c r="B281" s="93">
        <v>277</v>
      </c>
      <c r="C281" s="39">
        <f t="shared" si="8"/>
        <v>15229090.666666666</v>
      </c>
      <c r="D281" s="39">
        <f t="shared" si="9"/>
        <v>18122617.893333331</v>
      </c>
    </row>
    <row r="282" spans="2:4" x14ac:dyDescent="0.25">
      <c r="B282" s="93">
        <v>278</v>
      </c>
      <c r="C282" s="39">
        <f t="shared" si="8"/>
        <v>15284069.333333332</v>
      </c>
      <c r="D282" s="39">
        <f t="shared" si="9"/>
        <v>18188042.506666664</v>
      </c>
    </row>
    <row r="283" spans="2:4" x14ac:dyDescent="0.25">
      <c r="B283" s="93">
        <v>279</v>
      </c>
      <c r="C283" s="39">
        <f t="shared" si="8"/>
        <v>15339048</v>
      </c>
      <c r="D283" s="39">
        <f t="shared" si="9"/>
        <v>18253467.119999997</v>
      </c>
    </row>
    <row r="284" spans="2:4" x14ac:dyDescent="0.25">
      <c r="B284" s="93">
        <v>280</v>
      </c>
      <c r="C284" s="39">
        <f t="shared" si="8"/>
        <v>15394026.666666666</v>
      </c>
      <c r="D284" s="39">
        <f t="shared" si="9"/>
        <v>18318891.733333331</v>
      </c>
    </row>
    <row r="285" spans="2:4" x14ac:dyDescent="0.25">
      <c r="B285" s="93">
        <v>281</v>
      </c>
      <c r="C285" s="39">
        <f t="shared" si="8"/>
        <v>15449005.333333332</v>
      </c>
      <c r="D285" s="39">
        <f t="shared" si="9"/>
        <v>18384316.346666664</v>
      </c>
    </row>
    <row r="286" spans="2:4" x14ac:dyDescent="0.25">
      <c r="B286" s="93">
        <v>282</v>
      </c>
      <c r="C286" s="39">
        <f t="shared" si="8"/>
        <v>15503984</v>
      </c>
      <c r="D286" s="39">
        <f t="shared" si="9"/>
        <v>18449740.959999997</v>
      </c>
    </row>
    <row r="287" spans="2:4" x14ac:dyDescent="0.25">
      <c r="B287" s="93">
        <v>283</v>
      </c>
      <c r="C287" s="39">
        <f t="shared" si="8"/>
        <v>15558962.666666666</v>
      </c>
      <c r="D287" s="39">
        <f t="shared" si="9"/>
        <v>18515165.57333333</v>
      </c>
    </row>
    <row r="288" spans="2:4" x14ac:dyDescent="0.25">
      <c r="B288" s="93">
        <v>284</v>
      </c>
      <c r="C288" s="39">
        <f t="shared" si="8"/>
        <v>15613941.333333332</v>
      </c>
      <c r="D288" s="39">
        <f t="shared" si="9"/>
        <v>18580590.186666664</v>
      </c>
    </row>
    <row r="289" spans="2:4" x14ac:dyDescent="0.25">
      <c r="B289" s="93">
        <v>285</v>
      </c>
      <c r="C289" s="39">
        <f t="shared" si="8"/>
        <v>15668920</v>
      </c>
      <c r="D289" s="39">
        <f t="shared" si="9"/>
        <v>18646014.799999997</v>
      </c>
    </row>
    <row r="290" spans="2:4" x14ac:dyDescent="0.25">
      <c r="B290" s="93">
        <v>286</v>
      </c>
      <c r="C290" s="39">
        <f t="shared" si="8"/>
        <v>15723898.666666666</v>
      </c>
      <c r="D290" s="39">
        <f t="shared" si="9"/>
        <v>18711439.41333333</v>
      </c>
    </row>
    <row r="291" spans="2:4" x14ac:dyDescent="0.25">
      <c r="B291" s="93">
        <v>287</v>
      </c>
      <c r="C291" s="39">
        <f t="shared" si="8"/>
        <v>15778877.333333332</v>
      </c>
      <c r="D291" s="39">
        <f t="shared" si="9"/>
        <v>18776864.026666664</v>
      </c>
    </row>
    <row r="292" spans="2:4" x14ac:dyDescent="0.25">
      <c r="B292" s="93">
        <v>288</v>
      </c>
      <c r="C292" s="39">
        <f t="shared" si="8"/>
        <v>15833856</v>
      </c>
      <c r="D292" s="39">
        <f t="shared" si="9"/>
        <v>18842288.639999997</v>
      </c>
    </row>
    <row r="293" spans="2:4" x14ac:dyDescent="0.25">
      <c r="B293" s="93">
        <v>289</v>
      </c>
      <c r="C293" s="39">
        <f t="shared" si="8"/>
        <v>15888834.666666666</v>
      </c>
      <c r="D293" s="39">
        <f t="shared" si="9"/>
        <v>18907713.25333333</v>
      </c>
    </row>
    <row r="294" spans="2:4" x14ac:dyDescent="0.25">
      <c r="B294" s="93">
        <v>290</v>
      </c>
      <c r="C294" s="39">
        <f t="shared" si="8"/>
        <v>15943813.333333332</v>
      </c>
      <c r="D294" s="39">
        <f t="shared" si="9"/>
        <v>18973137.866666663</v>
      </c>
    </row>
    <row r="295" spans="2:4" x14ac:dyDescent="0.25">
      <c r="B295" s="93">
        <v>291</v>
      </c>
      <c r="C295" s="39">
        <f t="shared" si="8"/>
        <v>15998792</v>
      </c>
      <c r="D295" s="39">
        <f t="shared" si="9"/>
        <v>19038562.479999997</v>
      </c>
    </row>
    <row r="296" spans="2:4" x14ac:dyDescent="0.25">
      <c r="B296" s="93">
        <v>292</v>
      </c>
      <c r="C296" s="39">
        <f t="shared" si="8"/>
        <v>16053770.666666666</v>
      </c>
      <c r="D296" s="39">
        <f t="shared" si="9"/>
        <v>19103987.09333333</v>
      </c>
    </row>
    <row r="297" spans="2:4" x14ac:dyDescent="0.25">
      <c r="B297" s="93">
        <v>293</v>
      </c>
      <c r="C297" s="39">
        <f t="shared" si="8"/>
        <v>16108749.333333332</v>
      </c>
      <c r="D297" s="39">
        <f t="shared" si="9"/>
        <v>19169411.706666663</v>
      </c>
    </row>
    <row r="298" spans="2:4" x14ac:dyDescent="0.25">
      <c r="B298" s="93">
        <v>294</v>
      </c>
      <c r="C298" s="39">
        <f t="shared" si="8"/>
        <v>16163728</v>
      </c>
      <c r="D298" s="39">
        <f t="shared" si="9"/>
        <v>19234836.319999997</v>
      </c>
    </row>
    <row r="299" spans="2:4" x14ac:dyDescent="0.25">
      <c r="B299" s="93">
        <v>295</v>
      </c>
      <c r="C299" s="39">
        <f t="shared" si="8"/>
        <v>16218706.666666666</v>
      </c>
      <c r="D299" s="39">
        <f t="shared" si="9"/>
        <v>19300260.93333333</v>
      </c>
    </row>
    <row r="300" spans="2:4" x14ac:dyDescent="0.25">
      <c r="B300" s="93">
        <v>296</v>
      </c>
      <c r="C300" s="39">
        <f t="shared" si="8"/>
        <v>16273685.333333332</v>
      </c>
      <c r="D300" s="39">
        <f t="shared" si="9"/>
        <v>19365685.546666663</v>
      </c>
    </row>
    <row r="301" spans="2:4" x14ac:dyDescent="0.25">
      <c r="B301" s="93">
        <v>297</v>
      </c>
      <c r="C301" s="39">
        <f t="shared" si="8"/>
        <v>16328664</v>
      </c>
      <c r="D301" s="39">
        <f t="shared" si="9"/>
        <v>19431110.159999996</v>
      </c>
    </row>
    <row r="302" spans="2:4" x14ac:dyDescent="0.25">
      <c r="B302" s="93">
        <v>298</v>
      </c>
      <c r="C302" s="39">
        <f t="shared" si="8"/>
        <v>16383642.666666666</v>
      </c>
      <c r="D302" s="39">
        <f t="shared" si="9"/>
        <v>19496534.77333333</v>
      </c>
    </row>
    <row r="303" spans="2:4" x14ac:dyDescent="0.25">
      <c r="B303" s="93">
        <v>299</v>
      </c>
      <c r="C303" s="39">
        <f t="shared" si="8"/>
        <v>16438621.333333332</v>
      </c>
      <c r="D303" s="39">
        <f t="shared" si="9"/>
        <v>19561959.386666667</v>
      </c>
    </row>
    <row r="304" spans="2:4" x14ac:dyDescent="0.25">
      <c r="B304" s="93">
        <v>300</v>
      </c>
      <c r="C304" s="39">
        <f t="shared" si="8"/>
        <v>16493600</v>
      </c>
      <c r="D304" s="39">
        <f t="shared" si="9"/>
        <v>19627384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topLeftCell="C1" zoomScale="235" zoomScaleNormal="235" workbookViewId="0">
      <selection activeCell="J6" sqref="J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39" t="s">
        <v>157</v>
      </c>
      <c r="C2" s="240"/>
      <c r="D2" s="240"/>
      <c r="E2" s="240"/>
      <c r="F2" s="240"/>
      <c r="G2" s="241"/>
      <c r="I2" s="242" t="s">
        <v>158</v>
      </c>
      <c r="J2" s="243"/>
      <c r="L2" s="242" t="s">
        <v>159</v>
      </c>
      <c r="M2" s="243"/>
    </row>
    <row r="3" spans="2:13" x14ac:dyDescent="0.25">
      <c r="B3" s="76" t="s">
        <v>77</v>
      </c>
      <c r="C3" s="76" t="s">
        <v>48</v>
      </c>
      <c r="D3" s="76" t="s">
        <v>49</v>
      </c>
      <c r="E3" s="76" t="s">
        <v>50</v>
      </c>
      <c r="F3" s="76" t="s">
        <v>51</v>
      </c>
      <c r="G3" s="76" t="s">
        <v>52</v>
      </c>
      <c r="I3" s="102" t="s">
        <v>77</v>
      </c>
      <c r="J3" s="102" t="s">
        <v>68</v>
      </c>
      <c r="L3" s="102" t="s">
        <v>165</v>
      </c>
      <c r="M3" s="102" t="s">
        <v>2</v>
      </c>
    </row>
    <row r="4" spans="2:13" x14ac:dyDescent="0.25">
      <c r="B4" s="98" t="s">
        <v>152</v>
      </c>
      <c r="C4" s="96">
        <f>'Balance General'!D8/'Balance General'!D22</f>
        <v>1.1541559691742433</v>
      </c>
      <c r="D4" s="96">
        <f>'Balance General'!E8/'Balance General'!E22</f>
        <v>1.2484339721288946</v>
      </c>
      <c r="E4" s="96">
        <f>'Balance General'!F8/'Balance General'!F22</f>
        <v>1.3523021300147917</v>
      </c>
      <c r="F4" s="96">
        <f>'Balance General'!G8/'Balance General'!G22</f>
        <v>1.4788484734868921</v>
      </c>
      <c r="G4" s="96">
        <f>'Balance General'!H8/'Balance General'!H22</f>
        <v>1.6197348625929155</v>
      </c>
      <c r="I4" s="101" t="s">
        <v>47</v>
      </c>
      <c r="J4" s="3" t="e">
        <f>'Flujo de Caja'!#REF!</f>
        <v>#REF!</v>
      </c>
      <c r="L4" s="101" t="s">
        <v>160</v>
      </c>
      <c r="M4" s="59">
        <v>0.15</v>
      </c>
    </row>
    <row r="5" spans="2:13" x14ac:dyDescent="0.25">
      <c r="B5" s="98" t="s">
        <v>153</v>
      </c>
      <c r="C5" s="97">
        <f>'Balance General'!D27/'Balance General'!D16</f>
        <v>0.85207395023450139</v>
      </c>
      <c r="D5" s="97">
        <f>'Balance General'!E27/'Balance General'!E16</f>
        <v>0.79848284886982523</v>
      </c>
      <c r="E5" s="97">
        <f>'Balance General'!F27/'Balance General'!F16</f>
        <v>0.74378728090943513</v>
      </c>
      <c r="F5" s="97">
        <f>'Balance General'!G27/'Balance General'!G16</f>
        <v>0.6837424064100508</v>
      </c>
      <c r="G5" s="97">
        <f>'Balance General'!H27/'Balance General'!H16</f>
        <v>0.61344863529009797</v>
      </c>
      <c r="I5" s="101" t="s">
        <v>48</v>
      </c>
      <c r="J5" s="3" t="e">
        <f>'Flujo de Caja'!#REF!</f>
        <v>#REF!</v>
      </c>
      <c r="L5" s="101" t="s">
        <v>161</v>
      </c>
      <c r="M5" s="3" t="e">
        <f>M6+J4</f>
        <v>#REF!</v>
      </c>
    </row>
    <row r="6" spans="2:13" x14ac:dyDescent="0.25">
      <c r="B6" s="98" t="s">
        <v>154</v>
      </c>
      <c r="C6" s="97" t="e">
        <f>'Estado de Resultados'!#REF!/'Estado de Resultados'!#REF!</f>
        <v>#REF!</v>
      </c>
      <c r="D6" s="97" t="e">
        <f>'Estado de Resultados'!#REF!/'Estado de Resultados'!#REF!</f>
        <v>#REF!</v>
      </c>
      <c r="E6" s="97" t="e">
        <f>'Estado de Resultados'!#REF!/'Estado de Resultados'!#REF!</f>
        <v>#REF!</v>
      </c>
      <c r="F6" s="97" t="e">
        <f>'Estado de Resultados'!#REF!/'Estado de Resultados'!#REF!</f>
        <v>#REF!</v>
      </c>
      <c r="G6" s="97" t="e">
        <f>'Estado de Resultados'!#REF!/'Estado de Resultados'!#REF!</f>
        <v>#REF!</v>
      </c>
      <c r="I6" s="101" t="s">
        <v>49</v>
      </c>
      <c r="J6" s="3" t="e">
        <f>'Flujo de Caja'!#REF!</f>
        <v>#REF!</v>
      </c>
      <c r="L6" s="101" t="s">
        <v>162</v>
      </c>
      <c r="M6" s="3" t="e">
        <f>NPV(M4,J5:J9)</f>
        <v>#REF!</v>
      </c>
    </row>
    <row r="7" spans="2:13" x14ac:dyDescent="0.25">
      <c r="B7" s="99" t="s">
        <v>155</v>
      </c>
      <c r="C7" s="100" t="e">
        <f>'Estado de Resultados'!#REF!/'Estado de Resultados'!#REF!</f>
        <v>#REF!</v>
      </c>
      <c r="D7" s="100" t="e">
        <f>'Estado de Resultados'!#REF!/'Estado de Resultados'!#REF!</f>
        <v>#REF!</v>
      </c>
      <c r="E7" s="100" t="e">
        <f>'Estado de Resultados'!#REF!/'Estado de Resultados'!#REF!</f>
        <v>#REF!</v>
      </c>
      <c r="F7" s="100" t="e">
        <f>'Estado de Resultados'!#REF!/'Estado de Resultados'!#REF!</f>
        <v>#REF!</v>
      </c>
      <c r="G7" s="100" t="e">
        <f>'Estado de Resultados'!#REF!/'Estado de Resultados'!#REF!</f>
        <v>#REF!</v>
      </c>
      <c r="I7" s="101" t="s">
        <v>50</v>
      </c>
      <c r="J7" s="3" t="e">
        <f>'Flujo de Caja'!#REF!</f>
        <v>#REF!</v>
      </c>
      <c r="L7" s="101" t="s">
        <v>163</v>
      </c>
      <c r="M7" s="59" t="e">
        <f>IRR(J4:J9)</f>
        <v>#VALUE!</v>
      </c>
    </row>
    <row r="8" spans="2:13" x14ac:dyDescent="0.25">
      <c r="B8" s="98" t="s">
        <v>156</v>
      </c>
      <c r="C8" s="97" t="e">
        <f>'Estado de Resultados'!#REF!/'Balance General'!#REF!</f>
        <v>#REF!</v>
      </c>
      <c r="D8" s="97" t="e">
        <f>'Estado de Resultados'!#REF!/'Balance General'!#REF!</f>
        <v>#REF!</v>
      </c>
      <c r="E8" s="97" t="e">
        <f>'Estado de Resultados'!#REF!/'Balance General'!#REF!</f>
        <v>#REF!</v>
      </c>
      <c r="F8" s="97" t="e">
        <f>'Estado de Resultados'!#REF!/'Balance General'!#REF!</f>
        <v>#REF!</v>
      </c>
      <c r="G8" s="97" t="e">
        <f>'Estado de Resultados'!#REF!/'Balance General'!#REF!</f>
        <v>#REF!</v>
      </c>
      <c r="I8" s="101" t="s">
        <v>51</v>
      </c>
      <c r="J8" s="3" t="e">
        <f>'Flujo de Caja'!#REF!</f>
        <v>#REF!</v>
      </c>
      <c r="L8" s="101" t="s">
        <v>164</v>
      </c>
      <c r="M8" s="103" t="e">
        <f>-NPV(M4,J5:J9)/J4</f>
        <v>#REF!</v>
      </c>
    </row>
    <row r="9" spans="2:13" x14ac:dyDescent="0.25">
      <c r="I9" s="101" t="s">
        <v>52</v>
      </c>
      <c r="J9" s="3" t="e">
        <f>'Flujo de Caja'!#REF!</f>
        <v>#REF!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2026-01-19T20:03:50Z</dcterms:modified>
</cp:coreProperties>
</file>