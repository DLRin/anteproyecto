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13_ncr:1_{10FC4306-0CA3-49FF-A9C0-2DECAF7D1640}" xr6:coauthVersionLast="47" xr6:coauthVersionMax="47" xr10:uidLastSave="{00000000-0000-0000-0000-000000000000}"/>
  <bookViews>
    <workbookView xWindow="7080" yWindow="735" windowWidth="26085" windowHeight="14805" xr2:uid="{338DA11A-4F16-5348-96DE-52B980C66CD2}"/>
  </bookViews>
  <sheets>
    <sheet name="Proyectos" sheetId="2" r:id="rId1"/>
    <sheet name="CONCLUC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G45" i="2"/>
  <c r="K27" i="2"/>
  <c r="G43" i="2"/>
  <c r="I44" i="2"/>
  <c r="J44" i="2"/>
  <c r="K44" i="2"/>
  <c r="L44" i="2" s="1"/>
  <c r="M44" i="2" s="1"/>
  <c r="N44" i="2" s="1"/>
  <c r="O44" i="2" s="1"/>
  <c r="P44" i="2" s="1"/>
  <c r="Q44" i="2" s="1"/>
  <c r="R44" i="2" s="1"/>
  <c r="H44" i="2"/>
  <c r="G44" i="2"/>
  <c r="K39" i="2"/>
  <c r="F44" i="2"/>
  <c r="G38" i="2"/>
  <c r="E44" i="2"/>
  <c r="K49" i="2"/>
  <c r="L49" i="2" s="1"/>
  <c r="M49" i="2" s="1"/>
  <c r="J49" i="2"/>
  <c r="J38" i="2"/>
  <c r="D38" i="2"/>
  <c r="D106" i="2"/>
  <c r="E96" i="2"/>
  <c r="N91" i="2"/>
  <c r="O91" i="2"/>
  <c r="P91" i="2"/>
  <c r="Q91" i="2"/>
  <c r="R91" i="2"/>
  <c r="M91" i="2"/>
  <c r="H90" i="2"/>
  <c r="I90" i="2"/>
  <c r="J90" i="2"/>
  <c r="K90" i="2"/>
  <c r="L90" i="2"/>
  <c r="G90" i="2"/>
  <c r="F87" i="2"/>
  <c r="I49" i="2"/>
  <c r="AB6" i="2"/>
  <c r="AB5" i="2"/>
  <c r="AB4" i="2"/>
  <c r="AA5" i="2"/>
  <c r="AA6" i="2"/>
  <c r="AA4" i="2"/>
  <c r="P12" i="2"/>
  <c r="P7" i="2"/>
  <c r="J50" i="2" l="1"/>
  <c r="K50" i="2" s="1"/>
  <c r="L50" i="2" s="1"/>
  <c r="M50" i="2" s="1"/>
  <c r="N50" i="2" s="1"/>
  <c r="O50" i="2" s="1"/>
  <c r="P50" i="2" s="1"/>
  <c r="Q50" i="2" s="1"/>
  <c r="R50" i="2" s="1"/>
  <c r="O7" i="2"/>
  <c r="F40" i="2"/>
  <c r="F39" i="2"/>
  <c r="E40" i="2"/>
  <c r="J40" i="2" s="1"/>
  <c r="E39" i="2"/>
  <c r="J39" i="2" s="1"/>
  <c r="E38" i="2"/>
  <c r="I53" i="2"/>
  <c r="G5" i="2" s="1"/>
  <c r="G24" i="2" s="1"/>
  <c r="G41" i="2"/>
  <c r="H41" i="2" s="1"/>
  <c r="I41" i="2" s="1"/>
  <c r="J41" i="2" s="1"/>
  <c r="K41" i="2" s="1"/>
  <c r="L41" i="2" s="1"/>
  <c r="M41" i="2" s="1"/>
  <c r="N41" i="2" s="1"/>
  <c r="O41" i="2" s="1"/>
  <c r="P41" i="2" s="1"/>
  <c r="Q41" i="2" s="1"/>
  <c r="R41" i="2" s="1"/>
  <c r="R73" i="2"/>
  <c r="Q73" i="2"/>
  <c r="P73" i="2"/>
  <c r="N14" i="2" s="1"/>
  <c r="O73" i="2"/>
  <c r="M14" i="2" s="1"/>
  <c r="N73" i="2"/>
  <c r="L14" i="2" s="1"/>
  <c r="M73" i="2"/>
  <c r="K14" i="2" s="1"/>
  <c r="L73" i="2"/>
  <c r="J14" i="2" s="1"/>
  <c r="K73" i="2"/>
  <c r="I14" i="2" s="1"/>
  <c r="J73" i="2"/>
  <c r="H14" i="2" s="1"/>
  <c r="I73" i="2"/>
  <c r="H73" i="2"/>
  <c r="F14" i="2" s="1"/>
  <c r="G73" i="2"/>
  <c r="E14" i="2" s="1"/>
  <c r="R65" i="2"/>
  <c r="Q65" i="2"/>
  <c r="P65" i="2"/>
  <c r="N15" i="2" s="1"/>
  <c r="O65" i="2"/>
  <c r="M15" i="2" s="1"/>
  <c r="N65" i="2"/>
  <c r="L15" i="2" s="1"/>
  <c r="M65" i="2"/>
  <c r="K15" i="2" s="1"/>
  <c r="L65" i="2"/>
  <c r="J15" i="2" s="1"/>
  <c r="K65" i="2"/>
  <c r="I15" i="2" s="1"/>
  <c r="J65" i="2"/>
  <c r="H15" i="2" s="1"/>
  <c r="I65" i="2"/>
  <c r="G15" i="2" s="1"/>
  <c r="H65" i="2"/>
  <c r="F15" i="2" s="1"/>
  <c r="G65" i="2"/>
  <c r="E15" i="2" s="1"/>
  <c r="E35" i="2"/>
  <c r="D19" i="2" s="1"/>
  <c r="G14" i="2"/>
  <c r="H38" i="2" l="1"/>
  <c r="H45" i="2" s="1"/>
  <c r="F6" i="2" s="1"/>
  <c r="G96" i="2"/>
  <c r="R96" i="2"/>
  <c r="P8" i="2" s="1"/>
  <c r="D18" i="2"/>
  <c r="J96" i="2"/>
  <c r="K96" i="2"/>
  <c r="J53" i="2"/>
  <c r="H5" i="2" s="1"/>
  <c r="H24" i="2" s="1"/>
  <c r="I38" i="2"/>
  <c r="I45" i="2" s="1"/>
  <c r="G6" i="2" s="1"/>
  <c r="K40" i="2"/>
  <c r="L40" i="2" s="1"/>
  <c r="M40" i="2" s="1"/>
  <c r="N40" i="2" s="1"/>
  <c r="O40" i="2" s="1"/>
  <c r="P40" i="2" s="1"/>
  <c r="Q40" i="2" s="1"/>
  <c r="R40" i="2" s="1"/>
  <c r="N49" i="2"/>
  <c r="O49" i="2" s="1"/>
  <c r="P49" i="2" s="1"/>
  <c r="Q49" i="2" s="1"/>
  <c r="Q53" i="2" s="1"/>
  <c r="J18" i="2"/>
  <c r="D78" i="2"/>
  <c r="G53" i="2"/>
  <c r="E5" i="2" s="1"/>
  <c r="E24" i="2" s="1"/>
  <c r="N96" i="2" l="1"/>
  <c r="H96" i="2"/>
  <c r="F8" i="2" s="1"/>
  <c r="I96" i="2"/>
  <c r="E8" i="2"/>
  <c r="O5" i="2"/>
  <c r="O24" i="2" s="1"/>
  <c r="O96" i="2"/>
  <c r="P96" i="2"/>
  <c r="N8" i="2" s="1"/>
  <c r="Q96" i="2"/>
  <c r="O8" i="2" s="1"/>
  <c r="L96" i="2"/>
  <c r="M96" i="2"/>
  <c r="R49" i="2"/>
  <c r="R53" i="2" s="1"/>
  <c r="P5" i="2" s="1"/>
  <c r="L39" i="2"/>
  <c r="M39" i="2" s="1"/>
  <c r="K45" i="2"/>
  <c r="J45" i="2"/>
  <c r="H6" i="2" s="1"/>
  <c r="D21" i="2"/>
  <c r="J79" i="2"/>
  <c r="H20" i="2" s="1"/>
  <c r="K79" i="2"/>
  <c r="I20" i="2" s="1"/>
  <c r="P79" i="2"/>
  <c r="N20" i="2" s="1"/>
  <c r="L79" i="2"/>
  <c r="J20" i="2" s="1"/>
  <c r="H79" i="2"/>
  <c r="F20" i="2" s="1"/>
  <c r="M79" i="2"/>
  <c r="K20" i="2" s="1"/>
  <c r="N79" i="2"/>
  <c r="L20" i="2" s="1"/>
  <c r="F81" i="2"/>
  <c r="I79" i="2"/>
  <c r="G20" i="2" s="1"/>
  <c r="G79" i="2"/>
  <c r="E20" i="2" s="1"/>
  <c r="O79" i="2"/>
  <c r="M20" i="2" s="1"/>
  <c r="H53" i="2"/>
  <c r="F5" i="2" s="1"/>
  <c r="F24" i="2" s="1"/>
  <c r="P24" i="2" l="1"/>
  <c r="L45" i="2"/>
  <c r="G82" i="2"/>
  <c r="G81" i="2"/>
  <c r="G8" i="2"/>
  <c r="E7" i="2" l="1"/>
  <c r="E23" i="2" s="1"/>
  <c r="E25" i="2" s="1"/>
  <c r="H81" i="2"/>
  <c r="H82" i="2"/>
  <c r="F7" i="2" s="1"/>
  <c r="N39" i="2"/>
  <c r="M45" i="2"/>
  <c r="H8" i="2"/>
  <c r="AA8" i="2" l="1"/>
  <c r="AA9" i="2"/>
  <c r="AA7" i="2"/>
  <c r="AB7" i="2" s="1"/>
  <c r="F9" i="2"/>
  <c r="F16" i="2" s="1"/>
  <c r="F21" i="2" s="1"/>
  <c r="F23" i="2"/>
  <c r="F25" i="2" s="1"/>
  <c r="I81" i="2"/>
  <c r="I82" i="2"/>
  <c r="G7" i="2" s="1"/>
  <c r="E9" i="2"/>
  <c r="E16" i="2" s="1"/>
  <c r="E21" i="2" s="1"/>
  <c r="O39" i="2"/>
  <c r="N45" i="2"/>
  <c r="K53" i="2"/>
  <c r="I5" i="2" s="1"/>
  <c r="I24" i="2" s="1"/>
  <c r="I6" i="2"/>
  <c r="I8" i="2"/>
  <c r="AA10" i="2" l="1"/>
  <c r="AA12" i="2"/>
  <c r="AA11" i="2"/>
  <c r="AB8" i="2"/>
  <c r="AB9" i="2" s="1"/>
  <c r="J81" i="2"/>
  <c r="J82" i="2"/>
  <c r="H7" i="2" s="1"/>
  <c r="G23" i="2"/>
  <c r="G25" i="2" s="1"/>
  <c r="G9" i="2"/>
  <c r="G16" i="2" s="1"/>
  <c r="G21" i="2" s="1"/>
  <c r="P39" i="2"/>
  <c r="O45" i="2"/>
  <c r="L53" i="2"/>
  <c r="J5" i="2" s="1"/>
  <c r="J24" i="2" s="1"/>
  <c r="J6" i="2"/>
  <c r="J8" i="2"/>
  <c r="AB10" i="2" l="1"/>
  <c r="AB11" i="2" s="1"/>
  <c r="AB12" i="2" s="1"/>
  <c r="AA14" i="2"/>
  <c r="AA15" i="2"/>
  <c r="AA13" i="2"/>
  <c r="K81" i="2"/>
  <c r="K82" i="2"/>
  <c r="I7" i="2" s="1"/>
  <c r="H9" i="2"/>
  <c r="H10" i="2" s="1"/>
  <c r="H16" i="2" s="1"/>
  <c r="H21" i="2" s="1"/>
  <c r="Q39" i="2"/>
  <c r="P45" i="2"/>
  <c r="K6" i="2"/>
  <c r="M53" i="2"/>
  <c r="K5" i="2" s="1"/>
  <c r="K24" i="2" s="1"/>
  <c r="K8" i="2"/>
  <c r="AB13" i="2" l="1"/>
  <c r="AB14" i="2" s="1"/>
  <c r="AB15" i="2" s="1"/>
  <c r="H23" i="2"/>
  <c r="H25" i="2" s="1"/>
  <c r="L81" i="2"/>
  <c r="L82" i="2"/>
  <c r="J7" i="2" s="1"/>
  <c r="I9" i="2"/>
  <c r="I10" i="2" s="1"/>
  <c r="I16" i="2" s="1"/>
  <c r="I21" i="2" s="1"/>
  <c r="R39" i="2"/>
  <c r="R45" i="2" s="1"/>
  <c r="P6" i="2" s="1"/>
  <c r="P9" i="2" s="1"/>
  <c r="Q45" i="2"/>
  <c r="O6" i="2" s="1"/>
  <c r="O9" i="2" s="1"/>
  <c r="O10" i="2" s="1"/>
  <c r="O23" i="2" s="1"/>
  <c r="L6" i="2"/>
  <c r="N53" i="2"/>
  <c r="L5" i="2" s="1"/>
  <c r="L24" i="2" s="1"/>
  <c r="L8" i="2"/>
  <c r="P10" i="2" l="1"/>
  <c r="P23" i="2" s="1"/>
  <c r="P25" i="2" s="1"/>
  <c r="AA17" i="2"/>
  <c r="AA16" i="2"/>
  <c r="AB16" i="2" s="1"/>
  <c r="AA18" i="2"/>
  <c r="I23" i="2"/>
  <c r="I25" i="2" s="1"/>
  <c r="J9" i="2"/>
  <c r="J10" i="2" s="1"/>
  <c r="J16" i="2" s="1"/>
  <c r="J21" i="2" s="1"/>
  <c r="M81" i="2"/>
  <c r="M82" i="2"/>
  <c r="K7" i="2" s="1"/>
  <c r="N6" i="2"/>
  <c r="P53" i="2"/>
  <c r="N5" i="2" s="1"/>
  <c r="N24" i="2" s="1"/>
  <c r="M6" i="2"/>
  <c r="O53" i="2"/>
  <c r="M5" i="2" s="1"/>
  <c r="M24" i="2" s="1"/>
  <c r="M8" i="2"/>
  <c r="P16" i="2" l="1"/>
  <c r="P21" i="2" s="1"/>
  <c r="AA40" i="2"/>
  <c r="AA42" i="2"/>
  <c r="AA41" i="2"/>
  <c r="AA20" i="2"/>
  <c r="AA21" i="2"/>
  <c r="AA19" i="2"/>
  <c r="AB17" i="2"/>
  <c r="AB18" i="2" s="1"/>
  <c r="K9" i="2"/>
  <c r="K10" i="2" s="1"/>
  <c r="K16" i="2" s="1"/>
  <c r="K21" i="2" s="1"/>
  <c r="N81" i="2"/>
  <c r="N82" i="2"/>
  <c r="L7" i="2" s="1"/>
  <c r="J23" i="2"/>
  <c r="J25" i="2" s="1"/>
  <c r="O16" i="2"/>
  <c r="O21" i="2" s="1"/>
  <c r="O25" i="2"/>
  <c r="AB19" i="2" l="1"/>
  <c r="AB20" i="2" s="1"/>
  <c r="AB21" i="2" s="1"/>
  <c r="AA24" i="2"/>
  <c r="AA22" i="2"/>
  <c r="AA23" i="2"/>
  <c r="AA38" i="2"/>
  <c r="AA39" i="2"/>
  <c r="AA37" i="2"/>
  <c r="L9" i="2"/>
  <c r="L10" i="2" s="1"/>
  <c r="L16" i="2" s="1"/>
  <c r="L21" i="2" s="1"/>
  <c r="O81" i="2"/>
  <c r="O82" i="2"/>
  <c r="M7" i="2" s="1"/>
  <c r="K23" i="2"/>
  <c r="K25" i="2" s="1"/>
  <c r="AB22" i="2" l="1"/>
  <c r="AB23" i="2" s="1"/>
  <c r="AB24" i="2" s="1"/>
  <c r="AA27" i="2"/>
  <c r="AA26" i="2"/>
  <c r="AA25" i="2"/>
  <c r="M9" i="2"/>
  <c r="M10" i="2" s="1"/>
  <c r="M16" i="2" s="1"/>
  <c r="M21" i="2" s="1"/>
  <c r="P81" i="2"/>
  <c r="P82" i="2"/>
  <c r="N7" i="2" s="1"/>
  <c r="L23" i="2"/>
  <c r="L25" i="2" s="1"/>
  <c r="AB25" i="2" l="1"/>
  <c r="AB26" i="2"/>
  <c r="AB27" i="2" s="1"/>
  <c r="M23" i="2"/>
  <c r="M25" i="2" s="1"/>
  <c r="AA33" i="2" s="1"/>
  <c r="AA29" i="2"/>
  <c r="AA30" i="2"/>
  <c r="AA28" i="2"/>
  <c r="AB28" i="2" s="1"/>
  <c r="N9" i="2"/>
  <c r="N10" i="2" s="1"/>
  <c r="N16" i="2" s="1"/>
  <c r="N21" i="2" s="1"/>
  <c r="S22" i="2" l="1"/>
  <c r="S21" i="2"/>
  <c r="AB29" i="2"/>
  <c r="AB30" i="2" s="1"/>
  <c r="AA32" i="2"/>
  <c r="AA31" i="2"/>
  <c r="N23" i="2"/>
  <c r="N25" i="2" s="1"/>
  <c r="AB31" i="2" l="1"/>
  <c r="AB32" i="2" s="1"/>
  <c r="AB33" i="2" s="1"/>
  <c r="AA36" i="2"/>
  <c r="AA35" i="2"/>
  <c r="AA34" i="2"/>
  <c r="AB34" i="2" l="1"/>
  <c r="AB35" i="2" s="1"/>
  <c r="AB36" i="2" s="1"/>
  <c r="AB37" i="2" s="1"/>
  <c r="AB38" i="2" s="1"/>
  <c r="AB39" i="2" s="1"/>
  <c r="AB40" i="2" s="1"/>
  <c r="AB41" i="2" s="1"/>
  <c r="AB42" i="2" s="1"/>
</calcChain>
</file>

<file path=xl/sharedStrings.xml><?xml version="1.0" encoding="utf-8"?>
<sst xmlns="http://schemas.openxmlformats.org/spreadsheetml/2006/main" count="109" uniqueCount="85">
  <si>
    <t>ESQUEMA DEL FLUJO DE FONDOS DEL INVERSIONISTA , CON FINANCIAMIENTO, DESDE EL PUNTO DE VISTA DEL DUEÑO DEL PROYECTO.</t>
  </si>
  <si>
    <t>+</t>
  </si>
  <si>
    <t>INGRESOS DE OPERACIÓN</t>
  </si>
  <si>
    <t>-</t>
  </si>
  <si>
    <t xml:space="preserve">COSTOS DE OPERACIÓN </t>
  </si>
  <si>
    <t>INTERESES SOBRE CRÉDITOS RECIBIDOS POR EL PROYECTO</t>
  </si>
  <si>
    <t>DEPRECIACIÓN</t>
  </si>
  <si>
    <t>GANANCIAS NETAS GRAVABLES</t>
  </si>
  <si>
    <t>IMPUESTOS DIRECTOS</t>
  </si>
  <si>
    <t>VALORES DE SALVAMENTO GRAVABLES ( POR VENTA DE ACTIVOS)</t>
  </si>
  <si>
    <t>IMPUESTO A LA UTILIDAD POR VENTA DE ACTIVOS</t>
  </si>
  <si>
    <t>INGRESOS NO GRAVABLES</t>
  </si>
  <si>
    <t>COSTOS DE OPERACIÓN NO DEDUCIBLES</t>
  </si>
  <si>
    <t>VALOR EN LIBROS DE ACTIVOS VENDIDOS ( INGRESO NO GRAVABLE)</t>
  </si>
  <si>
    <t>GANANCIAS NETAS</t>
  </si>
  <si>
    <t>VALOR DE SALVAMENTO (ACTIVOS NO VENDIDOS)</t>
  </si>
  <si>
    <t>COSTOS DE INVERSIÓN</t>
  </si>
  <si>
    <t>CRÉDITOS RECIBIDOS</t>
  </si>
  <si>
    <t>AMORTIZACIONES DE CRÉDITOS Y PRÉSTAMOS</t>
  </si>
  <si>
    <t>FLUJO DE FONDOS NETO</t>
  </si>
  <si>
    <t>Inverción incial</t>
  </si>
  <si>
    <t xml:space="preserve">Valor </t>
  </si>
  <si>
    <t>Depreciación en años</t>
  </si>
  <si>
    <t>Total</t>
  </si>
  <si>
    <t>Costos de Operación gravables</t>
  </si>
  <si>
    <t>Tasa de crecimiento</t>
  </si>
  <si>
    <t>converción tiempo</t>
  </si>
  <si>
    <t>Conversión x costo de produción anual</t>
  </si>
  <si>
    <t>Ingresos de operación gravables</t>
  </si>
  <si>
    <t>costo por unidad</t>
  </si>
  <si>
    <t>total ingresos anual</t>
  </si>
  <si>
    <t>Prestamo</t>
  </si>
  <si>
    <t>Valor total prestamo</t>
  </si>
  <si>
    <t>Parte no Gravable</t>
  </si>
  <si>
    <t>Costos de Operación No gravables</t>
  </si>
  <si>
    <t>Ingresos de operación  No gravables</t>
  </si>
  <si>
    <t>Parte Gravable</t>
  </si>
  <si>
    <t>Tir</t>
  </si>
  <si>
    <t>amortizaciones prestamos</t>
  </si>
  <si>
    <t>Tasa de sobre renta %</t>
  </si>
  <si>
    <t>Porcentaje prestamo %</t>
  </si>
  <si>
    <t>Impuesto ganancia ocacional %</t>
  </si>
  <si>
    <t>PRESTAMO</t>
  </si>
  <si>
    <t>Amortizaciones</t>
  </si>
  <si>
    <t>Periodos a amortiguar</t>
  </si>
  <si>
    <t>tasa Interes sobre creditos %</t>
  </si>
  <si>
    <t>Saldos sobre creditos</t>
  </si>
  <si>
    <t>Intereces sobre creditos</t>
  </si>
  <si>
    <t>Inversión</t>
  </si>
  <si>
    <t xml:space="preserve"> </t>
  </si>
  <si>
    <t>AÑOS</t>
  </si>
  <si>
    <t>Nueva compra</t>
  </si>
  <si>
    <t>Producción</t>
  </si>
  <si>
    <t>Arandanos</t>
  </si>
  <si>
    <t>valor 0</t>
  </si>
  <si>
    <t>Cuota depre</t>
  </si>
  <si>
    <t>TIEMPO DEPRE</t>
  </si>
  <si>
    <t>VALOR</t>
  </si>
  <si>
    <t>vpn</t>
  </si>
  <si>
    <t>Diseño UX/UI</t>
  </si>
  <si>
    <t>Producción de contenidos interactivos</t>
  </si>
  <si>
    <t>Equipos de cómputo y hardware</t>
  </si>
  <si>
    <t>Consultoría especializada y mentoría</t>
  </si>
  <si>
    <t>Salario tranbajadores</t>
  </si>
  <si>
    <t>Conversión x costo de produción trimestral</t>
  </si>
  <si>
    <t>Sevicios de infra estructura y servidores</t>
  </si>
  <si>
    <t>Creación de infraestrutruas y arquitectura de software(AWS y licencias)</t>
  </si>
  <si>
    <t>Marketing y lanzamiento y proyección</t>
  </si>
  <si>
    <t>Banco GNB Sudameris</t>
  </si>
  <si>
    <t>Soporte</t>
  </si>
  <si>
    <t>Protección amortización proyecto y depreciación</t>
  </si>
  <si>
    <t>Ganacias proyectadas subcripciónes</t>
  </si>
  <si>
    <t>Sponsor inversores</t>
  </si>
  <si>
    <t>Equipo planificado</t>
  </si>
  <si>
    <t>Re compra</t>
  </si>
  <si>
    <t>Salario</t>
  </si>
  <si>
    <t>Scrum master</t>
  </si>
  <si>
    <t>Mensual</t>
  </si>
  <si>
    <t>Desarrollador back end</t>
  </si>
  <si>
    <t>Cantidad</t>
  </si>
  <si>
    <t>Desarrollador front end</t>
  </si>
  <si>
    <t>Soporte  IT</t>
  </si>
  <si>
    <t>cloud architect</t>
  </si>
  <si>
    <t>Registros y Estatuos</t>
  </si>
  <si>
    <t>Servicios adicionales (Internet)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</si>
</sst>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_-;\-&quot;$&quot;* #,##0_-;_-&quot;$&quot;* &quot;-&quot;_-;_-@_-"/>
    <numFmt numFmtId="165" formatCode="_-&quot;$&quot;* #,##0.00_-;\-&quot;$&quot;* #,##0.00_-;_-&quot;$&quot;* &quot;-&quot;_-;_-@"/>
    <numFmt numFmtId="166" formatCode="_-&quot;$&quot;\ * #,##0_-;\-&quot;$&quot;\ * #,##0_-;_-&quot;$&quot;\ * &quot;-&quot;??_-;_-@_-"/>
    <numFmt numFmtId="167" formatCode="_-* #,##0_-;\-* #,##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E36C09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b/>
      <sz val="12"/>
      <color rgb="FF00B050"/>
      <name val="Calibri"/>
      <family val="2"/>
    </font>
    <font>
      <sz val="10.5"/>
      <color rgb="FF000000"/>
      <name val="Arial"/>
      <family val="1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165" fontId="4" fillId="0" borderId="7" xfId="0" applyNumberFormat="1" applyFont="1" applyBorder="1"/>
    <xf numFmtId="165" fontId="4" fillId="0" borderId="8" xfId="0" applyNumberFormat="1" applyFont="1" applyBorder="1"/>
    <xf numFmtId="0" fontId="4" fillId="0" borderId="1" xfId="0" applyFont="1" applyBorder="1"/>
    <xf numFmtId="165" fontId="4" fillId="0" borderId="9" xfId="0" applyNumberFormat="1" applyFont="1" applyBorder="1"/>
    <xf numFmtId="0" fontId="4" fillId="0" borderId="10" xfId="0" applyFont="1" applyBorder="1"/>
    <xf numFmtId="0" fontId="5" fillId="0" borderId="11" xfId="0" applyFont="1" applyBorder="1"/>
    <xf numFmtId="165" fontId="5" fillId="0" borderId="9" xfId="0" applyNumberFormat="1" applyFont="1" applyBorder="1"/>
    <xf numFmtId="164" fontId="0" fillId="0" borderId="0" xfId="1" applyFont="1"/>
    <xf numFmtId="0" fontId="4" fillId="0" borderId="12" xfId="0" applyFont="1" applyBorder="1"/>
    <xf numFmtId="165" fontId="4" fillId="0" borderId="13" xfId="0" applyNumberFormat="1" applyFont="1" applyBorder="1"/>
    <xf numFmtId="0" fontId="0" fillId="0" borderId="12" xfId="0" applyBorder="1"/>
    <xf numFmtId="0" fontId="0" fillId="0" borderId="15" xfId="0" applyBorder="1"/>
    <xf numFmtId="0" fontId="0" fillId="0" borderId="18" xfId="0" applyBorder="1"/>
    <xf numFmtId="0" fontId="0" fillId="0" borderId="14" xfId="0" applyBorder="1"/>
    <xf numFmtId="0" fontId="0" fillId="2" borderId="0" xfId="0" applyFill="1"/>
    <xf numFmtId="0" fontId="6" fillId="3" borderId="0" xfId="0" applyFont="1" applyFill="1" applyAlignment="1">
      <alignment horizontal="justify" vertical="center" wrapText="1"/>
    </xf>
    <xf numFmtId="0" fontId="0" fillId="4" borderId="0" xfId="0" applyFill="1"/>
    <xf numFmtId="0" fontId="0" fillId="4" borderId="12" xfId="0" applyFill="1" applyBorder="1"/>
    <xf numFmtId="0" fontId="0" fillId="5" borderId="0" xfId="0" applyFill="1"/>
    <xf numFmtId="0" fontId="0" fillId="6" borderId="0" xfId="0" applyFill="1"/>
    <xf numFmtId="0" fontId="0" fillId="6" borderId="12" xfId="0" applyFill="1" applyBorder="1"/>
    <xf numFmtId="0" fontId="0" fillId="6" borderId="19" xfId="0" applyFill="1" applyBorder="1"/>
    <xf numFmtId="0" fontId="0" fillId="0" borderId="19" xfId="0" applyBorder="1"/>
    <xf numFmtId="0" fontId="0" fillId="6" borderId="18" xfId="0" applyFill="1" applyBorder="1"/>
    <xf numFmtId="0" fontId="0" fillId="6" borderId="20" xfId="0" applyFill="1" applyBorder="1"/>
    <xf numFmtId="0" fontId="0" fillId="0" borderId="21" xfId="0" applyBorder="1"/>
    <xf numFmtId="0" fontId="0" fillId="0" borderId="22" xfId="0" applyBorder="1"/>
    <xf numFmtId="0" fontId="0" fillId="5" borderId="18" xfId="0" applyFill="1" applyBorder="1"/>
    <xf numFmtId="0" fontId="0" fillId="0" borderId="23" xfId="0" applyBorder="1"/>
    <xf numFmtId="0" fontId="0" fillId="0" borderId="24" xfId="0" applyBorder="1"/>
    <xf numFmtId="0" fontId="0" fillId="5" borderId="16" xfId="0" applyFill="1" applyBorder="1"/>
    <xf numFmtId="0" fontId="0" fillId="5" borderId="25" xfId="0" applyFill="1" applyBorder="1"/>
    <xf numFmtId="0" fontId="0" fillId="5" borderId="26" xfId="0" applyFill="1" applyBorder="1"/>
    <xf numFmtId="0" fontId="0" fillId="0" borderId="27" xfId="0" applyBorder="1"/>
    <xf numFmtId="0" fontId="0" fillId="7" borderId="0" xfId="0" applyFill="1"/>
    <xf numFmtId="0" fontId="0" fillId="7" borderId="16" xfId="0" applyFill="1" applyBorder="1"/>
    <xf numFmtId="0" fontId="0" fillId="7" borderId="25" xfId="0" applyFill="1" applyBorder="1"/>
    <xf numFmtId="0" fontId="0" fillId="7" borderId="26" xfId="0" applyFill="1" applyBorder="1"/>
    <xf numFmtId="0" fontId="0" fillId="7" borderId="18" xfId="0" applyFill="1" applyBorder="1"/>
    <xf numFmtId="0" fontId="0" fillId="8" borderId="0" xfId="0" applyFill="1"/>
    <xf numFmtId="0" fontId="0" fillId="8" borderId="12" xfId="0" applyFill="1" applyBorder="1"/>
    <xf numFmtId="0" fontId="0" fillId="8" borderId="19" xfId="0" applyFill="1" applyBorder="1"/>
    <xf numFmtId="0" fontId="0" fillId="8" borderId="20" xfId="0" applyFill="1" applyBorder="1"/>
    <xf numFmtId="0" fontId="0" fillId="8" borderId="18" xfId="0" applyFill="1" applyBorder="1"/>
    <xf numFmtId="0" fontId="0" fillId="9" borderId="0" xfId="0" applyFill="1"/>
    <xf numFmtId="0" fontId="0" fillId="10" borderId="0" xfId="0" applyFill="1"/>
    <xf numFmtId="44" fontId="0" fillId="0" borderId="12" xfId="3" applyFont="1" applyBorder="1"/>
    <xf numFmtId="166" fontId="0" fillId="0" borderId="12" xfId="3" applyNumberFormat="1" applyFont="1" applyBorder="1"/>
    <xf numFmtId="166" fontId="0" fillId="0" borderId="15" xfId="3" applyNumberFormat="1" applyFont="1" applyBorder="1"/>
    <xf numFmtId="166" fontId="0" fillId="0" borderId="24" xfId="3" applyNumberFormat="1" applyFont="1" applyBorder="1"/>
    <xf numFmtId="9" fontId="0" fillId="0" borderId="12" xfId="0" applyNumberFormat="1" applyBorder="1"/>
    <xf numFmtId="0" fontId="0" fillId="11" borderId="0" xfId="0" applyFill="1"/>
    <xf numFmtId="44" fontId="0" fillId="0" borderId="17" xfId="3" applyFont="1" applyBorder="1"/>
    <xf numFmtId="0" fontId="0" fillId="0" borderId="28" xfId="0" applyBorder="1"/>
    <xf numFmtId="0" fontId="0" fillId="12" borderId="0" xfId="0" applyFill="1"/>
    <xf numFmtId="167" fontId="0" fillId="0" borderId="14" xfId="2" applyNumberFormat="1" applyFont="1" applyBorder="1"/>
    <xf numFmtId="167" fontId="0" fillId="0" borderId="0" xfId="2" applyNumberFormat="1" applyFont="1"/>
    <xf numFmtId="167" fontId="0" fillId="0" borderId="12" xfId="2" applyNumberFormat="1" applyFont="1" applyBorder="1"/>
    <xf numFmtId="167" fontId="0" fillId="0" borderId="15" xfId="2" applyNumberFormat="1" applyFont="1" applyBorder="1"/>
    <xf numFmtId="166" fontId="0" fillId="0" borderId="0" xfId="0" applyNumberFormat="1"/>
    <xf numFmtId="0" fontId="0" fillId="13" borderId="0" xfId="0" applyFill="1"/>
    <xf numFmtId="44" fontId="0" fillId="0" borderId="0" xfId="3" applyFont="1"/>
    <xf numFmtId="0" fontId="0" fillId="14" borderId="0" xfId="0" applyFill="1"/>
    <xf numFmtId="44" fontId="0" fillId="0" borderId="0" xfId="0" applyNumberFormat="1"/>
    <xf numFmtId="9" fontId="0" fillId="0" borderId="18" xfId="0" applyNumberFormat="1" applyBorder="1"/>
    <xf numFmtId="0" fontId="0" fillId="14" borderId="12" xfId="0" applyFill="1" applyBorder="1"/>
    <xf numFmtId="0" fontId="0" fillId="14" borderId="19" xfId="0" applyFill="1" applyBorder="1"/>
    <xf numFmtId="0" fontId="0" fillId="14" borderId="21" xfId="0" applyFill="1" applyBorder="1"/>
    <xf numFmtId="0" fontId="0" fillId="14" borderId="18" xfId="0" applyFill="1" applyBorder="1"/>
    <xf numFmtId="44" fontId="0" fillId="14" borderId="12" xfId="3" applyFont="1" applyFill="1" applyBorder="1"/>
    <xf numFmtId="166" fontId="0" fillId="0" borderId="18" xfId="3" applyNumberFormat="1" applyFont="1" applyBorder="1"/>
    <xf numFmtId="166" fontId="0" fillId="0" borderId="12" xfId="0" applyNumberFormat="1" applyBorder="1"/>
    <xf numFmtId="166" fontId="0" fillId="0" borderId="15" xfId="0" applyNumberFormat="1" applyBorder="1"/>
    <xf numFmtId="44" fontId="0" fillId="0" borderId="12" xfId="0" applyNumberFormat="1" applyBorder="1"/>
    <xf numFmtId="9" fontId="0" fillId="0" borderId="14" xfId="4" applyFont="1" applyBorder="1"/>
    <xf numFmtId="166" fontId="0" fillId="0" borderId="0" xfId="3" applyNumberFormat="1" applyFont="1"/>
    <xf numFmtId="165" fontId="0" fillId="0" borderId="14" xfId="0" applyNumberFormat="1" applyBorder="1"/>
    <xf numFmtId="8" fontId="0" fillId="0" borderId="0" xfId="0" applyNumberFormat="1"/>
    <xf numFmtId="0" fontId="4" fillId="2" borderId="6" xfId="0" applyFont="1" applyFill="1" applyBorder="1"/>
    <xf numFmtId="0" fontId="4" fillId="6" borderId="6" xfId="0" applyFont="1" applyFill="1" applyBorder="1"/>
    <xf numFmtId="167" fontId="0" fillId="5" borderId="0" xfId="2" applyNumberFormat="1" applyFont="1" applyFill="1"/>
    <xf numFmtId="1" fontId="0" fillId="6" borderId="0" xfId="0" applyNumberFormat="1" applyFill="1"/>
    <xf numFmtId="166" fontId="0" fillId="0" borderId="0" xfId="3" applyNumberFormat="1" applyFont="1" applyFill="1" applyBorder="1"/>
    <xf numFmtId="10" fontId="0" fillId="0" borderId="14" xfId="0" applyNumberFormat="1" applyBorder="1"/>
    <xf numFmtId="44" fontId="0" fillId="0" borderId="19" xfId="3" applyFont="1" applyBorder="1"/>
    <xf numFmtId="166" fontId="0" fillId="0" borderId="19" xfId="3" applyNumberFormat="1" applyFont="1" applyBorder="1"/>
    <xf numFmtId="166" fontId="0" fillId="0" borderId="21" xfId="3" applyNumberFormat="1" applyFont="1" applyBorder="1"/>
    <xf numFmtId="166" fontId="0" fillId="0" borderId="21" xfId="0" applyNumberFormat="1" applyBorder="1"/>
    <xf numFmtId="9" fontId="0" fillId="0" borderId="18" xfId="4" applyFont="1" applyBorder="1" applyAlignment="1">
      <alignment horizontal="left" indent="11"/>
    </xf>
    <xf numFmtId="10" fontId="0" fillId="0" borderId="0" xfId="0" applyNumberFormat="1"/>
    <xf numFmtId="164" fontId="0" fillId="15" borderId="0" xfId="1" applyFont="1" applyFill="1"/>
    <xf numFmtId="164" fontId="0" fillId="13" borderId="0" xfId="1" applyFont="1" applyFill="1"/>
    <xf numFmtId="164" fontId="0" fillId="0" borderId="0" xfId="0" applyNumberFormat="1"/>
    <xf numFmtId="0" fontId="7" fillId="0" borderId="0" xfId="0" applyFont="1"/>
    <xf numFmtId="166" fontId="0" fillId="0" borderId="27" xfId="0" applyNumberFormat="1" applyBorder="1"/>
    <xf numFmtId="0" fontId="2" fillId="0" borderId="4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5">
    <cellStyle name="Millares" xfId="2" builtinId="3"/>
    <cellStyle name="Moneda" xfId="3" builtinId="4"/>
    <cellStyle name="Moneda [0]" xfId="1" builtinId="7"/>
    <cellStyle name="Normal" xfId="0" builtinId="0"/>
    <cellStyle name="Porcentaje" xfId="4" builtinId="5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7D41-6EE6-42A0-8B94-D748D547687A}">
  <dimension ref="A2:AB106"/>
  <sheetViews>
    <sheetView tabSelected="1" zoomScale="70" zoomScaleNormal="70" workbookViewId="0">
      <selection activeCell="F27" sqref="F27:F31"/>
    </sheetView>
  </sheetViews>
  <sheetFormatPr baseColWidth="10" defaultRowHeight="15.75" x14ac:dyDescent="0.25"/>
  <cols>
    <col min="1" max="1" width="30.25" customWidth="1"/>
    <col min="3" max="3" width="64" customWidth="1"/>
    <col min="4" max="4" width="17.875" customWidth="1"/>
    <col min="5" max="5" width="38.625" customWidth="1"/>
    <col min="6" max="6" width="20" customWidth="1"/>
    <col min="7" max="7" width="18.5" customWidth="1"/>
    <col min="8" max="8" width="18.375" customWidth="1"/>
    <col min="9" max="9" width="19.75" customWidth="1"/>
    <col min="10" max="10" width="21.25" customWidth="1"/>
    <col min="11" max="11" width="20.5" customWidth="1"/>
    <col min="12" max="12" width="20.625" customWidth="1"/>
    <col min="13" max="13" width="24.875" customWidth="1"/>
    <col min="14" max="14" width="21.5" customWidth="1"/>
    <col min="15" max="15" width="23.5" customWidth="1"/>
    <col min="16" max="16" width="20" customWidth="1"/>
    <col min="17" max="17" width="21.375" customWidth="1"/>
    <col min="18" max="18" width="28" customWidth="1"/>
    <col min="19" max="19" width="19.75" customWidth="1"/>
    <col min="20" max="21" width="17.875" customWidth="1"/>
    <col min="22" max="22" width="13.5" customWidth="1"/>
    <col min="23" max="23" width="13.875" customWidth="1"/>
    <col min="24" max="24" width="11.75" customWidth="1"/>
    <col min="27" max="27" width="13" bestFit="1" customWidth="1"/>
    <col min="28" max="28" width="14.625" customWidth="1"/>
  </cols>
  <sheetData>
    <row r="2" spans="2:28" ht="16.5" thickBot="1" x14ac:dyDescent="0.3"/>
    <row r="3" spans="2:28" ht="16.5" thickBot="1" x14ac:dyDescent="0.3">
      <c r="C3" s="99" t="s">
        <v>0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1"/>
    </row>
    <row r="4" spans="2:28" x14ac:dyDescent="0.25">
      <c r="B4" s="1"/>
      <c r="C4" s="12"/>
      <c r="D4" s="2">
        <v>0</v>
      </c>
      <c r="E4" s="2">
        <v>3</v>
      </c>
      <c r="F4" s="2">
        <v>6</v>
      </c>
      <c r="G4" s="2">
        <v>9</v>
      </c>
      <c r="H4" s="2">
        <v>12</v>
      </c>
      <c r="I4" s="2">
        <v>15</v>
      </c>
      <c r="J4" s="2">
        <v>18</v>
      </c>
      <c r="K4" s="2">
        <v>21</v>
      </c>
      <c r="L4" s="2">
        <v>24</v>
      </c>
      <c r="M4" s="2">
        <v>27</v>
      </c>
      <c r="N4" s="2">
        <v>30</v>
      </c>
      <c r="O4" s="2">
        <v>33</v>
      </c>
      <c r="P4" s="2">
        <v>36</v>
      </c>
      <c r="Z4" s="97">
        <v>1</v>
      </c>
      <c r="AA4" s="96">
        <f>-7000000</f>
        <v>-7000000</v>
      </c>
      <c r="AB4" s="96">
        <f>AA4</f>
        <v>-7000000</v>
      </c>
    </row>
    <row r="5" spans="2:28" x14ac:dyDescent="0.25">
      <c r="B5" s="82" t="s">
        <v>1</v>
      </c>
      <c r="C5" s="3" t="s">
        <v>2</v>
      </c>
      <c r="D5" s="4"/>
      <c r="E5" s="4">
        <f>G53</f>
        <v>0</v>
      </c>
      <c r="F5" s="4">
        <f t="shared" ref="F5:N5" si="0">H53</f>
        <v>0</v>
      </c>
      <c r="G5" s="4">
        <f>I53</f>
        <v>49050000</v>
      </c>
      <c r="H5" s="4">
        <f>J53</f>
        <v>118565000</v>
      </c>
      <c r="I5" s="4">
        <f t="shared" si="0"/>
        <v>84024500</v>
      </c>
      <c r="J5" s="4">
        <f t="shared" si="0"/>
        <v>96319475</v>
      </c>
      <c r="K5" s="4">
        <f t="shared" si="0"/>
        <v>110443261.24999999</v>
      </c>
      <c r="L5" s="4">
        <f t="shared" si="0"/>
        <v>126669408.68749997</v>
      </c>
      <c r="M5" s="4">
        <f t="shared" si="0"/>
        <v>145312461.15312493</v>
      </c>
      <c r="N5" s="4">
        <f t="shared" si="0"/>
        <v>166734103.54671866</v>
      </c>
      <c r="O5" s="4">
        <f>Q53</f>
        <v>191350230.9603827</v>
      </c>
      <c r="P5" s="4">
        <f>R53</f>
        <v>219639078.08017915</v>
      </c>
      <c r="Z5" s="97">
        <v>2</v>
      </c>
      <c r="AA5" s="96">
        <f t="shared" ref="AA5:AA6" si="1">-7000000</f>
        <v>-7000000</v>
      </c>
      <c r="AB5" s="96">
        <f>AA5+AB4</f>
        <v>-14000000</v>
      </c>
    </row>
    <row r="6" spans="2:28" x14ac:dyDescent="0.25">
      <c r="B6" s="82" t="s">
        <v>3</v>
      </c>
      <c r="C6" s="3" t="s">
        <v>4</v>
      </c>
      <c r="D6" s="4"/>
      <c r="E6" s="4">
        <f>G45</f>
        <v>105775172</v>
      </c>
      <c r="F6" s="4">
        <f>H45</f>
        <v>104343972</v>
      </c>
      <c r="G6" s="4">
        <f>I45</f>
        <v>52532280</v>
      </c>
      <c r="H6" s="4">
        <f>J45</f>
        <v>83003735.819999993</v>
      </c>
      <c r="I6" s="4">
        <f t="shared" ref="G6:P6" si="2">K45</f>
        <v>32263141.209599994</v>
      </c>
      <c r="J6" s="4">
        <f t="shared" si="2"/>
        <v>33401249.438662495</v>
      </c>
      <c r="K6" s="4">
        <f t="shared" si="2"/>
        <v>34588288.572629958</v>
      </c>
      <c r="L6" s="4">
        <f t="shared" si="2"/>
        <v>35826697.765008509</v>
      </c>
      <c r="M6" s="4">
        <f t="shared" si="2"/>
        <v>37119048.297862902</v>
      </c>
      <c r="N6" s="4">
        <f t="shared" si="2"/>
        <v>38468051.025589906</v>
      </c>
      <c r="O6" s="4">
        <f t="shared" si="2"/>
        <v>39876564.245239474</v>
      </c>
      <c r="P6" s="4">
        <f t="shared" si="2"/>
        <v>41347602.01800032</v>
      </c>
      <c r="Z6" s="97">
        <v>3</v>
      </c>
      <c r="AA6" s="96">
        <f t="shared" si="1"/>
        <v>-7000000</v>
      </c>
      <c r="AB6" s="96">
        <f t="shared" ref="AB6:AB42" si="3">AA6+AB5</f>
        <v>-21000000</v>
      </c>
    </row>
    <row r="7" spans="2:28" x14ac:dyDescent="0.25">
      <c r="B7" s="3" t="s">
        <v>3</v>
      </c>
      <c r="C7" s="3" t="s">
        <v>5</v>
      </c>
      <c r="D7" s="4"/>
      <c r="E7" s="4">
        <f>G82</f>
        <v>3739632</v>
      </c>
      <c r="F7" s="4">
        <f t="shared" ref="F7:P7" si="4">H82</f>
        <v>3365668.8</v>
      </c>
      <c r="G7" s="4">
        <f t="shared" si="4"/>
        <v>2991705.6</v>
      </c>
      <c r="H7" s="4">
        <f t="shared" si="4"/>
        <v>2617742.4</v>
      </c>
      <c r="I7" s="4">
        <f>K82</f>
        <v>2243779.1999999997</v>
      </c>
      <c r="J7" s="4">
        <f t="shared" si="4"/>
        <v>1869816</v>
      </c>
      <c r="K7" s="4">
        <f t="shared" si="4"/>
        <v>1495852.8</v>
      </c>
      <c r="L7" s="4">
        <f t="shared" si="4"/>
        <v>1121889.5999999999</v>
      </c>
      <c r="M7" s="4">
        <f t="shared" si="4"/>
        <v>747926.4</v>
      </c>
      <c r="N7" s="4">
        <f t="shared" si="4"/>
        <v>373963.2</v>
      </c>
      <c r="O7" s="4">
        <f t="shared" si="4"/>
        <v>0</v>
      </c>
      <c r="P7" s="4">
        <f t="shared" si="4"/>
        <v>0</v>
      </c>
      <c r="Z7" s="97">
        <v>4</v>
      </c>
      <c r="AA7" s="96">
        <f>$E$25</f>
        <v>-39844027.259259261</v>
      </c>
      <c r="AB7" s="96">
        <f t="shared" si="3"/>
        <v>-60844027.259259261</v>
      </c>
    </row>
    <row r="8" spans="2:28" ht="16.5" thickBot="1" x14ac:dyDescent="0.3">
      <c r="B8" s="83" t="s">
        <v>3</v>
      </c>
      <c r="C8" s="3" t="s">
        <v>6</v>
      </c>
      <c r="D8" s="5"/>
      <c r="E8" s="5">
        <f t="shared" ref="E8:P8" si="5">G96</f>
        <v>1027777.7777777778</v>
      </c>
      <c r="F8" s="5">
        <f>H96</f>
        <v>1027777.7777777778</v>
      </c>
      <c r="G8" s="5">
        <f t="shared" si="5"/>
        <v>1027777.7777777778</v>
      </c>
      <c r="H8" s="5">
        <f t="shared" si="5"/>
        <v>1027777.7777777778</v>
      </c>
      <c r="I8" s="5">
        <f t="shared" si="5"/>
        <v>1027777.7777777778</v>
      </c>
      <c r="J8" s="5">
        <f t="shared" si="5"/>
        <v>1027777.7777777778</v>
      </c>
      <c r="K8" s="5">
        <f t="shared" si="5"/>
        <v>1155555.5555555555</v>
      </c>
      <c r="L8" s="5">
        <f t="shared" si="5"/>
        <v>1155555.5555555555</v>
      </c>
      <c r="M8" s="5">
        <f t="shared" si="5"/>
        <v>1155555.5555555555</v>
      </c>
      <c r="N8" s="5">
        <f t="shared" si="5"/>
        <v>1155555.5555555555</v>
      </c>
      <c r="O8" s="5">
        <f t="shared" si="5"/>
        <v>1155555.5555555555</v>
      </c>
      <c r="P8" s="5">
        <f t="shared" si="5"/>
        <v>1155555.5555555555</v>
      </c>
      <c r="Z8" s="97">
        <v>5</v>
      </c>
      <c r="AA8" s="96">
        <f t="shared" ref="AA8:AA9" si="6">$E$25</f>
        <v>-39844027.259259261</v>
      </c>
      <c r="AB8" s="96">
        <f t="shared" si="3"/>
        <v>-100688054.51851852</v>
      </c>
    </row>
    <row r="9" spans="2:28" ht="16.5" thickBot="1" x14ac:dyDescent="0.3">
      <c r="B9" s="3"/>
      <c r="C9" s="6" t="s">
        <v>7</v>
      </c>
      <c r="D9" s="7"/>
      <c r="E9" s="7">
        <f>E5-E6-E7-E8</f>
        <v>-110542581.77777778</v>
      </c>
      <c r="F9" s="7">
        <f>F5-F6-F7-F8</f>
        <v>-108737418.57777777</v>
      </c>
      <c r="G9" s="7">
        <f t="shared" ref="G9:P9" si="7">G5-G6-G7-G8</f>
        <v>-7501763.3777777776</v>
      </c>
      <c r="H9" s="7">
        <f t="shared" si="7"/>
        <v>31915744.002222233</v>
      </c>
      <c r="I9" s="7">
        <f t="shared" si="7"/>
        <v>48489801.812622227</v>
      </c>
      <c r="J9" s="7">
        <f t="shared" si="7"/>
        <v>60020631.783559725</v>
      </c>
      <c r="K9" s="7">
        <f t="shared" si="7"/>
        <v>73203564.321814477</v>
      </c>
      <c r="L9" s="7">
        <f t="shared" si="7"/>
        <v>88565265.766935915</v>
      </c>
      <c r="M9" s="7">
        <f t="shared" si="7"/>
        <v>106289930.89970647</v>
      </c>
      <c r="N9" s="7">
        <f t="shared" si="7"/>
        <v>126736533.76557319</v>
      </c>
      <c r="O9" s="7">
        <f t="shared" si="7"/>
        <v>150318111.15958768</v>
      </c>
      <c r="P9" s="7">
        <f t="shared" si="7"/>
        <v>177135920.5066233</v>
      </c>
      <c r="Z9" s="97">
        <v>6</v>
      </c>
      <c r="AA9" s="96">
        <f t="shared" si="6"/>
        <v>-39844027.259259261</v>
      </c>
      <c r="AB9" s="96">
        <f t="shared" si="3"/>
        <v>-140532081.77777779</v>
      </c>
    </row>
    <row r="10" spans="2:28" x14ac:dyDescent="0.25">
      <c r="B10" s="3" t="s">
        <v>3</v>
      </c>
      <c r="C10" s="3" t="s">
        <v>8</v>
      </c>
      <c r="D10" s="4"/>
      <c r="E10" s="4"/>
      <c r="F10" s="4"/>
      <c r="G10" s="4"/>
      <c r="H10" s="4">
        <f t="shared" ref="H10:P10" si="8">H9*$D$23</f>
        <v>1117051.0400777783</v>
      </c>
      <c r="I10" s="4">
        <f t="shared" si="8"/>
        <v>1697143.0634417781</v>
      </c>
      <c r="J10" s="4">
        <f t="shared" si="8"/>
        <v>2100722.1124245906</v>
      </c>
      <c r="K10" s="4">
        <f t="shared" si="8"/>
        <v>2562124.7512635072</v>
      </c>
      <c r="L10" s="4">
        <f t="shared" si="8"/>
        <v>3099784.3018427575</v>
      </c>
      <c r="M10" s="4">
        <f t="shared" si="8"/>
        <v>3720147.5814897269</v>
      </c>
      <c r="N10" s="4">
        <f t="shared" si="8"/>
        <v>4435778.6817950616</v>
      </c>
      <c r="O10" s="4">
        <f t="shared" si="8"/>
        <v>5261133.8905855697</v>
      </c>
      <c r="P10" s="4">
        <f t="shared" si="8"/>
        <v>6199757.2177318158</v>
      </c>
      <c r="Z10" s="97">
        <v>7</v>
      </c>
      <c r="AA10" s="96">
        <f>$F$25</f>
        <v>-39242306.192592591</v>
      </c>
      <c r="AB10" s="96">
        <f t="shared" si="3"/>
        <v>-179774387.97037038</v>
      </c>
    </row>
    <row r="11" spans="2:28" x14ac:dyDescent="0.25">
      <c r="B11" s="82" t="s">
        <v>1</v>
      </c>
      <c r="C11" s="3" t="s">
        <v>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13"/>
      <c r="O11" s="51"/>
      <c r="P11" s="51">
        <v>5600000</v>
      </c>
      <c r="Z11" s="97">
        <v>8</v>
      </c>
      <c r="AA11" s="96">
        <f t="shared" ref="AA11:AA12" si="9">$F$25</f>
        <v>-39242306.192592591</v>
      </c>
      <c r="AB11" s="96">
        <f t="shared" si="3"/>
        <v>-219016694.16296297</v>
      </c>
    </row>
    <row r="12" spans="2:28" x14ac:dyDescent="0.25">
      <c r="B12" s="82" t="s">
        <v>3</v>
      </c>
      <c r="C12" s="3" t="s">
        <v>10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13"/>
      <c r="O12" s="75"/>
      <c r="P12" s="75">
        <f>P11*0.065</f>
        <v>364000</v>
      </c>
      <c r="Z12" s="97">
        <v>9</v>
      </c>
      <c r="AA12" s="96">
        <f t="shared" si="9"/>
        <v>-39242306.192592591</v>
      </c>
      <c r="AB12" s="96">
        <f t="shared" si="3"/>
        <v>-258259000.35555556</v>
      </c>
    </row>
    <row r="13" spans="2:28" x14ac:dyDescent="0.25">
      <c r="B13" s="82" t="s">
        <v>1</v>
      </c>
      <c r="C13" s="3" t="s">
        <v>13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13"/>
      <c r="O13" s="14"/>
      <c r="P13" s="14"/>
      <c r="Z13" s="97">
        <v>10</v>
      </c>
      <c r="AA13" s="96">
        <f>$G$25</f>
        <v>-5497087.7925925925</v>
      </c>
      <c r="AB13" s="96">
        <f t="shared" si="3"/>
        <v>-263756088.14814815</v>
      </c>
    </row>
    <row r="14" spans="2:28" x14ac:dyDescent="0.25">
      <c r="B14" s="3" t="s">
        <v>1</v>
      </c>
      <c r="C14" s="3" t="s">
        <v>11</v>
      </c>
      <c r="D14" s="4"/>
      <c r="E14" s="4">
        <f>G73</f>
        <v>0</v>
      </c>
      <c r="F14" s="4">
        <f t="shared" ref="F14:N14" si="10">H73</f>
        <v>0</v>
      </c>
      <c r="G14" s="4">
        <f>I73</f>
        <v>0</v>
      </c>
      <c r="H14" s="4">
        <f t="shared" si="10"/>
        <v>0</v>
      </c>
      <c r="I14" s="4">
        <f t="shared" si="10"/>
        <v>0</v>
      </c>
      <c r="J14" s="4">
        <f t="shared" si="10"/>
        <v>0</v>
      </c>
      <c r="K14" s="4">
        <f t="shared" si="10"/>
        <v>0</v>
      </c>
      <c r="L14" s="4">
        <f t="shared" si="10"/>
        <v>0</v>
      </c>
      <c r="M14" s="4">
        <f t="shared" si="10"/>
        <v>0</v>
      </c>
      <c r="N14" s="4">
        <f t="shared" si="10"/>
        <v>0</v>
      </c>
      <c r="O14" s="4"/>
      <c r="P14" s="4"/>
      <c r="Z14" s="97">
        <v>11</v>
      </c>
      <c r="AA14" s="96">
        <f t="shared" ref="AA14:AA15" si="11">$G$25</f>
        <v>-5497087.7925925925</v>
      </c>
      <c r="AB14" s="96">
        <f t="shared" si="3"/>
        <v>-269253175.94074076</v>
      </c>
    </row>
    <row r="15" spans="2:28" ht="16.5" thickBot="1" x14ac:dyDescent="0.3">
      <c r="B15" s="3" t="s">
        <v>3</v>
      </c>
      <c r="C15" s="3" t="s">
        <v>12</v>
      </c>
      <c r="D15" s="4"/>
      <c r="E15" s="4">
        <f>G65</f>
        <v>0</v>
      </c>
      <c r="F15" s="4">
        <f>H65</f>
        <v>0</v>
      </c>
      <c r="G15" s="4">
        <f t="shared" ref="G15:N15" si="12">I65</f>
        <v>0</v>
      </c>
      <c r="H15" s="4">
        <f t="shared" si="12"/>
        <v>0</v>
      </c>
      <c r="I15" s="4">
        <f t="shared" si="12"/>
        <v>0</v>
      </c>
      <c r="J15" s="4">
        <f t="shared" si="12"/>
        <v>0</v>
      </c>
      <c r="K15" s="4">
        <f t="shared" si="12"/>
        <v>0</v>
      </c>
      <c r="L15" s="4">
        <f t="shared" si="12"/>
        <v>0</v>
      </c>
      <c r="M15" s="4">
        <f t="shared" si="12"/>
        <v>0</v>
      </c>
      <c r="N15" s="4">
        <f t="shared" si="12"/>
        <v>0</v>
      </c>
      <c r="O15" s="4"/>
      <c r="P15" s="4"/>
      <c r="Z15" s="97">
        <v>12</v>
      </c>
      <c r="AA15" s="96">
        <f t="shared" si="11"/>
        <v>-5497087.7925925925</v>
      </c>
      <c r="AB15" s="96">
        <f t="shared" si="3"/>
        <v>-274750263.73333335</v>
      </c>
    </row>
    <row r="16" spans="2:28" ht="16.5" thickBot="1" x14ac:dyDescent="0.3">
      <c r="B16" s="3"/>
      <c r="C16" s="6" t="s">
        <v>14</v>
      </c>
      <c r="D16" s="7"/>
      <c r="E16" s="7">
        <f>E9-E10+E11-E12+E13+E14-E15</f>
        <v>-110542581.77777778</v>
      </c>
      <c r="F16" s="7">
        <f>F9-F10+F11-F12+F13+F14-F15</f>
        <v>-108737418.57777777</v>
      </c>
      <c r="G16" s="7">
        <f t="shared" ref="G16:N16" si="13">G9-G10+G11-G12+G13+G14-G15</f>
        <v>-7501763.3777777776</v>
      </c>
      <c r="H16" s="7">
        <f t="shared" si="13"/>
        <v>30798692.962144453</v>
      </c>
      <c r="I16" s="7">
        <f t="shared" si="13"/>
        <v>46792658.749180451</v>
      </c>
      <c r="J16" s="7">
        <f t="shared" si="13"/>
        <v>57919909.671135135</v>
      </c>
      <c r="K16" s="7">
        <f t="shared" si="13"/>
        <v>70641439.570550963</v>
      </c>
      <c r="L16" s="7">
        <f>L9-L10+L11-L12+L13+L14-L15</f>
        <v>85465481.465093151</v>
      </c>
      <c r="M16" s="7">
        <f t="shared" si="13"/>
        <v>102569783.31821674</v>
      </c>
      <c r="N16" s="7">
        <f t="shared" si="13"/>
        <v>122300755.08377813</v>
      </c>
      <c r="O16" s="7">
        <f>O9-O10+O11-O12+O13+O14-O15</f>
        <v>145056977.26900211</v>
      </c>
      <c r="P16" s="7">
        <f>P9-P10+P11-P12+P13+P14-P15</f>
        <v>176172163.28889149</v>
      </c>
      <c r="Z16" s="97">
        <v>13</v>
      </c>
      <c r="AA16" s="96">
        <f>$H$25</f>
        <v>7269730.9873814806</v>
      </c>
      <c r="AB16" s="96">
        <f t="shared" si="3"/>
        <v>-267480532.74595186</v>
      </c>
    </row>
    <row r="17" spans="1:28" x14ac:dyDescent="0.25">
      <c r="B17" s="3" t="s">
        <v>1</v>
      </c>
      <c r="C17" s="3" t="s">
        <v>15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13"/>
      <c r="O17" s="14"/>
      <c r="P17" s="14"/>
      <c r="Z17" s="97">
        <v>14</v>
      </c>
      <c r="AA17" s="96">
        <f t="shared" ref="AA17:AA18" si="14">$H$25</f>
        <v>7269730.9873814806</v>
      </c>
      <c r="AB17" s="96">
        <f t="shared" si="3"/>
        <v>-260210801.75857037</v>
      </c>
    </row>
    <row r="18" spans="1:28" x14ac:dyDescent="0.25">
      <c r="B18" s="83" t="s">
        <v>3</v>
      </c>
      <c r="C18" s="3" t="s">
        <v>16</v>
      </c>
      <c r="D18" s="4">
        <f>E35</f>
        <v>138300000</v>
      </c>
      <c r="E18" s="4"/>
      <c r="F18" s="4"/>
      <c r="G18" s="4"/>
      <c r="H18" s="4"/>
      <c r="I18" s="4"/>
      <c r="J18" s="4">
        <f>G32+G33</f>
        <v>0</v>
      </c>
      <c r="K18" s="4"/>
      <c r="L18" s="4"/>
      <c r="M18" s="4"/>
      <c r="N18" s="13"/>
      <c r="O18" s="14"/>
      <c r="P18" s="14"/>
      <c r="Z18" s="97">
        <v>15</v>
      </c>
      <c r="AA18" s="96">
        <f t="shared" si="14"/>
        <v>7269730.9873814806</v>
      </c>
      <c r="AB18" s="96">
        <f t="shared" si="3"/>
        <v>-252941070.77118888</v>
      </c>
    </row>
    <row r="19" spans="1:28" x14ac:dyDescent="0.25">
      <c r="B19" s="3" t="s">
        <v>1</v>
      </c>
      <c r="C19" s="3" t="s">
        <v>17</v>
      </c>
      <c r="D19" s="4">
        <f>K27</f>
        <v>89895000</v>
      </c>
      <c r="E19" s="4"/>
      <c r="F19" s="4"/>
      <c r="G19" s="4"/>
      <c r="H19" s="4"/>
      <c r="I19" s="4"/>
      <c r="J19" s="4"/>
      <c r="K19" s="4"/>
      <c r="L19" s="4"/>
      <c r="M19" s="4"/>
      <c r="N19" s="13"/>
      <c r="O19" s="14"/>
      <c r="P19" s="14"/>
      <c r="Z19" s="97">
        <v>16</v>
      </c>
      <c r="AA19" s="96">
        <f>$I$25</f>
        <v>12601052.916393485</v>
      </c>
      <c r="AB19" s="96">
        <f t="shared" si="3"/>
        <v>-240340017.8547954</v>
      </c>
    </row>
    <row r="20" spans="1:28" ht="16.5" thickBot="1" x14ac:dyDescent="0.3">
      <c r="B20" s="3" t="s">
        <v>3</v>
      </c>
      <c r="C20" s="3" t="s">
        <v>18</v>
      </c>
      <c r="D20" s="5"/>
      <c r="E20" s="5">
        <f>G79</f>
        <v>8989500</v>
      </c>
      <c r="F20" s="5">
        <f t="shared" ref="F20:N20" si="15">H79</f>
        <v>8989500</v>
      </c>
      <c r="G20" s="5">
        <f t="shared" si="15"/>
        <v>8989500</v>
      </c>
      <c r="H20" s="5">
        <f t="shared" si="15"/>
        <v>8989500</v>
      </c>
      <c r="I20" s="5">
        <f t="shared" si="15"/>
        <v>8989500</v>
      </c>
      <c r="J20" s="5">
        <f t="shared" si="15"/>
        <v>8989500</v>
      </c>
      <c r="K20" s="5">
        <f t="shared" si="15"/>
        <v>8989500</v>
      </c>
      <c r="L20" s="5">
        <f t="shared" si="15"/>
        <v>8989500</v>
      </c>
      <c r="M20" s="5">
        <f t="shared" si="15"/>
        <v>8989500</v>
      </c>
      <c r="N20" s="5">
        <f t="shared" si="15"/>
        <v>8989500</v>
      </c>
      <c r="O20" s="5"/>
      <c r="P20" s="5"/>
      <c r="Z20" s="97">
        <v>17</v>
      </c>
      <c r="AA20" s="96">
        <f t="shared" ref="AA20:AA21" si="16">$I$25</f>
        <v>12601052.916393485</v>
      </c>
      <c r="AB20" s="96">
        <f t="shared" si="3"/>
        <v>-227738964.93840191</v>
      </c>
    </row>
    <row r="21" spans="1:28" ht="16.5" thickBot="1" x14ac:dyDescent="0.3">
      <c r="B21" s="8"/>
      <c r="C21" s="9" t="s">
        <v>19</v>
      </c>
      <c r="D21" s="10">
        <f>-(D18-D19)</f>
        <v>-48405000</v>
      </c>
      <c r="E21" s="10">
        <f>E16+E17-E18+E19-E20</f>
        <v>-119532081.77777778</v>
      </c>
      <c r="F21" s="10">
        <f t="shared" ref="F21:P21" si="17">F16+F17-F18+F19-F20</f>
        <v>-117726918.57777777</v>
      </c>
      <c r="G21" s="10">
        <f t="shared" si="17"/>
        <v>-16491263.377777778</v>
      </c>
      <c r="H21" s="10">
        <f t="shared" si="17"/>
        <v>21809192.962144453</v>
      </c>
      <c r="I21" s="10">
        <f t="shared" si="17"/>
        <v>37803158.749180451</v>
      </c>
      <c r="J21" s="10">
        <f t="shared" si="17"/>
        <v>48930409.671135135</v>
      </c>
      <c r="K21" s="10">
        <f t="shared" si="17"/>
        <v>61651939.570550963</v>
      </c>
      <c r="L21" s="10">
        <f t="shared" si="17"/>
        <v>76475981.465093151</v>
      </c>
      <c r="M21" s="10">
        <f t="shared" si="17"/>
        <v>93580283.318216741</v>
      </c>
      <c r="N21" s="10">
        <f t="shared" si="17"/>
        <v>113311255.08377813</v>
      </c>
      <c r="O21" s="10">
        <f t="shared" si="17"/>
        <v>145056977.26900211</v>
      </c>
      <c r="P21" s="10">
        <f t="shared" si="17"/>
        <v>176172163.28889149</v>
      </c>
      <c r="R21" t="s">
        <v>58</v>
      </c>
      <c r="S21" s="80">
        <f>NPV(4%,E21:P21)+D21</f>
        <v>250829729.97225291</v>
      </c>
      <c r="Z21" s="97">
        <v>18</v>
      </c>
      <c r="AA21" s="96">
        <f t="shared" si="16"/>
        <v>12601052.916393485</v>
      </c>
      <c r="AB21" s="96">
        <f t="shared" si="3"/>
        <v>-215137912.02200842</v>
      </c>
    </row>
    <row r="22" spans="1:28" ht="16.5" thickBot="1" x14ac:dyDescent="0.3">
      <c r="R22" s="17" t="s">
        <v>37</v>
      </c>
      <c r="S22" s="93">
        <f>MIRR(D21:P21,12%,12%)</f>
        <v>0.1253368647368085</v>
      </c>
      <c r="Z22" s="97">
        <v>19</v>
      </c>
      <c r="AA22" s="96">
        <f>$J$25</f>
        <v>16310136.557045046</v>
      </c>
      <c r="AB22" s="96">
        <f t="shared" si="3"/>
        <v>-198827775.46496338</v>
      </c>
    </row>
    <row r="23" spans="1:28" ht="16.5" thickBot="1" x14ac:dyDescent="0.3">
      <c r="C23" s="18" t="s">
        <v>39</v>
      </c>
      <c r="D23" s="78">
        <v>3.5000000000000003E-2</v>
      </c>
      <c r="E23" s="94">
        <f t="shared" ref="E23:P23" si="18">SUM(E6:E8,E10,E12,E15,E18,E20) / 3</f>
        <v>39844027.259259261</v>
      </c>
      <c r="F23" s="94">
        <f t="shared" si="18"/>
        <v>39242306.192592591</v>
      </c>
      <c r="G23" s="94">
        <f t="shared" si="18"/>
        <v>21847087.792592593</v>
      </c>
      <c r="H23" s="94">
        <f t="shared" si="18"/>
        <v>32251935.679285184</v>
      </c>
      <c r="I23" s="94">
        <f t="shared" si="18"/>
        <v>15407113.750273183</v>
      </c>
      <c r="J23" s="94">
        <f t="shared" si="18"/>
        <v>15796355.109621622</v>
      </c>
      <c r="K23" s="94">
        <f t="shared" si="18"/>
        <v>16263773.893149672</v>
      </c>
      <c r="L23" s="94">
        <f t="shared" si="18"/>
        <v>16731142.407468939</v>
      </c>
      <c r="M23" s="94">
        <f t="shared" si="18"/>
        <v>17244059.278302725</v>
      </c>
      <c r="N23" s="94">
        <f t="shared" si="18"/>
        <v>17807616.154313508</v>
      </c>
      <c r="O23" s="94">
        <f t="shared" si="18"/>
        <v>15431084.563793533</v>
      </c>
      <c r="P23" s="94">
        <f t="shared" si="18"/>
        <v>16355638.263762563</v>
      </c>
      <c r="Z23" s="97">
        <v>20</v>
      </c>
      <c r="AA23" s="96">
        <f t="shared" ref="AA23:AA24" si="19">$J$25</f>
        <v>16310136.557045046</v>
      </c>
      <c r="AB23" s="96">
        <f t="shared" si="3"/>
        <v>-182517638.90791833</v>
      </c>
    </row>
    <row r="24" spans="1:28" ht="16.5" thickBot="1" x14ac:dyDescent="0.3">
      <c r="C24" s="19" t="s">
        <v>41</v>
      </c>
      <c r="D24" s="59"/>
      <c r="E24" s="95">
        <f t="shared" ref="E24:P24" si="20">SUM(E5,E11,E13:E14,E17:E17,E19) / 3</f>
        <v>0</v>
      </c>
      <c r="F24" s="95">
        <f t="shared" si="20"/>
        <v>0</v>
      </c>
      <c r="G24" s="95">
        <f t="shared" si="20"/>
        <v>16350000</v>
      </c>
      <c r="H24" s="95">
        <f t="shared" si="20"/>
        <v>39521666.666666664</v>
      </c>
      <c r="I24" s="95">
        <f t="shared" si="20"/>
        <v>28008166.666666668</v>
      </c>
      <c r="J24" s="95">
        <f t="shared" si="20"/>
        <v>32106491.666666668</v>
      </c>
      <c r="K24" s="95">
        <f t="shared" si="20"/>
        <v>36814420.416666664</v>
      </c>
      <c r="L24" s="95">
        <f t="shared" si="20"/>
        <v>42223136.229166657</v>
      </c>
      <c r="M24" s="95">
        <f t="shared" si="20"/>
        <v>48437487.05104164</v>
      </c>
      <c r="N24" s="95">
        <f t="shared" si="20"/>
        <v>55578034.515572883</v>
      </c>
      <c r="O24" s="95">
        <f t="shared" si="20"/>
        <v>63783410.320127569</v>
      </c>
      <c r="P24" s="95">
        <f t="shared" si="20"/>
        <v>75079692.693393052</v>
      </c>
      <c r="Z24" s="97">
        <v>21</v>
      </c>
      <c r="AA24" s="96">
        <f t="shared" si="19"/>
        <v>16310136.557045046</v>
      </c>
      <c r="AB24" s="96">
        <f t="shared" si="3"/>
        <v>-166207502.35087329</v>
      </c>
    </row>
    <row r="25" spans="1:28" x14ac:dyDescent="0.25">
      <c r="D25" s="11"/>
      <c r="E25" s="11">
        <f>E24-E23</f>
        <v>-39844027.259259261</v>
      </c>
      <c r="F25" s="11">
        <f t="shared" ref="F25:P25" si="21">F24-F23</f>
        <v>-39242306.192592591</v>
      </c>
      <c r="G25" s="11">
        <f t="shared" si="21"/>
        <v>-5497087.7925925925</v>
      </c>
      <c r="H25" s="11">
        <f t="shared" si="21"/>
        <v>7269730.9873814806</v>
      </c>
      <c r="I25" s="11">
        <f t="shared" si="21"/>
        <v>12601052.916393485</v>
      </c>
      <c r="J25" s="11">
        <f t="shared" si="21"/>
        <v>16310136.557045046</v>
      </c>
      <c r="K25" s="11">
        <f t="shared" si="21"/>
        <v>20550646.52351699</v>
      </c>
      <c r="L25" s="11">
        <f t="shared" si="21"/>
        <v>25491993.821697719</v>
      </c>
      <c r="M25" s="11">
        <f t="shared" si="21"/>
        <v>31193427.772738915</v>
      </c>
      <c r="N25" s="11">
        <f t="shared" si="21"/>
        <v>37770418.361259371</v>
      </c>
      <c r="O25" s="11">
        <f t="shared" si="21"/>
        <v>48352325.756334037</v>
      </c>
      <c r="P25" s="11">
        <f t="shared" si="21"/>
        <v>58724054.429630488</v>
      </c>
      <c r="Z25" s="97">
        <v>22</v>
      </c>
      <c r="AA25" s="96">
        <f>$K$25</f>
        <v>20550646.52351699</v>
      </c>
      <c r="AB25" s="96">
        <f>AA25+AB24</f>
        <v>-145656855.82735631</v>
      </c>
    </row>
    <row r="26" spans="1:28" x14ac:dyDescent="0.25">
      <c r="A26" s="20"/>
      <c r="B26" s="20"/>
      <c r="C26" s="21" t="s">
        <v>20</v>
      </c>
      <c r="D26" s="21" t="s">
        <v>50</v>
      </c>
      <c r="E26" s="21" t="s">
        <v>21</v>
      </c>
      <c r="F26" s="21" t="s">
        <v>22</v>
      </c>
      <c r="G26" s="20" t="s">
        <v>51</v>
      </c>
      <c r="H26" s="20"/>
      <c r="I26" s="18" t="s">
        <v>31</v>
      </c>
      <c r="J26" s="18" t="s">
        <v>40</v>
      </c>
      <c r="K26" s="18" t="s">
        <v>32</v>
      </c>
      <c r="L26" s="64" t="s">
        <v>52</v>
      </c>
      <c r="M26" s="18" t="s">
        <v>53</v>
      </c>
      <c r="N26" s="18">
        <v>0</v>
      </c>
      <c r="O26" s="18">
        <v>1</v>
      </c>
      <c r="P26">
        <v>2</v>
      </c>
      <c r="Q26" s="18">
        <v>3</v>
      </c>
      <c r="R26" s="18">
        <v>4</v>
      </c>
      <c r="S26" s="18">
        <v>5</v>
      </c>
      <c r="T26">
        <v>6</v>
      </c>
      <c r="U26" s="18">
        <v>7</v>
      </c>
      <c r="V26" s="18">
        <v>8</v>
      </c>
      <c r="W26" s="18">
        <v>9</v>
      </c>
      <c r="X26">
        <v>10</v>
      </c>
      <c r="Z26" s="97">
        <v>23</v>
      </c>
      <c r="AA26" s="96">
        <f t="shared" ref="AA26:AA27" si="22">$K$25</f>
        <v>20550646.52351699</v>
      </c>
      <c r="AB26" s="96">
        <f t="shared" si="3"/>
        <v>-125106209.30383933</v>
      </c>
    </row>
    <row r="27" spans="1:28" x14ac:dyDescent="0.25">
      <c r="C27" s="14" t="s">
        <v>59</v>
      </c>
      <c r="D27" s="60"/>
      <c r="E27" s="51">
        <v>15000000</v>
      </c>
      <c r="F27" s="14"/>
      <c r="I27" s="18"/>
      <c r="J27" s="54">
        <v>0.65</v>
      </c>
      <c r="K27" s="50">
        <f>E35*J27</f>
        <v>89895000</v>
      </c>
      <c r="L27" s="64"/>
      <c r="Z27" s="97">
        <v>24</v>
      </c>
      <c r="AA27" s="96">
        <f t="shared" si="22"/>
        <v>20550646.52351699</v>
      </c>
      <c r="AB27" s="96">
        <f t="shared" si="3"/>
        <v>-104555562.78032234</v>
      </c>
    </row>
    <row r="28" spans="1:28" x14ac:dyDescent="0.25">
      <c r="C28" s="14" t="s">
        <v>60</v>
      </c>
      <c r="D28" s="60"/>
      <c r="E28" s="79">
        <v>11000000</v>
      </c>
      <c r="F28" s="14"/>
      <c r="I28" s="18"/>
      <c r="L28" s="64"/>
      <c r="Z28" s="97">
        <v>25</v>
      </c>
      <c r="AA28" s="96">
        <f>$L$25</f>
        <v>25491993.821697719</v>
      </c>
      <c r="AB28" s="96">
        <f t="shared" si="3"/>
        <v>-79063568.958624631</v>
      </c>
    </row>
    <row r="29" spans="1:28" x14ac:dyDescent="0.25">
      <c r="C29" s="14" t="s">
        <v>61</v>
      </c>
      <c r="D29" s="60"/>
      <c r="E29" s="51">
        <v>39300000</v>
      </c>
      <c r="F29" s="14"/>
      <c r="I29" s="18"/>
      <c r="L29" s="64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Z29" s="97">
        <v>26</v>
      </c>
      <c r="AA29" s="96">
        <f t="shared" ref="AA29:AA30" si="23">$L$25</f>
        <v>25491993.821697719</v>
      </c>
      <c r="AB29" s="96">
        <f t="shared" si="3"/>
        <v>-53571575.136926912</v>
      </c>
    </row>
    <row r="30" spans="1:28" x14ac:dyDescent="0.25">
      <c r="C30" s="14" t="s">
        <v>67</v>
      </c>
      <c r="D30" s="60"/>
      <c r="E30" s="86">
        <v>48000000</v>
      </c>
      <c r="F30" s="14"/>
      <c r="I30" s="18"/>
      <c r="L30" s="64"/>
      <c r="M30" s="66"/>
      <c r="Z30" s="97">
        <v>27</v>
      </c>
      <c r="AA30" s="96">
        <f t="shared" si="23"/>
        <v>25491993.821697719</v>
      </c>
      <c r="AB30" s="96">
        <f t="shared" si="3"/>
        <v>-28079581.315229192</v>
      </c>
    </row>
    <row r="31" spans="1:28" x14ac:dyDescent="0.25">
      <c r="C31" s="14" t="s">
        <v>62</v>
      </c>
      <c r="D31" s="60"/>
      <c r="E31" s="51">
        <v>16000000</v>
      </c>
      <c r="F31" s="14"/>
      <c r="I31" s="18"/>
      <c r="L31" s="64"/>
      <c r="Z31" s="97">
        <v>28</v>
      </c>
      <c r="AA31" s="96">
        <f>$M$25</f>
        <v>31193427.772738915</v>
      </c>
      <c r="AB31" s="96">
        <f t="shared" si="3"/>
        <v>3113846.4575097226</v>
      </c>
    </row>
    <row r="32" spans="1:28" x14ac:dyDescent="0.25">
      <c r="C32" s="14" t="s">
        <v>66</v>
      </c>
      <c r="D32" s="61"/>
      <c r="E32" s="51">
        <v>9000000</v>
      </c>
      <c r="F32" s="14"/>
      <c r="G32" s="51"/>
      <c r="I32" s="18"/>
      <c r="L32" s="64"/>
      <c r="Z32" s="97">
        <v>29</v>
      </c>
      <c r="AA32" s="96">
        <f t="shared" ref="AA32:AA33" si="24">$M$25</f>
        <v>31193427.772738915</v>
      </c>
      <c r="AB32" s="96">
        <f t="shared" si="3"/>
        <v>34307274.230248637</v>
      </c>
    </row>
    <row r="33" spans="1:28" x14ac:dyDescent="0.25">
      <c r="C33" s="14"/>
      <c r="D33" s="61"/>
      <c r="F33" s="14"/>
      <c r="G33" s="52"/>
      <c r="I33" s="18"/>
      <c r="L33" s="64"/>
      <c r="N33" s="65"/>
      <c r="O33" s="67"/>
      <c r="P33" s="67"/>
      <c r="Q33" s="67"/>
      <c r="R33" s="67"/>
      <c r="S33" s="67"/>
      <c r="T33" s="67"/>
      <c r="U33" s="67"/>
      <c r="V33" s="67"/>
      <c r="W33" s="67"/>
      <c r="X33" s="67"/>
      <c r="Z33" s="97">
        <v>30</v>
      </c>
      <c r="AA33" s="96">
        <f t="shared" si="24"/>
        <v>31193427.772738915</v>
      </c>
      <c r="AB33" s="96">
        <f t="shared" si="3"/>
        <v>65500702.002987549</v>
      </c>
    </row>
    <row r="34" spans="1:28" ht="16.5" thickBot="1" x14ac:dyDescent="0.3">
      <c r="C34" s="15"/>
      <c r="D34" s="62"/>
      <c r="F34" s="14"/>
      <c r="L34" s="64"/>
      <c r="Z34" s="97">
        <v>31</v>
      </c>
      <c r="AA34" s="96">
        <f>$N$25</f>
        <v>37770418.361259371</v>
      </c>
      <c r="AB34" s="96">
        <f t="shared" si="3"/>
        <v>103271120.36424692</v>
      </c>
    </row>
    <row r="35" spans="1:28" ht="16.5" thickBot="1" x14ac:dyDescent="0.3">
      <c r="C35" s="32" t="s">
        <v>23</v>
      </c>
      <c r="D35" s="37"/>
      <c r="E35" s="53">
        <f>SUM(E27:E34)</f>
        <v>138300000</v>
      </c>
      <c r="G35" s="63"/>
      <c r="Z35" s="97">
        <v>32</v>
      </c>
      <c r="AA35" s="96">
        <f t="shared" ref="AA35:AA36" si="25">$N$25</f>
        <v>37770418.361259371</v>
      </c>
      <c r="AB35" s="96">
        <f t="shared" si="3"/>
        <v>141041538.72550631</v>
      </c>
    </row>
    <row r="36" spans="1:28" ht="33.75" customHeight="1" x14ac:dyDescent="0.25">
      <c r="A36" s="48" t="s">
        <v>36</v>
      </c>
      <c r="Z36" s="97">
        <v>33</v>
      </c>
      <c r="AA36" s="96">
        <f t="shared" si="25"/>
        <v>37770418.361259371</v>
      </c>
      <c r="AB36" s="96">
        <f t="shared" si="3"/>
        <v>178811957.08676568</v>
      </c>
    </row>
    <row r="37" spans="1:28" x14ac:dyDescent="0.25">
      <c r="A37" s="22"/>
      <c r="B37" s="22"/>
      <c r="C37" s="34" t="s">
        <v>24</v>
      </c>
      <c r="D37" s="35" t="s">
        <v>54</v>
      </c>
      <c r="E37" s="36" t="s">
        <v>64</v>
      </c>
      <c r="F37" s="31" t="s">
        <v>25</v>
      </c>
      <c r="G37" s="84">
        <v>3</v>
      </c>
      <c r="H37" s="84">
        <v>6</v>
      </c>
      <c r="I37" s="84">
        <v>9</v>
      </c>
      <c r="J37" s="84">
        <v>12</v>
      </c>
      <c r="K37" s="84">
        <v>15</v>
      </c>
      <c r="L37" s="84">
        <v>18</v>
      </c>
      <c r="M37" s="84">
        <v>21</v>
      </c>
      <c r="N37" s="84">
        <v>24</v>
      </c>
      <c r="O37" s="84">
        <v>27</v>
      </c>
      <c r="P37" s="84">
        <v>30</v>
      </c>
      <c r="Q37" s="84">
        <v>33</v>
      </c>
      <c r="R37" s="84">
        <v>36</v>
      </c>
      <c r="Z37" s="97">
        <v>34</v>
      </c>
      <c r="AA37" s="96">
        <f>$O$25</f>
        <v>48352325.756334037</v>
      </c>
      <c r="AB37" s="96">
        <f t="shared" si="3"/>
        <v>227164282.84309971</v>
      </c>
    </row>
    <row r="38" spans="1:28" x14ac:dyDescent="0.25">
      <c r="C38" s="14" t="s">
        <v>63</v>
      </c>
      <c r="D38" s="89">
        <f>D106</f>
        <v>34554724</v>
      </c>
      <c r="E38" s="90">
        <f>D38*3</f>
        <v>103664172</v>
      </c>
      <c r="F38" s="68"/>
      <c r="G38" s="50">
        <f>$E$38</f>
        <v>103664172</v>
      </c>
      <c r="H38" s="50">
        <f>$E$38</f>
        <v>103664172</v>
      </c>
      <c r="I38" s="50">
        <f>$E$38*0.5</f>
        <v>51832086</v>
      </c>
      <c r="J38" s="50">
        <f>$E$38*0.5</f>
        <v>51832086</v>
      </c>
      <c r="K38" s="77"/>
      <c r="L38" s="77"/>
      <c r="M38" s="77"/>
      <c r="N38" s="77"/>
      <c r="O38" s="77"/>
      <c r="P38" s="77"/>
      <c r="Q38" s="14"/>
      <c r="R38" s="14"/>
      <c r="Z38" s="97">
        <v>35</v>
      </c>
      <c r="AA38" s="96">
        <f t="shared" ref="AA38:AA39" si="26">$O$25</f>
        <v>48352325.756334037</v>
      </c>
      <c r="AB38" s="96">
        <f t="shared" si="3"/>
        <v>275516608.59943378</v>
      </c>
    </row>
    <row r="39" spans="1:28" x14ac:dyDescent="0.25">
      <c r="C39" s="14" t="s">
        <v>65</v>
      </c>
      <c r="D39" s="89">
        <v>3500000</v>
      </c>
      <c r="E39" s="90">
        <f>D39*3</f>
        <v>10500000</v>
      </c>
      <c r="F39" s="68">
        <f>5.8%</f>
        <v>5.7999999999999996E-2</v>
      </c>
      <c r="G39" s="50"/>
      <c r="H39" s="77"/>
      <c r="I39" s="77"/>
      <c r="J39" s="77">
        <f>E39</f>
        <v>10500000</v>
      </c>
      <c r="K39" s="77">
        <f>J39*(1+$F$39)</f>
        <v>11109000</v>
      </c>
      <c r="L39" s="77">
        <f t="shared" ref="L39:R39" si="27">K39*(1+$F$39)</f>
        <v>11753322</v>
      </c>
      <c r="M39" s="77">
        <f>L39*(1+$F$39)</f>
        <v>12435014.676000001</v>
      </c>
      <c r="N39" s="77">
        <f t="shared" si="27"/>
        <v>13156245.527208002</v>
      </c>
      <c r="O39" s="77">
        <f t="shared" si="27"/>
        <v>13919307.767786067</v>
      </c>
      <c r="P39" s="77">
        <f t="shared" si="27"/>
        <v>14726627.61831766</v>
      </c>
      <c r="Q39" s="77">
        <f t="shared" si="27"/>
        <v>15580772.020180086</v>
      </c>
      <c r="R39" s="77">
        <f t="shared" si="27"/>
        <v>16484456.797350531</v>
      </c>
      <c r="Z39" s="97">
        <v>36</v>
      </c>
      <c r="AA39" s="96">
        <f t="shared" si="26"/>
        <v>48352325.756334037</v>
      </c>
      <c r="AB39" s="96">
        <f t="shared" si="3"/>
        <v>323868934.35576785</v>
      </c>
    </row>
    <row r="40" spans="1:28" x14ac:dyDescent="0.25">
      <c r="C40" s="14" t="s">
        <v>69</v>
      </c>
      <c r="D40" s="88">
        <v>6500000</v>
      </c>
      <c r="E40" s="91">
        <f>D40*3</f>
        <v>19500000</v>
      </c>
      <c r="F40" s="92">
        <f>0.0231</f>
        <v>2.3099999999999999E-2</v>
      </c>
      <c r="G40" s="50"/>
      <c r="H40" s="77"/>
      <c r="I40" s="77"/>
      <c r="J40" s="77">
        <f>$E$40*($F$40+1)</f>
        <v>19950449.999999996</v>
      </c>
      <c r="K40" s="77">
        <f>J40*($F$40+1)</f>
        <v>20411305.394999996</v>
      </c>
      <c r="L40" s="77">
        <f t="shared" ref="L40:R40" si="28">K40*($F$40+1)</f>
        <v>20882806.549624495</v>
      </c>
      <c r="M40" s="77">
        <f t="shared" si="28"/>
        <v>21365199.38092082</v>
      </c>
      <c r="N40" s="77">
        <f t="shared" si="28"/>
        <v>21858735.486620087</v>
      </c>
      <c r="O40" s="77">
        <f t="shared" si="28"/>
        <v>22363672.276361007</v>
      </c>
      <c r="P40" s="77">
        <f t="shared" si="28"/>
        <v>22880273.105944943</v>
      </c>
      <c r="Q40" s="77">
        <f t="shared" si="28"/>
        <v>23408807.414692268</v>
      </c>
      <c r="R40" s="77">
        <f t="shared" si="28"/>
        <v>23949550.865971658</v>
      </c>
      <c r="Z40" s="97">
        <v>37</v>
      </c>
      <c r="AA40" s="96">
        <f>$P$25</f>
        <v>58724054.429630488</v>
      </c>
      <c r="AB40" s="96">
        <f t="shared" si="3"/>
        <v>382592988.78539836</v>
      </c>
    </row>
    <row r="41" spans="1:28" x14ac:dyDescent="0.25">
      <c r="C41" s="14"/>
      <c r="D41" s="26"/>
      <c r="E41" s="29"/>
      <c r="F41" s="16"/>
      <c r="G41" s="50">
        <f t="shared" ref="G41" si="29">D41*(1+F41)</f>
        <v>0</v>
      </c>
      <c r="H41" s="77">
        <f t="shared" ref="H41" si="30">G41*(1+F41)</f>
        <v>0</v>
      </c>
      <c r="I41" s="77">
        <f t="shared" ref="I41:P41" si="31">H41*(1+G41)</f>
        <v>0</v>
      </c>
      <c r="J41" s="77">
        <f t="shared" si="31"/>
        <v>0</v>
      </c>
      <c r="K41" s="77">
        <f t="shared" si="31"/>
        <v>0</v>
      </c>
      <c r="L41" s="77">
        <f t="shared" si="31"/>
        <v>0</v>
      </c>
      <c r="M41" s="77">
        <f t="shared" si="31"/>
        <v>0</v>
      </c>
      <c r="N41" s="77">
        <f t="shared" si="31"/>
        <v>0</v>
      </c>
      <c r="O41" s="77">
        <f t="shared" si="31"/>
        <v>0</v>
      </c>
      <c r="P41" s="77">
        <f t="shared" si="31"/>
        <v>0</v>
      </c>
      <c r="Q41" s="77">
        <f t="shared" ref="Q41" si="32">P41*(1+O41)</f>
        <v>0</v>
      </c>
      <c r="R41" s="77">
        <f t="shared" ref="R41" si="33">Q41*(1+P41)</f>
        <v>0</v>
      </c>
      <c r="Z41" s="97">
        <v>38</v>
      </c>
      <c r="AA41" s="96">
        <f t="shared" ref="AA41:AA42" si="34">$P$25</f>
        <v>58724054.429630488</v>
      </c>
      <c r="AB41" s="96">
        <f t="shared" si="3"/>
        <v>441317043.21502888</v>
      </c>
    </row>
    <row r="42" spans="1:28" x14ac:dyDescent="0.25">
      <c r="C42" s="69"/>
      <c r="D42" s="70"/>
      <c r="E42" s="71"/>
      <c r="F42" s="72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Z42" s="97">
        <v>39</v>
      </c>
      <c r="AA42" s="96">
        <f t="shared" si="34"/>
        <v>58724054.429630488</v>
      </c>
      <c r="AB42" s="96">
        <f t="shared" si="3"/>
        <v>500041097.6446594</v>
      </c>
    </row>
    <row r="43" spans="1:28" x14ac:dyDescent="0.25">
      <c r="C43" s="14" t="s">
        <v>83</v>
      </c>
      <c r="D43" s="88">
        <v>1451000</v>
      </c>
      <c r="E43" s="29"/>
      <c r="G43" s="75">
        <f>D43</f>
        <v>1451000</v>
      </c>
      <c r="H43" s="75"/>
      <c r="I43" s="75"/>
      <c r="J43" s="75"/>
      <c r="K43" s="75"/>
      <c r="L43" s="75"/>
      <c r="M43" s="75"/>
      <c r="N43" s="75"/>
      <c r="O43" s="75"/>
      <c r="P43" s="75"/>
      <c r="Q43" s="14"/>
      <c r="R43" s="14"/>
      <c r="Z43" s="97"/>
    </row>
    <row r="44" spans="1:28" ht="16.5" thickBot="1" x14ac:dyDescent="0.3">
      <c r="C44" s="15" t="s">
        <v>84</v>
      </c>
      <c r="D44" s="74">
        <v>220000</v>
      </c>
      <c r="E44" s="91">
        <f>D44*3</f>
        <v>660000</v>
      </c>
      <c r="F44" s="68">
        <f>3%</f>
        <v>0.03</v>
      </c>
      <c r="G44" s="91">
        <f>$E$44</f>
        <v>660000</v>
      </c>
      <c r="H44" s="76">
        <f>G44*(1+$F$44)</f>
        <v>679800</v>
      </c>
      <c r="I44" s="76">
        <f t="shared" ref="I44:R44" si="35">H44*(1+$F$44)</f>
        <v>700194</v>
      </c>
      <c r="J44" s="76">
        <f t="shared" si="35"/>
        <v>721199.82000000007</v>
      </c>
      <c r="K44" s="76">
        <f t="shared" si="35"/>
        <v>742835.81460000004</v>
      </c>
      <c r="L44" s="76">
        <f t="shared" si="35"/>
        <v>765120.88903800002</v>
      </c>
      <c r="M44" s="76">
        <f t="shared" si="35"/>
        <v>788074.51570913999</v>
      </c>
      <c r="N44" s="76">
        <f t="shared" si="35"/>
        <v>811716.75118041423</v>
      </c>
      <c r="O44" s="76">
        <f t="shared" si="35"/>
        <v>836068.25371582666</v>
      </c>
      <c r="P44" s="76">
        <f t="shared" si="35"/>
        <v>861150.30132730154</v>
      </c>
      <c r="Q44" s="76">
        <f t="shared" si="35"/>
        <v>886984.81036712066</v>
      </c>
      <c r="R44" s="76">
        <f t="shared" si="35"/>
        <v>913594.35467813432</v>
      </c>
      <c r="Z44" s="97"/>
    </row>
    <row r="45" spans="1:28" ht="16.5" thickBot="1" x14ac:dyDescent="0.3">
      <c r="C45" s="17" t="s">
        <v>23</v>
      </c>
      <c r="G45" s="56">
        <f>SUM(G38:G44)</f>
        <v>105775172</v>
      </c>
      <c r="H45" s="56">
        <f t="shared" ref="H45:R45" si="36">SUM(H38:H44)</f>
        <v>104343972</v>
      </c>
      <c r="I45" s="56">
        <f t="shared" si="36"/>
        <v>52532280</v>
      </c>
      <c r="J45" s="56">
        <f t="shared" si="36"/>
        <v>83003735.819999993</v>
      </c>
      <c r="K45" s="56">
        <f t="shared" si="36"/>
        <v>32263141.209599994</v>
      </c>
      <c r="L45" s="56">
        <f t="shared" si="36"/>
        <v>33401249.438662495</v>
      </c>
      <c r="M45" s="56">
        <f t="shared" si="36"/>
        <v>34588288.572629958</v>
      </c>
      <c r="N45" s="56">
        <f t="shared" si="36"/>
        <v>35826697.765008509</v>
      </c>
      <c r="O45" s="56">
        <f t="shared" si="36"/>
        <v>37119048.297862902</v>
      </c>
      <c r="P45" s="56">
        <f t="shared" si="36"/>
        <v>38468051.025589906</v>
      </c>
      <c r="Q45" s="56">
        <f t="shared" si="36"/>
        <v>39876564.245239474</v>
      </c>
      <c r="R45" s="56">
        <f t="shared" si="36"/>
        <v>41347602.01800032</v>
      </c>
    </row>
    <row r="47" spans="1:28" ht="45" customHeight="1" thickBot="1" x14ac:dyDescent="0.3"/>
    <row r="48" spans="1:28" x14ac:dyDescent="0.25">
      <c r="A48" s="23"/>
      <c r="B48" s="23"/>
      <c r="C48" s="24" t="s">
        <v>28</v>
      </c>
      <c r="D48" s="25" t="s">
        <v>29</v>
      </c>
      <c r="E48" s="28" t="s">
        <v>30</v>
      </c>
      <c r="F48" s="27" t="s">
        <v>25</v>
      </c>
      <c r="G48" s="85">
        <v>3</v>
      </c>
      <c r="H48" s="85">
        <v>6</v>
      </c>
      <c r="I48" s="85">
        <v>9</v>
      </c>
      <c r="J48" s="85">
        <v>12</v>
      </c>
      <c r="K48" s="85">
        <v>15</v>
      </c>
      <c r="L48" s="85">
        <v>18</v>
      </c>
      <c r="M48" s="85">
        <v>21</v>
      </c>
      <c r="N48" s="85">
        <v>24</v>
      </c>
      <c r="O48" s="85">
        <v>27</v>
      </c>
      <c r="P48" s="85">
        <v>30</v>
      </c>
      <c r="Q48" s="85">
        <v>33</v>
      </c>
      <c r="R48" s="85">
        <v>36</v>
      </c>
    </row>
    <row r="49" spans="1:18" x14ac:dyDescent="0.25">
      <c r="C49" s="14" t="s">
        <v>71</v>
      </c>
      <c r="D49" s="26"/>
      <c r="E49" s="29"/>
      <c r="F49" s="16"/>
      <c r="G49" s="77"/>
      <c r="H49" s="77"/>
      <c r="I49" s="75">
        <f>25000000*1.85</f>
        <v>46250000</v>
      </c>
      <c r="J49" s="77">
        <f>I49*2.5</f>
        <v>115625000</v>
      </c>
      <c r="K49" s="77">
        <f>J49*0.7</f>
        <v>80937500</v>
      </c>
      <c r="L49" s="77">
        <f>K49*1.15</f>
        <v>93078125</v>
      </c>
      <c r="M49" s="77">
        <f>L49*1.15</f>
        <v>107039843.74999999</v>
      </c>
      <c r="N49" s="77">
        <f t="shared" ref="N49:R49" si="37">M49*1.15</f>
        <v>123095820.31249997</v>
      </c>
      <c r="O49" s="77">
        <f t="shared" si="37"/>
        <v>141560193.35937494</v>
      </c>
      <c r="P49" s="77">
        <f t="shared" si="37"/>
        <v>162794222.36328116</v>
      </c>
      <c r="Q49" s="77">
        <f t="shared" si="37"/>
        <v>187213355.71777332</v>
      </c>
      <c r="R49" s="77">
        <f t="shared" si="37"/>
        <v>215295359.0754393</v>
      </c>
    </row>
    <row r="50" spans="1:18" x14ac:dyDescent="0.25">
      <c r="C50" s="14" t="s">
        <v>72</v>
      </c>
      <c r="D50" s="26"/>
      <c r="E50" s="29"/>
      <c r="F50" s="16"/>
      <c r="G50" s="14"/>
      <c r="H50" s="14"/>
      <c r="I50" s="51">
        <v>2800000</v>
      </c>
      <c r="J50" s="75">
        <f>I50*1.05</f>
        <v>2940000</v>
      </c>
      <c r="K50" s="75">
        <f t="shared" ref="K50:R50" si="38">J50*1.05</f>
        <v>3087000</v>
      </c>
      <c r="L50" s="75">
        <f t="shared" si="38"/>
        <v>3241350</v>
      </c>
      <c r="M50" s="75">
        <f t="shared" si="38"/>
        <v>3403417.5</v>
      </c>
      <c r="N50" s="75">
        <f t="shared" si="38"/>
        <v>3573588.375</v>
      </c>
      <c r="O50" s="75">
        <f t="shared" si="38"/>
        <v>3752267.7937500002</v>
      </c>
      <c r="P50" s="75">
        <f t="shared" si="38"/>
        <v>3939881.1834375001</v>
      </c>
      <c r="Q50" s="75">
        <f t="shared" si="38"/>
        <v>4136875.2426093752</v>
      </c>
      <c r="R50" s="75">
        <f t="shared" si="38"/>
        <v>4343719.0047398442</v>
      </c>
    </row>
    <row r="51" spans="1:18" x14ac:dyDescent="0.25">
      <c r="C51" s="14"/>
      <c r="D51" s="26"/>
      <c r="E51" s="29"/>
      <c r="F51" s="16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spans="1:18" ht="16.5" thickBot="1" x14ac:dyDescent="0.3">
      <c r="C52" s="15"/>
      <c r="D52" s="26"/>
      <c r="E52" s="30"/>
      <c r="F52" s="16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 spans="1:18" ht="16.5" thickBot="1" x14ac:dyDescent="0.3">
      <c r="C53" s="17" t="s">
        <v>23</v>
      </c>
      <c r="G53" s="56">
        <f>SUM(G49:G52)</f>
        <v>0</v>
      </c>
      <c r="H53" s="56">
        <f>SUM(H49:H52)</f>
        <v>0</v>
      </c>
      <c r="I53" s="56">
        <f>SUM(I49:I52)</f>
        <v>49050000</v>
      </c>
      <c r="J53" s="56">
        <f>SUM(J49:J52)</f>
        <v>118565000</v>
      </c>
      <c r="K53" s="56">
        <f t="shared" ref="K53:R53" si="39">SUM(K49:K52)</f>
        <v>84024500</v>
      </c>
      <c r="L53" s="56">
        <f>SUM(L49:L52)</f>
        <v>96319475</v>
      </c>
      <c r="M53" s="56">
        <f>SUM(M49:M52)</f>
        <v>110443261.24999999</v>
      </c>
      <c r="N53" s="56">
        <f t="shared" si="39"/>
        <v>126669408.68749997</v>
      </c>
      <c r="O53" s="56">
        <f t="shared" si="39"/>
        <v>145312461.15312493</v>
      </c>
      <c r="P53" s="56">
        <f t="shared" si="39"/>
        <v>166734103.54671866</v>
      </c>
      <c r="Q53" s="56">
        <f t="shared" si="39"/>
        <v>191350230.9603827</v>
      </c>
      <c r="R53" s="56">
        <f t="shared" si="39"/>
        <v>219639078.08017915</v>
      </c>
    </row>
    <row r="55" spans="1:18" x14ac:dyDescent="0.25">
      <c r="A55" s="38" t="s">
        <v>33</v>
      </c>
    </row>
    <row r="57" spans="1:18" x14ac:dyDescent="0.25">
      <c r="A57" s="38"/>
      <c r="B57" s="38"/>
      <c r="C57" s="39" t="s">
        <v>34</v>
      </c>
      <c r="D57" s="40" t="s">
        <v>26</v>
      </c>
      <c r="E57" s="41" t="s">
        <v>27</v>
      </c>
      <c r="F57" s="42" t="s">
        <v>25</v>
      </c>
      <c r="G57" s="38">
        <v>3</v>
      </c>
      <c r="H57" s="38">
        <v>6</v>
      </c>
      <c r="I57" s="38">
        <v>9</v>
      </c>
      <c r="J57" s="38">
        <v>12</v>
      </c>
      <c r="K57" s="38">
        <v>15</v>
      </c>
      <c r="L57" s="38">
        <v>18</v>
      </c>
      <c r="M57" s="38">
        <v>21</v>
      </c>
      <c r="N57" s="38">
        <v>24</v>
      </c>
      <c r="O57" s="38">
        <v>27</v>
      </c>
      <c r="P57" s="38">
        <v>30</v>
      </c>
      <c r="Q57" s="38">
        <v>33</v>
      </c>
      <c r="R57" s="38">
        <v>36</v>
      </c>
    </row>
    <row r="58" spans="1:18" x14ac:dyDescent="0.25">
      <c r="C58" s="14"/>
      <c r="D58" s="26"/>
      <c r="E58" s="29"/>
      <c r="F58" s="16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spans="1:18" x14ac:dyDescent="0.25">
      <c r="C59" s="14"/>
      <c r="D59" s="26"/>
      <c r="E59" s="29"/>
      <c r="F59" s="16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spans="1:18" x14ac:dyDescent="0.25">
      <c r="C60" s="14"/>
      <c r="D60" s="26"/>
      <c r="E60" s="29"/>
      <c r="F60" s="16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spans="1:18" x14ac:dyDescent="0.25">
      <c r="C61" s="14"/>
      <c r="D61" s="26"/>
      <c r="E61" s="29"/>
      <c r="F61" s="16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1:18" x14ac:dyDescent="0.25">
      <c r="C62" s="14"/>
      <c r="D62" s="26"/>
      <c r="E62" s="29"/>
      <c r="F62" s="16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spans="1:18" x14ac:dyDescent="0.25">
      <c r="C63" s="14"/>
      <c r="D63" s="26"/>
      <c r="E63" s="29"/>
      <c r="F63" s="16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spans="1:18" ht="16.5" thickBot="1" x14ac:dyDescent="0.3">
      <c r="C64" s="15"/>
      <c r="D64" s="26"/>
      <c r="E64" s="30"/>
      <c r="F64" s="16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 spans="1:20" ht="16.5" thickBot="1" x14ac:dyDescent="0.3">
      <c r="C65" s="17" t="s">
        <v>23</v>
      </c>
      <c r="G65" s="56">
        <f>SUM(G58:G64)</f>
        <v>0</v>
      </c>
      <c r="H65" s="56">
        <f>SUM(H58:H64)</f>
        <v>0</v>
      </c>
      <c r="I65" s="56">
        <f t="shared" ref="I65:R65" si="40">SUM(I58:I64)</f>
        <v>0</v>
      </c>
      <c r="J65" s="56">
        <f t="shared" si="40"/>
        <v>0</v>
      </c>
      <c r="K65" s="56">
        <f t="shared" si="40"/>
        <v>0</v>
      </c>
      <c r="L65" s="56">
        <f t="shared" si="40"/>
        <v>0</v>
      </c>
      <c r="M65" s="56">
        <f t="shared" si="40"/>
        <v>0</v>
      </c>
      <c r="N65" s="56">
        <f t="shared" si="40"/>
        <v>0</v>
      </c>
      <c r="O65" s="56">
        <f t="shared" si="40"/>
        <v>0</v>
      </c>
      <c r="P65" s="56">
        <f t="shared" si="40"/>
        <v>0</v>
      </c>
      <c r="Q65" s="56">
        <f t="shared" si="40"/>
        <v>0</v>
      </c>
      <c r="R65" s="56">
        <f t="shared" si="40"/>
        <v>0</v>
      </c>
    </row>
    <row r="67" spans="1:20" ht="16.5" thickBot="1" x14ac:dyDescent="0.3"/>
    <row r="68" spans="1:20" x14ac:dyDescent="0.25">
      <c r="A68" s="43"/>
      <c r="B68" s="43"/>
      <c r="C68" s="44" t="s">
        <v>35</v>
      </c>
      <c r="D68" s="45" t="s">
        <v>29</v>
      </c>
      <c r="E68" s="46" t="s">
        <v>30</v>
      </c>
      <c r="F68" s="47" t="s">
        <v>25</v>
      </c>
      <c r="G68" s="43">
        <v>3</v>
      </c>
      <c r="H68" s="43">
        <v>6</v>
      </c>
      <c r="I68" s="43">
        <v>9</v>
      </c>
      <c r="J68" s="43">
        <v>12</v>
      </c>
      <c r="K68" s="43">
        <v>15</v>
      </c>
      <c r="L68" s="43">
        <v>18</v>
      </c>
      <c r="M68" s="43">
        <v>21</v>
      </c>
      <c r="N68" s="43">
        <v>24</v>
      </c>
      <c r="O68" s="43">
        <v>27</v>
      </c>
      <c r="P68" s="43">
        <v>30</v>
      </c>
      <c r="Q68" s="43">
        <v>33</v>
      </c>
      <c r="R68" s="43">
        <v>36</v>
      </c>
    </row>
    <row r="69" spans="1:20" x14ac:dyDescent="0.25">
      <c r="C69" s="14"/>
      <c r="D69" s="26"/>
      <c r="E69" s="29"/>
      <c r="F69" s="16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spans="1:20" x14ac:dyDescent="0.25">
      <c r="C70" s="14"/>
      <c r="D70" s="26"/>
      <c r="E70" s="29"/>
      <c r="F70" s="16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spans="1:20" x14ac:dyDescent="0.25">
      <c r="C71" s="14"/>
      <c r="D71" s="26"/>
      <c r="E71" s="29"/>
      <c r="F71" s="16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spans="1:20" ht="16.5" thickBot="1" x14ac:dyDescent="0.3">
      <c r="C72" s="15"/>
      <c r="D72" s="26"/>
      <c r="E72" s="30"/>
      <c r="F72" s="16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spans="1:20" ht="16.5" thickBot="1" x14ac:dyDescent="0.3">
      <c r="C73" s="17" t="s">
        <v>23</v>
      </c>
      <c r="G73" s="56">
        <f>SUM(G69:G72)</f>
        <v>0</v>
      </c>
      <c r="H73" s="56">
        <f>SUM(H69:H72)</f>
        <v>0</v>
      </c>
      <c r="I73" s="56">
        <f>SUM(I69:I72)</f>
        <v>0</v>
      </c>
      <c r="J73" s="56">
        <f t="shared" ref="J73:R73" si="41">SUM(J69:J72)</f>
        <v>0</v>
      </c>
      <c r="K73" s="56">
        <f t="shared" si="41"/>
        <v>0</v>
      </c>
      <c r="L73" s="56">
        <f t="shared" si="41"/>
        <v>0</v>
      </c>
      <c r="M73" s="56">
        <f t="shared" si="41"/>
        <v>0</v>
      </c>
      <c r="N73" s="56">
        <f t="shared" si="41"/>
        <v>0</v>
      </c>
      <c r="O73" s="56">
        <f t="shared" si="41"/>
        <v>0</v>
      </c>
      <c r="P73" s="56">
        <f t="shared" si="41"/>
        <v>0</v>
      </c>
      <c r="Q73" s="56">
        <f t="shared" si="41"/>
        <v>0</v>
      </c>
      <c r="R73" s="56">
        <f t="shared" si="41"/>
        <v>0</v>
      </c>
    </row>
    <row r="76" spans="1:20" x14ac:dyDescent="0.25">
      <c r="C76" t="s">
        <v>68</v>
      </c>
    </row>
    <row r="77" spans="1:20" x14ac:dyDescent="0.25">
      <c r="A77" s="49" t="s">
        <v>38</v>
      </c>
      <c r="B77" s="49"/>
      <c r="C77" s="49"/>
      <c r="D77" s="49"/>
      <c r="E77" s="49" t="s">
        <v>44</v>
      </c>
      <c r="F77" s="49">
        <v>0</v>
      </c>
      <c r="G77" s="49">
        <v>3</v>
      </c>
      <c r="H77" s="49">
        <v>6</v>
      </c>
      <c r="I77" s="49">
        <v>9</v>
      </c>
      <c r="J77" s="49">
        <v>12</v>
      </c>
      <c r="K77" s="49">
        <v>15</v>
      </c>
      <c r="L77" s="49">
        <v>18</v>
      </c>
      <c r="M77" s="49">
        <v>21</v>
      </c>
      <c r="N77" s="49">
        <v>24</v>
      </c>
      <c r="O77" s="49">
        <v>27</v>
      </c>
      <c r="P77" s="49">
        <v>30</v>
      </c>
      <c r="Q77" s="49">
        <v>33</v>
      </c>
      <c r="R77" s="49">
        <v>36</v>
      </c>
      <c r="S77" s="49"/>
      <c r="T77" s="49"/>
    </row>
    <row r="78" spans="1:20" ht="16.5" thickBot="1" x14ac:dyDescent="0.3">
      <c r="C78" t="s">
        <v>42</v>
      </c>
      <c r="D78" s="67">
        <f>$K$27</f>
        <v>89895000</v>
      </c>
      <c r="E78">
        <v>10</v>
      </c>
    </row>
    <row r="79" spans="1:20" ht="16.5" thickBot="1" x14ac:dyDescent="0.3">
      <c r="A79" s="32" t="s">
        <v>43</v>
      </c>
      <c r="B79" s="37"/>
      <c r="C79" s="37"/>
      <c r="D79" s="37"/>
      <c r="E79" s="37"/>
      <c r="G79" s="50">
        <f>$D$78/10</f>
        <v>8989500</v>
      </c>
      <c r="H79" s="50">
        <f t="shared" ref="H79:P79" si="42">$D$78/10</f>
        <v>8989500</v>
      </c>
      <c r="I79" s="50">
        <f t="shared" si="42"/>
        <v>8989500</v>
      </c>
      <c r="J79" s="50">
        <f t="shared" si="42"/>
        <v>8989500</v>
      </c>
      <c r="K79" s="50">
        <f t="shared" si="42"/>
        <v>8989500</v>
      </c>
      <c r="L79" s="50">
        <f t="shared" si="42"/>
        <v>8989500</v>
      </c>
      <c r="M79" s="50">
        <f t="shared" si="42"/>
        <v>8989500</v>
      </c>
      <c r="N79" s="50">
        <f t="shared" si="42"/>
        <v>8989500</v>
      </c>
      <c r="O79" s="50">
        <f t="shared" si="42"/>
        <v>8989500</v>
      </c>
      <c r="P79" s="50">
        <f t="shared" si="42"/>
        <v>8989500</v>
      </c>
      <c r="Q79" s="50"/>
      <c r="R79" s="50"/>
    </row>
    <row r="80" spans="1:20" ht="16.5" thickBot="1" x14ac:dyDescent="0.3">
      <c r="A80" t="s">
        <v>45</v>
      </c>
      <c r="B80" s="87">
        <v>4.1599999999999998E-2</v>
      </c>
    </row>
    <row r="81" spans="1:20" x14ac:dyDescent="0.25">
      <c r="A81" t="s">
        <v>46</v>
      </c>
      <c r="F81" s="50">
        <f>D78</f>
        <v>89895000</v>
      </c>
      <c r="G81" s="50">
        <f>F81-G79</f>
        <v>80905500</v>
      </c>
      <c r="H81" s="50">
        <f>G81-H79</f>
        <v>71916000</v>
      </c>
      <c r="I81" s="50">
        <f>H81-I79</f>
        <v>62926500</v>
      </c>
      <c r="J81" s="50">
        <f t="shared" ref="J81:P81" si="43">I81-J79</f>
        <v>53937000</v>
      </c>
      <c r="K81" s="50">
        <f t="shared" si="43"/>
        <v>44947500</v>
      </c>
      <c r="L81" s="50">
        <f t="shared" si="43"/>
        <v>35958000</v>
      </c>
      <c r="M81" s="50">
        <f t="shared" si="43"/>
        <v>26968500</v>
      </c>
      <c r="N81" s="50">
        <f t="shared" si="43"/>
        <v>17979000</v>
      </c>
      <c r="O81" s="50">
        <f t="shared" si="43"/>
        <v>8989500</v>
      </c>
      <c r="P81" s="50">
        <f t="shared" si="43"/>
        <v>0</v>
      </c>
      <c r="Q81" s="14"/>
      <c r="R81" s="14"/>
    </row>
    <row r="82" spans="1:20" x14ac:dyDescent="0.25">
      <c r="A82" t="s">
        <v>47</v>
      </c>
      <c r="G82" s="50">
        <f>F81*B80</f>
        <v>3739632</v>
      </c>
      <c r="H82" s="50">
        <f>(G81*$B$80)</f>
        <v>3365668.8</v>
      </c>
      <c r="I82" s="50">
        <f t="shared" ref="I82:P82" si="44">(H81*$B$80)</f>
        <v>2991705.6</v>
      </c>
      <c r="J82" s="50">
        <f t="shared" si="44"/>
        <v>2617742.4</v>
      </c>
      <c r="K82" s="50">
        <f t="shared" si="44"/>
        <v>2243779.1999999997</v>
      </c>
      <c r="L82" s="50">
        <f t="shared" si="44"/>
        <v>1869816</v>
      </c>
      <c r="M82" s="50">
        <f t="shared" si="44"/>
        <v>1495852.8</v>
      </c>
      <c r="N82" s="50">
        <f t="shared" si="44"/>
        <v>1121889.5999999999</v>
      </c>
      <c r="O82" s="50">
        <f t="shared" si="44"/>
        <v>747926.4</v>
      </c>
      <c r="P82" s="50">
        <f t="shared" si="44"/>
        <v>373963.2</v>
      </c>
      <c r="Q82" s="50"/>
      <c r="R82" s="50"/>
    </row>
    <row r="84" spans="1:20" x14ac:dyDescent="0.25">
      <c r="A84" s="55"/>
      <c r="B84" s="55"/>
      <c r="C84" s="55"/>
      <c r="D84" s="55"/>
      <c r="E84" s="55"/>
      <c r="F84" s="55" t="s">
        <v>55</v>
      </c>
      <c r="G84" s="55">
        <v>3</v>
      </c>
      <c r="H84" s="55">
        <v>6</v>
      </c>
      <c r="I84" s="55">
        <v>9</v>
      </c>
      <c r="J84" s="55">
        <v>12</v>
      </c>
      <c r="K84" s="55">
        <v>15</v>
      </c>
      <c r="L84" s="55">
        <v>18</v>
      </c>
      <c r="M84" s="55">
        <v>21</v>
      </c>
      <c r="N84" s="55">
        <v>24</v>
      </c>
      <c r="O84" s="55">
        <v>27</v>
      </c>
      <c r="P84" s="55">
        <v>30</v>
      </c>
      <c r="Q84" s="55">
        <v>33</v>
      </c>
      <c r="R84" s="55">
        <v>36</v>
      </c>
      <c r="S84" s="55"/>
      <c r="T84" s="55"/>
    </row>
    <row r="85" spans="1:20" x14ac:dyDescent="0.25">
      <c r="C85" t="s">
        <v>70</v>
      </c>
    </row>
    <row r="86" spans="1:20" ht="16.5" thickBot="1" x14ac:dyDescent="0.3"/>
    <row r="87" spans="1:20" ht="16.5" thickBot="1" x14ac:dyDescent="0.3">
      <c r="C87" s="17" t="s">
        <v>48</v>
      </c>
      <c r="D87" s="16" t="s">
        <v>56</v>
      </c>
      <c r="E87" s="14" t="s">
        <v>57</v>
      </c>
      <c r="F87" s="63">
        <f>$E$90</f>
        <v>18500000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spans="1:20" x14ac:dyDescent="0.25">
      <c r="C88" s="14"/>
      <c r="D88" s="60"/>
      <c r="E88" s="51"/>
      <c r="F88" s="75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</row>
    <row r="89" spans="1:20" x14ac:dyDescent="0.25">
      <c r="C89" s="14"/>
      <c r="D89" s="60"/>
      <c r="E89" s="51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</row>
    <row r="90" spans="1:20" x14ac:dyDescent="0.25">
      <c r="C90" s="14" t="s">
        <v>61</v>
      </c>
      <c r="D90" s="60"/>
      <c r="E90" s="51">
        <v>18500000</v>
      </c>
      <c r="F90" s="79"/>
      <c r="G90" s="63">
        <f>$F$87/18</f>
        <v>1027777.7777777778</v>
      </c>
      <c r="H90" s="63">
        <f t="shared" ref="H90:L90" si="45">$F$87/18</f>
        <v>1027777.7777777778</v>
      </c>
      <c r="I90" s="63">
        <f t="shared" si="45"/>
        <v>1027777.7777777778</v>
      </c>
      <c r="J90" s="63">
        <f t="shared" si="45"/>
        <v>1027777.7777777778</v>
      </c>
      <c r="K90" s="63">
        <f t="shared" si="45"/>
        <v>1027777.7777777778</v>
      </c>
      <c r="L90" s="63">
        <f t="shared" si="45"/>
        <v>1027777.7777777778</v>
      </c>
    </row>
    <row r="91" spans="1:20" x14ac:dyDescent="0.25">
      <c r="C91" s="14" t="s">
        <v>74</v>
      </c>
      <c r="D91" s="60"/>
      <c r="E91" s="51">
        <v>20800000</v>
      </c>
      <c r="F91" s="63"/>
      <c r="G91" s="63"/>
      <c r="H91" s="63"/>
      <c r="I91" s="63"/>
      <c r="J91" s="63"/>
      <c r="K91" s="63"/>
      <c r="L91" s="63"/>
      <c r="M91" s="63">
        <f>$E$91/18</f>
        <v>1155555.5555555555</v>
      </c>
      <c r="N91" s="63">
        <f t="shared" ref="N91:R91" si="46">$E$91/18</f>
        <v>1155555.5555555555</v>
      </c>
      <c r="O91" s="63">
        <f t="shared" si="46"/>
        <v>1155555.5555555555</v>
      </c>
      <c r="P91" s="63">
        <f t="shared" si="46"/>
        <v>1155555.5555555555</v>
      </c>
      <c r="Q91" s="63">
        <f t="shared" si="46"/>
        <v>1155555.5555555555</v>
      </c>
      <c r="R91" s="63">
        <f t="shared" si="46"/>
        <v>1155555.5555555555</v>
      </c>
    </row>
    <row r="92" spans="1:20" x14ac:dyDescent="0.25">
      <c r="C92" s="14"/>
      <c r="D92" s="60"/>
      <c r="E92" s="51"/>
      <c r="F92" s="79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</row>
    <row r="93" spans="1:20" x14ac:dyDescent="0.25">
      <c r="C93" s="14"/>
      <c r="D93" s="61"/>
      <c r="E93" s="51"/>
      <c r="F93" s="75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</row>
    <row r="94" spans="1:20" x14ac:dyDescent="0.25">
      <c r="C94" s="15"/>
      <c r="D94" s="62"/>
      <c r="E94" s="52"/>
      <c r="F94" s="79"/>
      <c r="G94" s="14"/>
      <c r="H94" s="14"/>
      <c r="I94" s="14"/>
      <c r="J94" s="14"/>
      <c r="K94" s="14"/>
      <c r="L94" s="75"/>
      <c r="M94" s="75"/>
      <c r="N94" s="75"/>
      <c r="O94" s="75"/>
      <c r="P94" s="75"/>
      <c r="Q94" s="75"/>
      <c r="R94" s="75"/>
    </row>
    <row r="95" spans="1:20" ht="16.5" thickBot="1" x14ac:dyDescent="0.3">
      <c r="C95" s="57"/>
      <c r="D95" s="15"/>
      <c r="E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spans="1:20" ht="16.5" thickBot="1" x14ac:dyDescent="0.3">
      <c r="C96" s="32" t="s">
        <v>23</v>
      </c>
      <c r="D96" s="37"/>
      <c r="E96" s="98">
        <f>E90+E91</f>
        <v>39300000</v>
      </c>
      <c r="F96" s="33"/>
      <c r="G96" s="56">
        <f>SUM(G87:G95)</f>
        <v>1027777.7777777778</v>
      </c>
      <c r="H96" s="56">
        <f t="shared" ref="H96:R96" si="47">SUM(H87:H95)</f>
        <v>1027777.7777777778</v>
      </c>
      <c r="I96" s="56">
        <f t="shared" si="47"/>
        <v>1027777.7777777778</v>
      </c>
      <c r="J96" s="56">
        <f t="shared" si="47"/>
        <v>1027777.7777777778</v>
      </c>
      <c r="K96" s="56">
        <f t="shared" si="47"/>
        <v>1027777.7777777778</v>
      </c>
      <c r="L96" s="56">
        <f t="shared" si="47"/>
        <v>1027777.7777777778</v>
      </c>
      <c r="M96" s="56">
        <f t="shared" si="47"/>
        <v>1155555.5555555555</v>
      </c>
      <c r="N96" s="56">
        <f t="shared" si="47"/>
        <v>1155555.5555555555</v>
      </c>
      <c r="O96" s="56">
        <f t="shared" si="47"/>
        <v>1155555.5555555555</v>
      </c>
      <c r="P96" s="56">
        <f t="shared" si="47"/>
        <v>1155555.5555555555</v>
      </c>
      <c r="Q96" s="56">
        <f t="shared" si="47"/>
        <v>1155555.5555555555</v>
      </c>
      <c r="R96" s="56">
        <f t="shared" si="47"/>
        <v>1155555.5555555555</v>
      </c>
    </row>
    <row r="99" spans="1:18" x14ac:dyDescent="0.25">
      <c r="G99" s="63"/>
    </row>
    <row r="100" spans="1:18" x14ac:dyDescent="0.25">
      <c r="A100" s="58" t="s">
        <v>73</v>
      </c>
      <c r="B100" s="58" t="s">
        <v>79</v>
      </c>
      <c r="C100" s="58" t="s">
        <v>75</v>
      </c>
      <c r="D100" s="58" t="s">
        <v>77</v>
      </c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</row>
    <row r="101" spans="1:18" x14ac:dyDescent="0.25">
      <c r="B101">
        <v>1</v>
      </c>
      <c r="C101" t="s">
        <v>76</v>
      </c>
      <c r="D101" s="79">
        <v>4654724</v>
      </c>
    </row>
    <row r="102" spans="1:18" x14ac:dyDescent="0.25">
      <c r="B102">
        <v>2</v>
      </c>
      <c r="C102" t="s">
        <v>78</v>
      </c>
      <c r="D102" s="79">
        <v>9500000</v>
      </c>
    </row>
    <row r="103" spans="1:18" x14ac:dyDescent="0.25">
      <c r="B103">
        <v>2</v>
      </c>
      <c r="C103" t="s">
        <v>80</v>
      </c>
      <c r="D103" s="79">
        <v>6400000</v>
      </c>
    </row>
    <row r="104" spans="1:18" x14ac:dyDescent="0.25">
      <c r="B104">
        <v>3</v>
      </c>
      <c r="C104" t="s">
        <v>81</v>
      </c>
      <c r="D104" s="79">
        <v>7500000</v>
      </c>
      <c r="E104" t="s">
        <v>49</v>
      </c>
    </row>
    <row r="105" spans="1:18" x14ac:dyDescent="0.25">
      <c r="B105">
        <v>1</v>
      </c>
      <c r="C105" t="s">
        <v>82</v>
      </c>
      <c r="D105" s="79">
        <v>6500000</v>
      </c>
    </row>
    <row r="106" spans="1:18" x14ac:dyDescent="0.25">
      <c r="C106" t="s">
        <v>23</v>
      </c>
      <c r="D106" s="79">
        <f>SUM(D101:D105)</f>
        <v>34554724</v>
      </c>
    </row>
  </sheetData>
  <mergeCells count="1">
    <mergeCell ref="C3:N3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DCF8-BBB5-47BC-8CD9-4B69FA3B4582}">
  <dimension ref="C6:C7"/>
  <sheetViews>
    <sheetView workbookViewId="0">
      <selection activeCell="A5" sqref="A5:C12"/>
    </sheetView>
  </sheetViews>
  <sheetFormatPr baseColWidth="10" defaultRowHeight="15.75" x14ac:dyDescent="0.25"/>
  <cols>
    <col min="3" max="3" width="16.5" bestFit="1" customWidth="1"/>
  </cols>
  <sheetData>
    <row r="6" spans="3:3" x14ac:dyDescent="0.25">
      <c r="C6" s="65"/>
    </row>
    <row r="7" spans="3:3" x14ac:dyDescent="0.25">
      <c r="C7" s="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Proyectos</vt:lpstr>
      <vt:lpstr>CONCLUCION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David Leonardo Rincon Ovalle</cp:lastModifiedBy>
  <dcterms:created xsi:type="dcterms:W3CDTF">2020-05-28T16:21:57Z</dcterms:created>
  <dcterms:modified xsi:type="dcterms:W3CDTF">2025-10-29T18:01:58Z</dcterms:modified>
</cp:coreProperties>
</file>