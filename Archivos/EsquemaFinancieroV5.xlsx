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CE0A6692-7FB3-4EF8-9D23-6030EF0F1ED5}" xr6:coauthVersionLast="47" xr6:coauthVersionMax="47" xr10:uidLastSave="{00000000-0000-0000-0000-000000000000}"/>
  <bookViews>
    <workbookView xWindow="1170" yWindow="540" windowWidth="25095" windowHeight="14715" firstSheet="4" activeTab="8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3" l="1"/>
  <c r="K17" i="3"/>
  <c r="L17" i="3"/>
  <c r="M17" i="3"/>
  <c r="N17" i="3"/>
  <c r="J17" i="3"/>
  <c r="K18" i="3"/>
  <c r="L18" i="3"/>
  <c r="M18" i="3"/>
  <c r="N18" i="3"/>
  <c r="J18" i="3"/>
  <c r="K18" i="4"/>
  <c r="L18" i="4"/>
  <c r="M18" i="4"/>
  <c r="N18" i="4"/>
  <c r="J18" i="4"/>
  <c r="C4" i="10"/>
  <c r="C5" i="10" s="1"/>
  <c r="J16" i="4"/>
  <c r="J14" i="4"/>
  <c r="J13" i="4"/>
  <c r="J11" i="4"/>
  <c r="J10" i="4"/>
  <c r="C3" i="10"/>
  <c r="J10" i="3"/>
  <c r="J7" i="3"/>
  <c r="J4" i="3"/>
  <c r="D23" i="8"/>
  <c r="D12" i="7"/>
  <c r="E23" i="8"/>
  <c r="F23" i="8" s="1"/>
  <c r="G23" i="8" s="1"/>
  <c r="H23" i="8" s="1"/>
  <c r="C12" i="8"/>
  <c r="B17" i="4"/>
  <c r="E18" i="9"/>
  <c r="F18" i="9"/>
  <c r="G18" i="9"/>
  <c r="H18" i="9"/>
  <c r="D18" i="9"/>
  <c r="C18" i="9"/>
  <c r="D15" i="8"/>
  <c r="C16" i="8"/>
  <c r="C19" i="8" s="1"/>
  <c r="C21" i="8" s="1"/>
  <c r="C25" i="8" s="1"/>
  <c r="D14" i="7"/>
  <c r="C14" i="7"/>
  <c r="C8" i="7"/>
  <c r="B47" i="3"/>
  <c r="B9" i="2"/>
  <c r="B61" i="2"/>
  <c r="B5" i="2"/>
  <c r="B4" i="2"/>
  <c r="B24" i="4"/>
  <c r="C36" i="6"/>
  <c r="F12" i="7" l="1"/>
  <c r="F14" i="7" s="1"/>
  <c r="H12" i="7"/>
  <c r="H14" i="7" s="1"/>
  <c r="G12" i="7"/>
  <c r="G14" i="7" s="1"/>
  <c r="E12" i="7"/>
  <c r="E14" i="7" s="1"/>
  <c r="D7" i="9"/>
  <c r="E15" i="8"/>
  <c r="D31" i="6"/>
  <c r="D28" i="6"/>
  <c r="D29" i="6"/>
  <c r="C21" i="9"/>
  <c r="H14" i="9"/>
  <c r="H15" i="9" s="1"/>
  <c r="G14" i="9"/>
  <c r="G15" i="9" s="1"/>
  <c r="F14" i="9"/>
  <c r="F15" i="9" s="1"/>
  <c r="E14" i="9"/>
  <c r="E15" i="9" s="1"/>
  <c r="D14" i="9"/>
  <c r="D15" i="9" s="1"/>
  <c r="C7" i="6"/>
  <c r="C11" i="4"/>
  <c r="D11" i="4" s="1"/>
  <c r="F11" i="4" s="1"/>
  <c r="I11" i="4" s="1"/>
  <c r="I14" i="4" s="1"/>
  <c r="C10" i="4"/>
  <c r="D10" i="4" s="1"/>
  <c r="C31" i="6"/>
  <c r="H30" i="6"/>
  <c r="C30" i="6"/>
  <c r="C20" i="9" s="1"/>
  <c r="C29" i="6"/>
  <c r="C28" i="6"/>
  <c r="H37" i="6"/>
  <c r="G37" i="6"/>
  <c r="F37" i="6"/>
  <c r="E37" i="6"/>
  <c r="D37" i="6"/>
  <c r="H23" i="6"/>
  <c r="G23" i="6"/>
  <c r="F23" i="6"/>
  <c r="E23" i="6"/>
  <c r="D23" i="6"/>
  <c r="C23" i="6"/>
  <c r="C8" i="6"/>
  <c r="F24" i="5"/>
  <c r="K24" i="5" s="1"/>
  <c r="F23" i="5"/>
  <c r="J23" i="5" s="1"/>
  <c r="F22" i="5"/>
  <c r="K22" i="5" s="1"/>
  <c r="F21" i="5"/>
  <c r="G21" i="5" s="1"/>
  <c r="F15" i="5"/>
  <c r="K15" i="5" s="1"/>
  <c r="F14" i="5"/>
  <c r="J14" i="5" s="1"/>
  <c r="F13" i="5"/>
  <c r="G13" i="5" s="1"/>
  <c r="F12" i="5"/>
  <c r="G12" i="5" s="1"/>
  <c r="J6" i="4"/>
  <c r="K6" i="4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F15" i="8" l="1"/>
  <c r="H7" i="9"/>
  <c r="G7" i="9"/>
  <c r="F7" i="9"/>
  <c r="E7" i="9"/>
  <c r="K21" i="5"/>
  <c r="C11" i="6"/>
  <c r="C12" i="4"/>
  <c r="I14" i="5"/>
  <c r="K13" i="5"/>
  <c r="J13" i="5"/>
  <c r="I13" i="5"/>
  <c r="H14" i="5"/>
  <c r="K12" i="5"/>
  <c r="J12" i="5"/>
  <c r="I12" i="5"/>
  <c r="H12" i="5"/>
  <c r="G14" i="5"/>
  <c r="H13" i="5"/>
  <c r="K14" i="5"/>
  <c r="H23" i="5"/>
  <c r="I23" i="5"/>
  <c r="K23" i="5"/>
  <c r="K25" i="5" s="1"/>
  <c r="G23" i="5"/>
  <c r="H21" i="5"/>
  <c r="I21" i="5"/>
  <c r="G24" i="5"/>
  <c r="J21" i="5"/>
  <c r="H24" i="5"/>
  <c r="I24" i="5"/>
  <c r="G15" i="5"/>
  <c r="J24" i="5"/>
  <c r="H15" i="5"/>
  <c r="G22" i="5"/>
  <c r="I15" i="5"/>
  <c r="H22" i="5"/>
  <c r="J15" i="5"/>
  <c r="I22" i="5"/>
  <c r="J22" i="5"/>
  <c r="D12" i="4"/>
  <c r="E11" i="4"/>
  <c r="E9" i="4"/>
  <c r="G15" i="8" l="1"/>
  <c r="K16" i="5"/>
  <c r="H15" i="6" s="1"/>
  <c r="F10" i="4"/>
  <c r="E10" i="4"/>
  <c r="E12" i="4" s="1"/>
  <c r="G25" i="5"/>
  <c r="G16" i="5"/>
  <c r="H16" i="5"/>
  <c r="E15" i="6" s="1"/>
  <c r="H25" i="5"/>
  <c r="J16" i="5"/>
  <c r="G15" i="6" s="1"/>
  <c r="J25" i="5"/>
  <c r="I25" i="5"/>
  <c r="I16" i="5"/>
  <c r="F15" i="6" s="1"/>
  <c r="F12" i="4" l="1"/>
  <c r="J7" i="4" s="1"/>
  <c r="I10" i="4"/>
  <c r="I13" i="4" s="1"/>
  <c r="H15" i="8"/>
  <c r="D15" i="6"/>
  <c r="K7" i="4"/>
  <c r="D7" i="6"/>
  <c r="L7" i="4"/>
  <c r="E7" i="6"/>
  <c r="F8" i="8" l="1"/>
  <c r="F9" i="8" s="1"/>
  <c r="F6" i="7"/>
  <c r="F8" i="7" s="1"/>
  <c r="L11" i="4"/>
  <c r="L14" i="4" s="1"/>
  <c r="L10" i="4"/>
  <c r="E8" i="8"/>
  <c r="E9" i="8" s="1"/>
  <c r="E6" i="7"/>
  <c r="E8" i="7" s="1"/>
  <c r="K11" i="4"/>
  <c r="K14" i="4" s="1"/>
  <c r="K10" i="4"/>
  <c r="D8" i="8"/>
  <c r="D9" i="8" s="1"/>
  <c r="J4" i="10"/>
  <c r="D6" i="7"/>
  <c r="D8" i="7" s="1"/>
  <c r="H19" i="8"/>
  <c r="J7" i="10"/>
  <c r="E11" i="6"/>
  <c r="D11" i="6"/>
  <c r="M7" i="4"/>
  <c r="F7" i="6"/>
  <c r="K13" i="4" l="1"/>
  <c r="K16" i="4"/>
  <c r="L13" i="4"/>
  <c r="L16" i="4" s="1"/>
  <c r="M10" i="4"/>
  <c r="G6" i="7"/>
  <c r="G8" i="7" s="1"/>
  <c r="M11" i="4"/>
  <c r="M14" i="4" s="1"/>
  <c r="G8" i="8"/>
  <c r="G9" i="8" s="1"/>
  <c r="F11" i="6"/>
  <c r="N7" i="4"/>
  <c r="G7" i="6"/>
  <c r="N10" i="4" l="1"/>
  <c r="H8" i="8"/>
  <c r="H9" i="8" s="1"/>
  <c r="H21" i="8" s="1"/>
  <c r="H25" i="8" s="1"/>
  <c r="H6" i="7"/>
  <c r="H8" i="7" s="1"/>
  <c r="N11" i="4"/>
  <c r="N14" i="4" s="1"/>
  <c r="M13" i="4"/>
  <c r="M16" i="4"/>
  <c r="H7" i="6"/>
  <c r="G11" i="6"/>
  <c r="N13" i="4" l="1"/>
  <c r="N16" i="4" s="1"/>
  <c r="H11" i="6"/>
  <c r="C6" i="3"/>
  <c r="B36" i="3"/>
  <c r="C16" i="6" s="1"/>
  <c r="D16" i="6" s="1"/>
  <c r="E16" i="6" s="1"/>
  <c r="F16" i="6" s="1"/>
  <c r="G16" i="6" s="1"/>
  <c r="H16" i="6" s="1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6" i="2"/>
  <c r="B8" i="2" s="1"/>
  <c r="B46" i="3" s="1"/>
  <c r="B48" i="2"/>
  <c r="B41" i="2"/>
  <c r="B33" i="2"/>
  <c r="B43" i="3" s="1"/>
  <c r="B25" i="2"/>
  <c r="B3" i="2" s="1"/>
  <c r="B42" i="3" s="1"/>
  <c r="D17" i="2"/>
  <c r="D16" i="2"/>
  <c r="D15" i="2"/>
  <c r="D14" i="2"/>
  <c r="B7" i="2"/>
  <c r="B45" i="3" s="1"/>
  <c r="B6" i="2"/>
  <c r="B44" i="3" s="1"/>
  <c r="D18" i="2" l="1"/>
  <c r="B41" i="3"/>
  <c r="B48" i="3" s="1"/>
  <c r="C25" i="3"/>
  <c r="D6" i="3"/>
  <c r="F4" i="3" s="1"/>
  <c r="G4" i="3" s="1"/>
  <c r="D22" i="3"/>
  <c r="F10" i="3" s="1"/>
  <c r="G10" i="3" s="1"/>
  <c r="D17" i="3"/>
  <c r="F7" i="3" s="1"/>
  <c r="G7" i="3" s="1"/>
  <c r="C42" i="6"/>
  <c r="B16" i="4" l="1"/>
  <c r="C14" i="6"/>
  <c r="B40" i="3"/>
  <c r="D42" i="6"/>
  <c r="J15" i="3"/>
  <c r="K7" i="3"/>
  <c r="K10" i="3"/>
  <c r="K4" i="3"/>
  <c r="L4" i="3"/>
  <c r="D25" i="3"/>
  <c r="D26" i="3" s="1"/>
  <c r="F13" i="3" s="1"/>
  <c r="I13" i="3" s="1"/>
  <c r="I15" i="3" s="1"/>
  <c r="C26" i="3"/>
  <c r="D14" i="6" l="1"/>
  <c r="C17" i="6"/>
  <c r="C14" i="9"/>
  <c r="C15" i="9" s="1"/>
  <c r="B10" i="2"/>
  <c r="C23" i="9"/>
  <c r="E42" i="6"/>
  <c r="B18" i="4"/>
  <c r="L10" i="3"/>
  <c r="E29" i="6"/>
  <c r="E31" i="6"/>
  <c r="K15" i="3"/>
  <c r="L7" i="3"/>
  <c r="E28" i="6"/>
  <c r="F31" i="6"/>
  <c r="M4" i="3"/>
  <c r="C7" i="8" l="1"/>
  <c r="B4" i="5"/>
  <c r="B8" i="5" s="1"/>
  <c r="C22" i="4"/>
  <c r="C23" i="4"/>
  <c r="C24" i="4" s="1"/>
  <c r="C6" i="8"/>
  <c r="C9" i="8" s="1"/>
  <c r="C37" i="6"/>
  <c r="E14" i="6"/>
  <c r="D17" i="6"/>
  <c r="F42" i="6"/>
  <c r="M7" i="3"/>
  <c r="F28" i="6"/>
  <c r="M10" i="3"/>
  <c r="F29" i="6"/>
  <c r="J9" i="10"/>
  <c r="H5" i="10"/>
  <c r="M15" i="3"/>
  <c r="G31" i="6"/>
  <c r="L15" i="3"/>
  <c r="N4" i="3"/>
  <c r="E3" i="5" l="1"/>
  <c r="I3" i="5" s="1"/>
  <c r="E4" i="5" s="1"/>
  <c r="F4" i="5" s="1"/>
  <c r="F14" i="6"/>
  <c r="E17" i="6"/>
  <c r="G42" i="6"/>
  <c r="H31" i="6"/>
  <c r="J10" i="10"/>
  <c r="J11" i="10" s="1"/>
  <c r="C15" i="10" s="1"/>
  <c r="N10" i="3"/>
  <c r="G29" i="6"/>
  <c r="N7" i="3"/>
  <c r="H28" i="6" s="1"/>
  <c r="G28" i="6"/>
  <c r="D17" i="8" l="1"/>
  <c r="D19" i="8" s="1"/>
  <c r="D21" i="8" s="1"/>
  <c r="D25" i="8" s="1"/>
  <c r="D9" i="9"/>
  <c r="D21" i="9" s="1"/>
  <c r="B9" i="5"/>
  <c r="G7" i="5"/>
  <c r="G30" i="6" s="1"/>
  <c r="G5" i="5"/>
  <c r="E30" i="6" s="1"/>
  <c r="D6" i="12" s="1"/>
  <c r="G6" i="5"/>
  <c r="F30" i="6" s="1"/>
  <c r="G4" i="5"/>
  <c r="G14" i="6"/>
  <c r="F17" i="6"/>
  <c r="H42" i="6"/>
  <c r="N15" i="3"/>
  <c r="H29" i="6"/>
  <c r="D30" i="6" l="1"/>
  <c r="K8" i="5"/>
  <c r="H4" i="5"/>
  <c r="H14" i="6"/>
  <c r="H17" i="6" s="1"/>
  <c r="G17" i="6"/>
  <c r="E6" i="12"/>
  <c r="I4" i="5" l="1"/>
  <c r="E5" i="5" s="1"/>
  <c r="F5" i="5" s="1"/>
  <c r="D8" i="9"/>
  <c r="D20" i="9" s="1"/>
  <c r="D23" i="9" s="1"/>
  <c r="C6" i="12"/>
  <c r="F6" i="12"/>
  <c r="G6" i="12"/>
  <c r="G25" i="6"/>
  <c r="G32" i="6" s="1"/>
  <c r="H25" i="6"/>
  <c r="H32" i="6" s="1"/>
  <c r="F25" i="6"/>
  <c r="F32" i="6" s="1"/>
  <c r="E25" i="6"/>
  <c r="E32" i="6" s="1"/>
  <c r="D25" i="6"/>
  <c r="D32" i="6" s="1"/>
  <c r="C25" i="6"/>
  <c r="C32" i="6" s="1"/>
  <c r="H5" i="5" l="1"/>
  <c r="E17" i="8"/>
  <c r="E19" i="8" s="1"/>
  <c r="E21" i="8" s="1"/>
  <c r="E25" i="8" s="1"/>
  <c r="E9" i="9"/>
  <c r="E21" i="9" s="1"/>
  <c r="D33" i="6"/>
  <c r="H33" i="6"/>
  <c r="C33" i="6"/>
  <c r="C39" i="6" s="1"/>
  <c r="E33" i="6"/>
  <c r="F33" i="6"/>
  <c r="G33" i="6"/>
  <c r="I5" i="5" l="1"/>
  <c r="E6" i="5" s="1"/>
  <c r="F6" i="5" s="1"/>
  <c r="E8" i="9"/>
  <c r="E20" i="9" s="1"/>
  <c r="E23" i="9" s="1"/>
  <c r="E4" i="12"/>
  <c r="F39" i="6"/>
  <c r="D4" i="12"/>
  <c r="E39" i="6"/>
  <c r="F4" i="12"/>
  <c r="G39" i="6"/>
  <c r="G4" i="12"/>
  <c r="H39" i="6"/>
  <c r="I9" i="10"/>
  <c r="C4" i="12"/>
  <c r="D39" i="6"/>
  <c r="H6" i="5" l="1"/>
  <c r="F9" i="9"/>
  <c r="F21" i="9" s="1"/>
  <c r="F17" i="8"/>
  <c r="F19" i="8" s="1"/>
  <c r="F21" i="8" s="1"/>
  <c r="F25" i="8" s="1"/>
  <c r="J4" i="12"/>
  <c r="F5" i="12"/>
  <c r="J9" i="12"/>
  <c r="J6" i="12"/>
  <c r="J7" i="12"/>
  <c r="G8" i="12"/>
  <c r="G7" i="12"/>
  <c r="H43" i="6"/>
  <c r="H45" i="6" s="1"/>
  <c r="H47" i="6" s="1"/>
  <c r="D5" i="12"/>
  <c r="D8" i="12"/>
  <c r="D7" i="12"/>
  <c r="E43" i="6"/>
  <c r="E45" i="6" s="1"/>
  <c r="E47" i="6" s="1"/>
  <c r="E8" i="12"/>
  <c r="F43" i="6"/>
  <c r="F45" i="6" s="1"/>
  <c r="F47" i="6" s="1"/>
  <c r="E7" i="12"/>
  <c r="I10" i="10"/>
  <c r="I11" i="10" s="1"/>
  <c r="C16" i="10" s="1"/>
  <c r="G5" i="12"/>
  <c r="J8" i="12"/>
  <c r="C11" i="9"/>
  <c r="C43" i="6"/>
  <c r="C45" i="6" s="1"/>
  <c r="C47" i="6" s="1"/>
  <c r="C5" i="12"/>
  <c r="J5" i="12"/>
  <c r="C8" i="12"/>
  <c r="D43" i="6"/>
  <c r="D45" i="6" s="1"/>
  <c r="D47" i="6" s="1"/>
  <c r="C7" i="12"/>
  <c r="E5" i="12"/>
  <c r="F8" i="12"/>
  <c r="G43" i="6"/>
  <c r="G45" i="6" s="1"/>
  <c r="G47" i="6" s="1"/>
  <c r="F7" i="12"/>
  <c r="I6" i="5" l="1"/>
  <c r="E7" i="5" s="1"/>
  <c r="F7" i="5" s="1"/>
  <c r="F8" i="9"/>
  <c r="F20" i="9" s="1"/>
  <c r="F23" i="9" s="1"/>
  <c r="D11" i="9"/>
  <c r="C1" i="11"/>
  <c r="E11" i="9"/>
  <c r="M7" i="12"/>
  <c r="F11" i="9"/>
  <c r="M8" i="12"/>
  <c r="M6" i="12"/>
  <c r="M5" i="12" s="1"/>
  <c r="H7" i="5" l="1"/>
  <c r="G9" i="9"/>
  <c r="G21" i="9" s="1"/>
  <c r="G17" i="8"/>
  <c r="G19" i="8" s="1"/>
  <c r="G21" i="8" s="1"/>
  <c r="G25" i="8" s="1"/>
  <c r="C2" i="11"/>
  <c r="C17" i="10"/>
  <c r="C18" i="10" s="1"/>
  <c r="C22" i="10" s="1"/>
  <c r="C24" i="10" s="1"/>
  <c r="I7" i="5" l="1"/>
  <c r="E8" i="5" s="1"/>
  <c r="F8" i="5" s="1"/>
  <c r="G8" i="9"/>
  <c r="D2" i="11"/>
  <c r="C19" i="10"/>
  <c r="C75" i="11"/>
  <c r="C155" i="11"/>
  <c r="C298" i="11"/>
  <c r="C288" i="11"/>
  <c r="C41" i="11"/>
  <c r="C132" i="11"/>
  <c r="C51" i="11"/>
  <c r="C203" i="11"/>
  <c r="C232" i="11"/>
  <c r="C273" i="11"/>
  <c r="C169" i="11"/>
  <c r="C138" i="11"/>
  <c r="C206" i="11"/>
  <c r="C281" i="11"/>
  <c r="C23" i="11"/>
  <c r="C71" i="11"/>
  <c r="C212" i="11"/>
  <c r="C79" i="11"/>
  <c r="C43" i="11"/>
  <c r="C133" i="11"/>
  <c r="C98" i="11"/>
  <c r="C5" i="11"/>
  <c r="C52" i="11"/>
  <c r="C223" i="11"/>
  <c r="C96" i="11"/>
  <c r="C266" i="11"/>
  <c r="C28" i="11"/>
  <c r="C129" i="11"/>
  <c r="C77" i="11"/>
  <c r="C201" i="11"/>
  <c r="C173" i="11"/>
  <c r="C36" i="11"/>
  <c r="C225" i="11"/>
  <c r="C25" i="11"/>
  <c r="C54" i="11"/>
  <c r="C11" i="11"/>
  <c r="C136" i="11"/>
  <c r="C48" i="11"/>
  <c r="C97" i="11"/>
  <c r="C61" i="11"/>
  <c r="C167" i="11"/>
  <c r="C183" i="11"/>
  <c r="C87" i="11"/>
  <c r="C72" i="11"/>
  <c r="C258" i="11"/>
  <c r="C227" i="11"/>
  <c r="C59" i="11"/>
  <c r="C131" i="11"/>
  <c r="C253" i="11"/>
  <c r="C190" i="11"/>
  <c r="C107" i="11"/>
  <c r="C277" i="11"/>
  <c r="C222" i="11"/>
  <c r="C160" i="11"/>
  <c r="C156" i="11"/>
  <c r="C230" i="11"/>
  <c r="C85" i="11"/>
  <c r="C300" i="11"/>
  <c r="C115" i="11"/>
  <c r="C291" i="11"/>
  <c r="C186" i="11"/>
  <c r="C19" i="11"/>
  <c r="C267" i="11"/>
  <c r="C171" i="11"/>
  <c r="C248" i="11"/>
  <c r="C9" i="11"/>
  <c r="C121" i="11"/>
  <c r="C34" i="11"/>
  <c r="C278" i="11"/>
  <c r="C247" i="11"/>
  <c r="C217" i="11"/>
  <c r="C168" i="11"/>
  <c r="C37" i="11"/>
  <c r="C35" i="11"/>
  <c r="C106" i="11"/>
  <c r="C60" i="11"/>
  <c r="C228" i="11"/>
  <c r="C191" i="11"/>
  <c r="C30" i="11"/>
  <c r="C268" i="11"/>
  <c r="C279" i="11"/>
  <c r="C162" i="11"/>
  <c r="C182" i="11"/>
  <c r="C147" i="11"/>
  <c r="C44" i="11"/>
  <c r="C175" i="11"/>
  <c r="C257" i="11"/>
  <c r="C285" i="11"/>
  <c r="C188" i="11"/>
  <c r="C303" i="11"/>
  <c r="C284" i="11"/>
  <c r="C229" i="11"/>
  <c r="C20" i="11"/>
  <c r="C296" i="11"/>
  <c r="C57" i="11"/>
  <c r="C49" i="11"/>
  <c r="C269" i="11"/>
  <c r="C220" i="11"/>
  <c r="C178" i="11"/>
  <c r="C200" i="11"/>
  <c r="C205" i="11"/>
  <c r="C68" i="11"/>
  <c r="C251" i="11"/>
  <c r="C290" i="11"/>
  <c r="C239" i="11"/>
  <c r="C158" i="11"/>
  <c r="C292" i="11"/>
  <c r="C275" i="11"/>
  <c r="C270" i="11"/>
  <c r="C14" i="11"/>
  <c r="C141" i="11"/>
  <c r="C159" i="11"/>
  <c r="C282" i="11"/>
  <c r="C294" i="11"/>
  <c r="C274" i="11"/>
  <c r="C21" i="11"/>
  <c r="C4" i="11"/>
  <c r="C32" i="11"/>
  <c r="C238" i="11"/>
  <c r="C176" i="11"/>
  <c r="C110" i="11"/>
  <c r="C192" i="11"/>
  <c r="C42" i="11"/>
  <c r="C245" i="11"/>
  <c r="C99" i="11"/>
  <c r="C47" i="11"/>
  <c r="C153" i="11"/>
  <c r="C295" i="11"/>
  <c r="C118" i="11"/>
  <c r="C259" i="11"/>
  <c r="C289" i="11"/>
  <c r="C197" i="11"/>
  <c r="C119" i="11"/>
  <c r="C187" i="11"/>
  <c r="C66" i="11"/>
  <c r="C134" i="11"/>
  <c r="C117" i="11"/>
  <c r="C301" i="11"/>
  <c r="C209" i="11"/>
  <c r="C177" i="11"/>
  <c r="C164" i="11"/>
  <c r="C8" i="11"/>
  <c r="C111" i="11"/>
  <c r="C6" i="11"/>
  <c r="C161" i="11"/>
  <c r="C272" i="11"/>
  <c r="C86" i="11"/>
  <c r="C31" i="11"/>
  <c r="C198" i="11"/>
  <c r="C194" i="11"/>
  <c r="C24" i="11"/>
  <c r="C123" i="11"/>
  <c r="C299" i="11"/>
  <c r="C240" i="11"/>
  <c r="C226" i="11"/>
  <c r="C13" i="11"/>
  <c r="C113" i="11"/>
  <c r="C211" i="11"/>
  <c r="C91" i="11"/>
  <c r="C271" i="11"/>
  <c r="C195" i="11"/>
  <c r="C144" i="11"/>
  <c r="C235" i="11"/>
  <c r="C80" i="11"/>
  <c r="C116" i="11"/>
  <c r="C154" i="11"/>
  <c r="C215" i="11"/>
  <c r="C100" i="11"/>
  <c r="C304" i="11"/>
  <c r="C105" i="11"/>
  <c r="C7" i="11"/>
  <c r="C101" i="11"/>
  <c r="C213" i="11"/>
  <c r="C81" i="11"/>
  <c r="C69" i="11"/>
  <c r="C246" i="11"/>
  <c r="C181" i="11"/>
  <c r="C165" i="11"/>
  <c r="C263" i="11"/>
  <c r="C196" i="11"/>
  <c r="C76" i="11"/>
  <c r="C255" i="11"/>
  <c r="C125" i="11"/>
  <c r="C276" i="11"/>
  <c r="C143" i="11"/>
  <c r="C140" i="11"/>
  <c r="C218" i="11"/>
  <c r="C29" i="11"/>
  <c r="C293" i="11"/>
  <c r="C65" i="11"/>
  <c r="C112" i="11"/>
  <c r="C114" i="11"/>
  <c r="C124" i="11"/>
  <c r="C262" i="11"/>
  <c r="C88" i="11"/>
  <c r="C302" i="11"/>
  <c r="C78" i="11"/>
  <c r="C149" i="11"/>
  <c r="C12" i="11"/>
  <c r="C26" i="11"/>
  <c r="C210" i="11"/>
  <c r="C83" i="11"/>
  <c r="C172" i="11"/>
  <c r="C73" i="11"/>
  <c r="C280" i="11"/>
  <c r="C244" i="11"/>
  <c r="C224" i="11"/>
  <c r="C103" i="11"/>
  <c r="C84" i="11"/>
  <c r="C104" i="11"/>
  <c r="C92" i="11"/>
  <c r="C265" i="11"/>
  <c r="C89" i="11"/>
  <c r="C67" i="11"/>
  <c r="C179" i="11"/>
  <c r="C204" i="11"/>
  <c r="C18" i="11"/>
  <c r="C180" i="11"/>
  <c r="C95" i="11"/>
  <c r="C237" i="11"/>
  <c r="C40" i="11"/>
  <c r="C260" i="11"/>
  <c r="C208" i="11"/>
  <c r="C252" i="11"/>
  <c r="C74" i="11"/>
  <c r="C56" i="11"/>
  <c r="C233" i="11"/>
  <c r="C145" i="11"/>
  <c r="C157" i="11"/>
  <c r="C184" i="11"/>
  <c r="C286" i="11"/>
  <c r="C82" i="11"/>
  <c r="C146" i="11"/>
  <c r="C287" i="11"/>
  <c r="C139" i="11"/>
  <c r="C93" i="11"/>
  <c r="C130" i="11"/>
  <c r="C120" i="11"/>
  <c r="C46" i="11"/>
  <c r="C94" i="11"/>
  <c r="C216" i="11"/>
  <c r="C150" i="11"/>
  <c r="C122" i="11"/>
  <c r="C17" i="11"/>
  <c r="C193" i="11"/>
  <c r="C214" i="11"/>
  <c r="C151" i="11"/>
  <c r="C63" i="11"/>
  <c r="C127" i="11"/>
  <c r="C45" i="11"/>
  <c r="C234" i="11"/>
  <c r="C126" i="11"/>
  <c r="C62" i="11"/>
  <c r="C102" i="11"/>
  <c r="C90" i="11"/>
  <c r="C70" i="11"/>
  <c r="C202" i="11"/>
  <c r="C170" i="11"/>
  <c r="C128" i="11"/>
  <c r="C10" i="11"/>
  <c r="C33" i="11"/>
  <c r="C50" i="11"/>
  <c r="C249" i="11"/>
  <c r="C297" i="11"/>
  <c r="C22" i="11"/>
  <c r="C283" i="11"/>
  <c r="C142" i="11"/>
  <c r="C137" i="11"/>
  <c r="C55" i="11"/>
  <c r="C256" i="11"/>
  <c r="C58" i="11"/>
  <c r="C242" i="11"/>
  <c r="C207" i="11"/>
  <c r="C38" i="11"/>
  <c r="C166" i="11"/>
  <c r="C15" i="11"/>
  <c r="C185" i="11"/>
  <c r="C199" i="11"/>
  <c r="C108" i="11"/>
  <c r="C250" i="11"/>
  <c r="C241" i="11"/>
  <c r="C243" i="11"/>
  <c r="C163" i="11"/>
  <c r="C219" i="11"/>
  <c r="C135" i="11"/>
  <c r="C236" i="11"/>
  <c r="C231" i="11"/>
  <c r="C152" i="11"/>
  <c r="C39" i="11"/>
  <c r="C264" i="11"/>
  <c r="C27" i="11"/>
  <c r="C189" i="11"/>
  <c r="C53" i="11"/>
  <c r="C64" i="11"/>
  <c r="C109" i="11"/>
  <c r="C148" i="11"/>
  <c r="C174" i="11"/>
  <c r="C221" i="11"/>
  <c r="C261" i="11"/>
  <c r="C16" i="11"/>
  <c r="C254" i="11"/>
  <c r="G20" i="9" l="1"/>
  <c r="G23" i="9" s="1"/>
  <c r="G11" i="9"/>
  <c r="H8" i="5"/>
  <c r="H9" i="9"/>
  <c r="H21" i="9" s="1"/>
  <c r="D73" i="11"/>
  <c r="D70" i="11"/>
  <c r="D159" i="11"/>
  <c r="D293" i="11"/>
  <c r="D110" i="11"/>
  <c r="D66" i="11"/>
  <c r="D259" i="11"/>
  <c r="D74" i="11"/>
  <c r="D78" i="11"/>
  <c r="D245" i="11"/>
  <c r="D22" i="11"/>
  <c r="D126" i="11"/>
  <c r="D123" i="11"/>
  <c r="D54" i="11"/>
  <c r="D289" i="11"/>
  <c r="D223" i="11"/>
  <c r="D146" i="11"/>
  <c r="D111" i="11"/>
  <c r="D261" i="11"/>
  <c r="D295" i="11"/>
  <c r="D85" i="11"/>
  <c r="D76" i="11"/>
  <c r="D127" i="11"/>
  <c r="D287" i="11"/>
  <c r="D140" i="11"/>
  <c r="D212" i="11"/>
  <c r="D182" i="11"/>
  <c r="D7" i="11"/>
  <c r="D44" i="11"/>
  <c r="D129" i="11"/>
  <c r="D282" i="11"/>
  <c r="D51" i="11"/>
  <c r="D133" i="11"/>
  <c r="D226" i="11"/>
  <c r="D281" i="11"/>
  <c r="D298" i="11"/>
  <c r="D169" i="11"/>
  <c r="D91" i="11"/>
  <c r="D131" i="11"/>
  <c r="D63" i="11"/>
  <c r="D221" i="11"/>
  <c r="D205" i="11"/>
  <c r="D217" i="11"/>
  <c r="D216" i="11"/>
  <c r="D19" i="11"/>
  <c r="D170" i="11"/>
  <c r="D81" i="11"/>
  <c r="D107" i="11"/>
  <c r="D14" i="11"/>
  <c r="D294" i="11"/>
  <c r="D40" i="11"/>
  <c r="D218" i="11"/>
  <c r="D192" i="11"/>
  <c r="D13" i="11"/>
  <c r="D130" i="11"/>
  <c r="D28" i="11"/>
  <c r="D84" i="11"/>
  <c r="D151" i="11"/>
  <c r="D275" i="11"/>
  <c r="D77" i="11"/>
  <c r="D113" i="11"/>
  <c r="D59" i="11"/>
  <c r="D121" i="11"/>
  <c r="D134" i="11"/>
  <c r="D232" i="11"/>
  <c r="D162" i="11"/>
  <c r="D290" i="11"/>
  <c r="D58" i="11"/>
  <c r="D203" i="11"/>
  <c r="D128" i="11"/>
  <c r="D71" i="11"/>
  <c r="D229" i="11"/>
  <c r="D235" i="11"/>
  <c r="D190" i="11"/>
  <c r="D156" i="11"/>
  <c r="D253" i="11"/>
  <c r="D88" i="11"/>
  <c r="D87" i="11"/>
  <c r="D35" i="11"/>
  <c r="D136" i="11"/>
  <c r="D105" i="11"/>
  <c r="D191" i="11"/>
  <c r="D116" i="11"/>
  <c r="D300" i="11"/>
  <c r="D45" i="11"/>
  <c r="D252" i="11"/>
  <c r="D119" i="11"/>
  <c r="D95" i="11"/>
  <c r="D174" i="11"/>
  <c r="D99" i="11"/>
  <c r="D220" i="11"/>
  <c r="D62" i="11"/>
  <c r="D132" i="11"/>
  <c r="D92" i="11"/>
  <c r="D104" i="11"/>
  <c r="D41" i="11"/>
  <c r="D148" i="11"/>
  <c r="D96" i="11"/>
  <c r="D251" i="11"/>
  <c r="D114" i="11"/>
  <c r="D138" i="11"/>
  <c r="D30" i="11"/>
  <c r="D168" i="11"/>
  <c r="D304" i="11"/>
  <c r="D86" i="11"/>
  <c r="D15" i="11"/>
  <c r="D18" i="11"/>
  <c r="D254" i="11"/>
  <c r="D292" i="11"/>
  <c r="D145" i="11"/>
  <c r="D8" i="11"/>
  <c r="D65" i="11"/>
  <c r="D296" i="11"/>
  <c r="D225" i="11"/>
  <c r="D178" i="11"/>
  <c r="D270" i="11"/>
  <c r="D175" i="11"/>
  <c r="D206" i="11"/>
  <c r="D233" i="11"/>
  <c r="D118" i="11"/>
  <c r="D236" i="11"/>
  <c r="D271" i="11"/>
  <c r="D263" i="11"/>
  <c r="D279" i="11"/>
  <c r="D201" i="11"/>
  <c r="D193" i="11"/>
  <c r="D204" i="11"/>
  <c r="D94" i="11"/>
  <c r="D194" i="11"/>
  <c r="D272" i="11"/>
  <c r="D276" i="11"/>
  <c r="D195" i="11"/>
  <c r="D83" i="11"/>
  <c r="D299" i="11"/>
  <c r="D181" i="11"/>
  <c r="D120" i="11"/>
  <c r="D209" i="11"/>
  <c r="D49" i="11"/>
  <c r="D103" i="11"/>
  <c r="D64" i="11"/>
  <c r="D198" i="11"/>
  <c r="D137" i="11"/>
  <c r="D188" i="11"/>
  <c r="D150" i="11"/>
  <c r="D101" i="11"/>
  <c r="D149" i="11"/>
  <c r="D75" i="11"/>
  <c r="D172" i="11"/>
  <c r="D4" i="11"/>
  <c r="D161" i="11"/>
  <c r="D125" i="11"/>
  <c r="D55" i="11"/>
  <c r="D143" i="11"/>
  <c r="D5" i="11"/>
  <c r="D12" i="11"/>
  <c r="D93" i="11"/>
  <c r="D29" i="11"/>
  <c r="D202" i="11"/>
  <c r="D50" i="11"/>
  <c r="D219" i="11"/>
  <c r="D214" i="11"/>
  <c r="D260" i="11"/>
  <c r="D277" i="11"/>
  <c r="D60" i="11"/>
  <c r="D215" i="11"/>
  <c r="D284" i="11"/>
  <c r="D26" i="11"/>
  <c r="D196" i="11"/>
  <c r="D258" i="11"/>
  <c r="D117" i="11"/>
  <c r="D163" i="11"/>
  <c r="D152" i="11"/>
  <c r="D53" i="11"/>
  <c r="D52" i="11"/>
  <c r="D106" i="11"/>
  <c r="D43" i="11"/>
  <c r="D166" i="11"/>
  <c r="D302" i="11"/>
  <c r="D273" i="11"/>
  <c r="D246" i="11"/>
  <c r="D79" i="11"/>
  <c r="D265" i="11"/>
  <c r="D80" i="11"/>
  <c r="D210" i="11"/>
  <c r="D187" i="11"/>
  <c r="D285" i="11"/>
  <c r="D67" i="11"/>
  <c r="D222" i="11"/>
  <c r="D244" i="11"/>
  <c r="D112" i="11"/>
  <c r="D109" i="11"/>
  <c r="D56" i="11"/>
  <c r="D38" i="11"/>
  <c r="D164" i="11"/>
  <c r="D240" i="11"/>
  <c r="D288" i="11"/>
  <c r="D17" i="11"/>
  <c r="D32" i="11"/>
  <c r="D141" i="11"/>
  <c r="D165" i="11"/>
  <c r="D47" i="11"/>
  <c r="D180" i="11"/>
  <c r="D158" i="11"/>
  <c r="D249" i="11"/>
  <c r="D23" i="11"/>
  <c r="D155" i="11"/>
  <c r="D6" i="11"/>
  <c r="D199" i="11"/>
  <c r="D241" i="11"/>
  <c r="D303" i="11"/>
  <c r="D142" i="11"/>
  <c r="D48" i="11"/>
  <c r="D264" i="11"/>
  <c r="D224" i="11"/>
  <c r="D231" i="11"/>
  <c r="D286" i="11"/>
  <c r="D147" i="11"/>
  <c r="D255" i="11"/>
  <c r="D184" i="11"/>
  <c r="D274" i="11"/>
  <c r="D57" i="11"/>
  <c r="D301" i="11"/>
  <c r="D37" i="11"/>
  <c r="D211" i="11"/>
  <c r="D247" i="11"/>
  <c r="D33" i="11"/>
  <c r="D10" i="11"/>
  <c r="D115" i="11"/>
  <c r="D39" i="11"/>
  <c r="D108" i="11"/>
  <c r="D46" i="11"/>
  <c r="D267" i="11"/>
  <c r="D20" i="11"/>
  <c r="D11" i="11"/>
  <c r="D256" i="11"/>
  <c r="D230" i="11"/>
  <c r="D207" i="11"/>
  <c r="D291" i="11"/>
  <c r="D102" i="11"/>
  <c r="D16" i="11"/>
  <c r="D239" i="11"/>
  <c r="D242" i="11"/>
  <c r="D278" i="11"/>
  <c r="D42" i="11"/>
  <c r="D297" i="11"/>
  <c r="D185" i="11"/>
  <c r="D176" i="11"/>
  <c r="D153" i="11"/>
  <c r="D248" i="11"/>
  <c r="D227" i="11"/>
  <c r="D139" i="11"/>
  <c r="D238" i="11"/>
  <c r="D208" i="11"/>
  <c r="D61" i="11"/>
  <c r="D98" i="11"/>
  <c r="D171" i="11"/>
  <c r="D82" i="11"/>
  <c r="D177" i="11"/>
  <c r="D68" i="11"/>
  <c r="D9" i="11"/>
  <c r="D266" i="11"/>
  <c r="D90" i="11"/>
  <c r="D189" i="11"/>
  <c r="D34" i="11"/>
  <c r="D234" i="11"/>
  <c r="D257" i="11"/>
  <c r="D122" i="11"/>
  <c r="D24" i="11"/>
  <c r="D200" i="11"/>
  <c r="D97" i="11"/>
  <c r="D197" i="11"/>
  <c r="D21" i="11"/>
  <c r="D228" i="11"/>
  <c r="D167" i="11"/>
  <c r="D269" i="11"/>
  <c r="D69" i="11"/>
  <c r="D160" i="11"/>
  <c r="D36" i="11"/>
  <c r="D283" i="11"/>
  <c r="D89" i="11"/>
  <c r="D186" i="11"/>
  <c r="D124" i="11"/>
  <c r="D144" i="11"/>
  <c r="D250" i="11"/>
  <c r="D25" i="11"/>
  <c r="D243" i="11"/>
  <c r="D280" i="11"/>
  <c r="D27" i="11"/>
  <c r="D183" i="11"/>
  <c r="D237" i="11"/>
  <c r="D31" i="11"/>
  <c r="D173" i="11"/>
  <c r="D179" i="11"/>
  <c r="D213" i="11"/>
  <c r="D135" i="11"/>
  <c r="D268" i="11"/>
  <c r="D154" i="11"/>
  <c r="D262" i="11"/>
  <c r="D100" i="11"/>
  <c r="D72" i="11"/>
  <c r="D157" i="11"/>
  <c r="I8" i="5" l="1"/>
  <c r="H8" i="9"/>
  <c r="H20" i="9" l="1"/>
  <c r="H23" i="9" s="1"/>
  <c r="H11" i="9"/>
</calcChain>
</file>

<file path=xl/sharedStrings.xml><?xml version="1.0" encoding="utf-8"?>
<sst xmlns="http://schemas.openxmlformats.org/spreadsheetml/2006/main" count="460" uniqueCount="286">
  <si>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</si>
  <si>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</si>
  <si>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</si>
  <si>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</si>
  <si>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</si>
  <si>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</si>
  <si>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</si>
  <si>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</si>
  <si>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</si>
  <si>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</si>
  <si>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</si>
  <si>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</si>
  <si>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</si>
  <si>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</si>
  <si>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</si>
  <si>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Marketing, Lanzamiento y Proyección</t>
  </si>
  <si>
    <t>Campañas digitales (Google Ads o RRSS)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</si>
  <si>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</si>
  <si>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</si>
  <si>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</si>
  <si>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</si>
  <si>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</si>
  <si>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</si>
  <si>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</si>
  <si>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</si>
  <si>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</si>
  <si>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</si>
  <si>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</si>
  <si>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</si>
  <si>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</si>
  <si>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</si>
  <si>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</si>
  <si>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</si>
  <si>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</si>
  <si>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</si>
  <si>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</si>
  <si>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</si>
  <si>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</si>
  <si>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</si>
  <si>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</si>
  <si>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</si>
  <si>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</si>
  <si>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</si>
  <si>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</si>
  <si>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</si>
  <si>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</si>
  <si>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</si>
  <si>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</si>
  <si>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</si>
  <si>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</si>
  <si>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</si>
  <si>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</si>
  <si>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</si>
  <si>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</si>
  <si>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</si>
  <si>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</si>
  <si>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</si>
  <si>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</si>
  <si>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</si>
  <si>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</si>
  <si>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</si>
  <si>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</si>
  <si>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</si>
  <si>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</si>
  <si>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</si>
  <si>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</si>
  <si>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</si>
  <si>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</si>
  <si>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</si>
  <si>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</si>
  <si>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</si>
  <si>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</si>
  <si>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</si>
  <si>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</si>
  <si>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</si>
  <si>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</si>
  <si>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</si>
  <si>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</si>
  <si>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</si>
  <si>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</si>
  <si>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</si>
  <si>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</si>
  <si>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</si>
  <si>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</si>
  <si>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</si>
  <si>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</si>
  <si>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</si>
  <si>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</si>
  <si>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</si>
  <si>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</si>
  <si>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</si>
  <si>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</si>
  <si>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</si>
  <si>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</si>
  <si>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</si>
  <si>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</si>
  <si>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</si>
  <si>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</si>
  <si>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</si>
  <si>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</si>
  <si>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</si>
  <si>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</si>
  <si>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</si>
  <si>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</si>
  <si>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</si>
  <si>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</si>
  <si>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</si>
  <si>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</si>
  <si>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</si>
  <si>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</si>
  <si>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</si>
  <si>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</si>
  <si>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</si>
  <si>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</si>
  <si>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</si>
  <si>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</si>
  <si>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</si>
  <si>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</si>
  <si>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</si>
  <si>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</si>
  <si>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</si>
  <si>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</si>
  <si>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</si>
  <si>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</si>
  <si>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</si>
  <si>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</si>
  <si>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</si>
  <si>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</si>
  <si>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</si>
  <si>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</si>
  <si>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</si>
  <si>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</si>
  <si>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</si>
  <si>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</si>
  <si>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</si>
  <si>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</si>
  <si>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</si>
  <si>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</si>
  <si>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</si>
  <si>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</si>
  <si>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</si>
  <si>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</si>
  <si>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</si>
  <si>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</si>
  <si>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</si>
  <si>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</si>
  <si>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</si>
  <si>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</si>
  <si>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</si>
  <si>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</si>
  <si>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</si>
  <si>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</si>
  <si>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</si>
  <si>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</si>
  <si>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</si>
  <si>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</si>
  <si>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</si>
  <si>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</si>
  <si>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</si>
  <si>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</si>
  <si>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</si>
  <si>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</si>
  <si>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</si>
  <si>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</si>
  <si>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</si>
  <si>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</si>
  <si>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</si>
  <si>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</si>
  <si>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</si>
  <si>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</si>
  <si>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</si>
  <si>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</si>
  <si>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</si>
  <si>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</si>
  <si>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</si>
  <si>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</si>
  <si>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</si>
  <si>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</si>
  <si>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</si>
  <si>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</si>
  <si>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</si>
  <si>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</si>
  <si>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</si>
  <si>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</si>
  <si>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</si>
  <si>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</si>
  <si>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</si>
  <si>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</si>
  <si>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</si>
  <si>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</si>
  <si>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</si>
  <si>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</si>
  <si>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</si>
  <si>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</si>
  <si>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</si>
  <si>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</si>
  <si>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</si>
  <si>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</si>
  <si>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</si>
  <si>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</si>
  <si>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</si>
  <si>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</si>
  <si>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</si>
  <si>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</si>
  <si>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</si>
  <si>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</si>
  <si>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</si>
  <si>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</si>
  <si>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</si>
  <si>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Accesorios (Papelería, etc)</t>
  </si>
  <si>
    <t>Investigación UX (tesis y entrevistas)</t>
  </si>
  <si>
    <t>Diseño UI (mockups y prototipos)</t>
  </si>
  <si>
    <t>Producción audiovisual promocional</t>
  </si>
  <si>
    <t>Eventos y demostraciones (Material físico)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</si>
  <si>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</si>
  <si>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</si>
  <si>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</si>
  <si>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</si>
  <si>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</si>
  <si>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</si>
  <si>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</si>
  <si>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</si>
  <si>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</si>
  <si>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</si>
  <si>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</si>
  <si>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</si>
  <si>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</si>
  <si>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</si>
  <si>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</si>
  <si>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</si>
  <si>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</si>
  <si>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</si>
  <si>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</si>
  <si>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</si>
  <si>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</si>
  <si>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</si>
  <si>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</si>
  <si>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</si>
  <si>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</si>
  <si>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</si>
  <si>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</si>
  <si>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</si>
  <si>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</si>
  <si>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</si>
  <si>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</si>
  <si>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</si>
  <si>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</si>
  <si>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</si>
  <si>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</si>
  <si>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</si>
  <si>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</si>
  <si>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</si>
  <si>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</si>
  <si>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</si>
  <si>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Ingresos obtenidos por el negocio</t>
  </si>
  <si>
    <t>Costo de venta</t>
  </si>
  <si>
    <t>Total de Utilidad Bruta</t>
  </si>
  <si>
    <t>UTILIDAD PREVIO A IMPUESTOS</t>
  </si>
  <si>
    <t>Depreciación de aparatos</t>
  </si>
  <si>
    <t>Gastos fijos</t>
  </si>
  <si>
    <t>Gastos y productos financieros</t>
  </si>
  <si>
    <t>Total de Utilidad Previo a Impuestos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</si>
  <si>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</si>
  <si>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</si>
  <si>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</si>
  <si>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</si>
  <si>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</si>
  <si>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</si>
  <si>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</si>
  <si>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</si>
  <si>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</si>
  <si>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</si>
  <si>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</si>
  <si>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</si>
  <si>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</si>
  <si>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</si>
  <si>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</si>
  <si>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</si>
  <si>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</si>
  <si>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</si>
  <si>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</si>
  <si>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</si>
  <si>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</si>
  <si>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</si>
  <si>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de porduccion total</t>
  </si>
  <si>
    <t>Costos fijos (Gasto general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</si>
</sst>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Fill="1" applyBorder="1"/>
    <xf numFmtId="164" fontId="0" fillId="0" borderId="17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13" borderId="5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2" fillId="7" borderId="6" xfId="0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9" fontId="0" fillId="0" borderId="0" xfId="0" applyNumberFormat="1"/>
    <xf numFmtId="0" fontId="1" fillId="0" borderId="0" xfId="0" applyFont="1" applyAlignment="1"/>
    <xf numFmtId="4" fontId="0" fillId="0" borderId="0" xfId="0" applyNumberForma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3" fontId="0" fillId="0" borderId="4" xfId="0" applyNumberFormat="1" applyBorder="1"/>
    <xf numFmtId="165" fontId="0" fillId="0" borderId="0" xfId="0" applyNumberFormat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54872</c:v>
                </c:pt>
                <c:pt idx="2">
                  <c:v>109744</c:v>
                </c:pt>
                <c:pt idx="3">
                  <c:v>164616</c:v>
                </c:pt>
                <c:pt idx="4">
                  <c:v>219488</c:v>
                </c:pt>
                <c:pt idx="5">
                  <c:v>274360</c:v>
                </c:pt>
                <c:pt idx="6">
                  <c:v>329232</c:v>
                </c:pt>
                <c:pt idx="7">
                  <c:v>384104</c:v>
                </c:pt>
                <c:pt idx="8">
                  <c:v>438976</c:v>
                </c:pt>
                <c:pt idx="9">
                  <c:v>493848</c:v>
                </c:pt>
                <c:pt idx="10">
                  <c:v>548720</c:v>
                </c:pt>
                <c:pt idx="11">
                  <c:v>603592</c:v>
                </c:pt>
                <c:pt idx="12">
                  <c:v>658464</c:v>
                </c:pt>
                <c:pt idx="13">
                  <c:v>713336</c:v>
                </c:pt>
                <c:pt idx="14">
                  <c:v>768208</c:v>
                </c:pt>
                <c:pt idx="15">
                  <c:v>823080</c:v>
                </c:pt>
                <c:pt idx="16">
                  <c:v>877952</c:v>
                </c:pt>
                <c:pt idx="17">
                  <c:v>932824</c:v>
                </c:pt>
                <c:pt idx="18">
                  <c:v>987696</c:v>
                </c:pt>
                <c:pt idx="19">
                  <c:v>1042568</c:v>
                </c:pt>
                <c:pt idx="20">
                  <c:v>1097440</c:v>
                </c:pt>
                <c:pt idx="21">
                  <c:v>1152312</c:v>
                </c:pt>
                <c:pt idx="22">
                  <c:v>1207184</c:v>
                </c:pt>
                <c:pt idx="23">
                  <c:v>1262056</c:v>
                </c:pt>
                <c:pt idx="24">
                  <c:v>1316928</c:v>
                </c:pt>
                <c:pt idx="25">
                  <c:v>1371800</c:v>
                </c:pt>
                <c:pt idx="26">
                  <c:v>1426672</c:v>
                </c:pt>
                <c:pt idx="27">
                  <c:v>1481544</c:v>
                </c:pt>
                <c:pt idx="28">
                  <c:v>1536416</c:v>
                </c:pt>
                <c:pt idx="29">
                  <c:v>1591288</c:v>
                </c:pt>
                <c:pt idx="30">
                  <c:v>1646160</c:v>
                </c:pt>
                <c:pt idx="31">
                  <c:v>1701032</c:v>
                </c:pt>
                <c:pt idx="32">
                  <c:v>1755904</c:v>
                </c:pt>
                <c:pt idx="33">
                  <c:v>1810776</c:v>
                </c:pt>
                <c:pt idx="34">
                  <c:v>1865648</c:v>
                </c:pt>
                <c:pt idx="35">
                  <c:v>1920520</c:v>
                </c:pt>
                <c:pt idx="36">
                  <c:v>1975392</c:v>
                </c:pt>
                <c:pt idx="37">
                  <c:v>2030264</c:v>
                </c:pt>
                <c:pt idx="38">
                  <c:v>2085136</c:v>
                </c:pt>
                <c:pt idx="39">
                  <c:v>2140008</c:v>
                </c:pt>
                <c:pt idx="40">
                  <c:v>2194880</c:v>
                </c:pt>
                <c:pt idx="41">
                  <c:v>2249752</c:v>
                </c:pt>
                <c:pt idx="42">
                  <c:v>2304624</c:v>
                </c:pt>
                <c:pt idx="43">
                  <c:v>2359496</c:v>
                </c:pt>
                <c:pt idx="44">
                  <c:v>2414368</c:v>
                </c:pt>
                <c:pt idx="45">
                  <c:v>2469240</c:v>
                </c:pt>
                <c:pt idx="46">
                  <c:v>2524112</c:v>
                </c:pt>
                <c:pt idx="47">
                  <c:v>2578984</c:v>
                </c:pt>
                <c:pt idx="48">
                  <c:v>2633856</c:v>
                </c:pt>
                <c:pt idx="49">
                  <c:v>2688728</c:v>
                </c:pt>
                <c:pt idx="50">
                  <c:v>2743600</c:v>
                </c:pt>
                <c:pt idx="51">
                  <c:v>2798472</c:v>
                </c:pt>
                <c:pt idx="52">
                  <c:v>2853344</c:v>
                </c:pt>
                <c:pt idx="53">
                  <c:v>2908216</c:v>
                </c:pt>
                <c:pt idx="54">
                  <c:v>2963088</c:v>
                </c:pt>
                <c:pt idx="55">
                  <c:v>3017960</c:v>
                </c:pt>
                <c:pt idx="56">
                  <c:v>3072832</c:v>
                </c:pt>
                <c:pt idx="57">
                  <c:v>3127704</c:v>
                </c:pt>
                <c:pt idx="58">
                  <c:v>3182576</c:v>
                </c:pt>
                <c:pt idx="59">
                  <c:v>3237448</c:v>
                </c:pt>
                <c:pt idx="60">
                  <c:v>3292320</c:v>
                </c:pt>
                <c:pt idx="61">
                  <c:v>3347192</c:v>
                </c:pt>
                <c:pt idx="62">
                  <c:v>3402064</c:v>
                </c:pt>
                <c:pt idx="63">
                  <c:v>3456936</c:v>
                </c:pt>
                <c:pt idx="64">
                  <c:v>3511808</c:v>
                </c:pt>
                <c:pt idx="65">
                  <c:v>3566680</c:v>
                </c:pt>
                <c:pt idx="66">
                  <c:v>3621552</c:v>
                </c:pt>
                <c:pt idx="67">
                  <c:v>3676424</c:v>
                </c:pt>
                <c:pt idx="68">
                  <c:v>3731296</c:v>
                </c:pt>
                <c:pt idx="69">
                  <c:v>3786168</c:v>
                </c:pt>
                <c:pt idx="70">
                  <c:v>3841040</c:v>
                </c:pt>
                <c:pt idx="71">
                  <c:v>3895912</c:v>
                </c:pt>
                <c:pt idx="72">
                  <c:v>3950784</c:v>
                </c:pt>
                <c:pt idx="73">
                  <c:v>4005656</c:v>
                </c:pt>
                <c:pt idx="74">
                  <c:v>4060528</c:v>
                </c:pt>
                <c:pt idx="75">
                  <c:v>4115400</c:v>
                </c:pt>
                <c:pt idx="76">
                  <c:v>4170272</c:v>
                </c:pt>
                <c:pt idx="77">
                  <c:v>4225144</c:v>
                </c:pt>
                <c:pt idx="78">
                  <c:v>4280016</c:v>
                </c:pt>
                <c:pt idx="79">
                  <c:v>4334888</c:v>
                </c:pt>
                <c:pt idx="80">
                  <c:v>4389760</c:v>
                </c:pt>
                <c:pt idx="81">
                  <c:v>4444632</c:v>
                </c:pt>
                <c:pt idx="82">
                  <c:v>4499504</c:v>
                </c:pt>
                <c:pt idx="83">
                  <c:v>4554376</c:v>
                </c:pt>
                <c:pt idx="84">
                  <c:v>4609248</c:v>
                </c:pt>
                <c:pt idx="85">
                  <c:v>4664120</c:v>
                </c:pt>
                <c:pt idx="86">
                  <c:v>4718992</c:v>
                </c:pt>
                <c:pt idx="87">
                  <c:v>4773864</c:v>
                </c:pt>
                <c:pt idx="88">
                  <c:v>4828736</c:v>
                </c:pt>
                <c:pt idx="89">
                  <c:v>4883608</c:v>
                </c:pt>
                <c:pt idx="90">
                  <c:v>4938480</c:v>
                </c:pt>
                <c:pt idx="91">
                  <c:v>4993352</c:v>
                </c:pt>
                <c:pt idx="92">
                  <c:v>5048224</c:v>
                </c:pt>
                <c:pt idx="93">
                  <c:v>5103096</c:v>
                </c:pt>
                <c:pt idx="94">
                  <c:v>5157968</c:v>
                </c:pt>
                <c:pt idx="95">
                  <c:v>5212840</c:v>
                </c:pt>
                <c:pt idx="96">
                  <c:v>5267712</c:v>
                </c:pt>
                <c:pt idx="97">
                  <c:v>5322584</c:v>
                </c:pt>
                <c:pt idx="98">
                  <c:v>5377456</c:v>
                </c:pt>
                <c:pt idx="99">
                  <c:v>5432328</c:v>
                </c:pt>
                <c:pt idx="100">
                  <c:v>5487200</c:v>
                </c:pt>
                <c:pt idx="101">
                  <c:v>5542072</c:v>
                </c:pt>
                <c:pt idx="102">
                  <c:v>5596944</c:v>
                </c:pt>
                <c:pt idx="103">
                  <c:v>5651816</c:v>
                </c:pt>
                <c:pt idx="104">
                  <c:v>5706688</c:v>
                </c:pt>
                <c:pt idx="105">
                  <c:v>5761560</c:v>
                </c:pt>
                <c:pt idx="106">
                  <c:v>5816432</c:v>
                </c:pt>
                <c:pt idx="107">
                  <c:v>5871304</c:v>
                </c:pt>
                <c:pt idx="108">
                  <c:v>5926176</c:v>
                </c:pt>
                <c:pt idx="109">
                  <c:v>5981048</c:v>
                </c:pt>
                <c:pt idx="110">
                  <c:v>6035920</c:v>
                </c:pt>
                <c:pt idx="111">
                  <c:v>6090792</c:v>
                </c:pt>
                <c:pt idx="112">
                  <c:v>6145664</c:v>
                </c:pt>
                <c:pt idx="113">
                  <c:v>6200536</c:v>
                </c:pt>
                <c:pt idx="114">
                  <c:v>6255408</c:v>
                </c:pt>
                <c:pt idx="115">
                  <c:v>6310280</c:v>
                </c:pt>
                <c:pt idx="116">
                  <c:v>6365152</c:v>
                </c:pt>
                <c:pt idx="117">
                  <c:v>6420024</c:v>
                </c:pt>
                <c:pt idx="118">
                  <c:v>6474896</c:v>
                </c:pt>
                <c:pt idx="119">
                  <c:v>6529768</c:v>
                </c:pt>
                <c:pt idx="120">
                  <c:v>6584640</c:v>
                </c:pt>
                <c:pt idx="121">
                  <c:v>6639512</c:v>
                </c:pt>
                <c:pt idx="122">
                  <c:v>6694384</c:v>
                </c:pt>
                <c:pt idx="123">
                  <c:v>6749256</c:v>
                </c:pt>
                <c:pt idx="124">
                  <c:v>6804128</c:v>
                </c:pt>
                <c:pt idx="125">
                  <c:v>6859000</c:v>
                </c:pt>
                <c:pt idx="126">
                  <c:v>6913872</c:v>
                </c:pt>
                <c:pt idx="127">
                  <c:v>6968744</c:v>
                </c:pt>
                <c:pt idx="128">
                  <c:v>7023616</c:v>
                </c:pt>
                <c:pt idx="129">
                  <c:v>7078488</c:v>
                </c:pt>
                <c:pt idx="130">
                  <c:v>7133360</c:v>
                </c:pt>
                <c:pt idx="131">
                  <c:v>7188232</c:v>
                </c:pt>
                <c:pt idx="132">
                  <c:v>7243104</c:v>
                </c:pt>
                <c:pt idx="133">
                  <c:v>7297976</c:v>
                </c:pt>
                <c:pt idx="134">
                  <c:v>7352848</c:v>
                </c:pt>
                <c:pt idx="135">
                  <c:v>7407720</c:v>
                </c:pt>
                <c:pt idx="136">
                  <c:v>7462592</c:v>
                </c:pt>
                <c:pt idx="137">
                  <c:v>7517464</c:v>
                </c:pt>
                <c:pt idx="138">
                  <c:v>7572336</c:v>
                </c:pt>
                <c:pt idx="139">
                  <c:v>7627208</c:v>
                </c:pt>
                <c:pt idx="140">
                  <c:v>7682080</c:v>
                </c:pt>
                <c:pt idx="141">
                  <c:v>7736952</c:v>
                </c:pt>
                <c:pt idx="142">
                  <c:v>7791824</c:v>
                </c:pt>
                <c:pt idx="143">
                  <c:v>7846696</c:v>
                </c:pt>
                <c:pt idx="144">
                  <c:v>7901568</c:v>
                </c:pt>
                <c:pt idx="145">
                  <c:v>7956440</c:v>
                </c:pt>
                <c:pt idx="146">
                  <c:v>8011312</c:v>
                </c:pt>
                <c:pt idx="147">
                  <c:v>8066184</c:v>
                </c:pt>
                <c:pt idx="148">
                  <c:v>8121056</c:v>
                </c:pt>
                <c:pt idx="149">
                  <c:v>8175928</c:v>
                </c:pt>
                <c:pt idx="150">
                  <c:v>8230800</c:v>
                </c:pt>
                <c:pt idx="151">
                  <c:v>8285672</c:v>
                </c:pt>
                <c:pt idx="152">
                  <c:v>8340544</c:v>
                </c:pt>
                <c:pt idx="153">
                  <c:v>8395416</c:v>
                </c:pt>
                <c:pt idx="154">
                  <c:v>8450288</c:v>
                </c:pt>
                <c:pt idx="155">
                  <c:v>8505160</c:v>
                </c:pt>
                <c:pt idx="156">
                  <c:v>8560032</c:v>
                </c:pt>
                <c:pt idx="157">
                  <c:v>8614904</c:v>
                </c:pt>
                <c:pt idx="158">
                  <c:v>8669776</c:v>
                </c:pt>
                <c:pt idx="159">
                  <c:v>8724648</c:v>
                </c:pt>
                <c:pt idx="160">
                  <c:v>8779520</c:v>
                </c:pt>
                <c:pt idx="161">
                  <c:v>8834392</c:v>
                </c:pt>
                <c:pt idx="162">
                  <c:v>8889264</c:v>
                </c:pt>
                <c:pt idx="163">
                  <c:v>8944136</c:v>
                </c:pt>
                <c:pt idx="164">
                  <c:v>8999008</c:v>
                </c:pt>
                <c:pt idx="165">
                  <c:v>9053880</c:v>
                </c:pt>
                <c:pt idx="166">
                  <c:v>9108752</c:v>
                </c:pt>
                <c:pt idx="167">
                  <c:v>9163624</c:v>
                </c:pt>
                <c:pt idx="168">
                  <c:v>9218496</c:v>
                </c:pt>
                <c:pt idx="169">
                  <c:v>9273368</c:v>
                </c:pt>
                <c:pt idx="170">
                  <c:v>9328240</c:v>
                </c:pt>
                <c:pt idx="171">
                  <c:v>9383112</c:v>
                </c:pt>
                <c:pt idx="172">
                  <c:v>9437984</c:v>
                </c:pt>
                <c:pt idx="173">
                  <c:v>9492856</c:v>
                </c:pt>
                <c:pt idx="174">
                  <c:v>9547728</c:v>
                </c:pt>
                <c:pt idx="175">
                  <c:v>9602600</c:v>
                </c:pt>
                <c:pt idx="176">
                  <c:v>9657472</c:v>
                </c:pt>
                <c:pt idx="177">
                  <c:v>9712344</c:v>
                </c:pt>
                <c:pt idx="178">
                  <c:v>9767216</c:v>
                </c:pt>
                <c:pt idx="179">
                  <c:v>9822088</c:v>
                </c:pt>
                <c:pt idx="180">
                  <c:v>9876960</c:v>
                </c:pt>
                <c:pt idx="181">
                  <c:v>9931832</c:v>
                </c:pt>
                <c:pt idx="182">
                  <c:v>9986704</c:v>
                </c:pt>
                <c:pt idx="183">
                  <c:v>10041576</c:v>
                </c:pt>
                <c:pt idx="184">
                  <c:v>10096448</c:v>
                </c:pt>
                <c:pt idx="185">
                  <c:v>10151320</c:v>
                </c:pt>
                <c:pt idx="186">
                  <c:v>10206192</c:v>
                </c:pt>
                <c:pt idx="187">
                  <c:v>10261064</c:v>
                </c:pt>
                <c:pt idx="188">
                  <c:v>10315936</c:v>
                </c:pt>
                <c:pt idx="189">
                  <c:v>10370808</c:v>
                </c:pt>
                <c:pt idx="190">
                  <c:v>10425680</c:v>
                </c:pt>
                <c:pt idx="191">
                  <c:v>10480552</c:v>
                </c:pt>
                <c:pt idx="192">
                  <c:v>10535424</c:v>
                </c:pt>
                <c:pt idx="193">
                  <c:v>10590296</c:v>
                </c:pt>
                <c:pt idx="194">
                  <c:v>10645168</c:v>
                </c:pt>
                <c:pt idx="195">
                  <c:v>10700040</c:v>
                </c:pt>
                <c:pt idx="196">
                  <c:v>10754912</c:v>
                </c:pt>
                <c:pt idx="197">
                  <c:v>10809784</c:v>
                </c:pt>
                <c:pt idx="198">
                  <c:v>10864656</c:v>
                </c:pt>
                <c:pt idx="199">
                  <c:v>10919528</c:v>
                </c:pt>
                <c:pt idx="200">
                  <c:v>10974400</c:v>
                </c:pt>
                <c:pt idx="201">
                  <c:v>11029272</c:v>
                </c:pt>
                <c:pt idx="202">
                  <c:v>11084144</c:v>
                </c:pt>
                <c:pt idx="203">
                  <c:v>11139016</c:v>
                </c:pt>
                <c:pt idx="204">
                  <c:v>11193888</c:v>
                </c:pt>
                <c:pt idx="205">
                  <c:v>11248760</c:v>
                </c:pt>
                <c:pt idx="206">
                  <c:v>11303632</c:v>
                </c:pt>
                <c:pt idx="207">
                  <c:v>11358504</c:v>
                </c:pt>
                <c:pt idx="208">
                  <c:v>11413376</c:v>
                </c:pt>
                <c:pt idx="209">
                  <c:v>11468248</c:v>
                </c:pt>
                <c:pt idx="210">
                  <c:v>11523120</c:v>
                </c:pt>
                <c:pt idx="211">
                  <c:v>11577992</c:v>
                </c:pt>
                <c:pt idx="212">
                  <c:v>11632864</c:v>
                </c:pt>
                <c:pt idx="213">
                  <c:v>11687736</c:v>
                </c:pt>
                <c:pt idx="214">
                  <c:v>11742608</c:v>
                </c:pt>
                <c:pt idx="215">
                  <c:v>11797480</c:v>
                </c:pt>
                <c:pt idx="216">
                  <c:v>11852352</c:v>
                </c:pt>
                <c:pt idx="217">
                  <c:v>11907224</c:v>
                </c:pt>
                <c:pt idx="218">
                  <c:v>11962096</c:v>
                </c:pt>
                <c:pt idx="219">
                  <c:v>12016968</c:v>
                </c:pt>
                <c:pt idx="220">
                  <c:v>12071840</c:v>
                </c:pt>
                <c:pt idx="221">
                  <c:v>12126712</c:v>
                </c:pt>
                <c:pt idx="222">
                  <c:v>12181584</c:v>
                </c:pt>
                <c:pt idx="223">
                  <c:v>12236456</c:v>
                </c:pt>
                <c:pt idx="224">
                  <c:v>12291328</c:v>
                </c:pt>
                <c:pt idx="225">
                  <c:v>12346200</c:v>
                </c:pt>
                <c:pt idx="226">
                  <c:v>12401072</c:v>
                </c:pt>
                <c:pt idx="227">
                  <c:v>12455944</c:v>
                </c:pt>
                <c:pt idx="228">
                  <c:v>12510816</c:v>
                </c:pt>
                <c:pt idx="229">
                  <c:v>12565688</c:v>
                </c:pt>
                <c:pt idx="230">
                  <c:v>12620560</c:v>
                </c:pt>
                <c:pt idx="231">
                  <c:v>12675432</c:v>
                </c:pt>
                <c:pt idx="232">
                  <c:v>12730304</c:v>
                </c:pt>
                <c:pt idx="233">
                  <c:v>12785176</c:v>
                </c:pt>
                <c:pt idx="234">
                  <c:v>12840048</c:v>
                </c:pt>
                <c:pt idx="235">
                  <c:v>12894920</c:v>
                </c:pt>
                <c:pt idx="236">
                  <c:v>12949792</c:v>
                </c:pt>
                <c:pt idx="237">
                  <c:v>13004664</c:v>
                </c:pt>
                <c:pt idx="238">
                  <c:v>13059536</c:v>
                </c:pt>
                <c:pt idx="239">
                  <c:v>13114408</c:v>
                </c:pt>
                <c:pt idx="240">
                  <c:v>13169280</c:v>
                </c:pt>
                <c:pt idx="241">
                  <c:v>13224152</c:v>
                </c:pt>
                <c:pt idx="242">
                  <c:v>13279024</c:v>
                </c:pt>
                <c:pt idx="243">
                  <c:v>13333896</c:v>
                </c:pt>
                <c:pt idx="244">
                  <c:v>13388768</c:v>
                </c:pt>
                <c:pt idx="245">
                  <c:v>13443640</c:v>
                </c:pt>
                <c:pt idx="246">
                  <c:v>13498512</c:v>
                </c:pt>
                <c:pt idx="247">
                  <c:v>13553384</c:v>
                </c:pt>
                <c:pt idx="248">
                  <c:v>13608256</c:v>
                </c:pt>
                <c:pt idx="249">
                  <c:v>13663128</c:v>
                </c:pt>
                <c:pt idx="250">
                  <c:v>13718000</c:v>
                </c:pt>
                <c:pt idx="251">
                  <c:v>13772872</c:v>
                </c:pt>
                <c:pt idx="252">
                  <c:v>13827744</c:v>
                </c:pt>
                <c:pt idx="253">
                  <c:v>13882616</c:v>
                </c:pt>
                <c:pt idx="254">
                  <c:v>13937488</c:v>
                </c:pt>
                <c:pt idx="255">
                  <c:v>13992360</c:v>
                </c:pt>
                <c:pt idx="256">
                  <c:v>14047232</c:v>
                </c:pt>
                <c:pt idx="257">
                  <c:v>14102104</c:v>
                </c:pt>
                <c:pt idx="258">
                  <c:v>14156976</c:v>
                </c:pt>
                <c:pt idx="259">
                  <c:v>14211848</c:v>
                </c:pt>
                <c:pt idx="260">
                  <c:v>14266720</c:v>
                </c:pt>
                <c:pt idx="261">
                  <c:v>14321592</c:v>
                </c:pt>
                <c:pt idx="262">
                  <c:v>14376464</c:v>
                </c:pt>
                <c:pt idx="263">
                  <c:v>14431336</c:v>
                </c:pt>
                <c:pt idx="264">
                  <c:v>14486208</c:v>
                </c:pt>
                <c:pt idx="265">
                  <c:v>14541080</c:v>
                </c:pt>
                <c:pt idx="266">
                  <c:v>14595952</c:v>
                </c:pt>
                <c:pt idx="267">
                  <c:v>14650824</c:v>
                </c:pt>
                <c:pt idx="268">
                  <c:v>14705696</c:v>
                </c:pt>
                <c:pt idx="269">
                  <c:v>14760568</c:v>
                </c:pt>
                <c:pt idx="270">
                  <c:v>14815440</c:v>
                </c:pt>
                <c:pt idx="271">
                  <c:v>14870312</c:v>
                </c:pt>
                <c:pt idx="272">
                  <c:v>14925184</c:v>
                </c:pt>
                <c:pt idx="273">
                  <c:v>14980056</c:v>
                </c:pt>
                <c:pt idx="274">
                  <c:v>15034928</c:v>
                </c:pt>
                <c:pt idx="275">
                  <c:v>15089800</c:v>
                </c:pt>
                <c:pt idx="276">
                  <c:v>15144672</c:v>
                </c:pt>
                <c:pt idx="277">
                  <c:v>15199544</c:v>
                </c:pt>
                <c:pt idx="278">
                  <c:v>15254416</c:v>
                </c:pt>
                <c:pt idx="279">
                  <c:v>15309288</c:v>
                </c:pt>
                <c:pt idx="280">
                  <c:v>15364160</c:v>
                </c:pt>
                <c:pt idx="281">
                  <c:v>15419032</c:v>
                </c:pt>
                <c:pt idx="282">
                  <c:v>15473904</c:v>
                </c:pt>
                <c:pt idx="283">
                  <c:v>15528776</c:v>
                </c:pt>
                <c:pt idx="284">
                  <c:v>15583648</c:v>
                </c:pt>
                <c:pt idx="285">
                  <c:v>15638520</c:v>
                </c:pt>
                <c:pt idx="286">
                  <c:v>15693392</c:v>
                </c:pt>
                <c:pt idx="287">
                  <c:v>15748264</c:v>
                </c:pt>
                <c:pt idx="288">
                  <c:v>15803136</c:v>
                </c:pt>
                <c:pt idx="289">
                  <c:v>15858008</c:v>
                </c:pt>
                <c:pt idx="290">
                  <c:v>15912880</c:v>
                </c:pt>
                <c:pt idx="291">
                  <c:v>15967752</c:v>
                </c:pt>
                <c:pt idx="292">
                  <c:v>16022624</c:v>
                </c:pt>
                <c:pt idx="293">
                  <c:v>16077496</c:v>
                </c:pt>
                <c:pt idx="294">
                  <c:v>16132368</c:v>
                </c:pt>
                <c:pt idx="295">
                  <c:v>16187240</c:v>
                </c:pt>
                <c:pt idx="296">
                  <c:v>16242112</c:v>
                </c:pt>
                <c:pt idx="297">
                  <c:v>16296984</c:v>
                </c:pt>
                <c:pt idx="298">
                  <c:v>16351856</c:v>
                </c:pt>
                <c:pt idx="299">
                  <c:v>16406728</c:v>
                </c:pt>
                <c:pt idx="300">
                  <c:v>16461600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65297.68</c:v>
                </c:pt>
                <c:pt idx="2">
                  <c:v>130595.36</c:v>
                </c:pt>
                <c:pt idx="3">
                  <c:v>195893.04</c:v>
                </c:pt>
                <c:pt idx="4">
                  <c:v>261190.72</c:v>
                </c:pt>
                <c:pt idx="5">
                  <c:v>326488.40000000002</c:v>
                </c:pt>
                <c:pt idx="6">
                  <c:v>391786.08</c:v>
                </c:pt>
                <c:pt idx="7">
                  <c:v>457083.76</c:v>
                </c:pt>
                <c:pt idx="8">
                  <c:v>522381.44</c:v>
                </c:pt>
                <c:pt idx="9">
                  <c:v>587679.12</c:v>
                </c:pt>
                <c:pt idx="10">
                  <c:v>652976.80000000005</c:v>
                </c:pt>
                <c:pt idx="11">
                  <c:v>718274.48</c:v>
                </c:pt>
                <c:pt idx="12">
                  <c:v>783572.16</c:v>
                </c:pt>
                <c:pt idx="13">
                  <c:v>848869.84</c:v>
                </c:pt>
                <c:pt idx="14">
                  <c:v>914167.52</c:v>
                </c:pt>
                <c:pt idx="15">
                  <c:v>979465.2</c:v>
                </c:pt>
                <c:pt idx="16">
                  <c:v>1044762.88</c:v>
                </c:pt>
                <c:pt idx="17">
                  <c:v>1110060.56</c:v>
                </c:pt>
                <c:pt idx="18">
                  <c:v>1175358.24</c:v>
                </c:pt>
                <c:pt idx="19">
                  <c:v>1240655.92</c:v>
                </c:pt>
                <c:pt idx="20">
                  <c:v>1305953.6000000001</c:v>
                </c:pt>
                <c:pt idx="21">
                  <c:v>1371251.28</c:v>
                </c:pt>
                <c:pt idx="22">
                  <c:v>1436548.96</c:v>
                </c:pt>
                <c:pt idx="23">
                  <c:v>1501846.64</c:v>
                </c:pt>
                <c:pt idx="24">
                  <c:v>1567144.32</c:v>
                </c:pt>
                <c:pt idx="25">
                  <c:v>1632442</c:v>
                </c:pt>
                <c:pt idx="26">
                  <c:v>1697739.68</c:v>
                </c:pt>
                <c:pt idx="27">
                  <c:v>1763037.36</c:v>
                </c:pt>
                <c:pt idx="28">
                  <c:v>1828335.04</c:v>
                </c:pt>
                <c:pt idx="29">
                  <c:v>1893632.72</c:v>
                </c:pt>
                <c:pt idx="30">
                  <c:v>1958930.4</c:v>
                </c:pt>
                <c:pt idx="31">
                  <c:v>2024228.08</c:v>
                </c:pt>
                <c:pt idx="32">
                  <c:v>2089525.76</c:v>
                </c:pt>
                <c:pt idx="33">
                  <c:v>2154823.44</c:v>
                </c:pt>
                <c:pt idx="34">
                  <c:v>2220121.12</c:v>
                </c:pt>
                <c:pt idx="35">
                  <c:v>2285418.7999999998</c:v>
                </c:pt>
                <c:pt idx="36">
                  <c:v>2350716.48</c:v>
                </c:pt>
                <c:pt idx="37">
                  <c:v>2416014.16</c:v>
                </c:pt>
                <c:pt idx="38">
                  <c:v>2481311.84</c:v>
                </c:pt>
                <c:pt idx="39">
                  <c:v>2546609.52</c:v>
                </c:pt>
                <c:pt idx="40">
                  <c:v>2611907.2000000002</c:v>
                </c:pt>
                <c:pt idx="41">
                  <c:v>2677204.88</c:v>
                </c:pt>
                <c:pt idx="42">
                  <c:v>2742502.56</c:v>
                </c:pt>
                <c:pt idx="43">
                  <c:v>2807800.24</c:v>
                </c:pt>
                <c:pt idx="44">
                  <c:v>2873097.92</c:v>
                </c:pt>
                <c:pt idx="45">
                  <c:v>2938395.6</c:v>
                </c:pt>
                <c:pt idx="46">
                  <c:v>3003693.28</c:v>
                </c:pt>
                <c:pt idx="47">
                  <c:v>3068990.96</c:v>
                </c:pt>
                <c:pt idx="48">
                  <c:v>3134288.64</c:v>
                </c:pt>
                <c:pt idx="49">
                  <c:v>3199586.32</c:v>
                </c:pt>
                <c:pt idx="50">
                  <c:v>3264884</c:v>
                </c:pt>
                <c:pt idx="51">
                  <c:v>3330181.68</c:v>
                </c:pt>
                <c:pt idx="52">
                  <c:v>3395479.36</c:v>
                </c:pt>
                <c:pt idx="53">
                  <c:v>3460777.04</c:v>
                </c:pt>
                <c:pt idx="54">
                  <c:v>3526074.72</c:v>
                </c:pt>
                <c:pt idx="55">
                  <c:v>3591372.4</c:v>
                </c:pt>
                <c:pt idx="56">
                  <c:v>3656670.08</c:v>
                </c:pt>
                <c:pt idx="57">
                  <c:v>3721967.7600000002</c:v>
                </c:pt>
                <c:pt idx="58">
                  <c:v>3787265.44</c:v>
                </c:pt>
                <c:pt idx="59">
                  <c:v>3852563.12</c:v>
                </c:pt>
                <c:pt idx="60">
                  <c:v>3917860.8</c:v>
                </c:pt>
                <c:pt idx="61">
                  <c:v>3983158.48</c:v>
                </c:pt>
                <c:pt idx="62">
                  <c:v>4048456.16</c:v>
                </c:pt>
                <c:pt idx="63">
                  <c:v>4113753.84</c:v>
                </c:pt>
                <c:pt idx="64">
                  <c:v>4179051.52</c:v>
                </c:pt>
                <c:pt idx="65">
                  <c:v>4244349.2</c:v>
                </c:pt>
                <c:pt idx="66">
                  <c:v>4309646.88</c:v>
                </c:pt>
                <c:pt idx="67">
                  <c:v>4374944.5599999996</c:v>
                </c:pt>
                <c:pt idx="68">
                  <c:v>4440242.24</c:v>
                </c:pt>
                <c:pt idx="69">
                  <c:v>4505539.92</c:v>
                </c:pt>
                <c:pt idx="70">
                  <c:v>4570837.5999999996</c:v>
                </c:pt>
                <c:pt idx="71">
                  <c:v>4636135.28</c:v>
                </c:pt>
                <c:pt idx="72">
                  <c:v>4701432.96</c:v>
                </c:pt>
                <c:pt idx="73">
                  <c:v>4766730.6399999997</c:v>
                </c:pt>
                <c:pt idx="74">
                  <c:v>4832028.32</c:v>
                </c:pt>
                <c:pt idx="75">
                  <c:v>4897326</c:v>
                </c:pt>
                <c:pt idx="76">
                  <c:v>4962623.68</c:v>
                </c:pt>
                <c:pt idx="77">
                  <c:v>5027921.3600000003</c:v>
                </c:pt>
                <c:pt idx="78">
                  <c:v>5093219.04</c:v>
                </c:pt>
                <c:pt idx="79">
                  <c:v>5158516.72</c:v>
                </c:pt>
                <c:pt idx="80">
                  <c:v>5223814.4000000004</c:v>
                </c:pt>
                <c:pt idx="81">
                  <c:v>5289112.08</c:v>
                </c:pt>
                <c:pt idx="82">
                  <c:v>5354409.76</c:v>
                </c:pt>
                <c:pt idx="83">
                  <c:v>5419707.4400000004</c:v>
                </c:pt>
                <c:pt idx="84">
                  <c:v>5485005.1200000001</c:v>
                </c:pt>
                <c:pt idx="85">
                  <c:v>5550302.7999999998</c:v>
                </c:pt>
                <c:pt idx="86">
                  <c:v>5615600.4800000004</c:v>
                </c:pt>
                <c:pt idx="87">
                  <c:v>5680898.1600000001</c:v>
                </c:pt>
                <c:pt idx="88">
                  <c:v>5746195.8399999999</c:v>
                </c:pt>
                <c:pt idx="89">
                  <c:v>5811493.5200000005</c:v>
                </c:pt>
                <c:pt idx="90">
                  <c:v>5876791.2000000002</c:v>
                </c:pt>
                <c:pt idx="91">
                  <c:v>5942088.8799999999</c:v>
                </c:pt>
                <c:pt idx="92">
                  <c:v>6007386.5599999996</c:v>
                </c:pt>
                <c:pt idx="93">
                  <c:v>6072684.2400000002</c:v>
                </c:pt>
                <c:pt idx="94">
                  <c:v>6137981.9199999999</c:v>
                </c:pt>
                <c:pt idx="95">
                  <c:v>6203279.5999999996</c:v>
                </c:pt>
                <c:pt idx="96">
                  <c:v>6268577.2800000003</c:v>
                </c:pt>
                <c:pt idx="97">
                  <c:v>6333874.96</c:v>
                </c:pt>
                <c:pt idx="98">
                  <c:v>6399172.6399999997</c:v>
                </c:pt>
                <c:pt idx="99">
                  <c:v>6464470.3200000003</c:v>
                </c:pt>
                <c:pt idx="100">
                  <c:v>6529768</c:v>
                </c:pt>
                <c:pt idx="101">
                  <c:v>6595065.6799999997</c:v>
                </c:pt>
                <c:pt idx="102">
                  <c:v>6660363.3600000003</c:v>
                </c:pt>
                <c:pt idx="103">
                  <c:v>6725661.04</c:v>
                </c:pt>
                <c:pt idx="104">
                  <c:v>6790958.7199999997</c:v>
                </c:pt>
                <c:pt idx="105">
                  <c:v>6856256.4000000004</c:v>
                </c:pt>
                <c:pt idx="106">
                  <c:v>6921554.0800000001</c:v>
                </c:pt>
                <c:pt idx="107">
                  <c:v>6986851.7599999998</c:v>
                </c:pt>
                <c:pt idx="108">
                  <c:v>7052149.4400000004</c:v>
                </c:pt>
                <c:pt idx="109">
                  <c:v>7117447.1200000001</c:v>
                </c:pt>
                <c:pt idx="110">
                  <c:v>7182744.7999999998</c:v>
                </c:pt>
                <c:pt idx="111">
                  <c:v>7248042.4800000004</c:v>
                </c:pt>
                <c:pt idx="112">
                  <c:v>7313340.1600000001</c:v>
                </c:pt>
                <c:pt idx="113">
                  <c:v>7378637.8399999999</c:v>
                </c:pt>
                <c:pt idx="114">
                  <c:v>7443935.5200000005</c:v>
                </c:pt>
                <c:pt idx="115">
                  <c:v>7509233.2000000002</c:v>
                </c:pt>
                <c:pt idx="116">
                  <c:v>7574530.8799999999</c:v>
                </c:pt>
                <c:pt idx="117">
                  <c:v>7639828.5599999996</c:v>
                </c:pt>
                <c:pt idx="118">
                  <c:v>7705126.2400000002</c:v>
                </c:pt>
                <c:pt idx="119">
                  <c:v>7770423.9199999999</c:v>
                </c:pt>
                <c:pt idx="120">
                  <c:v>7835721.5999999996</c:v>
                </c:pt>
                <c:pt idx="121">
                  <c:v>7901019.2800000003</c:v>
                </c:pt>
                <c:pt idx="122">
                  <c:v>7966316.96</c:v>
                </c:pt>
                <c:pt idx="123">
                  <c:v>8031614.6399999997</c:v>
                </c:pt>
                <c:pt idx="124">
                  <c:v>8096912.3200000003</c:v>
                </c:pt>
                <c:pt idx="125">
                  <c:v>8162210</c:v>
                </c:pt>
                <c:pt idx="126">
                  <c:v>8227507.6799999997</c:v>
                </c:pt>
                <c:pt idx="127">
                  <c:v>8292805.3600000003</c:v>
                </c:pt>
                <c:pt idx="128">
                  <c:v>8358103.04</c:v>
                </c:pt>
                <c:pt idx="129">
                  <c:v>8423400.7200000007</c:v>
                </c:pt>
                <c:pt idx="130">
                  <c:v>8488698.4000000004</c:v>
                </c:pt>
                <c:pt idx="131">
                  <c:v>8553996.0800000001</c:v>
                </c:pt>
                <c:pt idx="132">
                  <c:v>8619293.7599999998</c:v>
                </c:pt>
                <c:pt idx="133">
                  <c:v>8684591.4399999995</c:v>
                </c:pt>
                <c:pt idx="134">
                  <c:v>8749889.1199999992</c:v>
                </c:pt>
                <c:pt idx="135">
                  <c:v>8815186.8000000007</c:v>
                </c:pt>
                <c:pt idx="136">
                  <c:v>8880484.4800000004</c:v>
                </c:pt>
                <c:pt idx="137">
                  <c:v>8945782.1600000001</c:v>
                </c:pt>
                <c:pt idx="138">
                  <c:v>9011079.8399999999</c:v>
                </c:pt>
                <c:pt idx="139">
                  <c:v>9076377.5199999996</c:v>
                </c:pt>
                <c:pt idx="140">
                  <c:v>9141675.1999999993</c:v>
                </c:pt>
                <c:pt idx="141">
                  <c:v>9206972.8800000008</c:v>
                </c:pt>
                <c:pt idx="142">
                  <c:v>9272270.5600000005</c:v>
                </c:pt>
                <c:pt idx="143">
                  <c:v>9337568.2400000002</c:v>
                </c:pt>
                <c:pt idx="144">
                  <c:v>9402865.9199999999</c:v>
                </c:pt>
                <c:pt idx="145">
                  <c:v>9468163.5999999996</c:v>
                </c:pt>
                <c:pt idx="146">
                  <c:v>9533461.2799999993</c:v>
                </c:pt>
                <c:pt idx="147">
                  <c:v>9598758.9600000009</c:v>
                </c:pt>
                <c:pt idx="148">
                  <c:v>9664056.6400000006</c:v>
                </c:pt>
                <c:pt idx="149">
                  <c:v>9729354.3200000003</c:v>
                </c:pt>
                <c:pt idx="150">
                  <c:v>9794652</c:v>
                </c:pt>
                <c:pt idx="151">
                  <c:v>9859949.6799999997</c:v>
                </c:pt>
                <c:pt idx="152">
                  <c:v>9925247.3599999994</c:v>
                </c:pt>
                <c:pt idx="153">
                  <c:v>9990545.040000001</c:v>
                </c:pt>
                <c:pt idx="154">
                  <c:v>10055842.720000001</c:v>
                </c:pt>
                <c:pt idx="155">
                  <c:v>10121140.4</c:v>
                </c:pt>
                <c:pt idx="156">
                  <c:v>10186438.08</c:v>
                </c:pt>
                <c:pt idx="157">
                  <c:v>10251735.76</c:v>
                </c:pt>
                <c:pt idx="158">
                  <c:v>10317033.439999999</c:v>
                </c:pt>
                <c:pt idx="159">
                  <c:v>10382331.119999999</c:v>
                </c:pt>
                <c:pt idx="160">
                  <c:v>10447628.800000001</c:v>
                </c:pt>
                <c:pt idx="161">
                  <c:v>10512926.48</c:v>
                </c:pt>
                <c:pt idx="162">
                  <c:v>10578224.16</c:v>
                </c:pt>
                <c:pt idx="163">
                  <c:v>10643521.84</c:v>
                </c:pt>
                <c:pt idx="164">
                  <c:v>10708819.52</c:v>
                </c:pt>
                <c:pt idx="165">
                  <c:v>10774117.199999999</c:v>
                </c:pt>
                <c:pt idx="166">
                  <c:v>10839414.880000001</c:v>
                </c:pt>
                <c:pt idx="167">
                  <c:v>10904712.560000001</c:v>
                </c:pt>
                <c:pt idx="168">
                  <c:v>10970010.24</c:v>
                </c:pt>
                <c:pt idx="169">
                  <c:v>11035307.92</c:v>
                </c:pt>
                <c:pt idx="170">
                  <c:v>11100605.6</c:v>
                </c:pt>
                <c:pt idx="171">
                  <c:v>11165903.279999999</c:v>
                </c:pt>
                <c:pt idx="172">
                  <c:v>11231200.960000001</c:v>
                </c:pt>
                <c:pt idx="173">
                  <c:v>11296498.640000001</c:v>
                </c:pt>
                <c:pt idx="174">
                  <c:v>11361796.32</c:v>
                </c:pt>
                <c:pt idx="175">
                  <c:v>11427094</c:v>
                </c:pt>
                <c:pt idx="176">
                  <c:v>11492391.68</c:v>
                </c:pt>
                <c:pt idx="177">
                  <c:v>11557689.359999999</c:v>
                </c:pt>
                <c:pt idx="178">
                  <c:v>11622987.040000001</c:v>
                </c:pt>
                <c:pt idx="179">
                  <c:v>11688284.720000001</c:v>
                </c:pt>
                <c:pt idx="180">
                  <c:v>11753582.4</c:v>
                </c:pt>
                <c:pt idx="181">
                  <c:v>11818880.08</c:v>
                </c:pt>
                <c:pt idx="182">
                  <c:v>11884177.76</c:v>
                </c:pt>
                <c:pt idx="183">
                  <c:v>11949475.439999999</c:v>
                </c:pt>
                <c:pt idx="184">
                  <c:v>12014773.119999999</c:v>
                </c:pt>
                <c:pt idx="185">
                  <c:v>12080070.800000001</c:v>
                </c:pt>
                <c:pt idx="186">
                  <c:v>12145368.48</c:v>
                </c:pt>
                <c:pt idx="187">
                  <c:v>12210666.16</c:v>
                </c:pt>
                <c:pt idx="188">
                  <c:v>12275963.84</c:v>
                </c:pt>
                <c:pt idx="189">
                  <c:v>12341261.52</c:v>
                </c:pt>
                <c:pt idx="190">
                  <c:v>12406559.199999999</c:v>
                </c:pt>
                <c:pt idx="191">
                  <c:v>12471856.880000001</c:v>
                </c:pt>
                <c:pt idx="192">
                  <c:v>12537154.560000001</c:v>
                </c:pt>
                <c:pt idx="193">
                  <c:v>12602452.24</c:v>
                </c:pt>
                <c:pt idx="194">
                  <c:v>12667749.92</c:v>
                </c:pt>
                <c:pt idx="195">
                  <c:v>12733047.6</c:v>
                </c:pt>
                <c:pt idx="196">
                  <c:v>12798345.279999999</c:v>
                </c:pt>
                <c:pt idx="197">
                  <c:v>12863642.960000001</c:v>
                </c:pt>
                <c:pt idx="198">
                  <c:v>12928940.640000001</c:v>
                </c:pt>
                <c:pt idx="199">
                  <c:v>12994238.32</c:v>
                </c:pt>
                <c:pt idx="200">
                  <c:v>13059536</c:v>
                </c:pt>
                <c:pt idx="201">
                  <c:v>13124833.68</c:v>
                </c:pt>
                <c:pt idx="202">
                  <c:v>13190131.359999999</c:v>
                </c:pt>
                <c:pt idx="203">
                  <c:v>13255429.040000001</c:v>
                </c:pt>
                <c:pt idx="204">
                  <c:v>13320726.720000001</c:v>
                </c:pt>
                <c:pt idx="205">
                  <c:v>13386024.4</c:v>
                </c:pt>
                <c:pt idx="206">
                  <c:v>13451322.08</c:v>
                </c:pt>
                <c:pt idx="207">
                  <c:v>13516619.76</c:v>
                </c:pt>
                <c:pt idx="208">
                  <c:v>13581917.439999999</c:v>
                </c:pt>
                <c:pt idx="209">
                  <c:v>13647215.119999999</c:v>
                </c:pt>
                <c:pt idx="210">
                  <c:v>13712512.800000001</c:v>
                </c:pt>
                <c:pt idx="211">
                  <c:v>13777810.48</c:v>
                </c:pt>
                <c:pt idx="212">
                  <c:v>13843108.16</c:v>
                </c:pt>
                <c:pt idx="213">
                  <c:v>13908405.84</c:v>
                </c:pt>
                <c:pt idx="214">
                  <c:v>13973703.52</c:v>
                </c:pt>
                <c:pt idx="215">
                  <c:v>14039001.199999999</c:v>
                </c:pt>
                <c:pt idx="216">
                  <c:v>14104298.880000001</c:v>
                </c:pt>
                <c:pt idx="217">
                  <c:v>14169596.560000001</c:v>
                </c:pt>
                <c:pt idx="218">
                  <c:v>14234894.24</c:v>
                </c:pt>
                <c:pt idx="219">
                  <c:v>14300191.92</c:v>
                </c:pt>
                <c:pt idx="220">
                  <c:v>14365489.6</c:v>
                </c:pt>
                <c:pt idx="221">
                  <c:v>14430787.279999999</c:v>
                </c:pt>
                <c:pt idx="222">
                  <c:v>14496084.960000001</c:v>
                </c:pt>
                <c:pt idx="223">
                  <c:v>14561382.640000001</c:v>
                </c:pt>
                <c:pt idx="224">
                  <c:v>14626680.32</c:v>
                </c:pt>
                <c:pt idx="225">
                  <c:v>14691978</c:v>
                </c:pt>
                <c:pt idx="226">
                  <c:v>14757275.68</c:v>
                </c:pt>
                <c:pt idx="227">
                  <c:v>14822573.359999999</c:v>
                </c:pt>
                <c:pt idx="228">
                  <c:v>14887871.040000001</c:v>
                </c:pt>
                <c:pt idx="229">
                  <c:v>14953168.720000001</c:v>
                </c:pt>
                <c:pt idx="230">
                  <c:v>15018466.4</c:v>
                </c:pt>
                <c:pt idx="231">
                  <c:v>15083764.08</c:v>
                </c:pt>
                <c:pt idx="232">
                  <c:v>15149061.76</c:v>
                </c:pt>
                <c:pt idx="233">
                  <c:v>15214359.439999999</c:v>
                </c:pt>
                <c:pt idx="234">
                  <c:v>15279657.119999999</c:v>
                </c:pt>
                <c:pt idx="235">
                  <c:v>15344954.800000001</c:v>
                </c:pt>
                <c:pt idx="236">
                  <c:v>15410252.48</c:v>
                </c:pt>
                <c:pt idx="237">
                  <c:v>15475550.16</c:v>
                </c:pt>
                <c:pt idx="238">
                  <c:v>15540847.84</c:v>
                </c:pt>
                <c:pt idx="239">
                  <c:v>15606145.52</c:v>
                </c:pt>
                <c:pt idx="240">
                  <c:v>15671443.199999999</c:v>
                </c:pt>
                <c:pt idx="241">
                  <c:v>15736740.880000001</c:v>
                </c:pt>
                <c:pt idx="242">
                  <c:v>15802038.560000001</c:v>
                </c:pt>
                <c:pt idx="243">
                  <c:v>15867336.24</c:v>
                </c:pt>
                <c:pt idx="244">
                  <c:v>15932633.92</c:v>
                </c:pt>
                <c:pt idx="245">
                  <c:v>15997931.6</c:v>
                </c:pt>
                <c:pt idx="246">
                  <c:v>16063229.279999999</c:v>
                </c:pt>
                <c:pt idx="247">
                  <c:v>16128526.960000001</c:v>
                </c:pt>
                <c:pt idx="248">
                  <c:v>16193824.640000001</c:v>
                </c:pt>
                <c:pt idx="249">
                  <c:v>16259122.32</c:v>
                </c:pt>
                <c:pt idx="250">
                  <c:v>16324420</c:v>
                </c:pt>
                <c:pt idx="251">
                  <c:v>16389717.68</c:v>
                </c:pt>
                <c:pt idx="252">
                  <c:v>16455015.359999999</c:v>
                </c:pt>
                <c:pt idx="253">
                  <c:v>16520313.040000001</c:v>
                </c:pt>
                <c:pt idx="254">
                  <c:v>16585610.720000001</c:v>
                </c:pt>
                <c:pt idx="255">
                  <c:v>16650908.4</c:v>
                </c:pt>
                <c:pt idx="256">
                  <c:v>16716206.08</c:v>
                </c:pt>
                <c:pt idx="257">
                  <c:v>16781503.760000002</c:v>
                </c:pt>
                <c:pt idx="258">
                  <c:v>16846801.440000001</c:v>
                </c:pt>
                <c:pt idx="259">
                  <c:v>16912099.120000001</c:v>
                </c:pt>
                <c:pt idx="260">
                  <c:v>16977396.800000001</c:v>
                </c:pt>
                <c:pt idx="261">
                  <c:v>17042694.48</c:v>
                </c:pt>
                <c:pt idx="262">
                  <c:v>17107992.16</c:v>
                </c:pt>
                <c:pt idx="263">
                  <c:v>17173289.84</c:v>
                </c:pt>
                <c:pt idx="264">
                  <c:v>17238587.52</c:v>
                </c:pt>
                <c:pt idx="265">
                  <c:v>17303885.199999999</c:v>
                </c:pt>
                <c:pt idx="266">
                  <c:v>17369182.879999999</c:v>
                </c:pt>
                <c:pt idx="267">
                  <c:v>17434480.559999999</c:v>
                </c:pt>
                <c:pt idx="268">
                  <c:v>17499778.239999998</c:v>
                </c:pt>
                <c:pt idx="269">
                  <c:v>17565075.920000002</c:v>
                </c:pt>
                <c:pt idx="270">
                  <c:v>17630373.600000001</c:v>
                </c:pt>
                <c:pt idx="271">
                  <c:v>17695671.280000001</c:v>
                </c:pt>
                <c:pt idx="272">
                  <c:v>17760968.960000001</c:v>
                </c:pt>
                <c:pt idx="273">
                  <c:v>17826266.640000001</c:v>
                </c:pt>
                <c:pt idx="274">
                  <c:v>17891564.32</c:v>
                </c:pt>
                <c:pt idx="275">
                  <c:v>17956862</c:v>
                </c:pt>
                <c:pt idx="276">
                  <c:v>18022159.68</c:v>
                </c:pt>
                <c:pt idx="277">
                  <c:v>18087457.359999999</c:v>
                </c:pt>
                <c:pt idx="278">
                  <c:v>18152755.039999999</c:v>
                </c:pt>
                <c:pt idx="279">
                  <c:v>18218052.719999999</c:v>
                </c:pt>
                <c:pt idx="280">
                  <c:v>18283350.399999999</c:v>
                </c:pt>
                <c:pt idx="281">
                  <c:v>18348648.080000002</c:v>
                </c:pt>
                <c:pt idx="282">
                  <c:v>18413945.760000002</c:v>
                </c:pt>
                <c:pt idx="283">
                  <c:v>18479243.440000001</c:v>
                </c:pt>
                <c:pt idx="284">
                  <c:v>18544541.120000001</c:v>
                </c:pt>
                <c:pt idx="285">
                  <c:v>18609838.800000001</c:v>
                </c:pt>
                <c:pt idx="286">
                  <c:v>18675136.48</c:v>
                </c:pt>
                <c:pt idx="287">
                  <c:v>18740434.16</c:v>
                </c:pt>
                <c:pt idx="288">
                  <c:v>18805731.84</c:v>
                </c:pt>
                <c:pt idx="289">
                  <c:v>18871029.52</c:v>
                </c:pt>
                <c:pt idx="290">
                  <c:v>18936327.199999999</c:v>
                </c:pt>
                <c:pt idx="291">
                  <c:v>19001624.879999999</c:v>
                </c:pt>
                <c:pt idx="292">
                  <c:v>19066922.559999999</c:v>
                </c:pt>
                <c:pt idx="293">
                  <c:v>19132220.239999998</c:v>
                </c:pt>
                <c:pt idx="294">
                  <c:v>19197517.920000002</c:v>
                </c:pt>
                <c:pt idx="295">
                  <c:v>19262815.600000001</c:v>
                </c:pt>
                <c:pt idx="296">
                  <c:v>19328113.280000001</c:v>
                </c:pt>
                <c:pt idx="297">
                  <c:v>19393410.960000001</c:v>
                </c:pt>
                <c:pt idx="298">
                  <c:v>19458708.640000001</c:v>
                </c:pt>
                <c:pt idx="299">
                  <c:v>19524006.32</c:v>
                </c:pt>
                <c:pt idx="300">
                  <c:v>19589304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>
        <row r="23">
          <cell r="C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8">
          <cell r="I8"/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1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3" t="s">
        <v>0</v>
      </c>
      <c r="B1" s="114"/>
    </row>
    <row r="2" spans="1:4" x14ac:dyDescent="0.25">
      <c r="A2" s="1" t="s">
        <v>1</v>
      </c>
      <c r="B2" s="1" t="s">
        <v>2</v>
      </c>
    </row>
    <row r="3" spans="1:4" x14ac:dyDescent="0.25">
      <c r="A3" s="195" t="s">
        <v>204</v>
      </c>
      <c r="B3" s="3">
        <f>B25</f>
        <v>5000000</v>
      </c>
    </row>
    <row r="4" spans="1:4" x14ac:dyDescent="0.25">
      <c r="A4" s="195" t="s">
        <v>203</v>
      </c>
      <c r="B4" s="3">
        <f>B33</f>
        <v>3740000</v>
      </c>
    </row>
    <row r="5" spans="1:4" x14ac:dyDescent="0.25">
      <c r="A5" s="195" t="s">
        <v>3</v>
      </c>
      <c r="B5" s="3">
        <f>D18</f>
        <v>9100000</v>
      </c>
    </row>
    <row r="6" spans="1:4" x14ac:dyDescent="0.25">
      <c r="A6" s="195" t="s">
        <v>4</v>
      </c>
      <c r="B6" s="3">
        <f>B41</f>
        <v>16000000</v>
      </c>
    </row>
    <row r="7" spans="1:4" x14ac:dyDescent="0.25">
      <c r="A7" s="195" t="s">
        <v>5</v>
      </c>
      <c r="B7" s="3">
        <f>B48</f>
        <v>6000000</v>
      </c>
    </row>
    <row r="8" spans="1:4" x14ac:dyDescent="0.25">
      <c r="A8" s="195" t="s">
        <v>6</v>
      </c>
      <c r="B8" s="3">
        <f>B56</f>
        <v>3700000</v>
      </c>
    </row>
    <row r="9" spans="1:4" x14ac:dyDescent="0.25">
      <c r="A9" s="195" t="s">
        <v>251</v>
      </c>
      <c r="B9" s="3">
        <f>B60</f>
        <v>1000000</v>
      </c>
    </row>
    <row r="10" spans="1:4" x14ac:dyDescent="0.25">
      <c r="A10" s="4" t="s">
        <v>41</v>
      </c>
      <c r="B10" s="5">
        <f>SUM(B3:B8)</f>
        <v>43540000</v>
      </c>
    </row>
    <row r="11" spans="1:4" ht="15.75" thickBot="1" x14ac:dyDescent="0.3"/>
    <row r="12" spans="1:4" ht="15.75" thickBot="1" x14ac:dyDescent="0.3">
      <c r="A12" s="115" t="s">
        <v>200</v>
      </c>
      <c r="B12" s="116"/>
      <c r="C12" s="116"/>
      <c r="D12" s="117"/>
    </row>
    <row r="13" spans="1:4" x14ac:dyDescent="0.25">
      <c r="A13" s="108" t="s">
        <v>8</v>
      </c>
      <c r="B13" s="108" t="s">
        <v>9</v>
      </c>
      <c r="C13" s="108" t="s">
        <v>10</v>
      </c>
      <c r="D13" s="108" t="s">
        <v>11</v>
      </c>
    </row>
    <row r="14" spans="1:4" x14ac:dyDescent="0.25">
      <c r="A14" s="6" t="s">
        <v>207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12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208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6" t="s">
        <v>209</v>
      </c>
      <c r="B17" s="6">
        <v>2</v>
      </c>
      <c r="C17" s="7">
        <v>450000</v>
      </c>
      <c r="D17" s="7">
        <f>C17*B17</f>
        <v>900000</v>
      </c>
    </row>
    <row r="18" spans="1:4" x14ac:dyDescent="0.25">
      <c r="A18" s="105" t="s">
        <v>7</v>
      </c>
      <c r="B18" s="106"/>
      <c r="C18" s="107"/>
      <c r="D18" s="5">
        <f>SUM(D14:D17)</f>
        <v>9100000</v>
      </c>
    </row>
    <row r="19" spans="1:4" ht="15.75" thickBot="1" x14ac:dyDescent="0.3"/>
    <row r="20" spans="1:4" ht="15.75" thickBot="1" x14ac:dyDescent="0.3">
      <c r="A20" s="115" t="s">
        <v>201</v>
      </c>
      <c r="B20" s="117"/>
    </row>
    <row r="21" spans="1:4" x14ac:dyDescent="0.25">
      <c r="A21" s="108" t="s">
        <v>8</v>
      </c>
      <c r="B21" s="108" t="s">
        <v>2</v>
      </c>
    </row>
    <row r="22" spans="1:4" x14ac:dyDescent="0.25">
      <c r="A22" s="8" t="s">
        <v>210</v>
      </c>
      <c r="B22" s="7">
        <v>1500000</v>
      </c>
    </row>
    <row r="23" spans="1:4" x14ac:dyDescent="0.25">
      <c r="A23" s="8" t="s">
        <v>211</v>
      </c>
      <c r="B23" s="7">
        <v>2000000</v>
      </c>
    </row>
    <row r="24" spans="1:4" x14ac:dyDescent="0.25">
      <c r="A24" s="8" t="s">
        <v>14</v>
      </c>
      <c r="B24" s="7">
        <v>1500000</v>
      </c>
    </row>
    <row r="25" spans="1:4" x14ac:dyDescent="0.25">
      <c r="A25" s="9" t="s">
        <v>7</v>
      </c>
      <c r="B25" s="10">
        <f>SUM(B22:B24)</f>
        <v>5000000</v>
      </c>
    </row>
    <row r="26" spans="1:4" ht="15.75" thickBot="1" x14ac:dyDescent="0.3"/>
    <row r="27" spans="1:4" ht="15.75" thickBot="1" x14ac:dyDescent="0.3">
      <c r="A27" s="115" t="s">
        <v>202</v>
      </c>
      <c r="B27" s="117"/>
    </row>
    <row r="28" spans="1:4" x14ac:dyDescent="0.25">
      <c r="A28" s="108" t="s">
        <v>8</v>
      </c>
      <c r="B28" s="108" t="s">
        <v>2</v>
      </c>
    </row>
    <row r="29" spans="1:4" x14ac:dyDescent="0.25">
      <c r="A29" s="8" t="s">
        <v>215</v>
      </c>
      <c r="B29" s="7">
        <v>920000</v>
      </c>
    </row>
    <row r="30" spans="1:4" x14ac:dyDescent="0.25">
      <c r="A30" s="8" t="s">
        <v>216</v>
      </c>
      <c r="B30" s="7">
        <v>1300000</v>
      </c>
    </row>
    <row r="31" spans="1:4" x14ac:dyDescent="0.25">
      <c r="A31" s="8" t="s">
        <v>217</v>
      </c>
      <c r="B31" s="7">
        <v>600000</v>
      </c>
    </row>
    <row r="32" spans="1:4" x14ac:dyDescent="0.25">
      <c r="A32" s="8" t="s">
        <v>218</v>
      </c>
      <c r="B32" s="7">
        <v>920000</v>
      </c>
    </row>
    <row r="33" spans="1:2" x14ac:dyDescent="0.25">
      <c r="A33" s="9" t="s">
        <v>7</v>
      </c>
      <c r="B33" s="10">
        <f>SUM(B29:B32)</f>
        <v>3740000</v>
      </c>
    </row>
    <row r="34" spans="1:2" ht="15.75" thickBot="1" x14ac:dyDescent="0.3"/>
    <row r="35" spans="1:2" ht="15.75" thickBot="1" x14ac:dyDescent="0.3">
      <c r="A35" s="115" t="s">
        <v>15</v>
      </c>
      <c r="B35" s="117"/>
    </row>
    <row r="36" spans="1:2" x14ac:dyDescent="0.25">
      <c r="A36" s="108" t="s">
        <v>8</v>
      </c>
      <c r="B36" s="108" t="s">
        <v>2</v>
      </c>
    </row>
    <row r="37" spans="1:2" x14ac:dyDescent="0.25">
      <c r="A37" s="8" t="s">
        <v>214</v>
      </c>
      <c r="B37" s="7">
        <v>3500000</v>
      </c>
    </row>
    <row r="38" spans="1:2" x14ac:dyDescent="0.25">
      <c r="A38" s="8" t="s">
        <v>16</v>
      </c>
      <c r="B38" s="7">
        <v>7000000</v>
      </c>
    </row>
    <row r="39" spans="1:2" x14ac:dyDescent="0.25">
      <c r="A39" s="8" t="s">
        <v>212</v>
      </c>
      <c r="B39" s="7">
        <v>3500000</v>
      </c>
    </row>
    <row r="40" spans="1:2" x14ac:dyDescent="0.25">
      <c r="A40" s="8" t="s">
        <v>213</v>
      </c>
      <c r="B40" s="7">
        <v>2000000</v>
      </c>
    </row>
    <row r="41" spans="1:2" x14ac:dyDescent="0.25">
      <c r="A41" s="9" t="s">
        <v>7</v>
      </c>
      <c r="B41" s="10">
        <f>SUM(B37:B40)</f>
        <v>16000000</v>
      </c>
    </row>
    <row r="42" spans="1:2" ht="15.75" thickBot="1" x14ac:dyDescent="0.3"/>
    <row r="43" spans="1:2" ht="15.75" thickBot="1" x14ac:dyDescent="0.3">
      <c r="A43" s="115" t="s">
        <v>17</v>
      </c>
      <c r="B43" s="117"/>
    </row>
    <row r="44" spans="1:2" x14ac:dyDescent="0.25">
      <c r="A44" s="108" t="s">
        <v>8</v>
      </c>
      <c r="B44" s="108" t="s">
        <v>2</v>
      </c>
    </row>
    <row r="45" spans="1:2" x14ac:dyDescent="0.25">
      <c r="A45" s="8" t="s">
        <v>219</v>
      </c>
      <c r="B45" s="7">
        <v>2000000</v>
      </c>
    </row>
    <row r="46" spans="1:2" x14ac:dyDescent="0.25">
      <c r="A46" s="8" t="s">
        <v>220</v>
      </c>
      <c r="B46" s="7">
        <v>2000000</v>
      </c>
    </row>
    <row r="47" spans="1:2" x14ac:dyDescent="0.25">
      <c r="A47" s="8" t="s">
        <v>221</v>
      </c>
      <c r="B47" s="7">
        <v>2000000</v>
      </c>
    </row>
    <row r="48" spans="1:2" x14ac:dyDescent="0.25">
      <c r="A48" s="9" t="s">
        <v>7</v>
      </c>
      <c r="B48" s="10">
        <f>SUM(B45:B47)</f>
        <v>6000000</v>
      </c>
    </row>
    <row r="49" spans="1:2" ht="15.75" thickBot="1" x14ac:dyDescent="0.3"/>
    <row r="50" spans="1:2" ht="15.75" thickBot="1" x14ac:dyDescent="0.3">
      <c r="A50" s="115" t="s">
        <v>18</v>
      </c>
      <c r="B50" s="117"/>
    </row>
    <row r="51" spans="1:2" x14ac:dyDescent="0.25">
      <c r="A51" s="108" t="s">
        <v>8</v>
      </c>
      <c r="B51" s="108" t="s">
        <v>2</v>
      </c>
    </row>
    <row r="52" spans="1:2" x14ac:dyDescent="0.25">
      <c r="A52" s="8" t="s">
        <v>222</v>
      </c>
      <c r="B52" s="7">
        <v>1500000</v>
      </c>
    </row>
    <row r="53" spans="1:2" x14ac:dyDescent="0.25">
      <c r="A53" s="8" t="s">
        <v>223</v>
      </c>
      <c r="B53" s="7">
        <v>1000000</v>
      </c>
    </row>
    <row r="54" spans="1:2" x14ac:dyDescent="0.25">
      <c r="A54" s="8" t="s">
        <v>224</v>
      </c>
      <c r="B54" s="7">
        <v>200000</v>
      </c>
    </row>
    <row r="55" spans="1:2" x14ac:dyDescent="0.25">
      <c r="A55" s="8" t="s">
        <v>19</v>
      </c>
      <c r="B55" s="7">
        <v>1000000</v>
      </c>
    </row>
    <row r="56" spans="1:2" x14ac:dyDescent="0.25">
      <c r="A56" s="9" t="s">
        <v>7</v>
      </c>
      <c r="B56" s="10">
        <f>SUM(B52:B55)</f>
        <v>3700000</v>
      </c>
    </row>
    <row r="57" spans="1:2" ht="15.75" thickBot="1" x14ac:dyDescent="0.3"/>
    <row r="58" spans="1:2" ht="15.75" thickBot="1" x14ac:dyDescent="0.3">
      <c r="A58" s="115" t="s">
        <v>132</v>
      </c>
      <c r="B58" s="117"/>
    </row>
    <row r="59" spans="1:2" x14ac:dyDescent="0.25">
      <c r="A59" s="108" t="s">
        <v>8</v>
      </c>
      <c r="B59" s="108" t="s">
        <v>2</v>
      </c>
    </row>
    <row r="60" spans="1:2" x14ac:dyDescent="0.25">
      <c r="A60" s="8" t="s">
        <v>250</v>
      </c>
      <c r="B60" s="7">
        <v>1000000</v>
      </c>
    </row>
    <row r="61" spans="1:2" x14ac:dyDescent="0.25">
      <c r="A61" s="9" t="s">
        <v>7</v>
      </c>
      <c r="B61" s="10">
        <f>SUM(B60)</f>
        <v>1000000</v>
      </c>
    </row>
  </sheetData>
  <mergeCells count="8">
    <mergeCell ref="A50:B50"/>
    <mergeCell ref="A58:B58"/>
    <mergeCell ref="A1:B1"/>
    <mergeCell ref="A12:D12"/>
    <mergeCell ref="A20:B20"/>
    <mergeCell ref="A27:B27"/>
    <mergeCell ref="A35:B35"/>
    <mergeCell ref="A43:B4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8"/>
  <sheetViews>
    <sheetView showGridLines="0" topLeftCell="E1" zoomScale="115" zoomScaleNormal="115" workbookViewId="0">
      <selection activeCell="P17" sqref="P17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0" t="s">
        <v>20</v>
      </c>
      <c r="B1" s="125"/>
      <c r="C1" s="125"/>
      <c r="D1" s="131"/>
      <c r="F1" s="124" t="s">
        <v>21</v>
      </c>
      <c r="G1" s="125"/>
      <c r="H1" s="125"/>
      <c r="I1" s="125"/>
      <c r="J1" s="125"/>
      <c r="K1" s="125"/>
      <c r="L1" s="125"/>
      <c r="M1" s="125"/>
      <c r="N1" s="126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32" t="s">
        <v>22</v>
      </c>
      <c r="B2" s="132"/>
      <c r="C2" s="132"/>
      <c r="D2" s="132"/>
      <c r="F2" s="127" t="s">
        <v>22</v>
      </c>
      <c r="G2" s="128"/>
      <c r="H2" s="128"/>
      <c r="I2" s="128"/>
      <c r="J2" s="128"/>
      <c r="K2" s="128"/>
      <c r="L2" s="128"/>
      <c r="M2" s="128"/>
      <c r="N2" s="12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23</v>
      </c>
      <c r="C3" s="1" t="s">
        <v>24</v>
      </c>
      <c r="D3" s="1" t="s">
        <v>25</v>
      </c>
      <c r="F3" s="4" t="s">
        <v>26</v>
      </c>
      <c r="G3" s="9" t="s">
        <v>50</v>
      </c>
      <c r="H3" s="9" t="s">
        <v>27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30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31</v>
      </c>
      <c r="B5" s="8">
        <v>1</v>
      </c>
      <c r="C5" s="3">
        <v>3000000</v>
      </c>
      <c r="D5" s="12">
        <f>C5*B5</f>
        <v>3000000</v>
      </c>
      <c r="F5" s="129" t="s">
        <v>29</v>
      </c>
      <c r="G5" s="129"/>
      <c r="H5" s="129"/>
      <c r="I5" s="129"/>
      <c r="J5" s="129"/>
      <c r="K5" s="129"/>
      <c r="L5" s="129"/>
      <c r="M5" s="129"/>
      <c r="N5" s="12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36" t="s">
        <v>32</v>
      </c>
      <c r="B6" s="136"/>
      <c r="C6" s="5">
        <f>SUM(C4:C5)</f>
        <v>6000000</v>
      </c>
      <c r="D6" s="14">
        <f>SUM(D4:D5)</f>
        <v>6000000</v>
      </c>
      <c r="F6" s="4" t="s">
        <v>26</v>
      </c>
      <c r="G6" s="9" t="s">
        <v>50</v>
      </c>
      <c r="H6" s="9" t="s">
        <v>27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33" t="s">
        <v>29</v>
      </c>
      <c r="B7" s="134"/>
      <c r="C7" s="134"/>
      <c r="D7" s="135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23</v>
      </c>
      <c r="C8" s="1" t="s">
        <v>24</v>
      </c>
      <c r="D8" s="1" t="s">
        <v>25</v>
      </c>
      <c r="F8" s="129" t="s">
        <v>198</v>
      </c>
      <c r="G8" s="129"/>
      <c r="H8" s="129"/>
      <c r="I8" s="129"/>
      <c r="J8" s="129"/>
      <c r="K8" s="129"/>
      <c r="L8" s="129"/>
      <c r="M8" s="129"/>
      <c r="N8" s="12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33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26</v>
      </c>
      <c r="G9" s="9" t="s">
        <v>50</v>
      </c>
      <c r="H9" s="9" t="s">
        <v>27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34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35</v>
      </c>
      <c r="B11" s="6">
        <f t="shared" si="1"/>
        <v>2</v>
      </c>
      <c r="C11" s="3">
        <v>166600</v>
      </c>
      <c r="D11" s="12">
        <f t="shared" si="2"/>
        <v>333200</v>
      </c>
      <c r="F11" s="129" t="s">
        <v>37</v>
      </c>
      <c r="G11" s="129"/>
      <c r="H11" s="129"/>
      <c r="I11" s="129"/>
      <c r="J11" s="129"/>
      <c r="K11" s="129"/>
      <c r="L11" s="129"/>
      <c r="M11" s="129"/>
      <c r="N11" s="12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36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26</v>
      </c>
      <c r="G12" s="9" t="s">
        <v>50</v>
      </c>
      <c r="H12" s="9" t="s">
        <v>27</v>
      </c>
      <c r="I12" s="4" t="s">
        <v>51</v>
      </c>
      <c r="J12" s="4" t="s">
        <v>52</v>
      </c>
      <c r="K12" s="4" t="s">
        <v>53</v>
      </c>
      <c r="L12" s="4" t="s">
        <v>54</v>
      </c>
      <c r="M12" s="4" t="s">
        <v>55</v>
      </c>
      <c r="N12" s="4" t="s">
        <v>56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38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28</v>
      </c>
      <c r="H13" s="13" t="s">
        <v>28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39</v>
      </c>
      <c r="B14" s="6">
        <f t="shared" si="1"/>
        <v>2</v>
      </c>
      <c r="C14" s="3">
        <v>148827</v>
      </c>
      <c r="D14" s="12">
        <f t="shared" si="2"/>
        <v>297654</v>
      </c>
      <c r="F14" s="121" t="s">
        <v>41</v>
      </c>
      <c r="G14" s="122"/>
      <c r="H14" s="122"/>
      <c r="I14" s="122"/>
      <c r="J14" s="122"/>
      <c r="K14" s="122"/>
      <c r="L14" s="122"/>
      <c r="M14" s="122"/>
      <c r="N14" s="122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40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42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18" t="s">
        <v>32</v>
      </c>
      <c r="B17" s="120"/>
      <c r="C17" s="5">
        <f>SUM(C9:C16)</f>
        <v>894289</v>
      </c>
      <c r="D17" s="14">
        <f>SUM(D9:D16)</f>
        <v>1788578</v>
      </c>
      <c r="J17" s="40">
        <f>J15/J18</f>
        <v>2327.6738184230539</v>
      </c>
      <c r="K17" s="40">
        <f t="shared" ref="K17:N17" si="4">K15/K18</f>
        <v>2009.8058569018726</v>
      </c>
      <c r="L17" s="40">
        <f t="shared" si="4"/>
        <v>1717.7827836768145</v>
      </c>
      <c r="M17" s="40">
        <f t="shared" si="4"/>
        <v>1426.0838204109405</v>
      </c>
      <c r="N17" s="40">
        <f t="shared" si="4"/>
        <v>1141.6973816972597</v>
      </c>
      <c r="O17" s="24"/>
      <c r="P17" s="209">
        <f>SUM(J17:N17)/5</f>
        <v>1724.6087322219882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23" t="s">
        <v>197</v>
      </c>
      <c r="B18" s="123"/>
      <c r="C18" s="123"/>
      <c r="D18" s="123"/>
      <c r="J18">
        <f>'Proyección de Ventas e Incremen'!J18</f>
        <v>59330.879999999997</v>
      </c>
      <c r="K18">
        <f>'Proyección de Ventas e Incremen'!K18</f>
        <v>74697.577919999996</v>
      </c>
      <c r="L18">
        <f>'Proyección de Ventas e Incremen'!L18</f>
        <v>96135.782783039991</v>
      </c>
      <c r="M18">
        <f>'Proyección de Ventas e Incremen'!M18</f>
        <v>127379.912187528</v>
      </c>
      <c r="N18">
        <f>'Proyección de Ventas e Incremen'!N18</f>
        <v>175019.99934566347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23</v>
      </c>
      <c r="C19" s="1" t="s">
        <v>24</v>
      </c>
      <c r="D19" s="1" t="s">
        <v>25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191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195</v>
      </c>
      <c r="B21" s="8">
        <v>1</v>
      </c>
      <c r="C21" s="3">
        <v>3500000</v>
      </c>
      <c r="D21" s="12">
        <f t="shared" ref="D21" si="5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18" t="s">
        <v>32</v>
      </c>
      <c r="B22" s="120"/>
      <c r="C22" s="5">
        <f>SUM(C20:C21)</f>
        <v>3720000</v>
      </c>
      <c r="D22" s="14">
        <f>SUM(D20:D21)</f>
        <v>3720000</v>
      </c>
    </row>
    <row r="23" spans="1:30" x14ac:dyDescent="0.25">
      <c r="A23" s="123" t="s">
        <v>37</v>
      </c>
      <c r="B23" s="123"/>
      <c r="C23" s="123"/>
      <c r="D23" s="123"/>
    </row>
    <row r="24" spans="1:30" x14ac:dyDescent="0.25">
      <c r="A24" s="11" t="s">
        <v>1</v>
      </c>
      <c r="B24" s="1" t="s">
        <v>23</v>
      </c>
      <c r="C24" s="1" t="s">
        <v>24</v>
      </c>
      <c r="D24" s="1" t="s">
        <v>25</v>
      </c>
    </row>
    <row r="25" spans="1:30" x14ac:dyDescent="0.25">
      <c r="A25" s="15" t="s">
        <v>192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18" t="s">
        <v>32</v>
      </c>
      <c r="B26" s="120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24" t="s">
        <v>43</v>
      </c>
      <c r="B28" s="126"/>
    </row>
    <row r="29" spans="1:30" x14ac:dyDescent="0.25">
      <c r="A29" s="1" t="s">
        <v>8</v>
      </c>
      <c r="B29" s="1" t="s">
        <v>2</v>
      </c>
    </row>
    <row r="30" spans="1:30" x14ac:dyDescent="0.25">
      <c r="A30" s="15" t="s">
        <v>44</v>
      </c>
      <c r="B30" s="12">
        <v>1288000</v>
      </c>
    </row>
    <row r="31" spans="1:30" x14ac:dyDescent="0.25">
      <c r="A31" s="15" t="s">
        <v>45</v>
      </c>
      <c r="B31" s="12">
        <v>30000</v>
      </c>
    </row>
    <row r="32" spans="1:30" x14ac:dyDescent="0.25">
      <c r="A32" s="15" t="s">
        <v>46</v>
      </c>
      <c r="B32" s="12">
        <v>69000</v>
      </c>
    </row>
    <row r="33" spans="1:4" x14ac:dyDescent="0.25">
      <c r="A33" s="15" t="s">
        <v>47</v>
      </c>
      <c r="B33" s="12">
        <v>64000</v>
      </c>
      <c r="C33" s="17"/>
      <c r="D33" s="17"/>
    </row>
    <row r="34" spans="1:4" x14ac:dyDescent="0.25">
      <c r="A34" s="15" t="s">
        <v>48</v>
      </c>
      <c r="B34" s="12" t="s">
        <v>28</v>
      </c>
      <c r="C34" s="18"/>
      <c r="D34" s="18"/>
    </row>
    <row r="35" spans="1:4" x14ac:dyDescent="0.25">
      <c r="A35" s="15" t="s">
        <v>49</v>
      </c>
      <c r="B35" s="12" t="s">
        <v>28</v>
      </c>
    </row>
    <row r="36" spans="1:4" x14ac:dyDescent="0.25">
      <c r="A36" s="19" t="s">
        <v>32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24" t="s">
        <v>196</v>
      </c>
      <c r="B38" s="126"/>
    </row>
    <row r="39" spans="1:4" x14ac:dyDescent="0.25">
      <c r="A39" s="78" t="s">
        <v>8</v>
      </c>
      <c r="B39" s="78" t="s">
        <v>2</v>
      </c>
    </row>
    <row r="40" spans="1:4" x14ac:dyDescent="0.25">
      <c r="A40" s="15" t="s">
        <v>205</v>
      </c>
      <c r="B40" s="12">
        <f>'Inversión Inicial'!D18</f>
        <v>9100000</v>
      </c>
    </row>
    <row r="41" spans="1:4" x14ac:dyDescent="0.25">
      <c r="A41" s="15" t="s">
        <v>206</v>
      </c>
      <c r="B41" s="12">
        <f>B36</f>
        <v>1451000</v>
      </c>
    </row>
    <row r="42" spans="1:4" x14ac:dyDescent="0.25">
      <c r="A42" s="195" t="s">
        <v>204</v>
      </c>
      <c r="B42" s="12">
        <f>'Inversión Inicial'!B3</f>
        <v>5000000</v>
      </c>
    </row>
    <row r="43" spans="1:4" x14ac:dyDescent="0.25">
      <c r="A43" s="195" t="s">
        <v>203</v>
      </c>
      <c r="B43" s="12">
        <f>'Inversión Inicial'!B4</f>
        <v>3740000</v>
      </c>
    </row>
    <row r="44" spans="1:4" x14ac:dyDescent="0.25">
      <c r="A44" s="195" t="s">
        <v>4</v>
      </c>
      <c r="B44" s="12">
        <f>'Inversión Inicial'!B6</f>
        <v>16000000</v>
      </c>
    </row>
    <row r="45" spans="1:4" x14ac:dyDescent="0.25">
      <c r="A45" s="195" t="s">
        <v>5</v>
      </c>
      <c r="B45" s="12">
        <f>'Inversión Inicial'!B7</f>
        <v>6000000</v>
      </c>
    </row>
    <row r="46" spans="1:4" x14ac:dyDescent="0.25">
      <c r="A46" s="195" t="s">
        <v>6</v>
      </c>
      <c r="B46" s="12">
        <f>'Inversión Inicial'!B8</f>
        <v>3700000</v>
      </c>
    </row>
    <row r="47" spans="1:4" x14ac:dyDescent="0.25">
      <c r="A47" s="195" t="s">
        <v>251</v>
      </c>
      <c r="B47" s="12">
        <f>'Inversión Inicial'!B9</f>
        <v>1000000</v>
      </c>
    </row>
    <row r="48" spans="1:4" x14ac:dyDescent="0.25">
      <c r="A48" s="19" t="s">
        <v>32</v>
      </c>
      <c r="B48" s="5">
        <f>SUM(B40:B47)</f>
        <v>45991000</v>
      </c>
    </row>
  </sheetData>
  <mergeCells count="17">
    <mergeCell ref="A38:B38"/>
    <mergeCell ref="A1:D1"/>
    <mergeCell ref="A2:D2"/>
    <mergeCell ref="A7:D7"/>
    <mergeCell ref="A28:B28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topLeftCell="E1" zoomScale="115" zoomScaleNormal="115" workbookViewId="0">
      <selection activeCell="J18" sqref="J18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41" t="s">
        <v>57</v>
      </c>
      <c r="B1" s="142"/>
      <c r="C1" s="142"/>
      <c r="D1" s="142"/>
      <c r="E1" s="142"/>
      <c r="F1" s="143"/>
      <c r="H1" s="144" t="s">
        <v>58</v>
      </c>
      <c r="I1" s="145"/>
      <c r="J1" s="145"/>
      <c r="K1" s="145"/>
      <c r="L1" s="145"/>
      <c r="M1" s="145"/>
      <c r="N1" s="146"/>
    </row>
    <row r="2" spans="1:14" x14ac:dyDescent="0.25">
      <c r="A2" s="147" t="s">
        <v>59</v>
      </c>
      <c r="B2" s="147"/>
      <c r="C2" s="147"/>
      <c r="D2" s="147"/>
      <c r="E2" s="147"/>
      <c r="F2" s="147"/>
      <c r="H2" s="148" t="s">
        <v>60</v>
      </c>
      <c r="I2" s="149"/>
      <c r="J2" s="149"/>
      <c r="K2" s="149"/>
      <c r="L2" s="149"/>
      <c r="M2" s="149"/>
      <c r="N2" s="150"/>
    </row>
    <row r="3" spans="1:14" x14ac:dyDescent="0.25">
      <c r="A3" s="151" t="s">
        <v>8</v>
      </c>
      <c r="B3" s="151"/>
      <c r="C3" s="1" t="s">
        <v>23</v>
      </c>
      <c r="D3" s="1" t="s">
        <v>61</v>
      </c>
      <c r="E3" s="1" t="s">
        <v>62</v>
      </c>
      <c r="F3" s="1" t="s">
        <v>63</v>
      </c>
      <c r="H3" s="20" t="s">
        <v>64</v>
      </c>
      <c r="I3" s="20" t="s">
        <v>51</v>
      </c>
      <c r="J3" s="20" t="s">
        <v>181</v>
      </c>
      <c r="K3" s="20" t="s">
        <v>182</v>
      </c>
      <c r="L3" s="20" t="s">
        <v>183</v>
      </c>
      <c r="M3" s="20" t="s">
        <v>184</v>
      </c>
      <c r="N3" s="20" t="s">
        <v>185</v>
      </c>
    </row>
    <row r="4" spans="1:14" x14ac:dyDescent="0.25">
      <c r="A4" s="152" t="s">
        <v>65</v>
      </c>
      <c r="B4" s="152"/>
      <c r="C4" s="8" t="s">
        <v>28</v>
      </c>
      <c r="D4" s="3">
        <v>0</v>
      </c>
      <c r="E4" s="12">
        <f>D4*3</f>
        <v>0</v>
      </c>
      <c r="F4" s="12">
        <f>D4*12</f>
        <v>0</v>
      </c>
      <c r="H4" s="28" t="s">
        <v>66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52" t="s">
        <v>67</v>
      </c>
      <c r="B5" s="152"/>
      <c r="C5" s="8" t="s">
        <v>28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68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52" t="s">
        <v>69</v>
      </c>
      <c r="B6" s="152"/>
      <c r="C6" s="8" t="s">
        <v>28</v>
      </c>
      <c r="D6" s="3">
        <v>300</v>
      </c>
      <c r="E6" s="12">
        <f t="shared" si="0"/>
        <v>900</v>
      </c>
      <c r="F6" s="12">
        <f>D6*12</f>
        <v>3600</v>
      </c>
      <c r="H6" s="2" t="s">
        <v>70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53" t="s">
        <v>71</v>
      </c>
      <c r="B7" s="153"/>
      <c r="C7" s="153"/>
      <c r="D7" s="153"/>
      <c r="E7" s="153"/>
      <c r="F7" s="153"/>
      <c r="H7" s="31" t="s">
        <v>72</v>
      </c>
      <c r="I7" s="32"/>
      <c r="J7" s="55">
        <f>F12*(1+J6)</f>
        <v>163296000</v>
      </c>
      <c r="K7" s="55">
        <f>J7*(1+K6)</f>
        <v>205589663.99999997</v>
      </c>
      <c r="L7" s="55">
        <f>K7*(1+L6)</f>
        <v>264593897.56799996</v>
      </c>
      <c r="M7" s="55">
        <f>L7*(1+M6)</f>
        <v>350586914.27759993</v>
      </c>
      <c r="N7" s="55">
        <f>M7*(1+N6)</f>
        <v>481706420.21742237</v>
      </c>
    </row>
    <row r="8" spans="1:14" x14ac:dyDescent="0.25">
      <c r="A8" s="11" t="s">
        <v>73</v>
      </c>
      <c r="B8" s="1" t="s">
        <v>61</v>
      </c>
      <c r="C8" s="1" t="s">
        <v>74</v>
      </c>
      <c r="D8" s="1" t="s">
        <v>75</v>
      </c>
      <c r="E8" s="1" t="s">
        <v>76</v>
      </c>
      <c r="F8" s="1" t="s">
        <v>77</v>
      </c>
      <c r="G8" s="34"/>
      <c r="H8" s="139"/>
      <c r="I8" s="139"/>
      <c r="J8" s="139"/>
      <c r="K8" s="139"/>
      <c r="L8" s="139"/>
      <c r="M8" s="139"/>
      <c r="N8" s="139"/>
    </row>
    <row r="9" spans="1:14" x14ac:dyDescent="0.25">
      <c r="A9" s="35" t="s">
        <v>65</v>
      </c>
      <c r="B9" s="7">
        <f>D4</f>
        <v>0</v>
      </c>
      <c r="C9" s="36">
        <v>3500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67</v>
      </c>
      <c r="B10" s="7">
        <f>D5</f>
        <v>30000</v>
      </c>
      <c r="C10" s="36">
        <f>C9*0.09</f>
        <v>315</v>
      </c>
      <c r="D10" s="37">
        <f>B10*$C$10</f>
        <v>9450000</v>
      </c>
      <c r="E10" s="12">
        <f t="shared" si="3"/>
        <v>28350000</v>
      </c>
      <c r="F10" s="37">
        <f>D10*12</f>
        <v>113400000</v>
      </c>
      <c r="G10" s="199">
        <v>0.9</v>
      </c>
      <c r="H10" s="39"/>
      <c r="I10" s="40">
        <f>F10</f>
        <v>113400000</v>
      </c>
      <c r="J10" s="40">
        <f>J$7*$G10</f>
        <v>146966400</v>
      </c>
      <c r="K10" s="40">
        <f t="shared" ref="K10:N11" si="4">K$7*$G10</f>
        <v>185030697.59999996</v>
      </c>
      <c r="L10" s="40">
        <f t="shared" si="4"/>
        <v>238134507.81119996</v>
      </c>
      <c r="M10" s="40">
        <f t="shared" si="4"/>
        <v>315528222.84983993</v>
      </c>
      <c r="N10" s="40">
        <f t="shared" si="4"/>
        <v>433535778.19568014</v>
      </c>
    </row>
    <row r="11" spans="1:14" x14ac:dyDescent="0.25">
      <c r="A11" s="38" t="s">
        <v>69</v>
      </c>
      <c r="B11" s="3">
        <v>300</v>
      </c>
      <c r="C11" s="36">
        <f>C9</f>
        <v>3500</v>
      </c>
      <c r="D11" s="37">
        <f>B11*$C$11</f>
        <v>1050000</v>
      </c>
      <c r="E11" s="12">
        <f t="shared" si="3"/>
        <v>3150000</v>
      </c>
      <c r="F11" s="37">
        <f>D11*12</f>
        <v>12600000</v>
      </c>
      <c r="G11" s="199">
        <v>0.1</v>
      </c>
      <c r="H11" s="200"/>
      <c r="I11" s="40">
        <f>F11</f>
        <v>12600000</v>
      </c>
      <c r="J11" s="40">
        <f>J$7*$G11</f>
        <v>16329600</v>
      </c>
      <c r="K11" s="40">
        <f t="shared" si="4"/>
        <v>20558966.399999999</v>
      </c>
      <c r="L11" s="40">
        <f t="shared" si="4"/>
        <v>26459389.756799996</v>
      </c>
      <c r="M11" s="40">
        <f t="shared" si="4"/>
        <v>35058691.427759998</v>
      </c>
      <c r="N11" s="40">
        <f t="shared" si="4"/>
        <v>48170642.02174224</v>
      </c>
    </row>
    <row r="12" spans="1:14" x14ac:dyDescent="0.25">
      <c r="A12" s="136" t="s">
        <v>32</v>
      </c>
      <c r="B12" s="136"/>
      <c r="C12" s="41">
        <f>SUM(C10:C11)</f>
        <v>3815</v>
      </c>
      <c r="D12" s="10">
        <f>SUM(D9:D11)</f>
        <v>10500000</v>
      </c>
      <c r="E12" s="10">
        <f t="shared" ref="E12:F12" si="5">SUM(E9:E11)</f>
        <v>31500000</v>
      </c>
      <c r="F12" s="33">
        <f t="shared" si="5"/>
        <v>126000000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202">
        <f>I10/(12*30000)</f>
        <v>315</v>
      </c>
      <c r="J13" s="202">
        <f>J10/(12*30000)</f>
        <v>408.24</v>
      </c>
      <c r="K13" s="202">
        <f t="shared" ref="K13:N13" si="6">K10/(12*30000)</f>
        <v>513.97415999999987</v>
      </c>
      <c r="L13" s="202">
        <f t="shared" si="6"/>
        <v>661.48474391999991</v>
      </c>
      <c r="M13" s="202">
        <f t="shared" si="6"/>
        <v>876.46728569399977</v>
      </c>
      <c r="N13" s="202">
        <f t="shared" si="6"/>
        <v>1204.266050543556</v>
      </c>
    </row>
    <row r="14" spans="1:14" ht="15.75" thickBot="1" x14ac:dyDescent="0.3">
      <c r="A14" s="137" t="s">
        <v>78</v>
      </c>
      <c r="B14" s="138"/>
      <c r="C14" s="39"/>
      <c r="D14" s="43"/>
      <c r="E14" s="43"/>
      <c r="H14" s="200"/>
      <c r="I14" s="202">
        <f>I11/(12*300)</f>
        <v>3500</v>
      </c>
      <c r="J14" s="202">
        <f>J11/(12*300)</f>
        <v>4536</v>
      </c>
      <c r="K14" s="202">
        <f t="shared" ref="K14:N14" si="7">K11/(12*300)</f>
        <v>5710.8239999999996</v>
      </c>
      <c r="L14" s="202">
        <f t="shared" si="7"/>
        <v>7349.8304879999987</v>
      </c>
      <c r="M14" s="202">
        <f t="shared" si="7"/>
        <v>9738.5253966</v>
      </c>
      <c r="N14" s="202">
        <f t="shared" si="7"/>
        <v>13380.7338949284</v>
      </c>
    </row>
    <row r="15" spans="1:14" x14ac:dyDescent="0.25">
      <c r="A15" s="11" t="s">
        <v>8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225</v>
      </c>
      <c r="B16" s="3">
        <f>'Costos de Operación Gravables'!$B$48*0.55</f>
        <v>25295050.000000004</v>
      </c>
      <c r="C16" s="39"/>
      <c r="D16" s="43"/>
      <c r="E16" s="43"/>
      <c r="H16" s="39"/>
      <c r="I16" s="203"/>
      <c r="J16" s="203">
        <f>(SUM(J10:J12)/12)/SUM(J13:J14)</f>
        <v>2752.2935779816517</v>
      </c>
      <c r="K16" s="203">
        <f t="shared" ref="K16:N16" si="8">(SUM(K10:K12)/12)/SUM(K13:K14)</f>
        <v>2752.2935779816512</v>
      </c>
      <c r="L16" s="203">
        <f t="shared" si="8"/>
        <v>2752.2935779816517</v>
      </c>
      <c r="M16" s="203">
        <f t="shared" si="8"/>
        <v>2752.2935779816507</v>
      </c>
      <c r="N16" s="203">
        <f t="shared" si="8"/>
        <v>2752.2935779816507</v>
      </c>
    </row>
    <row r="17" spans="1:14" x14ac:dyDescent="0.25">
      <c r="A17" s="2" t="s">
        <v>226</v>
      </c>
      <c r="B17" s="3">
        <f>'Costos de Operación Gravables'!$B$48*0.45</f>
        <v>20695950</v>
      </c>
      <c r="C17" s="39"/>
      <c r="D17" s="43"/>
      <c r="E17" s="43"/>
      <c r="H17" s="200"/>
      <c r="I17" s="200"/>
      <c r="J17" s="200"/>
      <c r="K17" s="200"/>
      <c r="L17" s="200"/>
      <c r="M17" s="200"/>
      <c r="N17" s="200"/>
    </row>
    <row r="18" spans="1:14" x14ac:dyDescent="0.25">
      <c r="A18" s="9" t="s">
        <v>32</v>
      </c>
      <c r="B18" s="10">
        <f>SUM(B16:B17)</f>
        <v>45991000</v>
      </c>
      <c r="C18" s="39"/>
      <c r="D18" s="43"/>
      <c r="E18" s="43"/>
      <c r="H18" s="18"/>
      <c r="I18" s="18"/>
      <c r="J18" s="18">
        <f>SUM(J13:J14)*12</f>
        <v>59330.879999999997</v>
      </c>
      <c r="K18" s="110">
        <f t="shared" ref="K18:N18" si="9">SUM(K13:K14)*12</f>
        <v>74697.577919999996</v>
      </c>
      <c r="L18" s="110">
        <f t="shared" si="9"/>
        <v>96135.782783039991</v>
      </c>
      <c r="M18" s="110">
        <f t="shared" si="9"/>
        <v>127379.912187528</v>
      </c>
      <c r="N18" s="110">
        <f t="shared" si="9"/>
        <v>175019.99934566347</v>
      </c>
    </row>
    <row r="19" spans="1:14" ht="15.75" thickBot="1" x14ac:dyDescent="0.3">
      <c r="B19" s="44"/>
      <c r="C19" s="39"/>
      <c r="D19" s="43"/>
      <c r="E19" s="43"/>
      <c r="H19" s="39"/>
      <c r="I19" s="40"/>
    </row>
    <row r="20" spans="1:14" ht="15.75" thickBot="1" x14ac:dyDescent="0.3">
      <c r="A20" s="137" t="s">
        <v>227</v>
      </c>
      <c r="B20" s="196"/>
      <c r="C20" s="138"/>
      <c r="D20" s="43"/>
      <c r="E20" s="43"/>
      <c r="H20" s="200"/>
      <c r="I20" s="200"/>
      <c r="J20" s="200"/>
      <c r="K20" s="200"/>
      <c r="L20" s="200"/>
      <c r="M20" s="200"/>
      <c r="N20" s="200"/>
    </row>
    <row r="21" spans="1:14" x14ac:dyDescent="0.25">
      <c r="A21" s="11" t="s">
        <v>8</v>
      </c>
      <c r="B21" s="108" t="s">
        <v>228</v>
      </c>
      <c r="C21" s="108" t="s">
        <v>2</v>
      </c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109" t="s">
        <v>230</v>
      </c>
      <c r="B22" s="80">
        <v>0.5</v>
      </c>
      <c r="C22" s="3">
        <f>$B$17*B22</f>
        <v>10347975</v>
      </c>
      <c r="D22" s="47"/>
      <c r="E22" s="47"/>
    </row>
    <row r="23" spans="1:14" x14ac:dyDescent="0.25">
      <c r="A23" s="109" t="s">
        <v>229</v>
      </c>
      <c r="B23" s="80">
        <v>0.5</v>
      </c>
      <c r="C23" s="3">
        <f>$B$17*B23</f>
        <v>10347975</v>
      </c>
      <c r="D23" s="48"/>
      <c r="E23" s="49"/>
    </row>
    <row r="24" spans="1:14" x14ac:dyDescent="0.25">
      <c r="A24" s="9" t="s">
        <v>32</v>
      </c>
      <c r="B24" s="197">
        <f>SUM(B22:B23)</f>
        <v>1</v>
      </c>
      <c r="C24" s="10">
        <f>SUM(C22:C23)</f>
        <v>20695950</v>
      </c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40"/>
      <c r="B31" s="140"/>
      <c r="C31" s="45"/>
      <c r="D31" s="47"/>
      <c r="E31" s="47"/>
    </row>
  </sheetData>
  <mergeCells count="14"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A14:B14"/>
    <mergeCell ref="A31:B31"/>
    <mergeCell ref="A20:C20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B1" zoomScale="130" zoomScaleNormal="130" workbookViewId="0">
      <selection activeCell="C27" sqref="C27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4" t="s">
        <v>79</v>
      </c>
      <c r="B1" s="155"/>
      <c r="D1" s="156" t="s">
        <v>237</v>
      </c>
      <c r="E1" s="157"/>
      <c r="F1" s="157"/>
      <c r="G1" s="157"/>
      <c r="H1" s="157"/>
      <c r="I1" s="157"/>
      <c r="J1" s="17"/>
      <c r="K1" s="17"/>
      <c r="L1" s="17"/>
      <c r="M1" s="17"/>
      <c r="N1" s="17"/>
      <c r="O1" s="17"/>
      <c r="P1" s="17"/>
    </row>
    <row r="2" spans="1:16" x14ac:dyDescent="0.25">
      <c r="A2" s="158" t="s">
        <v>80</v>
      </c>
      <c r="B2" s="158"/>
      <c r="D2" s="56" t="s">
        <v>81</v>
      </c>
      <c r="E2" s="56" t="s">
        <v>82</v>
      </c>
      <c r="F2" s="56" t="s">
        <v>238</v>
      </c>
      <c r="G2" s="56" t="s">
        <v>239</v>
      </c>
      <c r="H2" s="56" t="s">
        <v>83</v>
      </c>
      <c r="I2" s="56" t="s">
        <v>240</v>
      </c>
      <c r="K2" s="46"/>
      <c r="L2" s="46"/>
      <c r="M2" s="46"/>
      <c r="N2" s="46"/>
      <c r="O2" s="46"/>
      <c r="P2" s="46"/>
    </row>
    <row r="3" spans="1:16" x14ac:dyDescent="0.25">
      <c r="A3" s="57" t="s">
        <v>8</v>
      </c>
      <c r="B3" s="1" t="s">
        <v>23</v>
      </c>
      <c r="D3" s="20" t="s">
        <v>241</v>
      </c>
      <c r="E3" s="3">
        <f>B4</f>
        <v>25295050.000000004</v>
      </c>
      <c r="F3" s="3">
        <v>0</v>
      </c>
      <c r="G3" s="3">
        <v>0</v>
      </c>
      <c r="H3" s="3">
        <v>0</v>
      </c>
      <c r="I3" s="5">
        <f>E3</f>
        <v>25295050.000000004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235</v>
      </c>
      <c r="B4" s="3">
        <f>'Proyección de Ventas e Incremen'!B16</f>
        <v>25295050.000000004</v>
      </c>
      <c r="D4" s="20" t="s">
        <v>242</v>
      </c>
      <c r="E4" s="3">
        <f>I3</f>
        <v>25295050.000000004</v>
      </c>
      <c r="F4" s="3">
        <f>E4*$B$7</f>
        <v>4209096.32</v>
      </c>
      <c r="G4" s="3">
        <f>$B$8</f>
        <v>9155561.099999968</v>
      </c>
      <c r="H4" s="3">
        <f>G4-F4</f>
        <v>4946464.7799999677</v>
      </c>
      <c r="I4" s="5">
        <f t="shared" ref="I4:I8" si="0">E4-H4</f>
        <v>20348585.220000036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234</v>
      </c>
      <c r="B5" s="3">
        <v>0</v>
      </c>
      <c r="D5" s="20" t="s">
        <v>243</v>
      </c>
      <c r="E5" s="3">
        <f>I4</f>
        <v>20348585.220000036</v>
      </c>
      <c r="F5" s="3">
        <f>E5*$B$7</f>
        <v>3386004.5806080056</v>
      </c>
      <c r="G5" s="3">
        <f t="shared" ref="G5:G7" si="1">$B$8</f>
        <v>9155561.099999968</v>
      </c>
      <c r="H5" s="3">
        <f t="shared" ref="H5:H8" si="2">G5-F5</f>
        <v>5769556.5193919623</v>
      </c>
      <c r="I5" s="5">
        <f t="shared" si="0"/>
        <v>14579028.700608075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236</v>
      </c>
      <c r="B6" s="8" t="s">
        <v>95</v>
      </c>
      <c r="D6" s="20" t="s">
        <v>244</v>
      </c>
      <c r="E6" s="3">
        <f t="shared" ref="E6:E8" si="3">I5</f>
        <v>14579028.700608075</v>
      </c>
      <c r="F6" s="3">
        <f t="shared" ref="F6:F8" si="4">E6*$B$7</f>
        <v>2425950.3757811836</v>
      </c>
      <c r="G6" s="3">
        <f t="shared" si="1"/>
        <v>9155561.099999968</v>
      </c>
      <c r="H6" s="3">
        <f t="shared" si="2"/>
        <v>6729610.7242187839</v>
      </c>
      <c r="I6" s="5">
        <f t="shared" si="0"/>
        <v>7849417.9763892908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233</v>
      </c>
      <c r="B7" s="60">
        <v>0.16639999999999999</v>
      </c>
      <c r="D7" s="20" t="s">
        <v>245</v>
      </c>
      <c r="E7" s="3">
        <f t="shared" si="3"/>
        <v>7849417.9763892908</v>
      </c>
      <c r="F7" s="3">
        <f t="shared" si="4"/>
        <v>1306143.1512711779</v>
      </c>
      <c r="G7" s="3">
        <f t="shared" si="1"/>
        <v>9155561.099999968</v>
      </c>
      <c r="H7" s="3">
        <f t="shared" si="2"/>
        <v>7849417.9487287905</v>
      </c>
      <c r="I7" s="5">
        <f t="shared" si="0"/>
        <v>2.7660500258207321E-2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232</v>
      </c>
      <c r="B8" s="3">
        <f>((B4*1.44780279145524)/4)+0.1</f>
        <v>9155561.099999968</v>
      </c>
      <c r="D8" s="20" t="s">
        <v>246</v>
      </c>
      <c r="E8" s="3">
        <f t="shared" si="3"/>
        <v>2.7660500258207321E-2</v>
      </c>
      <c r="F8" s="3">
        <f t="shared" si="4"/>
        <v>4.6027072429656981E-3</v>
      </c>
      <c r="G8" s="3">
        <v>0</v>
      </c>
      <c r="H8" s="3">
        <f t="shared" si="2"/>
        <v>-4.6027072429656981E-3</v>
      </c>
      <c r="I8" s="5">
        <f t="shared" si="0"/>
        <v>3.2263207501173022E-2</v>
      </c>
      <c r="K8" s="40">
        <f>SUM(G4:G7)</f>
        <v>36622244.399999872</v>
      </c>
    </row>
    <row r="9" spans="1:16" ht="15.75" thickBot="1" x14ac:dyDescent="0.3">
      <c r="A9" s="38" t="s">
        <v>231</v>
      </c>
      <c r="B9" s="3">
        <f>B8/12</f>
        <v>762963.42499999737</v>
      </c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59" t="s">
        <v>84</v>
      </c>
      <c r="E10" s="160"/>
      <c r="F10" s="160"/>
      <c r="G10" s="160"/>
      <c r="H10" s="160"/>
      <c r="I10" s="160"/>
      <c r="J10" s="160"/>
      <c r="K10" s="161"/>
    </row>
    <row r="11" spans="1:16" x14ac:dyDescent="0.25">
      <c r="A11" s="62"/>
      <c r="B11" s="61"/>
      <c r="D11" s="64" t="s">
        <v>85</v>
      </c>
      <c r="E11" s="64" t="s">
        <v>86</v>
      </c>
      <c r="F11" s="64" t="s">
        <v>87</v>
      </c>
      <c r="G11" s="64" t="s">
        <v>52</v>
      </c>
      <c r="H11" s="64" t="s">
        <v>53</v>
      </c>
      <c r="I11" s="64" t="s">
        <v>54</v>
      </c>
      <c r="J11" s="65" t="s">
        <v>55</v>
      </c>
      <c r="K11" s="64" t="s">
        <v>56</v>
      </c>
    </row>
    <row r="12" spans="1:16" x14ac:dyDescent="0.25">
      <c r="A12" s="62"/>
      <c r="B12" s="61"/>
      <c r="C12" s="48"/>
      <c r="D12" s="20" t="s">
        <v>88</v>
      </c>
      <c r="E12" s="8" t="s">
        <v>89</v>
      </c>
      <c r="F12" s="3">
        <f>'Inversión Inicial'!$C$14</f>
        <v>3000000</v>
      </c>
      <c r="G12" s="3">
        <f t="shared" ref="G12:K15" si="5">$F12*G$17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3"/>
      <c r="C13" s="18"/>
      <c r="D13" s="5" t="s">
        <v>90</v>
      </c>
      <c r="E13" s="8" t="s">
        <v>89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2"/>
      <c r="B14" s="18"/>
      <c r="C14" s="40"/>
      <c r="D14" s="20" t="s">
        <v>91</v>
      </c>
      <c r="E14" s="8" t="s">
        <v>89</v>
      </c>
      <c r="F14" s="3">
        <f>'Inversión Inicial'!$C$14</f>
        <v>3000000</v>
      </c>
      <c r="G14" s="3">
        <f t="shared" si="5"/>
        <v>600000</v>
      </c>
      <c r="H14" s="3">
        <f t="shared" si="5"/>
        <v>1200000</v>
      </c>
      <c r="I14" s="3">
        <f t="shared" si="5"/>
        <v>1800000</v>
      </c>
      <c r="J14" s="3">
        <f t="shared" si="5"/>
        <v>2400000</v>
      </c>
      <c r="K14" s="3">
        <f t="shared" si="5"/>
        <v>3000000</v>
      </c>
    </row>
    <row r="15" spans="1:16" x14ac:dyDescent="0.25">
      <c r="B15" s="39"/>
      <c r="C15" s="48"/>
      <c r="D15" s="5" t="s">
        <v>92</v>
      </c>
      <c r="E15" s="8" t="s">
        <v>89</v>
      </c>
      <c r="F15" s="3">
        <f>'Inversión Inicial'!$C$16</f>
        <v>300000</v>
      </c>
      <c r="G15" s="3">
        <f t="shared" si="5"/>
        <v>60000</v>
      </c>
      <c r="H15" s="3">
        <f t="shared" si="5"/>
        <v>120000</v>
      </c>
      <c r="I15" s="3">
        <f t="shared" si="5"/>
        <v>180000</v>
      </c>
      <c r="J15" s="3">
        <f t="shared" si="5"/>
        <v>240000</v>
      </c>
      <c r="K15" s="3">
        <f t="shared" si="5"/>
        <v>300000</v>
      </c>
    </row>
    <row r="16" spans="1:16" x14ac:dyDescent="0.25">
      <c r="B16" s="39"/>
      <c r="D16" s="162" t="s">
        <v>93</v>
      </c>
      <c r="E16" s="163"/>
      <c r="F16" s="164"/>
      <c r="G16" s="10">
        <f>SUM(G12:G15)</f>
        <v>1320000</v>
      </c>
      <c r="H16" s="10">
        <f>SUM(H12:H15)</f>
        <v>2640000</v>
      </c>
      <c r="I16" s="10">
        <f>SUM(I12:I15)</f>
        <v>3960000</v>
      </c>
      <c r="J16" s="10">
        <f>SUM(J12:J15)</f>
        <v>5280000</v>
      </c>
      <c r="K16" s="10">
        <f>SUM(K12:K15)</f>
        <v>6600000</v>
      </c>
    </row>
    <row r="17" spans="1:16" x14ac:dyDescent="0.25">
      <c r="B17" s="39"/>
      <c r="D17" s="118" t="s">
        <v>94</v>
      </c>
      <c r="E17" s="119"/>
      <c r="F17" s="120"/>
      <c r="G17" s="66">
        <v>0.2</v>
      </c>
      <c r="H17" s="66">
        <v>0.4</v>
      </c>
      <c r="I17" s="66">
        <v>0.6</v>
      </c>
      <c r="J17" s="66">
        <v>0.8</v>
      </c>
      <c r="K17" s="66">
        <v>1</v>
      </c>
    </row>
    <row r="18" spans="1:16" ht="15.75" thickBot="1" x14ac:dyDescent="0.3">
      <c r="B18" s="39"/>
    </row>
    <row r="19" spans="1:16" ht="15.75" thickBot="1" x14ac:dyDescent="0.3">
      <c r="B19" s="39"/>
      <c r="D19" s="159" t="s">
        <v>84</v>
      </c>
      <c r="E19" s="160"/>
      <c r="F19" s="160"/>
      <c r="G19" s="160"/>
      <c r="H19" s="160"/>
      <c r="I19" s="160"/>
      <c r="J19" s="160"/>
      <c r="K19" s="161"/>
    </row>
    <row r="20" spans="1:16" x14ac:dyDescent="0.25">
      <c r="B20" s="39"/>
      <c r="D20" s="64" t="s">
        <v>85</v>
      </c>
      <c r="E20" s="64" t="s">
        <v>86</v>
      </c>
      <c r="F20" s="64" t="s">
        <v>87</v>
      </c>
      <c r="G20" s="64" t="s">
        <v>52</v>
      </c>
      <c r="H20" s="64" t="s">
        <v>53</v>
      </c>
      <c r="I20" s="64" t="s">
        <v>54</v>
      </c>
      <c r="J20" s="65" t="s">
        <v>55</v>
      </c>
      <c r="K20" s="64" t="s">
        <v>56</v>
      </c>
    </row>
    <row r="21" spans="1:16" x14ac:dyDescent="0.25">
      <c r="B21" s="39"/>
      <c r="D21" s="20" t="s">
        <v>88</v>
      </c>
      <c r="E21" s="8" t="s">
        <v>89</v>
      </c>
      <c r="F21" s="3">
        <f>'Inversión Inicial'!$C$14</f>
        <v>3000000</v>
      </c>
      <c r="G21" s="3">
        <f t="shared" ref="G21:K24" si="6">$F21-($F21*G$26)</f>
        <v>2400000</v>
      </c>
      <c r="H21" s="3">
        <f t="shared" si="6"/>
        <v>1800000</v>
      </c>
      <c r="I21" s="3">
        <f t="shared" si="6"/>
        <v>1200000</v>
      </c>
      <c r="J21" s="3">
        <f t="shared" si="6"/>
        <v>600000</v>
      </c>
      <c r="K21" s="3">
        <f t="shared" si="6"/>
        <v>0</v>
      </c>
      <c r="M21" s="48"/>
      <c r="N21" s="48"/>
      <c r="O21" s="48"/>
      <c r="P21" s="48"/>
    </row>
    <row r="22" spans="1:16" x14ac:dyDescent="0.25">
      <c r="B22" s="39"/>
      <c r="D22" s="5" t="s">
        <v>90</v>
      </c>
      <c r="E22" s="8" t="s">
        <v>89</v>
      </c>
      <c r="F22" s="3">
        <f>'Inversión Inicial'!$C$16</f>
        <v>300000</v>
      </c>
      <c r="G22" s="3">
        <f t="shared" si="6"/>
        <v>240000</v>
      </c>
      <c r="H22" s="3">
        <f t="shared" si="6"/>
        <v>180000</v>
      </c>
      <c r="I22" s="3">
        <f t="shared" si="6"/>
        <v>120000</v>
      </c>
      <c r="J22" s="3">
        <f t="shared" si="6"/>
        <v>60000</v>
      </c>
      <c r="K22" s="3">
        <f t="shared" si="6"/>
        <v>0</v>
      </c>
      <c r="M22" s="45"/>
      <c r="N22" s="45"/>
      <c r="O22" s="45"/>
      <c r="P22" s="45"/>
    </row>
    <row r="23" spans="1:16" x14ac:dyDescent="0.25">
      <c r="A23" s="18"/>
      <c r="B23" s="45"/>
      <c r="D23" s="20" t="s">
        <v>91</v>
      </c>
      <c r="E23" s="8" t="s">
        <v>89</v>
      </c>
      <c r="F23" s="3">
        <f>'Inversión Inicial'!$C$14</f>
        <v>3000000</v>
      </c>
      <c r="G23" s="3">
        <f t="shared" si="6"/>
        <v>2400000</v>
      </c>
      <c r="H23" s="3">
        <f t="shared" si="6"/>
        <v>1800000</v>
      </c>
      <c r="I23" s="3">
        <f t="shared" si="6"/>
        <v>1200000</v>
      </c>
      <c r="J23" s="3">
        <f t="shared" si="6"/>
        <v>600000</v>
      </c>
      <c r="K23" s="3">
        <f t="shared" si="6"/>
        <v>0</v>
      </c>
    </row>
    <row r="24" spans="1:16" x14ac:dyDescent="0.25">
      <c r="A24" s="139"/>
      <c r="B24" s="139"/>
      <c r="D24" s="5" t="s">
        <v>92</v>
      </c>
      <c r="E24" s="8" t="s">
        <v>89</v>
      </c>
      <c r="F24" s="3">
        <f>'Inversión Inicial'!$C$16</f>
        <v>300000</v>
      </c>
      <c r="G24" s="3">
        <f t="shared" si="6"/>
        <v>240000</v>
      </c>
      <c r="H24" s="3">
        <f t="shared" si="6"/>
        <v>180000</v>
      </c>
      <c r="I24" s="3">
        <f t="shared" si="6"/>
        <v>120000</v>
      </c>
      <c r="J24" s="3">
        <f t="shared" si="6"/>
        <v>60000</v>
      </c>
      <c r="K24" s="3">
        <f t="shared" si="6"/>
        <v>0</v>
      </c>
    </row>
    <row r="25" spans="1:16" x14ac:dyDescent="0.25">
      <c r="A25" s="42"/>
      <c r="B25" s="18"/>
      <c r="D25" s="162" t="s">
        <v>93</v>
      </c>
      <c r="E25" s="163"/>
      <c r="F25" s="164"/>
      <c r="G25" s="10">
        <f>SUM(G21:G24)</f>
        <v>5280000</v>
      </c>
      <c r="H25" s="10">
        <f>SUM(H21:H24)</f>
        <v>3960000</v>
      </c>
      <c r="I25" s="10">
        <f>SUM(I21:I24)</f>
        <v>2640000</v>
      </c>
      <c r="J25" s="10">
        <f>SUM(J21:J24)</f>
        <v>1320000</v>
      </c>
      <c r="K25" s="10">
        <f>SUM(K21:K24)</f>
        <v>0</v>
      </c>
    </row>
    <row r="26" spans="1:16" x14ac:dyDescent="0.25">
      <c r="B26" s="39"/>
      <c r="D26" s="118" t="s">
        <v>94</v>
      </c>
      <c r="E26" s="119"/>
      <c r="F26" s="120"/>
      <c r="G26" s="66">
        <v>0.2</v>
      </c>
      <c r="H26" s="66">
        <v>0.4</v>
      </c>
      <c r="I26" s="66">
        <v>0.6</v>
      </c>
      <c r="J26" s="66">
        <v>0.8</v>
      </c>
      <c r="K26" s="66">
        <v>1</v>
      </c>
    </row>
    <row r="27" spans="1:16" x14ac:dyDescent="0.25">
      <c r="B27" s="39"/>
    </row>
    <row r="28" spans="1:16" x14ac:dyDescent="0.25">
      <c r="A28" s="18"/>
      <c r="B28" s="45"/>
    </row>
    <row r="29" spans="1:16" x14ac:dyDescent="0.25">
      <c r="A29" s="139"/>
      <c r="B29" s="139"/>
    </row>
    <row r="30" spans="1:16" x14ac:dyDescent="0.25">
      <c r="A30" s="42"/>
      <c r="B30" s="18"/>
    </row>
    <row r="31" spans="1:16" x14ac:dyDescent="0.25">
      <c r="B31" s="39"/>
    </row>
    <row r="32" spans="1:16" x14ac:dyDescent="0.25">
      <c r="A32" s="18"/>
      <c r="B32" s="45"/>
    </row>
  </sheetData>
  <mergeCells count="11">
    <mergeCell ref="A1:B1"/>
    <mergeCell ref="D1:I1"/>
    <mergeCell ref="A2:B2"/>
    <mergeCell ref="A24:B24"/>
    <mergeCell ref="A29:B29"/>
    <mergeCell ref="D10:K10"/>
    <mergeCell ref="D16:F16"/>
    <mergeCell ref="D17:F17"/>
    <mergeCell ref="D26:F26"/>
    <mergeCell ref="D19:K19"/>
    <mergeCell ref="D25:F25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zoomScaleNormal="100" workbookViewId="0">
      <selection activeCell="H47" sqref="A47:H47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76" t="s">
        <v>96</v>
      </c>
      <c r="B1" s="177"/>
      <c r="C1" s="177"/>
      <c r="D1" s="177"/>
      <c r="E1" s="177"/>
      <c r="F1" s="177"/>
      <c r="G1" s="177"/>
      <c r="H1" s="177"/>
    </row>
    <row r="2" spans="1:8" ht="22.5" customHeight="1" thickBot="1" x14ac:dyDescent="0.4">
      <c r="A2" s="178" t="s">
        <v>97</v>
      </c>
      <c r="B2" s="179"/>
      <c r="C2" s="179"/>
      <c r="D2" s="179"/>
      <c r="E2" s="179"/>
      <c r="F2" s="179"/>
      <c r="G2" s="179"/>
      <c r="H2" s="179"/>
    </row>
    <row r="3" spans="1:8" ht="15.75" thickBot="1" x14ac:dyDescent="0.3"/>
    <row r="4" spans="1:8" ht="22.5" customHeight="1" thickBot="1" x14ac:dyDescent="0.3">
      <c r="A4" s="169" t="s">
        <v>98</v>
      </c>
      <c r="B4" s="170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1" t="s">
        <v>99</v>
      </c>
      <c r="B5" s="172"/>
    </row>
    <row r="6" spans="1:8" x14ac:dyDescent="0.25">
      <c r="A6" s="173" t="s">
        <v>100</v>
      </c>
      <c r="B6" s="173"/>
    </row>
    <row r="7" spans="1:8" x14ac:dyDescent="0.25">
      <c r="B7" s="68" t="s">
        <v>101</v>
      </c>
      <c r="C7" s="3">
        <f>'Proyección de Ventas e Incremen'!I7</f>
        <v>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x14ac:dyDescent="0.25">
      <c r="B8" s="68" t="s">
        <v>102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103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104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105</v>
      </c>
      <c r="C11" s="72">
        <f>SUM(C7:C10)</f>
        <v>0</v>
      </c>
      <c r="D11" s="72">
        <f t="shared" ref="D11:H11" si="0">SUM(D7:D10)</f>
        <v>163296000</v>
      </c>
      <c r="E11" s="72">
        <f t="shared" si="0"/>
        <v>205589663.99999997</v>
      </c>
      <c r="F11" s="72">
        <f t="shared" si="0"/>
        <v>264593897.56799996</v>
      </c>
      <c r="G11" s="72">
        <f t="shared" si="0"/>
        <v>350586914.27759993</v>
      </c>
      <c r="H11" s="72">
        <f t="shared" si="0"/>
        <v>481706420.21742237</v>
      </c>
    </row>
    <row r="13" spans="1:8" x14ac:dyDescent="0.25">
      <c r="A13" s="167" t="s">
        <v>106</v>
      </c>
      <c r="B13" s="167"/>
    </row>
    <row r="14" spans="1:8" x14ac:dyDescent="0.25">
      <c r="B14" s="68" t="s">
        <v>188</v>
      </c>
      <c r="C14" s="3">
        <f>'Inversión Inicial'!D18</f>
        <v>9100000</v>
      </c>
      <c r="D14" s="3">
        <f>C14</f>
        <v>9100000</v>
      </c>
      <c r="E14" s="3">
        <f t="shared" ref="E14:H14" si="1">D14</f>
        <v>9100000</v>
      </c>
      <c r="F14" s="3">
        <f t="shared" si="1"/>
        <v>9100000</v>
      </c>
      <c r="G14" s="3">
        <f t="shared" si="1"/>
        <v>9100000</v>
      </c>
      <c r="H14" s="3">
        <f t="shared" si="1"/>
        <v>9100000</v>
      </c>
    </row>
    <row r="15" spans="1:8" x14ac:dyDescent="0.25">
      <c r="B15" s="111" t="s">
        <v>107</v>
      </c>
      <c r="C15" s="112">
        <v>0</v>
      </c>
      <c r="D15" s="112">
        <f>'Amortización y Depreciación'!G16</f>
        <v>1320000</v>
      </c>
      <c r="E15" s="112">
        <f>'Amortización y Depreciación'!H16</f>
        <v>2640000</v>
      </c>
      <c r="F15" s="112">
        <f>'Amortización y Depreciación'!I16</f>
        <v>3960000</v>
      </c>
      <c r="G15" s="112">
        <f>'Amortización y Depreciación'!J16</f>
        <v>5280000</v>
      </c>
      <c r="H15" s="112">
        <f>'Amortización y Depreciación'!K16</f>
        <v>6600000</v>
      </c>
    </row>
    <row r="16" spans="1:8" ht="15.75" thickBot="1" x14ac:dyDescent="0.3">
      <c r="B16" s="68" t="s">
        <v>189</v>
      </c>
      <c r="C16" s="7">
        <f>'Costos de Operación Gravables'!B36</f>
        <v>1451000</v>
      </c>
      <c r="D16" s="7">
        <f>C16</f>
        <v>1451000</v>
      </c>
      <c r="E16" s="7">
        <f t="shared" ref="E16:H16" si="2">D16</f>
        <v>1451000</v>
      </c>
      <c r="F16" s="7">
        <f t="shared" si="2"/>
        <v>1451000</v>
      </c>
      <c r="G16" s="7">
        <f t="shared" si="2"/>
        <v>1451000</v>
      </c>
      <c r="H16" s="7">
        <f t="shared" si="2"/>
        <v>1451000</v>
      </c>
    </row>
    <row r="17" spans="1:8" ht="16.5" thickBot="1" x14ac:dyDescent="0.3">
      <c r="B17" s="71" t="s">
        <v>108</v>
      </c>
      <c r="C17" s="72">
        <f>C14+C16</f>
        <v>10551000</v>
      </c>
      <c r="D17" s="72">
        <f>D14+D16-D15</f>
        <v>9231000</v>
      </c>
      <c r="E17" s="72">
        <f t="shared" ref="E17:H17" si="3">E14+E16-E15</f>
        <v>7911000</v>
      </c>
      <c r="F17" s="72">
        <f t="shared" si="3"/>
        <v>6591000</v>
      </c>
      <c r="G17" s="72">
        <f t="shared" si="3"/>
        <v>5271000</v>
      </c>
      <c r="H17" s="72">
        <f t="shared" si="3"/>
        <v>3951000</v>
      </c>
    </row>
    <row r="19" spans="1:8" x14ac:dyDescent="0.25">
      <c r="A19" s="167" t="s">
        <v>109</v>
      </c>
      <c r="B19" s="168"/>
    </row>
    <row r="20" spans="1:8" x14ac:dyDescent="0.25">
      <c r="B20" s="68" t="s">
        <v>110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111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112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</row>
    <row r="23" spans="1:8" ht="16.5" thickBot="1" x14ac:dyDescent="0.3">
      <c r="B23" s="71" t="s">
        <v>113</v>
      </c>
      <c r="C23" s="72">
        <f>SUM(C20:C22)</f>
        <v>0</v>
      </c>
      <c r="D23" s="72">
        <f t="shared" ref="D23:H23" si="4">SUM(D20:D22)</f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</row>
    <row r="24" spans="1:8" ht="15.75" thickBot="1" x14ac:dyDescent="0.3"/>
    <row r="25" spans="1:8" ht="22.5" customHeight="1" thickBot="1" x14ac:dyDescent="0.3">
      <c r="A25" s="169" t="s">
        <v>114</v>
      </c>
      <c r="B25" s="170"/>
      <c r="C25" s="74">
        <f t="shared" ref="C25:H25" si="5">SUM(C11,C17,C23)</f>
        <v>10551000</v>
      </c>
      <c r="D25" s="74">
        <f t="shared" si="5"/>
        <v>172527000</v>
      </c>
      <c r="E25" s="74">
        <f t="shared" si="5"/>
        <v>213500663.99999997</v>
      </c>
      <c r="F25" s="74">
        <f t="shared" si="5"/>
        <v>271184897.56799996</v>
      </c>
      <c r="G25" s="74">
        <f t="shared" si="5"/>
        <v>355857914.27759993</v>
      </c>
      <c r="H25" s="74">
        <f t="shared" si="5"/>
        <v>485657420.21742237</v>
      </c>
    </row>
    <row r="26" spans="1:8" ht="15.75" thickBot="1" x14ac:dyDescent="0.3">
      <c r="A26" s="171" t="s">
        <v>115</v>
      </c>
      <c r="B26" s="172"/>
    </row>
    <row r="27" spans="1:8" x14ac:dyDescent="0.25">
      <c r="A27" s="173" t="s">
        <v>116</v>
      </c>
      <c r="B27" s="173"/>
    </row>
    <row r="28" spans="1:8" x14ac:dyDescent="0.25">
      <c r="B28" s="68" t="s">
        <v>29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117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83</v>
      </c>
      <c r="C30" s="3">
        <f>'Amortización y Depreciación'!G3</f>
        <v>0</v>
      </c>
      <c r="D30" s="3">
        <f>'Amortización y Depreciación'!G4</f>
        <v>9155561.099999968</v>
      </c>
      <c r="E30" s="3">
        <f>'Amortización y Depreciación'!G5</f>
        <v>9155561.099999968</v>
      </c>
      <c r="F30" s="3">
        <f>'Amortización y Depreciación'!G6</f>
        <v>9155561.099999968</v>
      </c>
      <c r="G30" s="3">
        <f>'Amortización y Depreciación'!G7</f>
        <v>9155561.099999968</v>
      </c>
      <c r="H30" s="3">
        <f>'Amortización y Depreciación'!G8</f>
        <v>0</v>
      </c>
    </row>
    <row r="31" spans="1:8" x14ac:dyDescent="0.25">
      <c r="B31" s="68" t="s">
        <v>118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119</v>
      </c>
      <c r="C32" s="70">
        <f t="shared" ref="C32:H32" si="6">C25*0.04</f>
        <v>422040</v>
      </c>
      <c r="D32" s="70">
        <f t="shared" si="6"/>
        <v>6901080</v>
      </c>
      <c r="E32" s="70">
        <f t="shared" si="6"/>
        <v>8540026.5599999987</v>
      </c>
      <c r="F32" s="70">
        <f t="shared" si="6"/>
        <v>10847395.902719999</v>
      </c>
      <c r="G32" s="70">
        <f t="shared" si="6"/>
        <v>14234316.571103998</v>
      </c>
      <c r="H32" s="70">
        <f t="shared" si="6"/>
        <v>19426296.808696896</v>
      </c>
    </row>
    <row r="33" spans="1:10" ht="16.5" thickBot="1" x14ac:dyDescent="0.3">
      <c r="B33" s="71" t="s">
        <v>120</v>
      </c>
      <c r="C33" s="72">
        <f t="shared" ref="C33:H33" si="7">SUM(C28:C32)</f>
        <v>422040</v>
      </c>
      <c r="D33" s="72">
        <f t="shared" si="7"/>
        <v>154159577.09999996</v>
      </c>
      <c r="E33" s="72">
        <f t="shared" si="7"/>
        <v>167823217.25999996</v>
      </c>
      <c r="F33" s="72">
        <f t="shared" si="7"/>
        <v>185143349.56271997</v>
      </c>
      <c r="G33" s="72">
        <f t="shared" si="7"/>
        <v>205044309.487104</v>
      </c>
      <c r="H33" s="72">
        <f t="shared" si="7"/>
        <v>219246171.80629694</v>
      </c>
    </row>
    <row r="35" spans="1:10" x14ac:dyDescent="0.25">
      <c r="A35" s="167" t="s">
        <v>121</v>
      </c>
      <c r="B35" s="167"/>
    </row>
    <row r="36" spans="1:10" ht="15.75" thickBot="1" x14ac:dyDescent="0.3">
      <c r="B36" s="69" t="s">
        <v>190</v>
      </c>
      <c r="C36" s="70" t="e">
        <f>'Inversión Inicial'!#REF!</f>
        <v>#REF!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122</v>
      </c>
      <c r="C37" s="72" t="e">
        <f>SUM(C36)</f>
        <v>#REF!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69" t="s">
        <v>123</v>
      </c>
      <c r="B39" s="170"/>
      <c r="C39" s="74" t="e">
        <f>C33+C37</f>
        <v>#REF!</v>
      </c>
      <c r="D39" s="74">
        <f t="shared" ref="D39:H39" si="9">D33+D37</f>
        <v>154159577.09999996</v>
      </c>
      <c r="E39" s="74">
        <f>E33+E37</f>
        <v>167823217.25999996</v>
      </c>
      <c r="F39" s="74">
        <f t="shared" si="9"/>
        <v>185143349.56271997</v>
      </c>
      <c r="G39" s="74">
        <f t="shared" si="9"/>
        <v>205044309.487104</v>
      </c>
      <c r="H39" s="74">
        <f t="shared" si="9"/>
        <v>219246171.80629694</v>
      </c>
    </row>
    <row r="40" spans="1:10" ht="15.75" thickBot="1" x14ac:dyDescent="0.3"/>
    <row r="41" spans="1:10" ht="15.75" thickBot="1" x14ac:dyDescent="0.3">
      <c r="A41" s="165" t="s">
        <v>124</v>
      </c>
      <c r="B41" s="166"/>
    </row>
    <row r="42" spans="1:10" x14ac:dyDescent="0.25">
      <c r="B42" s="75" t="s">
        <v>13</v>
      </c>
      <c r="C42" s="7" t="e">
        <f>'Inversión Inicial'!#REF!</f>
        <v>#REF!</v>
      </c>
      <c r="D42" s="7" t="e">
        <f>C42</f>
        <v>#REF!</v>
      </c>
      <c r="E42" s="7" t="e">
        <f t="shared" ref="E42:H42" si="10">D42</f>
        <v>#REF!</v>
      </c>
      <c r="F42" s="7" t="e">
        <f t="shared" si="10"/>
        <v>#REF!</v>
      </c>
      <c r="G42" s="7" t="e">
        <f t="shared" si="10"/>
        <v>#REF!</v>
      </c>
      <c r="H42" s="7" t="e">
        <f t="shared" si="10"/>
        <v>#REF!</v>
      </c>
    </row>
    <row r="43" spans="1:10" x14ac:dyDescent="0.25">
      <c r="B43" s="68" t="s">
        <v>186</v>
      </c>
      <c r="C43" s="3" t="e">
        <f>'Estado de Resultados'!#REF!</f>
        <v>#REF!</v>
      </c>
      <c r="D43" s="3" t="e">
        <f>'Estado de Resultados'!#REF!</f>
        <v>#REF!</v>
      </c>
      <c r="E43" s="3" t="e">
        <f>'Estado de Resultados'!#REF!</f>
        <v>#REF!</v>
      </c>
      <c r="F43" s="3" t="e">
        <f>'Estado de Resultados'!#REF!</f>
        <v>#REF!</v>
      </c>
      <c r="G43" s="3" t="e">
        <f>'Estado de Resultados'!#REF!</f>
        <v>#REF!</v>
      </c>
      <c r="H43" s="3" t="e">
        <f>'Estado de Resultados'!#REF!</f>
        <v>#REF!</v>
      </c>
    </row>
    <row r="44" spans="1:10" ht="15.75" thickBot="1" x14ac:dyDescent="0.3">
      <c r="B44" s="48"/>
    </row>
    <row r="45" spans="1:10" ht="22.5" customHeight="1" thickBot="1" x14ac:dyDescent="0.3">
      <c r="A45" s="174" t="s">
        <v>125</v>
      </c>
      <c r="B45" s="175"/>
      <c r="C45" s="74" t="e">
        <f t="shared" ref="C45:H45" si="11">SUM(C42:C43)</f>
        <v>#REF!</v>
      </c>
      <c r="D45" s="74" t="e">
        <f t="shared" si="11"/>
        <v>#REF!</v>
      </c>
      <c r="E45" s="74" t="e">
        <f t="shared" si="11"/>
        <v>#REF!</v>
      </c>
      <c r="F45" s="74" t="e">
        <f t="shared" si="11"/>
        <v>#REF!</v>
      </c>
      <c r="G45" s="74" t="e">
        <f t="shared" si="11"/>
        <v>#REF!</v>
      </c>
      <c r="H45" s="74" t="e">
        <f t="shared" si="11"/>
        <v>#REF!</v>
      </c>
    </row>
    <row r="46" spans="1:10" ht="15.75" thickBot="1" x14ac:dyDescent="0.3"/>
    <row r="47" spans="1:10" ht="22.5" customHeight="1" thickBot="1" x14ac:dyDescent="0.3">
      <c r="A47" s="174" t="s">
        <v>187</v>
      </c>
      <c r="B47" s="175"/>
      <c r="C47" s="74" t="e">
        <f t="shared" ref="C47:H47" si="12">C39+C45</f>
        <v>#REF!</v>
      </c>
      <c r="D47" s="74" t="e">
        <f t="shared" si="12"/>
        <v>#REF!</v>
      </c>
      <c r="E47" s="74" t="e">
        <f t="shared" si="12"/>
        <v>#REF!</v>
      </c>
      <c r="F47" s="74" t="e">
        <f t="shared" si="12"/>
        <v>#REF!</v>
      </c>
      <c r="G47" s="74" t="e">
        <f t="shared" si="12"/>
        <v>#REF!</v>
      </c>
      <c r="H47" s="74" t="e">
        <f t="shared" si="12"/>
        <v>#REF!</v>
      </c>
      <c r="J47" s="40"/>
    </row>
  </sheetData>
  <mergeCells count="15">
    <mergeCell ref="A45:B45"/>
    <mergeCell ref="A47:B47"/>
    <mergeCell ref="A13:B13"/>
    <mergeCell ref="A1:H1"/>
    <mergeCell ref="A2:H2"/>
    <mergeCell ref="A4:B4"/>
    <mergeCell ref="A5:B5"/>
    <mergeCell ref="A6:B6"/>
    <mergeCell ref="A41:B41"/>
    <mergeCell ref="A19:B19"/>
    <mergeCell ref="A25:B25"/>
    <mergeCell ref="A26:B26"/>
    <mergeCell ref="A27:B27"/>
    <mergeCell ref="A35:B35"/>
    <mergeCell ref="A39:B39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5:E15 F15: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1"/>
  <sheetViews>
    <sheetView showGridLines="0" zoomScaleNormal="100" workbookViewId="0">
      <selection activeCell="D11" sqref="D11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6" t="s">
        <v>252</v>
      </c>
      <c r="B1" s="177"/>
      <c r="C1" s="177"/>
      <c r="D1" s="177"/>
      <c r="E1" s="177"/>
      <c r="F1" s="177"/>
      <c r="G1" s="177"/>
      <c r="H1" s="177"/>
    </row>
    <row r="2" spans="1:8" ht="22.5" customHeight="1" thickBot="1" x14ac:dyDescent="0.4">
      <c r="A2" s="178" t="s">
        <v>97</v>
      </c>
      <c r="B2" s="179"/>
      <c r="C2" s="179"/>
      <c r="D2" s="179"/>
      <c r="E2" s="179"/>
      <c r="F2" s="179"/>
      <c r="G2" s="179"/>
      <c r="H2" s="179"/>
    </row>
    <row r="3" spans="1:8" ht="15.75" thickBot="1" x14ac:dyDescent="0.3"/>
    <row r="4" spans="1:8" ht="22.5" customHeight="1" thickBot="1" x14ac:dyDescent="0.3">
      <c r="A4" s="169" t="s">
        <v>98</v>
      </c>
      <c r="B4" s="170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71" t="s">
        <v>253</v>
      </c>
      <c r="B5" s="172"/>
    </row>
    <row r="6" spans="1:8" x14ac:dyDescent="0.25">
      <c r="B6" s="198" t="s">
        <v>254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98" t="s">
        <v>255</v>
      </c>
      <c r="C7" s="7"/>
      <c r="D7" s="7"/>
      <c r="E7" s="7"/>
      <c r="F7" s="7"/>
      <c r="G7" s="7"/>
      <c r="H7" s="7"/>
    </row>
    <row r="8" spans="1:8" ht="16.5" thickBot="1" x14ac:dyDescent="0.3">
      <c r="B8" s="71" t="s">
        <v>256</v>
      </c>
      <c r="C8" s="72">
        <f>SUM(C6:C7)</f>
        <v>0</v>
      </c>
      <c r="D8" s="72">
        <f>D6-D7</f>
        <v>163296000</v>
      </c>
      <c r="E8" s="72">
        <f t="shared" ref="E8:H8" si="0">E6-E7</f>
        <v>205589663.99999997</v>
      </c>
      <c r="F8" s="72">
        <f t="shared" si="0"/>
        <v>264593897.56799996</v>
      </c>
      <c r="G8" s="72">
        <f t="shared" si="0"/>
        <v>350586914.27759993</v>
      </c>
      <c r="H8" s="72">
        <f t="shared" si="0"/>
        <v>481706420.21742237</v>
      </c>
    </row>
    <row r="9" spans="1:8" ht="15.75" thickBot="1" x14ac:dyDescent="0.3"/>
    <row r="10" spans="1:8" ht="15.75" thickBot="1" x14ac:dyDescent="0.3">
      <c r="A10" s="165" t="s">
        <v>257</v>
      </c>
      <c r="B10" s="166"/>
    </row>
    <row r="11" spans="1:8" x14ac:dyDescent="0.25">
      <c r="B11" s="198" t="s">
        <v>259</v>
      </c>
      <c r="C11" s="7"/>
      <c r="D11" s="7"/>
      <c r="E11" s="7"/>
      <c r="F11" s="7"/>
      <c r="G11" s="7"/>
      <c r="H11" s="7"/>
    </row>
    <row r="12" spans="1:8" x14ac:dyDescent="0.25">
      <c r="B12" s="198" t="s">
        <v>258</v>
      </c>
      <c r="C12" s="7"/>
      <c r="D12" s="7">
        <f>'Flujo de Caja'!D23</f>
        <v>1320000</v>
      </c>
      <c r="E12" s="7">
        <f>'Flujo de Caja'!E23</f>
        <v>1320000</v>
      </c>
      <c r="F12" s="7">
        <f>'Flujo de Caja'!F23</f>
        <v>1320000</v>
      </c>
      <c r="G12" s="7">
        <f>'Flujo de Caja'!G23</f>
        <v>1320000</v>
      </c>
      <c r="H12" s="7">
        <f>'Flujo de Caja'!H23</f>
        <v>1320000</v>
      </c>
    </row>
    <row r="13" spans="1:8" ht="15.75" thickBot="1" x14ac:dyDescent="0.3">
      <c r="B13" s="198" t="s">
        <v>260</v>
      </c>
      <c r="C13" s="7"/>
      <c r="D13" s="7"/>
      <c r="E13" s="7"/>
      <c r="F13" s="7"/>
      <c r="G13" s="7"/>
      <c r="H13" s="7"/>
    </row>
    <row r="14" spans="1:8" ht="16.5" thickBot="1" x14ac:dyDescent="0.3">
      <c r="B14" s="71" t="s">
        <v>261</v>
      </c>
      <c r="C14" s="72">
        <f>SUM(C12:C13)</f>
        <v>0</v>
      </c>
      <c r="D14" s="72">
        <f t="shared" ref="D14" si="1">SUM(D12:D13)</f>
        <v>1320000</v>
      </c>
      <c r="E14" s="72">
        <f t="shared" ref="E14" si="2">SUM(E12:E13)</f>
        <v>1320000</v>
      </c>
      <c r="F14" s="72">
        <f t="shared" ref="F14" si="3">SUM(F12:F13)</f>
        <v>1320000</v>
      </c>
      <c r="G14" s="72">
        <f t="shared" ref="G14" si="4">SUM(G12:G13)</f>
        <v>1320000</v>
      </c>
      <c r="H14" s="72">
        <f t="shared" ref="H14" si="5">SUM(H12:H13)</f>
        <v>1320000</v>
      </c>
    </row>
    <row r="16" spans="1:8" x14ac:dyDescent="0.25">
      <c r="B16" s="198" t="s">
        <v>267</v>
      </c>
      <c r="C16" s="7"/>
      <c r="D16" s="7"/>
      <c r="E16" s="7"/>
      <c r="F16" s="7"/>
      <c r="G16" s="7"/>
      <c r="H16" s="7"/>
    </row>
    <row r="31" ht="22.5" customHeight="1" x14ac:dyDescent="0.25"/>
  </sheetData>
  <mergeCells count="5"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D13" sqref="D1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6" t="s">
        <v>269</v>
      </c>
      <c r="B1" s="177"/>
      <c r="C1" s="177"/>
      <c r="D1" s="177"/>
      <c r="E1" s="177"/>
      <c r="F1" s="177"/>
      <c r="G1" s="177"/>
      <c r="H1" s="177"/>
    </row>
    <row r="2" spans="1:8" ht="22.5" customHeight="1" thickBot="1" x14ac:dyDescent="0.4">
      <c r="A2" s="178" t="s">
        <v>97</v>
      </c>
      <c r="B2" s="179"/>
      <c r="C2" s="179"/>
      <c r="D2" s="179"/>
      <c r="E2" s="179"/>
      <c r="F2" s="179"/>
      <c r="G2" s="179"/>
      <c r="H2" s="179"/>
    </row>
    <row r="3" spans="1:8" ht="15.75" thickBot="1" x14ac:dyDescent="0.3"/>
    <row r="4" spans="1:8" ht="22.5" customHeight="1" thickBot="1" x14ac:dyDescent="0.3">
      <c r="A4" s="169" t="s">
        <v>98</v>
      </c>
      <c r="B4" s="170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5" t="s">
        <v>193</v>
      </c>
      <c r="B5" s="166"/>
    </row>
    <row r="6" spans="1:8" x14ac:dyDescent="0.25">
      <c r="B6" s="87" t="s">
        <v>194</v>
      </c>
      <c r="C6" s="7">
        <f>'Proyección de Ventas e Incremen'!B17</f>
        <v>20695950</v>
      </c>
      <c r="D6" s="7"/>
      <c r="E6" s="7"/>
      <c r="F6" s="7"/>
      <c r="G6" s="7"/>
      <c r="H6" s="7"/>
    </row>
    <row r="7" spans="1:8" x14ac:dyDescent="0.25">
      <c r="B7" s="87" t="s">
        <v>199</v>
      </c>
      <c r="C7" s="7">
        <f>'Proyección de Ventas e Incremen'!B16</f>
        <v>25295050.000000004</v>
      </c>
      <c r="D7" s="7"/>
      <c r="E7" s="7"/>
      <c r="F7" s="7"/>
      <c r="G7" s="7"/>
      <c r="H7" s="7"/>
    </row>
    <row r="8" spans="1:8" ht="15.75" thickBot="1" x14ac:dyDescent="0.3">
      <c r="B8" s="87" t="s">
        <v>247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1" t="s">
        <v>248</v>
      </c>
      <c r="C9" s="72">
        <f>SUM(C6:C8)</f>
        <v>45991000</v>
      </c>
      <c r="D9" s="72">
        <f t="shared" ref="D9:H9" si="0">SUM(D6:D8)</f>
        <v>163296000</v>
      </c>
      <c r="E9" s="72">
        <f t="shared" si="0"/>
        <v>205589663.99999997</v>
      </c>
      <c r="F9" s="72">
        <f t="shared" si="0"/>
        <v>264593897.56799996</v>
      </c>
      <c r="G9" s="72">
        <f t="shared" si="0"/>
        <v>350586914.27759993</v>
      </c>
      <c r="H9" s="72">
        <f t="shared" si="0"/>
        <v>481706420.21742237</v>
      </c>
    </row>
    <row r="10" spans="1:8" ht="15.75" thickBot="1" x14ac:dyDescent="0.3"/>
    <row r="11" spans="1:8" ht="15.75" thickBot="1" x14ac:dyDescent="0.3">
      <c r="A11" s="165" t="s">
        <v>249</v>
      </c>
      <c r="B11" s="166"/>
    </row>
    <row r="12" spans="1:8" x14ac:dyDescent="0.25">
      <c r="B12" s="87" t="s">
        <v>262</v>
      </c>
      <c r="C12" s="3">
        <f>SUM('Costos de Operación Gravables'!B40:B46)</f>
        <v>44991000</v>
      </c>
      <c r="D12" s="3"/>
      <c r="E12" s="3"/>
      <c r="F12" s="3"/>
      <c r="G12" s="3"/>
      <c r="H12" s="3"/>
    </row>
    <row r="13" spans="1:8" x14ac:dyDescent="0.25">
      <c r="B13" s="87" t="s">
        <v>263</v>
      </c>
      <c r="C13" s="3"/>
      <c r="D13" s="3"/>
      <c r="E13" s="3"/>
      <c r="F13" s="3"/>
      <c r="G13" s="3"/>
      <c r="H13" s="3"/>
    </row>
    <row r="14" spans="1:8" x14ac:dyDescent="0.25">
      <c r="B14" s="87" t="s">
        <v>264</v>
      </c>
      <c r="C14" s="3"/>
      <c r="D14" s="3"/>
      <c r="E14" s="3"/>
      <c r="F14" s="3"/>
      <c r="G14" s="3"/>
      <c r="H14" s="3"/>
    </row>
    <row r="15" spans="1:8" x14ac:dyDescent="0.25">
      <c r="B15" s="87" t="s">
        <v>265</v>
      </c>
      <c r="C15" s="3"/>
      <c r="D15" s="3">
        <f>'Amortización y Depreciación'!G16</f>
        <v>1320000</v>
      </c>
      <c r="E15" s="3">
        <f>D15</f>
        <v>1320000</v>
      </c>
      <c r="F15" s="3">
        <f t="shared" ref="F15:H17" si="1">E15</f>
        <v>1320000</v>
      </c>
      <c r="G15" s="3">
        <f t="shared" si="1"/>
        <v>1320000</v>
      </c>
      <c r="H15" s="3">
        <f t="shared" si="1"/>
        <v>1320000</v>
      </c>
    </row>
    <row r="16" spans="1:8" x14ac:dyDescent="0.25">
      <c r="B16" s="87" t="s">
        <v>251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7" t="s">
        <v>266</v>
      </c>
      <c r="C17" s="3"/>
      <c r="D17" s="3">
        <f>'Amortización y Depreciación'!F4</f>
        <v>4209096.32</v>
      </c>
      <c r="E17" s="3">
        <f>'Amortización y Depreciación'!F5</f>
        <v>3386004.5806080056</v>
      </c>
      <c r="F17" s="3">
        <f>'Amortización y Depreciación'!F6</f>
        <v>2425950.3757811836</v>
      </c>
      <c r="G17" s="3">
        <f>'Amortización y Depreciación'!F7</f>
        <v>1306143.1512711779</v>
      </c>
      <c r="H17" s="3"/>
    </row>
    <row r="18" spans="1:8" ht="15.75" thickBot="1" x14ac:dyDescent="0.3">
      <c r="B18" s="87" t="s">
        <v>267</v>
      </c>
      <c r="C18" s="3"/>
      <c r="D18" s="3"/>
      <c r="E18" s="3"/>
      <c r="F18" s="3"/>
      <c r="G18" s="3"/>
      <c r="H18" s="3"/>
    </row>
    <row r="19" spans="1:8" ht="16.5" thickBot="1" x14ac:dyDescent="0.3">
      <c r="B19" s="71" t="s">
        <v>268</v>
      </c>
      <c r="C19" s="72">
        <f>SUM(C12:C18)</f>
        <v>45991000</v>
      </c>
      <c r="D19" s="72">
        <f t="shared" ref="D19:H19" si="2">SUM(D12:D18)</f>
        <v>5529096.3200000003</v>
      </c>
      <c r="E19" s="72">
        <f t="shared" si="2"/>
        <v>4706004.5806080056</v>
      </c>
      <c r="F19" s="72">
        <f t="shared" si="2"/>
        <v>3745950.3757811836</v>
      </c>
      <c r="G19" s="72">
        <f t="shared" si="2"/>
        <v>2626143.1512711779</v>
      </c>
      <c r="H19" s="72">
        <f t="shared" si="2"/>
        <v>1320000</v>
      </c>
    </row>
    <row r="20" spans="1:8" ht="15.75" thickBot="1" x14ac:dyDescent="0.3"/>
    <row r="21" spans="1:8" ht="15.75" customHeight="1" thickBot="1" x14ac:dyDescent="0.3">
      <c r="A21" s="205" t="s">
        <v>276</v>
      </c>
      <c r="B21" s="206"/>
      <c r="C21" s="204">
        <f>-C19</f>
        <v>-45991000</v>
      </c>
      <c r="D21" s="72">
        <f>D9-D19</f>
        <v>157766903.68000001</v>
      </c>
      <c r="E21" s="72">
        <f t="shared" ref="E21:H21" si="3">E9-E19</f>
        <v>200883659.41939196</v>
      </c>
      <c r="F21" s="72">
        <f t="shared" si="3"/>
        <v>260847947.19221878</v>
      </c>
      <c r="G21" s="72">
        <f t="shared" si="3"/>
        <v>347960771.12632877</v>
      </c>
      <c r="H21" s="72">
        <f t="shared" si="3"/>
        <v>480386420.21742237</v>
      </c>
    </row>
    <row r="23" spans="1:8" x14ac:dyDescent="0.25">
      <c r="B23" s="15" t="s">
        <v>136</v>
      </c>
      <c r="C23" s="3"/>
      <c r="D23" s="3">
        <f>D15</f>
        <v>1320000</v>
      </c>
      <c r="E23" s="3">
        <f>D23</f>
        <v>1320000</v>
      </c>
      <c r="F23" s="3">
        <f t="shared" ref="F23:H23" si="4">E23</f>
        <v>1320000</v>
      </c>
      <c r="G23" s="3">
        <f t="shared" si="4"/>
        <v>1320000</v>
      </c>
      <c r="H23" s="3">
        <f t="shared" si="4"/>
        <v>1320000</v>
      </c>
    </row>
    <row r="24" spans="1:8" ht="15.75" thickBot="1" x14ac:dyDescent="0.3"/>
    <row r="25" spans="1:8" customFormat="1" ht="22.5" customHeight="1" thickBot="1" x14ac:dyDescent="0.3">
      <c r="A25" s="174" t="s">
        <v>278</v>
      </c>
      <c r="B25" s="175"/>
      <c r="C25" s="74">
        <f>C21</f>
        <v>-45991000</v>
      </c>
      <c r="D25" s="74">
        <f>D21+D23</f>
        <v>159086903.68000001</v>
      </c>
      <c r="E25" s="74">
        <f t="shared" ref="E25:H25" si="5">E21+E23</f>
        <v>202203659.41939196</v>
      </c>
      <c r="F25" s="74">
        <f t="shared" si="5"/>
        <v>262167947.19221878</v>
      </c>
      <c r="G25" s="74">
        <f t="shared" si="5"/>
        <v>349280771.12632877</v>
      </c>
      <c r="H25" s="74">
        <f t="shared" si="5"/>
        <v>481706420.21742237</v>
      </c>
    </row>
    <row r="26" spans="1:8" customFormat="1" x14ac:dyDescent="0.25"/>
    <row r="27" spans="1:8" customFormat="1" x14ac:dyDescent="0.25"/>
    <row r="28" spans="1:8" customFormat="1" x14ac:dyDescent="0.25"/>
    <row r="29" spans="1:8" customFormat="1" x14ac:dyDescent="0.25"/>
    <row r="30" spans="1:8" customFormat="1" x14ac:dyDescent="0.25"/>
    <row r="31" spans="1:8" customFormat="1" x14ac:dyDescent="0.25"/>
    <row r="32" spans="1:8" customFormat="1" x14ac:dyDescent="0.25"/>
    <row r="33" customFormat="1" x14ac:dyDescent="0.25"/>
    <row r="34" customFormat="1" ht="22.5" customHeight="1" x14ac:dyDescent="0.25"/>
    <row r="35" customFormat="1" ht="15" customHeight="1" x14ac:dyDescent="0.25"/>
    <row r="36" customFormat="1" x14ac:dyDescent="0.25"/>
  </sheetData>
  <mergeCells count="7">
    <mergeCell ref="A1:H1"/>
    <mergeCell ref="A2:H2"/>
    <mergeCell ref="A4:B4"/>
    <mergeCell ref="A5:B5"/>
    <mergeCell ref="A11:B11"/>
    <mergeCell ref="A21:B21"/>
    <mergeCell ref="A25:B25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3"/>
  <sheetViews>
    <sheetView showGridLines="0" zoomScale="115" zoomScaleNormal="115" workbookViewId="0">
      <selection activeCell="D19" sqref="D19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6" t="s">
        <v>134</v>
      </c>
      <c r="B1" s="177"/>
      <c r="C1" s="177"/>
      <c r="D1" s="177"/>
      <c r="E1" s="177"/>
      <c r="F1" s="177"/>
      <c r="G1" s="177"/>
      <c r="H1" s="177"/>
    </row>
    <row r="2" spans="1:8" ht="22.5" customHeight="1" thickBot="1" x14ac:dyDescent="0.4">
      <c r="A2" s="178" t="s">
        <v>97</v>
      </c>
      <c r="B2" s="179"/>
      <c r="C2" s="179"/>
      <c r="D2" s="179"/>
      <c r="E2" s="179"/>
      <c r="F2" s="179"/>
      <c r="G2" s="179"/>
      <c r="H2" s="179"/>
    </row>
    <row r="3" spans="1:8" ht="15.75" thickBot="1" x14ac:dyDescent="0.3"/>
    <row r="4" spans="1:8" ht="22.5" customHeight="1" thickBot="1" x14ac:dyDescent="0.3">
      <c r="A4" s="169" t="s">
        <v>98</v>
      </c>
      <c r="B4" s="170"/>
      <c r="C4" s="67" t="s">
        <v>126</v>
      </c>
      <c r="D4" s="67" t="s">
        <v>127</v>
      </c>
      <c r="E4" s="67" t="s">
        <v>128</v>
      </c>
      <c r="F4" s="67" t="s">
        <v>129</v>
      </c>
      <c r="G4" s="67" t="s">
        <v>130</v>
      </c>
      <c r="H4" s="67" t="s">
        <v>131</v>
      </c>
    </row>
    <row r="5" spans="1:8" ht="15.75" thickBot="1" x14ac:dyDescent="0.3">
      <c r="A5" s="165" t="s">
        <v>135</v>
      </c>
      <c r="B5" s="166"/>
    </row>
    <row r="6" spans="1:8" x14ac:dyDescent="0.25">
      <c r="B6" s="75" t="s">
        <v>275</v>
      </c>
      <c r="C6" s="70"/>
      <c r="D6" s="70"/>
      <c r="E6" s="70"/>
      <c r="F6" s="70"/>
      <c r="G6" s="70"/>
      <c r="H6" s="70"/>
    </row>
    <row r="7" spans="1:8" x14ac:dyDescent="0.25">
      <c r="B7" s="68" t="s">
        <v>136</v>
      </c>
      <c r="C7" s="7">
        <v>0</v>
      </c>
      <c r="D7" s="7">
        <f>'Flujo de Caja'!D15</f>
        <v>1320000</v>
      </c>
      <c r="E7" s="7">
        <f>D7*2</f>
        <v>2640000</v>
      </c>
      <c r="F7" s="7">
        <f>D7*3</f>
        <v>3960000</v>
      </c>
      <c r="G7" s="7">
        <f>D7*4</f>
        <v>5280000</v>
      </c>
      <c r="H7" s="7">
        <f>D7*5</f>
        <v>6600000</v>
      </c>
    </row>
    <row r="8" spans="1:8" x14ac:dyDescent="0.25">
      <c r="B8" s="69" t="s">
        <v>83</v>
      </c>
      <c r="C8" s="7">
        <v>0</v>
      </c>
      <c r="D8" s="7">
        <f>'Amortización y Depreciación'!H4</f>
        <v>4946464.7799999677</v>
      </c>
      <c r="E8" s="7">
        <f>'Amortización y Depreciación'!H5</f>
        <v>5769556.5193919623</v>
      </c>
      <c r="F8" s="7">
        <f>'Amortización y Depreciación'!H6</f>
        <v>6729610.7242187839</v>
      </c>
      <c r="G8" s="7">
        <f>'Amortización y Depreciación'!H7</f>
        <v>7849417.9487287905</v>
      </c>
      <c r="H8" s="7">
        <f>'Amortización y Depreciación'!H8</f>
        <v>-4.6027072429656981E-3</v>
      </c>
    </row>
    <row r="9" spans="1:8" x14ac:dyDescent="0.25">
      <c r="B9" s="69" t="s">
        <v>133</v>
      </c>
      <c r="C9" s="73">
        <v>0</v>
      </c>
      <c r="D9" s="7">
        <f>'Amortización y Depreciación'!F4</f>
        <v>4209096.32</v>
      </c>
      <c r="E9" s="7">
        <f>'Amortización y Depreciación'!F5</f>
        <v>3386004.5806080056</v>
      </c>
      <c r="F9" s="7">
        <f>'Amortización y Depreciación'!F6</f>
        <v>2425950.3757811836</v>
      </c>
      <c r="G9" s="7">
        <f>'Amortización y Depreciación'!F7</f>
        <v>1306143.1512711779</v>
      </c>
      <c r="H9" s="7">
        <f>'Amortización y Depreciación'!F8</f>
        <v>4.6027072429656981E-3</v>
      </c>
    </row>
    <row r="10" spans="1:8" ht="15.75" thickBot="1" x14ac:dyDescent="0.3">
      <c r="B10" s="69" t="s">
        <v>274</v>
      </c>
      <c r="C10" s="73"/>
      <c r="D10" s="73"/>
      <c r="E10" s="73"/>
      <c r="F10" s="73"/>
      <c r="G10" s="73"/>
      <c r="H10" s="73"/>
    </row>
    <row r="11" spans="1:8" ht="16.5" thickBot="1" x14ac:dyDescent="0.3">
      <c r="B11" s="71" t="s">
        <v>137</v>
      </c>
      <c r="C11" s="72">
        <f>SUM(C6:C10)</f>
        <v>0</v>
      </c>
      <c r="D11" s="72">
        <f t="shared" ref="D11:H11" si="0">SUM(D6:D10)</f>
        <v>10475561.099999968</v>
      </c>
      <c r="E11" s="72">
        <f t="shared" si="0"/>
        <v>11795561.099999968</v>
      </c>
      <c r="F11" s="72">
        <f t="shared" si="0"/>
        <v>13115561.099999968</v>
      </c>
      <c r="G11" s="72">
        <f t="shared" si="0"/>
        <v>14435561.099999968</v>
      </c>
      <c r="H11" s="72">
        <f t="shared" si="0"/>
        <v>6600000</v>
      </c>
    </row>
    <row r="12" spans="1:8" ht="15.75" thickBot="1" x14ac:dyDescent="0.3"/>
    <row r="13" spans="1:8" ht="15.75" thickBot="1" x14ac:dyDescent="0.3">
      <c r="A13" s="165" t="s">
        <v>138</v>
      </c>
      <c r="B13" s="166"/>
    </row>
    <row r="14" spans="1:8" ht="15.75" thickBot="1" x14ac:dyDescent="0.3">
      <c r="B14" s="68" t="s">
        <v>270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139</v>
      </c>
      <c r="C15" s="72">
        <f t="shared" ref="C15:H15" si="1">SUM(C14:C14)</f>
        <v>9100000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65" t="s">
        <v>140</v>
      </c>
      <c r="B17" s="166"/>
    </row>
    <row r="18" spans="1:8" x14ac:dyDescent="0.25">
      <c r="B18" s="75" t="s">
        <v>273</v>
      </c>
      <c r="C18" s="7">
        <f>'Proyección de Ventas e Incremen'!B17</f>
        <v>20695950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8" t="s">
        <v>271</v>
      </c>
      <c r="C19" s="7"/>
      <c r="D19" s="7"/>
      <c r="E19" s="7"/>
      <c r="F19" s="7"/>
      <c r="G19" s="7"/>
      <c r="H19" s="7"/>
    </row>
    <row r="20" spans="1:8" x14ac:dyDescent="0.25">
      <c r="B20" s="68" t="s">
        <v>141</v>
      </c>
      <c r="C20" s="7">
        <f>C8</f>
        <v>0</v>
      </c>
      <c r="D20" s="7">
        <f>D8</f>
        <v>4946464.7799999677</v>
      </c>
      <c r="E20" s="7">
        <f t="shared" ref="E20:H20" si="2">E8</f>
        <v>5769556.5193919623</v>
      </c>
      <c r="F20" s="7">
        <f t="shared" si="2"/>
        <v>6729610.7242187839</v>
      </c>
      <c r="G20" s="7">
        <f t="shared" si="2"/>
        <v>7849417.9487287905</v>
      </c>
      <c r="H20" s="7">
        <f t="shared" si="2"/>
        <v>-4.6027072429656981E-3</v>
      </c>
    </row>
    <row r="21" spans="1:8" x14ac:dyDescent="0.25">
      <c r="B21" s="68" t="s">
        <v>133</v>
      </c>
      <c r="C21" s="7">
        <f>C9</f>
        <v>0</v>
      </c>
      <c r="D21" s="7">
        <f>D9</f>
        <v>4209096.32</v>
      </c>
      <c r="E21" s="7">
        <f t="shared" ref="E21:H22" si="3">E9</f>
        <v>3386004.5806080056</v>
      </c>
      <c r="F21" s="7">
        <f t="shared" si="3"/>
        <v>2425950.3757811836</v>
      </c>
      <c r="G21" s="7">
        <f t="shared" si="3"/>
        <v>1306143.1512711779</v>
      </c>
      <c r="H21" s="7">
        <f t="shared" si="3"/>
        <v>4.6027072429656981E-3</v>
      </c>
    </row>
    <row r="22" spans="1:8" ht="15.75" thickBot="1" x14ac:dyDescent="0.3">
      <c r="B22" s="68" t="s">
        <v>272</v>
      </c>
      <c r="C22" s="7"/>
      <c r="D22" s="7"/>
      <c r="E22" s="7"/>
      <c r="F22" s="7"/>
      <c r="G22" s="7"/>
      <c r="H22" s="7"/>
    </row>
    <row r="23" spans="1:8" ht="16.5" thickBot="1" x14ac:dyDescent="0.3">
      <c r="B23" s="71" t="s">
        <v>142</v>
      </c>
      <c r="C23" s="72">
        <f t="shared" ref="C23:H23" si="4">SUM(C18:C21)</f>
        <v>20695950</v>
      </c>
      <c r="D23" s="72">
        <f t="shared" si="4"/>
        <v>9155561.099999968</v>
      </c>
      <c r="E23" s="72">
        <f t="shared" si="4"/>
        <v>9155561.099999968</v>
      </c>
      <c r="F23" s="72">
        <f t="shared" si="4"/>
        <v>9155561.099999968</v>
      </c>
      <c r="G23" s="72">
        <f t="shared" si="4"/>
        <v>9155561.099999968</v>
      </c>
      <c r="H23" s="72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J24"/>
  <sheetViews>
    <sheetView showGridLines="0" tabSelected="1" zoomScale="130" zoomScaleNormal="130" workbookViewId="0">
      <selection activeCell="C9" sqref="C9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t="s">
        <v>157</v>
      </c>
      <c r="G2" s="186" t="s">
        <v>164</v>
      </c>
      <c r="H2" s="187"/>
      <c r="I2" s="187"/>
      <c r="J2" s="188"/>
    </row>
    <row r="3" spans="1:10" x14ac:dyDescent="0.25">
      <c r="B3" t="s">
        <v>279</v>
      </c>
      <c r="C3" s="208">
        <f>'Proyección de Ventas e Incremen'!J16</f>
        <v>2752.2935779816517</v>
      </c>
      <c r="G3" s="181" t="s">
        <v>143</v>
      </c>
      <c r="H3" s="181"/>
      <c r="I3" s="85" t="s">
        <v>144</v>
      </c>
      <c r="J3" s="85" t="s">
        <v>145</v>
      </c>
    </row>
    <row r="4" spans="1:10" x14ac:dyDescent="0.25">
      <c r="A4" s="76"/>
      <c r="B4" t="s">
        <v>280</v>
      </c>
      <c r="C4" s="201">
        <f>('Proyección de Ventas e Incremen'!J13+'Proyección de Ventas e Incremen'!J14)*12</f>
        <v>59330.879999999997</v>
      </c>
      <c r="G4" s="189" t="s">
        <v>146</v>
      </c>
      <c r="H4" s="189"/>
      <c r="I4" s="79">
        <v>0</v>
      </c>
      <c r="J4" s="79">
        <f>'Proyección de Ventas e Incremen'!J7</f>
        <v>163296000</v>
      </c>
    </row>
    <row r="5" spans="1:10" x14ac:dyDescent="0.25">
      <c r="B5" t="s">
        <v>281</v>
      </c>
      <c r="C5" s="208">
        <f>C3*C4</f>
        <v>163296000</v>
      </c>
      <c r="G5" s="81" t="s">
        <v>147</v>
      </c>
      <c r="H5" s="79">
        <f>J4</f>
        <v>163296000</v>
      </c>
      <c r="I5" s="79">
        <v>0</v>
      </c>
      <c r="J5" s="79">
        <v>0</v>
      </c>
    </row>
    <row r="6" spans="1:10" x14ac:dyDescent="0.25">
      <c r="B6" t="s">
        <v>282</v>
      </c>
      <c r="G6" s="189" t="s">
        <v>148</v>
      </c>
      <c r="H6" s="189"/>
      <c r="I6" s="79" t="s">
        <v>277</v>
      </c>
      <c r="J6" s="79">
        <v>0</v>
      </c>
    </row>
    <row r="7" spans="1:10" x14ac:dyDescent="0.25">
      <c r="B7" t="s">
        <v>283</v>
      </c>
      <c r="C7" s="208"/>
      <c r="G7" s="189" t="s">
        <v>154</v>
      </c>
      <c r="H7" s="189"/>
      <c r="I7" s="79">
        <v>0</v>
      </c>
      <c r="J7" s="79">
        <f>'Balance General'!D15</f>
        <v>1320000</v>
      </c>
    </row>
    <row r="8" spans="1:10" x14ac:dyDescent="0.25">
      <c r="B8" t="s">
        <v>284</v>
      </c>
      <c r="C8" s="208"/>
      <c r="G8" s="189" t="s">
        <v>155</v>
      </c>
      <c r="H8" s="189"/>
      <c r="I8" s="79">
        <v>0</v>
      </c>
      <c r="J8" s="79">
        <v>0</v>
      </c>
    </row>
    <row r="9" spans="1:10" x14ac:dyDescent="0.25">
      <c r="B9" t="s">
        <v>285</v>
      </c>
      <c r="G9" s="180" t="s">
        <v>149</v>
      </c>
      <c r="H9" s="180"/>
      <c r="I9" s="83">
        <f>SUM(I4:I8)</f>
        <v>0</v>
      </c>
      <c r="J9" s="83">
        <f>SUM(J4:J8)</f>
        <v>164616000</v>
      </c>
    </row>
    <row r="10" spans="1:10" x14ac:dyDescent="0.25">
      <c r="G10" s="82" t="s">
        <v>150</v>
      </c>
      <c r="H10" s="80">
        <v>0.1</v>
      </c>
      <c r="I10" s="79">
        <f>I9*$H$10</f>
        <v>0</v>
      </c>
      <c r="J10" s="79">
        <f>J9*$H$10</f>
        <v>16461600</v>
      </c>
    </row>
    <row r="11" spans="1:10" x14ac:dyDescent="0.25">
      <c r="G11" s="182" t="s">
        <v>32</v>
      </c>
      <c r="H11" s="183"/>
      <c r="I11" s="84">
        <f>I9+I10</f>
        <v>0</v>
      </c>
      <c r="J11" s="84">
        <f>J9+J10</f>
        <v>181077600</v>
      </c>
    </row>
    <row r="12" spans="1:10" ht="15.75" thickBot="1" x14ac:dyDescent="0.3"/>
    <row r="13" spans="1:10" ht="15.75" thickBot="1" x14ac:dyDescent="0.3">
      <c r="B13" s="184" t="s">
        <v>151</v>
      </c>
      <c r="C13" s="185"/>
    </row>
    <row r="14" spans="1:10" x14ac:dyDescent="0.25">
      <c r="B14" s="88" t="s">
        <v>152</v>
      </c>
      <c r="C14" s="87">
        <v>3300</v>
      </c>
    </row>
    <row r="15" spans="1:10" x14ac:dyDescent="0.25">
      <c r="B15" s="89" t="s">
        <v>153</v>
      </c>
      <c r="C15" s="79">
        <f>J11/C14</f>
        <v>54872</v>
      </c>
    </row>
    <row r="16" spans="1:10" x14ac:dyDescent="0.25">
      <c r="B16" s="89" t="s">
        <v>158</v>
      </c>
      <c r="C16" s="79">
        <f>SUM(I11:J11)/C14</f>
        <v>54872</v>
      </c>
    </row>
    <row r="17" spans="2:3" x14ac:dyDescent="0.25">
      <c r="B17" s="89" t="s">
        <v>156</v>
      </c>
      <c r="C17" s="79">
        <f>C16*0.19</f>
        <v>10425.68</v>
      </c>
    </row>
    <row r="18" spans="2:3" x14ac:dyDescent="0.25">
      <c r="B18" s="89" t="s">
        <v>159</v>
      </c>
      <c r="C18" s="79">
        <f>SUM(C16:C17)</f>
        <v>65297.68</v>
      </c>
    </row>
    <row r="19" spans="2:3" x14ac:dyDescent="0.25">
      <c r="B19" s="89" t="s">
        <v>157</v>
      </c>
      <c r="C19" s="86">
        <f>((C16-C15)*C14)/(C18-C16)</f>
        <v>0</v>
      </c>
    </row>
    <row r="20" spans="2:3" ht="15.75" thickBot="1" x14ac:dyDescent="0.3"/>
    <row r="21" spans="2:3" ht="15.75" thickBot="1" x14ac:dyDescent="0.3">
      <c r="B21" s="184" t="s">
        <v>160</v>
      </c>
      <c r="C21" s="185"/>
    </row>
    <row r="22" spans="2:3" x14ac:dyDescent="0.25">
      <c r="B22" s="88" t="s">
        <v>162</v>
      </c>
      <c r="C22" s="90">
        <f>C18</f>
        <v>65297.68</v>
      </c>
    </row>
    <row r="23" spans="2:3" x14ac:dyDescent="0.25">
      <c r="B23" s="89" t="s">
        <v>161</v>
      </c>
      <c r="C23" s="207">
        <v>270</v>
      </c>
    </row>
    <row r="24" spans="2:3" x14ac:dyDescent="0.25">
      <c r="B24" s="89" t="s">
        <v>163</v>
      </c>
      <c r="C24" s="79">
        <f>C22*C23</f>
        <v>17630373.600000001</v>
      </c>
    </row>
  </sheetData>
  <mergeCells count="10">
    <mergeCell ref="G2:J2"/>
    <mergeCell ref="G6:H6"/>
    <mergeCell ref="G4:H4"/>
    <mergeCell ref="G7:H7"/>
    <mergeCell ref="G8:H8"/>
    <mergeCell ref="G9:H9"/>
    <mergeCell ref="G3:H3"/>
    <mergeCell ref="G11:H11"/>
    <mergeCell ref="B13:C13"/>
    <mergeCell ref="B21:C21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4"/>
    <col min="3" max="3" width="12.5703125" bestFit="1" customWidth="1"/>
    <col min="4" max="4" width="12.5703125" style="91" bestFit="1" customWidth="1"/>
  </cols>
  <sheetData>
    <row r="1" spans="2:4" x14ac:dyDescent="0.25">
      <c r="C1" s="92">
        <f>'Costos Fijos y Punto de Equil.'!I11</f>
        <v>0</v>
      </c>
      <c r="D1" s="61"/>
    </row>
    <row r="2" spans="2:4" x14ac:dyDescent="0.25">
      <c r="C2" s="93">
        <f>'Costos Fijos y Punto de Equil.'!C16</f>
        <v>54872</v>
      </c>
      <c r="D2" s="93">
        <f>'Costos Fijos y Punto de Equil.'!C18</f>
        <v>65297.68</v>
      </c>
    </row>
    <row r="3" spans="2:4" x14ac:dyDescent="0.25">
      <c r="C3" s="95" t="s">
        <v>165</v>
      </c>
      <c r="D3" s="96" t="s">
        <v>166</v>
      </c>
    </row>
    <row r="4" spans="2:4" x14ac:dyDescent="0.25">
      <c r="B4" s="94">
        <v>0</v>
      </c>
      <c r="C4" s="40">
        <f>($C$2*B4)+$C$1</f>
        <v>0</v>
      </c>
      <c r="D4" s="40">
        <f>$D$2*B4</f>
        <v>0</v>
      </c>
    </row>
    <row r="5" spans="2:4" x14ac:dyDescent="0.25">
      <c r="B5" s="94">
        <v>1</v>
      </c>
      <c r="C5" s="40">
        <f t="shared" ref="C5:C68" si="0">($C$2*B5)+$C$1</f>
        <v>54872</v>
      </c>
      <c r="D5" s="40">
        <f t="shared" ref="D5:D68" si="1">$D$2*B5</f>
        <v>65297.68</v>
      </c>
    </row>
    <row r="6" spans="2:4" x14ac:dyDescent="0.25">
      <c r="B6" s="94">
        <v>2</v>
      </c>
      <c r="C6" s="40">
        <f t="shared" si="0"/>
        <v>109744</v>
      </c>
      <c r="D6" s="40">
        <f t="shared" si="1"/>
        <v>130595.36</v>
      </c>
    </row>
    <row r="7" spans="2:4" x14ac:dyDescent="0.25">
      <c r="B7" s="94">
        <v>3</v>
      </c>
      <c r="C7" s="40">
        <f t="shared" si="0"/>
        <v>164616</v>
      </c>
      <c r="D7" s="40">
        <f t="shared" si="1"/>
        <v>195893.04</v>
      </c>
    </row>
    <row r="8" spans="2:4" x14ac:dyDescent="0.25">
      <c r="B8" s="94">
        <v>4</v>
      </c>
      <c r="C8" s="40">
        <f t="shared" si="0"/>
        <v>219488</v>
      </c>
      <c r="D8" s="40">
        <f t="shared" si="1"/>
        <v>261190.72</v>
      </c>
    </row>
    <row r="9" spans="2:4" x14ac:dyDescent="0.25">
      <c r="B9" s="94">
        <v>5</v>
      </c>
      <c r="C9" s="40">
        <f t="shared" si="0"/>
        <v>274360</v>
      </c>
      <c r="D9" s="40">
        <f t="shared" si="1"/>
        <v>326488.40000000002</v>
      </c>
    </row>
    <row r="10" spans="2:4" x14ac:dyDescent="0.25">
      <c r="B10" s="94">
        <v>6</v>
      </c>
      <c r="C10" s="40">
        <f t="shared" si="0"/>
        <v>329232</v>
      </c>
      <c r="D10" s="40">
        <f t="shared" si="1"/>
        <v>391786.08</v>
      </c>
    </row>
    <row r="11" spans="2:4" x14ac:dyDescent="0.25">
      <c r="B11" s="94">
        <v>7</v>
      </c>
      <c r="C11" s="40">
        <f t="shared" si="0"/>
        <v>384104</v>
      </c>
      <c r="D11" s="40">
        <f t="shared" si="1"/>
        <v>457083.76</v>
      </c>
    </row>
    <row r="12" spans="2:4" x14ac:dyDescent="0.25">
      <c r="B12" s="94">
        <v>8</v>
      </c>
      <c r="C12" s="40">
        <f t="shared" si="0"/>
        <v>438976</v>
      </c>
      <c r="D12" s="40">
        <f t="shared" si="1"/>
        <v>522381.44</v>
      </c>
    </row>
    <row r="13" spans="2:4" x14ac:dyDescent="0.25">
      <c r="B13" s="94">
        <v>9</v>
      </c>
      <c r="C13" s="40">
        <f t="shared" si="0"/>
        <v>493848</v>
      </c>
      <c r="D13" s="40">
        <f t="shared" si="1"/>
        <v>587679.12</v>
      </c>
    </row>
    <row r="14" spans="2:4" x14ac:dyDescent="0.25">
      <c r="B14" s="94">
        <v>10</v>
      </c>
      <c r="C14" s="40">
        <f t="shared" si="0"/>
        <v>548720</v>
      </c>
      <c r="D14" s="40">
        <f t="shared" si="1"/>
        <v>652976.80000000005</v>
      </c>
    </row>
    <row r="15" spans="2:4" x14ac:dyDescent="0.25">
      <c r="B15" s="94">
        <v>11</v>
      </c>
      <c r="C15" s="40">
        <f t="shared" si="0"/>
        <v>603592</v>
      </c>
      <c r="D15" s="40">
        <f t="shared" si="1"/>
        <v>718274.48</v>
      </c>
    </row>
    <row r="16" spans="2:4" x14ac:dyDescent="0.25">
      <c r="B16" s="94">
        <v>12</v>
      </c>
      <c r="C16" s="40">
        <f t="shared" si="0"/>
        <v>658464</v>
      </c>
      <c r="D16" s="40">
        <f t="shared" si="1"/>
        <v>783572.16</v>
      </c>
    </row>
    <row r="17" spans="2:4" x14ac:dyDescent="0.25">
      <c r="B17" s="94">
        <v>13</v>
      </c>
      <c r="C17" s="40">
        <f t="shared" si="0"/>
        <v>713336</v>
      </c>
      <c r="D17" s="40">
        <f t="shared" si="1"/>
        <v>848869.84</v>
      </c>
    </row>
    <row r="18" spans="2:4" x14ac:dyDescent="0.25">
      <c r="B18" s="94">
        <v>14</v>
      </c>
      <c r="C18" s="40">
        <f t="shared" si="0"/>
        <v>768208</v>
      </c>
      <c r="D18" s="40">
        <f t="shared" si="1"/>
        <v>914167.52</v>
      </c>
    </row>
    <row r="19" spans="2:4" x14ac:dyDescent="0.25">
      <c r="B19" s="94">
        <v>15</v>
      </c>
      <c r="C19" s="40">
        <f t="shared" si="0"/>
        <v>823080</v>
      </c>
      <c r="D19" s="40">
        <f t="shared" si="1"/>
        <v>979465.2</v>
      </c>
    </row>
    <row r="20" spans="2:4" x14ac:dyDescent="0.25">
      <c r="B20" s="94">
        <v>16</v>
      </c>
      <c r="C20" s="40">
        <f t="shared" si="0"/>
        <v>877952</v>
      </c>
      <c r="D20" s="40">
        <f t="shared" si="1"/>
        <v>1044762.88</v>
      </c>
    </row>
    <row r="21" spans="2:4" x14ac:dyDescent="0.25">
      <c r="B21" s="94">
        <v>17</v>
      </c>
      <c r="C21" s="40">
        <f t="shared" si="0"/>
        <v>932824</v>
      </c>
      <c r="D21" s="40">
        <f t="shared" si="1"/>
        <v>1110060.56</v>
      </c>
    </row>
    <row r="22" spans="2:4" x14ac:dyDescent="0.25">
      <c r="B22" s="94">
        <v>18</v>
      </c>
      <c r="C22" s="40">
        <f t="shared" si="0"/>
        <v>987696</v>
      </c>
      <c r="D22" s="40">
        <f t="shared" si="1"/>
        <v>1175358.24</v>
      </c>
    </row>
    <row r="23" spans="2:4" x14ac:dyDescent="0.25">
      <c r="B23" s="94">
        <v>19</v>
      </c>
      <c r="C23" s="40">
        <f t="shared" si="0"/>
        <v>1042568</v>
      </c>
      <c r="D23" s="40">
        <f t="shared" si="1"/>
        <v>1240655.92</v>
      </c>
    </row>
    <row r="24" spans="2:4" x14ac:dyDescent="0.25">
      <c r="B24" s="94">
        <v>20</v>
      </c>
      <c r="C24" s="40">
        <f t="shared" si="0"/>
        <v>1097440</v>
      </c>
      <c r="D24" s="40">
        <f t="shared" si="1"/>
        <v>1305953.6000000001</v>
      </c>
    </row>
    <row r="25" spans="2:4" x14ac:dyDescent="0.25">
      <c r="B25" s="94">
        <v>21</v>
      </c>
      <c r="C25" s="40">
        <f t="shared" si="0"/>
        <v>1152312</v>
      </c>
      <c r="D25" s="40">
        <f t="shared" si="1"/>
        <v>1371251.28</v>
      </c>
    </row>
    <row r="26" spans="2:4" x14ac:dyDescent="0.25">
      <c r="B26" s="94">
        <v>22</v>
      </c>
      <c r="C26" s="40">
        <f t="shared" si="0"/>
        <v>1207184</v>
      </c>
      <c r="D26" s="40">
        <f t="shared" si="1"/>
        <v>1436548.96</v>
      </c>
    </row>
    <row r="27" spans="2:4" x14ac:dyDescent="0.25">
      <c r="B27" s="94">
        <v>23</v>
      </c>
      <c r="C27" s="40">
        <f t="shared" si="0"/>
        <v>1262056</v>
      </c>
      <c r="D27" s="40">
        <f t="shared" si="1"/>
        <v>1501846.64</v>
      </c>
    </row>
    <row r="28" spans="2:4" x14ac:dyDescent="0.25">
      <c r="B28" s="94">
        <v>24</v>
      </c>
      <c r="C28" s="40">
        <f t="shared" si="0"/>
        <v>1316928</v>
      </c>
      <c r="D28" s="40">
        <f t="shared" si="1"/>
        <v>1567144.32</v>
      </c>
    </row>
    <row r="29" spans="2:4" x14ac:dyDescent="0.25">
      <c r="B29" s="94">
        <v>25</v>
      </c>
      <c r="C29" s="40">
        <f t="shared" si="0"/>
        <v>1371800</v>
      </c>
      <c r="D29" s="40">
        <f t="shared" si="1"/>
        <v>1632442</v>
      </c>
    </row>
    <row r="30" spans="2:4" x14ac:dyDescent="0.25">
      <c r="B30" s="94">
        <v>26</v>
      </c>
      <c r="C30" s="40">
        <f t="shared" si="0"/>
        <v>1426672</v>
      </c>
      <c r="D30" s="40">
        <f t="shared" si="1"/>
        <v>1697739.68</v>
      </c>
    </row>
    <row r="31" spans="2:4" x14ac:dyDescent="0.25">
      <c r="B31" s="94">
        <v>27</v>
      </c>
      <c r="C31" s="40">
        <f t="shared" si="0"/>
        <v>1481544</v>
      </c>
      <c r="D31" s="40">
        <f t="shared" si="1"/>
        <v>1763037.36</v>
      </c>
    </row>
    <row r="32" spans="2:4" x14ac:dyDescent="0.25">
      <c r="B32" s="94">
        <v>28</v>
      </c>
      <c r="C32" s="40">
        <f t="shared" si="0"/>
        <v>1536416</v>
      </c>
      <c r="D32" s="40">
        <f t="shared" si="1"/>
        <v>1828335.04</v>
      </c>
    </row>
    <row r="33" spans="2:4" x14ac:dyDescent="0.25">
      <c r="B33" s="94">
        <v>29</v>
      </c>
      <c r="C33" s="40">
        <f t="shared" si="0"/>
        <v>1591288</v>
      </c>
      <c r="D33" s="40">
        <f t="shared" si="1"/>
        <v>1893632.72</v>
      </c>
    </row>
    <row r="34" spans="2:4" x14ac:dyDescent="0.25">
      <c r="B34" s="94">
        <v>30</v>
      </c>
      <c r="C34" s="40">
        <f t="shared" si="0"/>
        <v>1646160</v>
      </c>
      <c r="D34" s="40">
        <f t="shared" si="1"/>
        <v>1958930.4</v>
      </c>
    </row>
    <row r="35" spans="2:4" x14ac:dyDescent="0.25">
      <c r="B35" s="94">
        <v>31</v>
      </c>
      <c r="C35" s="40">
        <f t="shared" si="0"/>
        <v>1701032</v>
      </c>
      <c r="D35" s="40">
        <f t="shared" si="1"/>
        <v>2024228.08</v>
      </c>
    </row>
    <row r="36" spans="2:4" x14ac:dyDescent="0.25">
      <c r="B36" s="94">
        <v>32</v>
      </c>
      <c r="C36" s="40">
        <f t="shared" si="0"/>
        <v>1755904</v>
      </c>
      <c r="D36" s="40">
        <f t="shared" si="1"/>
        <v>2089525.76</v>
      </c>
    </row>
    <row r="37" spans="2:4" x14ac:dyDescent="0.25">
      <c r="B37" s="94">
        <v>33</v>
      </c>
      <c r="C37" s="40">
        <f t="shared" si="0"/>
        <v>1810776</v>
      </c>
      <c r="D37" s="40">
        <f t="shared" si="1"/>
        <v>2154823.44</v>
      </c>
    </row>
    <row r="38" spans="2:4" x14ac:dyDescent="0.25">
      <c r="B38" s="94">
        <v>34</v>
      </c>
      <c r="C38" s="40">
        <f t="shared" si="0"/>
        <v>1865648</v>
      </c>
      <c r="D38" s="40">
        <f t="shared" si="1"/>
        <v>2220121.12</v>
      </c>
    </row>
    <row r="39" spans="2:4" x14ac:dyDescent="0.25">
      <c r="B39" s="94">
        <v>35</v>
      </c>
      <c r="C39" s="40">
        <f t="shared" si="0"/>
        <v>1920520</v>
      </c>
      <c r="D39" s="40">
        <f t="shared" si="1"/>
        <v>2285418.7999999998</v>
      </c>
    </row>
    <row r="40" spans="2:4" x14ac:dyDescent="0.25">
      <c r="B40" s="94">
        <v>36</v>
      </c>
      <c r="C40" s="40">
        <f t="shared" si="0"/>
        <v>1975392</v>
      </c>
      <c r="D40" s="40">
        <f t="shared" si="1"/>
        <v>2350716.48</v>
      </c>
    </row>
    <row r="41" spans="2:4" x14ac:dyDescent="0.25">
      <c r="B41" s="94">
        <v>37</v>
      </c>
      <c r="C41" s="40">
        <f t="shared" si="0"/>
        <v>2030264</v>
      </c>
      <c r="D41" s="40">
        <f t="shared" si="1"/>
        <v>2416014.16</v>
      </c>
    </row>
    <row r="42" spans="2:4" x14ac:dyDescent="0.25">
      <c r="B42" s="94">
        <v>38</v>
      </c>
      <c r="C42" s="40">
        <f t="shared" si="0"/>
        <v>2085136</v>
      </c>
      <c r="D42" s="40">
        <f t="shared" si="1"/>
        <v>2481311.84</v>
      </c>
    </row>
    <row r="43" spans="2:4" x14ac:dyDescent="0.25">
      <c r="B43" s="94">
        <v>39</v>
      </c>
      <c r="C43" s="40">
        <f t="shared" si="0"/>
        <v>2140008</v>
      </c>
      <c r="D43" s="40">
        <f t="shared" si="1"/>
        <v>2546609.52</v>
      </c>
    </row>
    <row r="44" spans="2:4" x14ac:dyDescent="0.25">
      <c r="B44" s="94">
        <v>40</v>
      </c>
      <c r="C44" s="40">
        <f t="shared" si="0"/>
        <v>2194880</v>
      </c>
      <c r="D44" s="40">
        <f t="shared" si="1"/>
        <v>2611907.2000000002</v>
      </c>
    </row>
    <row r="45" spans="2:4" x14ac:dyDescent="0.25">
      <c r="B45" s="94">
        <v>41</v>
      </c>
      <c r="C45" s="40">
        <f t="shared" si="0"/>
        <v>2249752</v>
      </c>
      <c r="D45" s="40">
        <f t="shared" si="1"/>
        <v>2677204.88</v>
      </c>
    </row>
    <row r="46" spans="2:4" x14ac:dyDescent="0.25">
      <c r="B46" s="94">
        <v>42</v>
      </c>
      <c r="C46" s="40">
        <f t="shared" si="0"/>
        <v>2304624</v>
      </c>
      <c r="D46" s="40">
        <f t="shared" si="1"/>
        <v>2742502.56</v>
      </c>
    </row>
    <row r="47" spans="2:4" x14ac:dyDescent="0.25">
      <c r="B47" s="94">
        <v>43</v>
      </c>
      <c r="C47" s="40">
        <f t="shared" si="0"/>
        <v>2359496</v>
      </c>
      <c r="D47" s="40">
        <f t="shared" si="1"/>
        <v>2807800.24</v>
      </c>
    </row>
    <row r="48" spans="2:4" x14ac:dyDescent="0.25">
      <c r="B48" s="94">
        <v>44</v>
      </c>
      <c r="C48" s="40">
        <f t="shared" si="0"/>
        <v>2414368</v>
      </c>
      <c r="D48" s="40">
        <f t="shared" si="1"/>
        <v>2873097.92</v>
      </c>
    </row>
    <row r="49" spans="2:4" x14ac:dyDescent="0.25">
      <c r="B49" s="94">
        <v>45</v>
      </c>
      <c r="C49" s="40">
        <f t="shared" si="0"/>
        <v>2469240</v>
      </c>
      <c r="D49" s="40">
        <f t="shared" si="1"/>
        <v>2938395.6</v>
      </c>
    </row>
    <row r="50" spans="2:4" x14ac:dyDescent="0.25">
      <c r="B50" s="94">
        <v>46</v>
      </c>
      <c r="C50" s="40">
        <f t="shared" si="0"/>
        <v>2524112</v>
      </c>
      <c r="D50" s="40">
        <f t="shared" si="1"/>
        <v>3003693.28</v>
      </c>
    </row>
    <row r="51" spans="2:4" x14ac:dyDescent="0.25">
      <c r="B51" s="94">
        <v>47</v>
      </c>
      <c r="C51" s="40">
        <f t="shared" si="0"/>
        <v>2578984</v>
      </c>
      <c r="D51" s="40">
        <f t="shared" si="1"/>
        <v>3068990.96</v>
      </c>
    </row>
    <row r="52" spans="2:4" x14ac:dyDescent="0.25">
      <c r="B52" s="94">
        <v>48</v>
      </c>
      <c r="C52" s="40">
        <f t="shared" si="0"/>
        <v>2633856</v>
      </c>
      <c r="D52" s="40">
        <f t="shared" si="1"/>
        <v>3134288.64</v>
      </c>
    </row>
    <row r="53" spans="2:4" x14ac:dyDescent="0.25">
      <c r="B53" s="94">
        <v>49</v>
      </c>
      <c r="C53" s="40">
        <f t="shared" si="0"/>
        <v>2688728</v>
      </c>
      <c r="D53" s="40">
        <f t="shared" si="1"/>
        <v>3199586.32</v>
      </c>
    </row>
    <row r="54" spans="2:4" x14ac:dyDescent="0.25">
      <c r="B54" s="94">
        <v>50</v>
      </c>
      <c r="C54" s="40">
        <f t="shared" si="0"/>
        <v>2743600</v>
      </c>
      <c r="D54" s="40">
        <f t="shared" si="1"/>
        <v>3264884</v>
      </c>
    </row>
    <row r="55" spans="2:4" x14ac:dyDescent="0.25">
      <c r="B55" s="94">
        <v>51</v>
      </c>
      <c r="C55" s="40">
        <f t="shared" si="0"/>
        <v>2798472</v>
      </c>
      <c r="D55" s="40">
        <f t="shared" si="1"/>
        <v>3330181.68</v>
      </c>
    </row>
    <row r="56" spans="2:4" x14ac:dyDescent="0.25">
      <c r="B56" s="94">
        <v>52</v>
      </c>
      <c r="C56" s="40">
        <f t="shared" si="0"/>
        <v>2853344</v>
      </c>
      <c r="D56" s="40">
        <f t="shared" si="1"/>
        <v>3395479.36</v>
      </c>
    </row>
    <row r="57" spans="2:4" x14ac:dyDescent="0.25">
      <c r="B57" s="94">
        <v>53</v>
      </c>
      <c r="C57" s="40">
        <f t="shared" si="0"/>
        <v>2908216</v>
      </c>
      <c r="D57" s="40">
        <f t="shared" si="1"/>
        <v>3460777.04</v>
      </c>
    </row>
    <row r="58" spans="2:4" x14ac:dyDescent="0.25">
      <c r="B58" s="94">
        <v>54</v>
      </c>
      <c r="C58" s="40">
        <f t="shared" si="0"/>
        <v>2963088</v>
      </c>
      <c r="D58" s="40">
        <f t="shared" si="1"/>
        <v>3526074.72</v>
      </c>
    </row>
    <row r="59" spans="2:4" x14ac:dyDescent="0.25">
      <c r="B59" s="94">
        <v>55</v>
      </c>
      <c r="C59" s="40">
        <f t="shared" si="0"/>
        <v>3017960</v>
      </c>
      <c r="D59" s="40">
        <f t="shared" si="1"/>
        <v>3591372.4</v>
      </c>
    </row>
    <row r="60" spans="2:4" x14ac:dyDescent="0.25">
      <c r="B60" s="94">
        <v>56</v>
      </c>
      <c r="C60" s="40">
        <f t="shared" si="0"/>
        <v>3072832</v>
      </c>
      <c r="D60" s="40">
        <f t="shared" si="1"/>
        <v>3656670.08</v>
      </c>
    </row>
    <row r="61" spans="2:4" x14ac:dyDescent="0.25">
      <c r="B61" s="94">
        <v>57</v>
      </c>
      <c r="C61" s="40">
        <f t="shared" si="0"/>
        <v>3127704</v>
      </c>
      <c r="D61" s="40">
        <f t="shared" si="1"/>
        <v>3721967.7600000002</v>
      </c>
    </row>
    <row r="62" spans="2:4" x14ac:dyDescent="0.25">
      <c r="B62" s="94">
        <v>58</v>
      </c>
      <c r="C62" s="40">
        <f t="shared" si="0"/>
        <v>3182576</v>
      </c>
      <c r="D62" s="40">
        <f t="shared" si="1"/>
        <v>3787265.44</v>
      </c>
    </row>
    <row r="63" spans="2:4" x14ac:dyDescent="0.25">
      <c r="B63" s="94">
        <v>59</v>
      </c>
      <c r="C63" s="40">
        <f t="shared" si="0"/>
        <v>3237448</v>
      </c>
      <c r="D63" s="40">
        <f t="shared" si="1"/>
        <v>3852563.12</v>
      </c>
    </row>
    <row r="64" spans="2:4" x14ac:dyDescent="0.25">
      <c r="B64" s="94">
        <v>60</v>
      </c>
      <c r="C64" s="40">
        <f t="shared" si="0"/>
        <v>3292320</v>
      </c>
      <c r="D64" s="40">
        <f t="shared" si="1"/>
        <v>3917860.8</v>
      </c>
    </row>
    <row r="65" spans="2:4" x14ac:dyDescent="0.25">
      <c r="B65" s="94">
        <v>61</v>
      </c>
      <c r="C65" s="40">
        <f t="shared" si="0"/>
        <v>3347192</v>
      </c>
      <c r="D65" s="40">
        <f t="shared" si="1"/>
        <v>3983158.48</v>
      </c>
    </row>
    <row r="66" spans="2:4" x14ac:dyDescent="0.25">
      <c r="B66" s="94">
        <v>62</v>
      </c>
      <c r="C66" s="40">
        <f t="shared" si="0"/>
        <v>3402064</v>
      </c>
      <c r="D66" s="40">
        <f t="shared" si="1"/>
        <v>4048456.16</v>
      </c>
    </row>
    <row r="67" spans="2:4" x14ac:dyDescent="0.25">
      <c r="B67" s="94">
        <v>63</v>
      </c>
      <c r="C67" s="40">
        <f t="shared" si="0"/>
        <v>3456936</v>
      </c>
      <c r="D67" s="40">
        <f t="shared" si="1"/>
        <v>4113753.84</v>
      </c>
    </row>
    <row r="68" spans="2:4" x14ac:dyDescent="0.25">
      <c r="B68" s="94">
        <v>64</v>
      </c>
      <c r="C68" s="40">
        <f t="shared" si="0"/>
        <v>3511808</v>
      </c>
      <c r="D68" s="40">
        <f t="shared" si="1"/>
        <v>4179051.52</v>
      </c>
    </row>
    <row r="69" spans="2:4" x14ac:dyDescent="0.25">
      <c r="B69" s="94">
        <v>65</v>
      </c>
      <c r="C69" s="40">
        <f t="shared" ref="C69:C132" si="2">($C$2*B69)+$C$1</f>
        <v>3566680</v>
      </c>
      <c r="D69" s="40">
        <f t="shared" ref="D69:D132" si="3">$D$2*B69</f>
        <v>4244349.2</v>
      </c>
    </row>
    <row r="70" spans="2:4" x14ac:dyDescent="0.25">
      <c r="B70" s="94">
        <v>66</v>
      </c>
      <c r="C70" s="40">
        <f t="shared" si="2"/>
        <v>3621552</v>
      </c>
      <c r="D70" s="40">
        <f t="shared" si="3"/>
        <v>4309646.88</v>
      </c>
    </row>
    <row r="71" spans="2:4" x14ac:dyDescent="0.25">
      <c r="B71" s="94">
        <v>67</v>
      </c>
      <c r="C71" s="40">
        <f t="shared" si="2"/>
        <v>3676424</v>
      </c>
      <c r="D71" s="40">
        <f t="shared" si="3"/>
        <v>4374944.5599999996</v>
      </c>
    </row>
    <row r="72" spans="2:4" x14ac:dyDescent="0.25">
      <c r="B72" s="94">
        <v>68</v>
      </c>
      <c r="C72" s="40">
        <f t="shared" si="2"/>
        <v>3731296</v>
      </c>
      <c r="D72" s="40">
        <f t="shared" si="3"/>
        <v>4440242.24</v>
      </c>
    </row>
    <row r="73" spans="2:4" x14ac:dyDescent="0.25">
      <c r="B73" s="94">
        <v>69</v>
      </c>
      <c r="C73" s="40">
        <f t="shared" si="2"/>
        <v>3786168</v>
      </c>
      <c r="D73" s="40">
        <f t="shared" si="3"/>
        <v>4505539.92</v>
      </c>
    </row>
    <row r="74" spans="2:4" x14ac:dyDescent="0.25">
      <c r="B74" s="94">
        <v>70</v>
      </c>
      <c r="C74" s="40">
        <f t="shared" si="2"/>
        <v>3841040</v>
      </c>
      <c r="D74" s="40">
        <f t="shared" si="3"/>
        <v>4570837.5999999996</v>
      </c>
    </row>
    <row r="75" spans="2:4" x14ac:dyDescent="0.25">
      <c r="B75" s="94">
        <v>71</v>
      </c>
      <c r="C75" s="40">
        <f t="shared" si="2"/>
        <v>3895912</v>
      </c>
      <c r="D75" s="40">
        <f t="shared" si="3"/>
        <v>4636135.28</v>
      </c>
    </row>
    <row r="76" spans="2:4" x14ac:dyDescent="0.25">
      <c r="B76" s="94">
        <v>72</v>
      </c>
      <c r="C76" s="40">
        <f t="shared" si="2"/>
        <v>3950784</v>
      </c>
      <c r="D76" s="40">
        <f t="shared" si="3"/>
        <v>4701432.96</v>
      </c>
    </row>
    <row r="77" spans="2:4" x14ac:dyDescent="0.25">
      <c r="B77" s="94">
        <v>73</v>
      </c>
      <c r="C77" s="40">
        <f t="shared" si="2"/>
        <v>4005656</v>
      </c>
      <c r="D77" s="40">
        <f t="shared" si="3"/>
        <v>4766730.6399999997</v>
      </c>
    </row>
    <row r="78" spans="2:4" x14ac:dyDescent="0.25">
      <c r="B78" s="94">
        <v>74</v>
      </c>
      <c r="C78" s="40">
        <f t="shared" si="2"/>
        <v>4060528</v>
      </c>
      <c r="D78" s="40">
        <f t="shared" si="3"/>
        <v>4832028.32</v>
      </c>
    </row>
    <row r="79" spans="2:4" x14ac:dyDescent="0.25">
      <c r="B79" s="94">
        <v>75</v>
      </c>
      <c r="C79" s="40">
        <f t="shared" si="2"/>
        <v>4115400</v>
      </c>
      <c r="D79" s="40">
        <f t="shared" si="3"/>
        <v>4897326</v>
      </c>
    </row>
    <row r="80" spans="2:4" x14ac:dyDescent="0.25">
      <c r="B80" s="94">
        <v>76</v>
      </c>
      <c r="C80" s="40">
        <f t="shared" si="2"/>
        <v>4170272</v>
      </c>
      <c r="D80" s="40">
        <f t="shared" si="3"/>
        <v>4962623.68</v>
      </c>
    </row>
    <row r="81" spans="2:4" x14ac:dyDescent="0.25">
      <c r="B81" s="94">
        <v>77</v>
      </c>
      <c r="C81" s="40">
        <f t="shared" si="2"/>
        <v>4225144</v>
      </c>
      <c r="D81" s="40">
        <f t="shared" si="3"/>
        <v>5027921.3600000003</v>
      </c>
    </row>
    <row r="82" spans="2:4" x14ac:dyDescent="0.25">
      <c r="B82" s="94">
        <v>78</v>
      </c>
      <c r="C82" s="40">
        <f t="shared" si="2"/>
        <v>4280016</v>
      </c>
      <c r="D82" s="40">
        <f t="shared" si="3"/>
        <v>5093219.04</v>
      </c>
    </row>
    <row r="83" spans="2:4" x14ac:dyDescent="0.25">
      <c r="B83" s="94">
        <v>79</v>
      </c>
      <c r="C83" s="40">
        <f t="shared" si="2"/>
        <v>4334888</v>
      </c>
      <c r="D83" s="40">
        <f t="shared" si="3"/>
        <v>5158516.72</v>
      </c>
    </row>
    <row r="84" spans="2:4" x14ac:dyDescent="0.25">
      <c r="B84" s="94">
        <v>80</v>
      </c>
      <c r="C84" s="40">
        <f t="shared" si="2"/>
        <v>4389760</v>
      </c>
      <c r="D84" s="40">
        <f t="shared" si="3"/>
        <v>5223814.4000000004</v>
      </c>
    </row>
    <row r="85" spans="2:4" x14ac:dyDescent="0.25">
      <c r="B85" s="94">
        <v>81</v>
      </c>
      <c r="C85" s="40">
        <f t="shared" si="2"/>
        <v>4444632</v>
      </c>
      <c r="D85" s="40">
        <f t="shared" si="3"/>
        <v>5289112.08</v>
      </c>
    </row>
    <row r="86" spans="2:4" x14ac:dyDescent="0.25">
      <c r="B86" s="94">
        <v>82</v>
      </c>
      <c r="C86" s="40">
        <f t="shared" si="2"/>
        <v>4499504</v>
      </c>
      <c r="D86" s="40">
        <f t="shared" si="3"/>
        <v>5354409.76</v>
      </c>
    </row>
    <row r="87" spans="2:4" x14ac:dyDescent="0.25">
      <c r="B87" s="94">
        <v>83</v>
      </c>
      <c r="C87" s="40">
        <f t="shared" si="2"/>
        <v>4554376</v>
      </c>
      <c r="D87" s="40">
        <f t="shared" si="3"/>
        <v>5419707.4400000004</v>
      </c>
    </row>
    <row r="88" spans="2:4" x14ac:dyDescent="0.25">
      <c r="B88" s="94">
        <v>84</v>
      </c>
      <c r="C88" s="40">
        <f t="shared" si="2"/>
        <v>4609248</v>
      </c>
      <c r="D88" s="40">
        <f t="shared" si="3"/>
        <v>5485005.1200000001</v>
      </c>
    </row>
    <row r="89" spans="2:4" x14ac:dyDescent="0.25">
      <c r="B89" s="94">
        <v>85</v>
      </c>
      <c r="C89" s="40">
        <f t="shared" si="2"/>
        <v>4664120</v>
      </c>
      <c r="D89" s="40">
        <f t="shared" si="3"/>
        <v>5550302.7999999998</v>
      </c>
    </row>
    <row r="90" spans="2:4" x14ac:dyDescent="0.25">
      <c r="B90" s="94">
        <v>86</v>
      </c>
      <c r="C90" s="40">
        <f t="shared" si="2"/>
        <v>4718992</v>
      </c>
      <c r="D90" s="40">
        <f t="shared" si="3"/>
        <v>5615600.4800000004</v>
      </c>
    </row>
    <row r="91" spans="2:4" x14ac:dyDescent="0.25">
      <c r="B91" s="94">
        <v>87</v>
      </c>
      <c r="C91" s="40">
        <f t="shared" si="2"/>
        <v>4773864</v>
      </c>
      <c r="D91" s="40">
        <f t="shared" si="3"/>
        <v>5680898.1600000001</v>
      </c>
    </row>
    <row r="92" spans="2:4" x14ac:dyDescent="0.25">
      <c r="B92" s="94">
        <v>88</v>
      </c>
      <c r="C92" s="40">
        <f t="shared" si="2"/>
        <v>4828736</v>
      </c>
      <c r="D92" s="40">
        <f t="shared" si="3"/>
        <v>5746195.8399999999</v>
      </c>
    </row>
    <row r="93" spans="2:4" x14ac:dyDescent="0.25">
      <c r="B93" s="94">
        <v>89</v>
      </c>
      <c r="C93" s="40">
        <f t="shared" si="2"/>
        <v>4883608</v>
      </c>
      <c r="D93" s="40">
        <f t="shared" si="3"/>
        <v>5811493.5200000005</v>
      </c>
    </row>
    <row r="94" spans="2:4" x14ac:dyDescent="0.25">
      <c r="B94" s="94">
        <v>90</v>
      </c>
      <c r="C94" s="40">
        <f t="shared" si="2"/>
        <v>4938480</v>
      </c>
      <c r="D94" s="40">
        <f t="shared" si="3"/>
        <v>5876791.2000000002</v>
      </c>
    </row>
    <row r="95" spans="2:4" x14ac:dyDescent="0.25">
      <c r="B95" s="94">
        <v>91</v>
      </c>
      <c r="C95" s="40">
        <f t="shared" si="2"/>
        <v>4993352</v>
      </c>
      <c r="D95" s="40">
        <f t="shared" si="3"/>
        <v>5942088.8799999999</v>
      </c>
    </row>
    <row r="96" spans="2:4" x14ac:dyDescent="0.25">
      <c r="B96" s="94">
        <v>92</v>
      </c>
      <c r="C96" s="40">
        <f t="shared" si="2"/>
        <v>5048224</v>
      </c>
      <c r="D96" s="40">
        <f t="shared" si="3"/>
        <v>6007386.5599999996</v>
      </c>
    </row>
    <row r="97" spans="2:4" x14ac:dyDescent="0.25">
      <c r="B97" s="94">
        <v>93</v>
      </c>
      <c r="C97" s="40">
        <f t="shared" si="2"/>
        <v>5103096</v>
      </c>
      <c r="D97" s="40">
        <f t="shared" si="3"/>
        <v>6072684.2400000002</v>
      </c>
    </row>
    <row r="98" spans="2:4" x14ac:dyDescent="0.25">
      <c r="B98" s="94">
        <v>94</v>
      </c>
      <c r="C98" s="40">
        <f t="shared" si="2"/>
        <v>5157968</v>
      </c>
      <c r="D98" s="40">
        <f t="shared" si="3"/>
        <v>6137981.9199999999</v>
      </c>
    </row>
    <row r="99" spans="2:4" x14ac:dyDescent="0.25">
      <c r="B99" s="94">
        <v>95</v>
      </c>
      <c r="C99" s="40">
        <f t="shared" si="2"/>
        <v>5212840</v>
      </c>
      <c r="D99" s="40">
        <f t="shared" si="3"/>
        <v>6203279.5999999996</v>
      </c>
    </row>
    <row r="100" spans="2:4" x14ac:dyDescent="0.25">
      <c r="B100" s="94">
        <v>96</v>
      </c>
      <c r="C100" s="40">
        <f t="shared" si="2"/>
        <v>5267712</v>
      </c>
      <c r="D100" s="40">
        <f t="shared" si="3"/>
        <v>6268577.2800000003</v>
      </c>
    </row>
    <row r="101" spans="2:4" x14ac:dyDescent="0.25">
      <c r="B101" s="94">
        <v>97</v>
      </c>
      <c r="C101" s="40">
        <f t="shared" si="2"/>
        <v>5322584</v>
      </c>
      <c r="D101" s="40">
        <f t="shared" si="3"/>
        <v>6333874.96</v>
      </c>
    </row>
    <row r="102" spans="2:4" x14ac:dyDescent="0.25">
      <c r="B102" s="94">
        <v>98</v>
      </c>
      <c r="C102" s="40">
        <f t="shared" si="2"/>
        <v>5377456</v>
      </c>
      <c r="D102" s="40">
        <f t="shared" si="3"/>
        <v>6399172.6399999997</v>
      </c>
    </row>
    <row r="103" spans="2:4" x14ac:dyDescent="0.25">
      <c r="B103" s="94">
        <v>99</v>
      </c>
      <c r="C103" s="40">
        <f t="shared" si="2"/>
        <v>5432328</v>
      </c>
      <c r="D103" s="40">
        <f t="shared" si="3"/>
        <v>6464470.3200000003</v>
      </c>
    </row>
    <row r="104" spans="2:4" x14ac:dyDescent="0.25">
      <c r="B104" s="94">
        <v>100</v>
      </c>
      <c r="C104" s="40">
        <f t="shared" si="2"/>
        <v>5487200</v>
      </c>
      <c r="D104" s="40">
        <f t="shared" si="3"/>
        <v>6529768</v>
      </c>
    </row>
    <row r="105" spans="2:4" x14ac:dyDescent="0.25">
      <c r="B105" s="94">
        <v>101</v>
      </c>
      <c r="C105" s="40">
        <f t="shared" si="2"/>
        <v>5542072</v>
      </c>
      <c r="D105" s="40">
        <f t="shared" si="3"/>
        <v>6595065.6799999997</v>
      </c>
    </row>
    <row r="106" spans="2:4" x14ac:dyDescent="0.25">
      <c r="B106" s="94">
        <v>102</v>
      </c>
      <c r="C106" s="40">
        <f t="shared" si="2"/>
        <v>5596944</v>
      </c>
      <c r="D106" s="40">
        <f t="shared" si="3"/>
        <v>6660363.3600000003</v>
      </c>
    </row>
    <row r="107" spans="2:4" x14ac:dyDescent="0.25">
      <c r="B107" s="94">
        <v>103</v>
      </c>
      <c r="C107" s="40">
        <f t="shared" si="2"/>
        <v>5651816</v>
      </c>
      <c r="D107" s="40">
        <f t="shared" si="3"/>
        <v>6725661.04</v>
      </c>
    </row>
    <row r="108" spans="2:4" x14ac:dyDescent="0.25">
      <c r="B108" s="94">
        <v>104</v>
      </c>
      <c r="C108" s="40">
        <f t="shared" si="2"/>
        <v>5706688</v>
      </c>
      <c r="D108" s="40">
        <f t="shared" si="3"/>
        <v>6790958.7199999997</v>
      </c>
    </row>
    <row r="109" spans="2:4" x14ac:dyDescent="0.25">
      <c r="B109" s="94">
        <v>105</v>
      </c>
      <c r="C109" s="40">
        <f t="shared" si="2"/>
        <v>5761560</v>
      </c>
      <c r="D109" s="40">
        <f t="shared" si="3"/>
        <v>6856256.4000000004</v>
      </c>
    </row>
    <row r="110" spans="2:4" x14ac:dyDescent="0.25">
      <c r="B110" s="94">
        <v>106</v>
      </c>
      <c r="C110" s="40">
        <f t="shared" si="2"/>
        <v>5816432</v>
      </c>
      <c r="D110" s="40">
        <f t="shared" si="3"/>
        <v>6921554.0800000001</v>
      </c>
    </row>
    <row r="111" spans="2:4" x14ac:dyDescent="0.25">
      <c r="B111" s="94">
        <v>107</v>
      </c>
      <c r="C111" s="40">
        <f t="shared" si="2"/>
        <v>5871304</v>
      </c>
      <c r="D111" s="40">
        <f t="shared" si="3"/>
        <v>6986851.7599999998</v>
      </c>
    </row>
    <row r="112" spans="2:4" x14ac:dyDescent="0.25">
      <c r="B112" s="94">
        <v>108</v>
      </c>
      <c r="C112" s="40">
        <f t="shared" si="2"/>
        <v>5926176</v>
      </c>
      <c r="D112" s="40">
        <f t="shared" si="3"/>
        <v>7052149.4400000004</v>
      </c>
    </row>
    <row r="113" spans="2:4" x14ac:dyDescent="0.25">
      <c r="B113" s="94">
        <v>109</v>
      </c>
      <c r="C113" s="40">
        <f t="shared" si="2"/>
        <v>5981048</v>
      </c>
      <c r="D113" s="40">
        <f t="shared" si="3"/>
        <v>7117447.1200000001</v>
      </c>
    </row>
    <row r="114" spans="2:4" x14ac:dyDescent="0.25">
      <c r="B114" s="94">
        <v>110</v>
      </c>
      <c r="C114" s="40">
        <f t="shared" si="2"/>
        <v>6035920</v>
      </c>
      <c r="D114" s="40">
        <f t="shared" si="3"/>
        <v>7182744.7999999998</v>
      </c>
    </row>
    <row r="115" spans="2:4" x14ac:dyDescent="0.25">
      <c r="B115" s="94">
        <v>111</v>
      </c>
      <c r="C115" s="40">
        <f t="shared" si="2"/>
        <v>6090792</v>
      </c>
      <c r="D115" s="40">
        <f t="shared" si="3"/>
        <v>7248042.4800000004</v>
      </c>
    </row>
    <row r="116" spans="2:4" x14ac:dyDescent="0.25">
      <c r="B116" s="94">
        <v>112</v>
      </c>
      <c r="C116" s="40">
        <f t="shared" si="2"/>
        <v>6145664</v>
      </c>
      <c r="D116" s="40">
        <f t="shared" si="3"/>
        <v>7313340.1600000001</v>
      </c>
    </row>
    <row r="117" spans="2:4" x14ac:dyDescent="0.25">
      <c r="B117" s="94">
        <v>113</v>
      </c>
      <c r="C117" s="40">
        <f t="shared" si="2"/>
        <v>6200536</v>
      </c>
      <c r="D117" s="40">
        <f t="shared" si="3"/>
        <v>7378637.8399999999</v>
      </c>
    </row>
    <row r="118" spans="2:4" x14ac:dyDescent="0.25">
      <c r="B118" s="94">
        <v>114</v>
      </c>
      <c r="C118" s="40">
        <f t="shared" si="2"/>
        <v>6255408</v>
      </c>
      <c r="D118" s="40">
        <f t="shared" si="3"/>
        <v>7443935.5200000005</v>
      </c>
    </row>
    <row r="119" spans="2:4" x14ac:dyDescent="0.25">
      <c r="B119" s="94">
        <v>115</v>
      </c>
      <c r="C119" s="40">
        <f t="shared" si="2"/>
        <v>6310280</v>
      </c>
      <c r="D119" s="40">
        <f t="shared" si="3"/>
        <v>7509233.2000000002</v>
      </c>
    </row>
    <row r="120" spans="2:4" x14ac:dyDescent="0.25">
      <c r="B120" s="94">
        <v>116</v>
      </c>
      <c r="C120" s="40">
        <f t="shared" si="2"/>
        <v>6365152</v>
      </c>
      <c r="D120" s="40">
        <f t="shared" si="3"/>
        <v>7574530.8799999999</v>
      </c>
    </row>
    <row r="121" spans="2:4" x14ac:dyDescent="0.25">
      <c r="B121" s="94">
        <v>117</v>
      </c>
      <c r="C121" s="40">
        <f t="shared" si="2"/>
        <v>6420024</v>
      </c>
      <c r="D121" s="40">
        <f t="shared" si="3"/>
        <v>7639828.5599999996</v>
      </c>
    </row>
    <row r="122" spans="2:4" x14ac:dyDescent="0.25">
      <c r="B122" s="94">
        <v>118</v>
      </c>
      <c r="C122" s="40">
        <f t="shared" si="2"/>
        <v>6474896</v>
      </c>
      <c r="D122" s="40">
        <f t="shared" si="3"/>
        <v>7705126.2400000002</v>
      </c>
    </row>
    <row r="123" spans="2:4" x14ac:dyDescent="0.25">
      <c r="B123" s="94">
        <v>119</v>
      </c>
      <c r="C123" s="40">
        <f t="shared" si="2"/>
        <v>6529768</v>
      </c>
      <c r="D123" s="40">
        <f t="shared" si="3"/>
        <v>7770423.9199999999</v>
      </c>
    </row>
    <row r="124" spans="2:4" x14ac:dyDescent="0.25">
      <c r="B124" s="94">
        <v>120</v>
      </c>
      <c r="C124" s="40">
        <f t="shared" si="2"/>
        <v>6584640</v>
      </c>
      <c r="D124" s="40">
        <f t="shared" si="3"/>
        <v>7835721.5999999996</v>
      </c>
    </row>
    <row r="125" spans="2:4" x14ac:dyDescent="0.25">
      <c r="B125" s="94">
        <v>121</v>
      </c>
      <c r="C125" s="40">
        <f t="shared" si="2"/>
        <v>6639512</v>
      </c>
      <c r="D125" s="40">
        <f t="shared" si="3"/>
        <v>7901019.2800000003</v>
      </c>
    </row>
    <row r="126" spans="2:4" x14ac:dyDescent="0.25">
      <c r="B126" s="94">
        <v>122</v>
      </c>
      <c r="C126" s="40">
        <f t="shared" si="2"/>
        <v>6694384</v>
      </c>
      <c r="D126" s="40">
        <f t="shared" si="3"/>
        <v>7966316.96</v>
      </c>
    </row>
    <row r="127" spans="2:4" x14ac:dyDescent="0.25">
      <c r="B127" s="94">
        <v>123</v>
      </c>
      <c r="C127" s="40">
        <f t="shared" si="2"/>
        <v>6749256</v>
      </c>
      <c r="D127" s="40">
        <f t="shared" si="3"/>
        <v>8031614.6399999997</v>
      </c>
    </row>
    <row r="128" spans="2:4" x14ac:dyDescent="0.25">
      <c r="B128" s="94">
        <v>124</v>
      </c>
      <c r="C128" s="40">
        <f t="shared" si="2"/>
        <v>6804128</v>
      </c>
      <c r="D128" s="40">
        <f t="shared" si="3"/>
        <v>8096912.3200000003</v>
      </c>
    </row>
    <row r="129" spans="2:4" x14ac:dyDescent="0.25">
      <c r="B129" s="94">
        <v>125</v>
      </c>
      <c r="C129" s="40">
        <f t="shared" si="2"/>
        <v>6859000</v>
      </c>
      <c r="D129" s="40">
        <f t="shared" si="3"/>
        <v>8162210</v>
      </c>
    </row>
    <row r="130" spans="2:4" x14ac:dyDescent="0.25">
      <c r="B130" s="94">
        <v>126</v>
      </c>
      <c r="C130" s="40">
        <f t="shared" si="2"/>
        <v>6913872</v>
      </c>
      <c r="D130" s="40">
        <f t="shared" si="3"/>
        <v>8227507.6799999997</v>
      </c>
    </row>
    <row r="131" spans="2:4" x14ac:dyDescent="0.25">
      <c r="B131" s="94">
        <v>127</v>
      </c>
      <c r="C131" s="40">
        <f t="shared" si="2"/>
        <v>6968744</v>
      </c>
      <c r="D131" s="40">
        <f t="shared" si="3"/>
        <v>8292805.3600000003</v>
      </c>
    </row>
    <row r="132" spans="2:4" x14ac:dyDescent="0.25">
      <c r="B132" s="94">
        <v>128</v>
      </c>
      <c r="C132" s="40">
        <f t="shared" si="2"/>
        <v>7023616</v>
      </c>
      <c r="D132" s="40">
        <f t="shared" si="3"/>
        <v>8358103.04</v>
      </c>
    </row>
    <row r="133" spans="2:4" x14ac:dyDescent="0.25">
      <c r="B133" s="94">
        <v>129</v>
      </c>
      <c r="C133" s="40">
        <f t="shared" ref="C133:C196" si="4">($C$2*B133)+$C$1</f>
        <v>7078488</v>
      </c>
      <c r="D133" s="40">
        <f t="shared" ref="D133:D196" si="5">$D$2*B133</f>
        <v>8423400.7200000007</v>
      </c>
    </row>
    <row r="134" spans="2:4" x14ac:dyDescent="0.25">
      <c r="B134" s="94">
        <v>130</v>
      </c>
      <c r="C134" s="40">
        <f t="shared" si="4"/>
        <v>7133360</v>
      </c>
      <c r="D134" s="40">
        <f t="shared" si="5"/>
        <v>8488698.4000000004</v>
      </c>
    </row>
    <row r="135" spans="2:4" x14ac:dyDescent="0.25">
      <c r="B135" s="94">
        <v>131</v>
      </c>
      <c r="C135" s="40">
        <f t="shared" si="4"/>
        <v>7188232</v>
      </c>
      <c r="D135" s="40">
        <f t="shared" si="5"/>
        <v>8553996.0800000001</v>
      </c>
    </row>
    <row r="136" spans="2:4" x14ac:dyDescent="0.25">
      <c r="B136" s="94">
        <v>132</v>
      </c>
      <c r="C136" s="40">
        <f t="shared" si="4"/>
        <v>7243104</v>
      </c>
      <c r="D136" s="40">
        <f t="shared" si="5"/>
        <v>8619293.7599999998</v>
      </c>
    </row>
    <row r="137" spans="2:4" x14ac:dyDescent="0.25">
      <c r="B137" s="94">
        <v>133</v>
      </c>
      <c r="C137" s="40">
        <f t="shared" si="4"/>
        <v>7297976</v>
      </c>
      <c r="D137" s="40">
        <f t="shared" si="5"/>
        <v>8684591.4399999995</v>
      </c>
    </row>
    <row r="138" spans="2:4" x14ac:dyDescent="0.25">
      <c r="B138" s="94">
        <v>134</v>
      </c>
      <c r="C138" s="40">
        <f t="shared" si="4"/>
        <v>7352848</v>
      </c>
      <c r="D138" s="40">
        <f t="shared" si="5"/>
        <v>8749889.1199999992</v>
      </c>
    </row>
    <row r="139" spans="2:4" x14ac:dyDescent="0.25">
      <c r="B139" s="94">
        <v>135</v>
      </c>
      <c r="C139" s="40">
        <f t="shared" si="4"/>
        <v>7407720</v>
      </c>
      <c r="D139" s="40">
        <f t="shared" si="5"/>
        <v>8815186.8000000007</v>
      </c>
    </row>
    <row r="140" spans="2:4" x14ac:dyDescent="0.25">
      <c r="B140" s="94">
        <v>136</v>
      </c>
      <c r="C140" s="40">
        <f t="shared" si="4"/>
        <v>7462592</v>
      </c>
      <c r="D140" s="40">
        <f t="shared" si="5"/>
        <v>8880484.4800000004</v>
      </c>
    </row>
    <row r="141" spans="2:4" x14ac:dyDescent="0.25">
      <c r="B141" s="94">
        <v>137</v>
      </c>
      <c r="C141" s="40">
        <f t="shared" si="4"/>
        <v>7517464</v>
      </c>
      <c r="D141" s="40">
        <f t="shared" si="5"/>
        <v>8945782.1600000001</v>
      </c>
    </row>
    <row r="142" spans="2:4" x14ac:dyDescent="0.25">
      <c r="B142" s="94">
        <v>138</v>
      </c>
      <c r="C142" s="40">
        <f t="shared" si="4"/>
        <v>7572336</v>
      </c>
      <c r="D142" s="40">
        <f t="shared" si="5"/>
        <v>9011079.8399999999</v>
      </c>
    </row>
    <row r="143" spans="2:4" x14ac:dyDescent="0.25">
      <c r="B143" s="94">
        <v>139</v>
      </c>
      <c r="C143" s="40">
        <f t="shared" si="4"/>
        <v>7627208</v>
      </c>
      <c r="D143" s="40">
        <f t="shared" si="5"/>
        <v>9076377.5199999996</v>
      </c>
    </row>
    <row r="144" spans="2:4" x14ac:dyDescent="0.25">
      <c r="B144" s="94">
        <v>140</v>
      </c>
      <c r="C144" s="40">
        <f t="shared" si="4"/>
        <v>7682080</v>
      </c>
      <c r="D144" s="40">
        <f t="shared" si="5"/>
        <v>9141675.1999999993</v>
      </c>
    </row>
    <row r="145" spans="2:4" x14ac:dyDescent="0.25">
      <c r="B145" s="94">
        <v>141</v>
      </c>
      <c r="C145" s="40">
        <f t="shared" si="4"/>
        <v>7736952</v>
      </c>
      <c r="D145" s="40">
        <f t="shared" si="5"/>
        <v>9206972.8800000008</v>
      </c>
    </row>
    <row r="146" spans="2:4" x14ac:dyDescent="0.25">
      <c r="B146" s="94">
        <v>142</v>
      </c>
      <c r="C146" s="40">
        <f t="shared" si="4"/>
        <v>7791824</v>
      </c>
      <c r="D146" s="40">
        <f t="shared" si="5"/>
        <v>9272270.5600000005</v>
      </c>
    </row>
    <row r="147" spans="2:4" x14ac:dyDescent="0.25">
      <c r="B147" s="94">
        <v>143</v>
      </c>
      <c r="C147" s="40">
        <f t="shared" si="4"/>
        <v>7846696</v>
      </c>
      <c r="D147" s="40">
        <f t="shared" si="5"/>
        <v>9337568.2400000002</v>
      </c>
    </row>
    <row r="148" spans="2:4" x14ac:dyDescent="0.25">
      <c r="B148" s="94">
        <v>144</v>
      </c>
      <c r="C148" s="40">
        <f t="shared" si="4"/>
        <v>7901568</v>
      </c>
      <c r="D148" s="40">
        <f t="shared" si="5"/>
        <v>9402865.9199999999</v>
      </c>
    </row>
    <row r="149" spans="2:4" x14ac:dyDescent="0.25">
      <c r="B149" s="94">
        <v>145</v>
      </c>
      <c r="C149" s="40">
        <f t="shared" si="4"/>
        <v>7956440</v>
      </c>
      <c r="D149" s="40">
        <f t="shared" si="5"/>
        <v>9468163.5999999996</v>
      </c>
    </row>
    <row r="150" spans="2:4" x14ac:dyDescent="0.25">
      <c r="B150" s="94">
        <v>146</v>
      </c>
      <c r="C150" s="40">
        <f t="shared" si="4"/>
        <v>8011312</v>
      </c>
      <c r="D150" s="40">
        <f t="shared" si="5"/>
        <v>9533461.2799999993</v>
      </c>
    </row>
    <row r="151" spans="2:4" x14ac:dyDescent="0.25">
      <c r="B151" s="94">
        <v>147</v>
      </c>
      <c r="C151" s="40">
        <f t="shared" si="4"/>
        <v>8066184</v>
      </c>
      <c r="D151" s="40">
        <f t="shared" si="5"/>
        <v>9598758.9600000009</v>
      </c>
    </row>
    <row r="152" spans="2:4" x14ac:dyDescent="0.25">
      <c r="B152" s="94">
        <v>148</v>
      </c>
      <c r="C152" s="40">
        <f t="shared" si="4"/>
        <v>8121056</v>
      </c>
      <c r="D152" s="40">
        <f t="shared" si="5"/>
        <v>9664056.6400000006</v>
      </c>
    </row>
    <row r="153" spans="2:4" x14ac:dyDescent="0.25">
      <c r="B153" s="94">
        <v>149</v>
      </c>
      <c r="C153" s="40">
        <f t="shared" si="4"/>
        <v>8175928</v>
      </c>
      <c r="D153" s="40">
        <f t="shared" si="5"/>
        <v>9729354.3200000003</v>
      </c>
    </row>
    <row r="154" spans="2:4" x14ac:dyDescent="0.25">
      <c r="B154" s="94">
        <v>150</v>
      </c>
      <c r="C154" s="40">
        <f t="shared" si="4"/>
        <v>8230800</v>
      </c>
      <c r="D154" s="40">
        <f t="shared" si="5"/>
        <v>9794652</v>
      </c>
    </row>
    <row r="155" spans="2:4" x14ac:dyDescent="0.25">
      <c r="B155" s="94">
        <v>151</v>
      </c>
      <c r="C155" s="40">
        <f t="shared" si="4"/>
        <v>8285672</v>
      </c>
      <c r="D155" s="40">
        <f t="shared" si="5"/>
        <v>9859949.6799999997</v>
      </c>
    </row>
    <row r="156" spans="2:4" x14ac:dyDescent="0.25">
      <c r="B156" s="94">
        <v>152</v>
      </c>
      <c r="C156" s="40">
        <f t="shared" si="4"/>
        <v>8340544</v>
      </c>
      <c r="D156" s="40">
        <f t="shared" si="5"/>
        <v>9925247.3599999994</v>
      </c>
    </row>
    <row r="157" spans="2:4" x14ac:dyDescent="0.25">
      <c r="B157" s="94">
        <v>153</v>
      </c>
      <c r="C157" s="40">
        <f t="shared" si="4"/>
        <v>8395416</v>
      </c>
      <c r="D157" s="40">
        <f t="shared" si="5"/>
        <v>9990545.040000001</v>
      </c>
    </row>
    <row r="158" spans="2:4" x14ac:dyDescent="0.25">
      <c r="B158" s="94">
        <v>154</v>
      </c>
      <c r="C158" s="40">
        <f t="shared" si="4"/>
        <v>8450288</v>
      </c>
      <c r="D158" s="40">
        <f t="shared" si="5"/>
        <v>10055842.720000001</v>
      </c>
    </row>
    <row r="159" spans="2:4" x14ac:dyDescent="0.25">
      <c r="B159" s="94">
        <v>155</v>
      </c>
      <c r="C159" s="40">
        <f t="shared" si="4"/>
        <v>8505160</v>
      </c>
      <c r="D159" s="40">
        <f t="shared" si="5"/>
        <v>10121140.4</v>
      </c>
    </row>
    <row r="160" spans="2:4" x14ac:dyDescent="0.25">
      <c r="B160" s="94">
        <v>156</v>
      </c>
      <c r="C160" s="40">
        <f t="shared" si="4"/>
        <v>8560032</v>
      </c>
      <c r="D160" s="40">
        <f t="shared" si="5"/>
        <v>10186438.08</v>
      </c>
    </row>
    <row r="161" spans="2:4" x14ac:dyDescent="0.25">
      <c r="B161" s="94">
        <v>157</v>
      </c>
      <c r="C161" s="40">
        <f t="shared" si="4"/>
        <v>8614904</v>
      </c>
      <c r="D161" s="40">
        <f t="shared" si="5"/>
        <v>10251735.76</v>
      </c>
    </row>
    <row r="162" spans="2:4" x14ac:dyDescent="0.25">
      <c r="B162" s="94">
        <v>158</v>
      </c>
      <c r="C162" s="40">
        <f t="shared" si="4"/>
        <v>8669776</v>
      </c>
      <c r="D162" s="40">
        <f t="shared" si="5"/>
        <v>10317033.439999999</v>
      </c>
    </row>
    <row r="163" spans="2:4" x14ac:dyDescent="0.25">
      <c r="B163" s="94">
        <v>159</v>
      </c>
      <c r="C163" s="40">
        <f t="shared" si="4"/>
        <v>8724648</v>
      </c>
      <c r="D163" s="40">
        <f t="shared" si="5"/>
        <v>10382331.119999999</v>
      </c>
    </row>
    <row r="164" spans="2:4" x14ac:dyDescent="0.25">
      <c r="B164" s="94">
        <v>160</v>
      </c>
      <c r="C164" s="40">
        <f t="shared" si="4"/>
        <v>8779520</v>
      </c>
      <c r="D164" s="40">
        <f t="shared" si="5"/>
        <v>10447628.800000001</v>
      </c>
    </row>
    <row r="165" spans="2:4" x14ac:dyDescent="0.25">
      <c r="B165" s="94">
        <v>161</v>
      </c>
      <c r="C165" s="40">
        <f t="shared" si="4"/>
        <v>8834392</v>
      </c>
      <c r="D165" s="40">
        <f t="shared" si="5"/>
        <v>10512926.48</v>
      </c>
    </row>
    <row r="166" spans="2:4" x14ac:dyDescent="0.25">
      <c r="B166" s="94">
        <v>162</v>
      </c>
      <c r="C166" s="40">
        <f t="shared" si="4"/>
        <v>8889264</v>
      </c>
      <c r="D166" s="40">
        <f t="shared" si="5"/>
        <v>10578224.16</v>
      </c>
    </row>
    <row r="167" spans="2:4" x14ac:dyDescent="0.25">
      <c r="B167" s="94">
        <v>163</v>
      </c>
      <c r="C167" s="40">
        <f t="shared" si="4"/>
        <v>8944136</v>
      </c>
      <c r="D167" s="40">
        <f t="shared" si="5"/>
        <v>10643521.84</v>
      </c>
    </row>
    <row r="168" spans="2:4" x14ac:dyDescent="0.25">
      <c r="B168" s="94">
        <v>164</v>
      </c>
      <c r="C168" s="40">
        <f t="shared" si="4"/>
        <v>8999008</v>
      </c>
      <c r="D168" s="40">
        <f t="shared" si="5"/>
        <v>10708819.52</v>
      </c>
    </row>
    <row r="169" spans="2:4" x14ac:dyDescent="0.25">
      <c r="B169" s="94">
        <v>165</v>
      </c>
      <c r="C169" s="40">
        <f t="shared" si="4"/>
        <v>9053880</v>
      </c>
      <c r="D169" s="40">
        <f t="shared" si="5"/>
        <v>10774117.199999999</v>
      </c>
    </row>
    <row r="170" spans="2:4" x14ac:dyDescent="0.25">
      <c r="B170" s="94">
        <v>166</v>
      </c>
      <c r="C170" s="40">
        <f t="shared" si="4"/>
        <v>9108752</v>
      </c>
      <c r="D170" s="40">
        <f t="shared" si="5"/>
        <v>10839414.880000001</v>
      </c>
    </row>
    <row r="171" spans="2:4" x14ac:dyDescent="0.25">
      <c r="B171" s="94">
        <v>167</v>
      </c>
      <c r="C171" s="40">
        <f t="shared" si="4"/>
        <v>9163624</v>
      </c>
      <c r="D171" s="40">
        <f t="shared" si="5"/>
        <v>10904712.560000001</v>
      </c>
    </row>
    <row r="172" spans="2:4" x14ac:dyDescent="0.25">
      <c r="B172" s="94">
        <v>168</v>
      </c>
      <c r="C172" s="40">
        <f t="shared" si="4"/>
        <v>9218496</v>
      </c>
      <c r="D172" s="40">
        <f t="shared" si="5"/>
        <v>10970010.24</v>
      </c>
    </row>
    <row r="173" spans="2:4" x14ac:dyDescent="0.25">
      <c r="B173" s="94">
        <v>169</v>
      </c>
      <c r="C173" s="40">
        <f t="shared" si="4"/>
        <v>9273368</v>
      </c>
      <c r="D173" s="40">
        <f t="shared" si="5"/>
        <v>11035307.92</v>
      </c>
    </row>
    <row r="174" spans="2:4" x14ac:dyDescent="0.25">
      <c r="B174" s="94">
        <v>170</v>
      </c>
      <c r="C174" s="40">
        <f t="shared" si="4"/>
        <v>9328240</v>
      </c>
      <c r="D174" s="40">
        <f t="shared" si="5"/>
        <v>11100605.6</v>
      </c>
    </row>
    <row r="175" spans="2:4" x14ac:dyDescent="0.25">
      <c r="B175" s="94">
        <v>171</v>
      </c>
      <c r="C175" s="40">
        <f t="shared" si="4"/>
        <v>9383112</v>
      </c>
      <c r="D175" s="40">
        <f t="shared" si="5"/>
        <v>11165903.279999999</v>
      </c>
    </row>
    <row r="176" spans="2:4" x14ac:dyDescent="0.25">
      <c r="B176" s="94">
        <v>172</v>
      </c>
      <c r="C176" s="40">
        <f t="shared" si="4"/>
        <v>9437984</v>
      </c>
      <c r="D176" s="40">
        <f t="shared" si="5"/>
        <v>11231200.960000001</v>
      </c>
    </row>
    <row r="177" spans="2:4" x14ac:dyDescent="0.25">
      <c r="B177" s="94">
        <v>173</v>
      </c>
      <c r="C177" s="40">
        <f t="shared" si="4"/>
        <v>9492856</v>
      </c>
      <c r="D177" s="40">
        <f t="shared" si="5"/>
        <v>11296498.640000001</v>
      </c>
    </row>
    <row r="178" spans="2:4" x14ac:dyDescent="0.25">
      <c r="B178" s="94">
        <v>174</v>
      </c>
      <c r="C178" s="40">
        <f t="shared" si="4"/>
        <v>9547728</v>
      </c>
      <c r="D178" s="40">
        <f t="shared" si="5"/>
        <v>11361796.32</v>
      </c>
    </row>
    <row r="179" spans="2:4" x14ac:dyDescent="0.25">
      <c r="B179" s="94">
        <v>175</v>
      </c>
      <c r="C179" s="40">
        <f t="shared" si="4"/>
        <v>9602600</v>
      </c>
      <c r="D179" s="40">
        <f t="shared" si="5"/>
        <v>11427094</v>
      </c>
    </row>
    <row r="180" spans="2:4" x14ac:dyDescent="0.25">
      <c r="B180" s="94">
        <v>176</v>
      </c>
      <c r="C180" s="40">
        <f t="shared" si="4"/>
        <v>9657472</v>
      </c>
      <c r="D180" s="40">
        <f t="shared" si="5"/>
        <v>11492391.68</v>
      </c>
    </row>
    <row r="181" spans="2:4" x14ac:dyDescent="0.25">
      <c r="B181" s="94">
        <v>177</v>
      </c>
      <c r="C181" s="40">
        <f t="shared" si="4"/>
        <v>9712344</v>
      </c>
      <c r="D181" s="40">
        <f t="shared" si="5"/>
        <v>11557689.359999999</v>
      </c>
    </row>
    <row r="182" spans="2:4" x14ac:dyDescent="0.25">
      <c r="B182" s="94">
        <v>178</v>
      </c>
      <c r="C182" s="40">
        <f t="shared" si="4"/>
        <v>9767216</v>
      </c>
      <c r="D182" s="40">
        <f t="shared" si="5"/>
        <v>11622987.040000001</v>
      </c>
    </row>
    <row r="183" spans="2:4" x14ac:dyDescent="0.25">
      <c r="B183" s="94">
        <v>179</v>
      </c>
      <c r="C183" s="40">
        <f t="shared" si="4"/>
        <v>9822088</v>
      </c>
      <c r="D183" s="40">
        <f t="shared" si="5"/>
        <v>11688284.720000001</v>
      </c>
    </row>
    <row r="184" spans="2:4" x14ac:dyDescent="0.25">
      <c r="B184" s="94">
        <v>180</v>
      </c>
      <c r="C184" s="40">
        <f t="shared" si="4"/>
        <v>9876960</v>
      </c>
      <c r="D184" s="40">
        <f t="shared" si="5"/>
        <v>11753582.4</v>
      </c>
    </row>
    <row r="185" spans="2:4" x14ac:dyDescent="0.25">
      <c r="B185" s="94">
        <v>181</v>
      </c>
      <c r="C185" s="40">
        <f t="shared" si="4"/>
        <v>9931832</v>
      </c>
      <c r="D185" s="40">
        <f t="shared" si="5"/>
        <v>11818880.08</v>
      </c>
    </row>
    <row r="186" spans="2:4" x14ac:dyDescent="0.25">
      <c r="B186" s="94">
        <v>182</v>
      </c>
      <c r="C186" s="40">
        <f t="shared" si="4"/>
        <v>9986704</v>
      </c>
      <c r="D186" s="40">
        <f t="shared" si="5"/>
        <v>11884177.76</v>
      </c>
    </row>
    <row r="187" spans="2:4" x14ac:dyDescent="0.25">
      <c r="B187" s="94">
        <v>183</v>
      </c>
      <c r="C187" s="40">
        <f t="shared" si="4"/>
        <v>10041576</v>
      </c>
      <c r="D187" s="40">
        <f t="shared" si="5"/>
        <v>11949475.439999999</v>
      </c>
    </row>
    <row r="188" spans="2:4" x14ac:dyDescent="0.25">
      <c r="B188" s="94">
        <v>184</v>
      </c>
      <c r="C188" s="40">
        <f t="shared" si="4"/>
        <v>10096448</v>
      </c>
      <c r="D188" s="40">
        <f t="shared" si="5"/>
        <v>12014773.119999999</v>
      </c>
    </row>
    <row r="189" spans="2:4" x14ac:dyDescent="0.25">
      <c r="B189" s="94">
        <v>185</v>
      </c>
      <c r="C189" s="40">
        <f t="shared" si="4"/>
        <v>10151320</v>
      </c>
      <c r="D189" s="40">
        <f t="shared" si="5"/>
        <v>12080070.800000001</v>
      </c>
    </row>
    <row r="190" spans="2:4" x14ac:dyDescent="0.25">
      <c r="B190" s="94">
        <v>186</v>
      </c>
      <c r="C190" s="40">
        <f t="shared" si="4"/>
        <v>10206192</v>
      </c>
      <c r="D190" s="40">
        <f t="shared" si="5"/>
        <v>12145368.48</v>
      </c>
    </row>
    <row r="191" spans="2:4" x14ac:dyDescent="0.25">
      <c r="B191" s="94">
        <v>187</v>
      </c>
      <c r="C191" s="40">
        <f t="shared" si="4"/>
        <v>10261064</v>
      </c>
      <c r="D191" s="40">
        <f t="shared" si="5"/>
        <v>12210666.16</v>
      </c>
    </row>
    <row r="192" spans="2:4" x14ac:dyDescent="0.25">
      <c r="B192" s="94">
        <v>188</v>
      </c>
      <c r="C192" s="40">
        <f t="shared" si="4"/>
        <v>10315936</v>
      </c>
      <c r="D192" s="40">
        <f t="shared" si="5"/>
        <v>12275963.84</v>
      </c>
    </row>
    <row r="193" spans="2:4" x14ac:dyDescent="0.25">
      <c r="B193" s="94">
        <v>189</v>
      </c>
      <c r="C193" s="40">
        <f t="shared" si="4"/>
        <v>10370808</v>
      </c>
      <c r="D193" s="40">
        <f t="shared" si="5"/>
        <v>12341261.52</v>
      </c>
    </row>
    <row r="194" spans="2:4" x14ac:dyDescent="0.25">
      <c r="B194" s="94">
        <v>190</v>
      </c>
      <c r="C194" s="40">
        <f t="shared" si="4"/>
        <v>10425680</v>
      </c>
      <c r="D194" s="40">
        <f t="shared" si="5"/>
        <v>12406559.199999999</v>
      </c>
    </row>
    <row r="195" spans="2:4" x14ac:dyDescent="0.25">
      <c r="B195" s="94">
        <v>191</v>
      </c>
      <c r="C195" s="40">
        <f t="shared" si="4"/>
        <v>10480552</v>
      </c>
      <c r="D195" s="40">
        <f t="shared" si="5"/>
        <v>12471856.880000001</v>
      </c>
    </row>
    <row r="196" spans="2:4" x14ac:dyDescent="0.25">
      <c r="B196" s="94">
        <v>192</v>
      </c>
      <c r="C196" s="40">
        <f t="shared" si="4"/>
        <v>10535424</v>
      </c>
      <c r="D196" s="40">
        <f t="shared" si="5"/>
        <v>12537154.560000001</v>
      </c>
    </row>
    <row r="197" spans="2:4" x14ac:dyDescent="0.25">
      <c r="B197" s="94">
        <v>193</v>
      </c>
      <c r="C197" s="40">
        <f t="shared" ref="C197:C260" si="6">($C$2*B197)+$C$1</f>
        <v>10590296</v>
      </c>
      <c r="D197" s="40">
        <f t="shared" ref="D197:D260" si="7">$D$2*B197</f>
        <v>12602452.24</v>
      </c>
    </row>
    <row r="198" spans="2:4" x14ac:dyDescent="0.25">
      <c r="B198" s="94">
        <v>194</v>
      </c>
      <c r="C198" s="40">
        <f t="shared" si="6"/>
        <v>10645168</v>
      </c>
      <c r="D198" s="40">
        <f t="shared" si="7"/>
        <v>12667749.92</v>
      </c>
    </row>
    <row r="199" spans="2:4" x14ac:dyDescent="0.25">
      <c r="B199" s="94">
        <v>195</v>
      </c>
      <c r="C199" s="40">
        <f t="shared" si="6"/>
        <v>10700040</v>
      </c>
      <c r="D199" s="40">
        <f t="shared" si="7"/>
        <v>12733047.6</v>
      </c>
    </row>
    <row r="200" spans="2:4" x14ac:dyDescent="0.25">
      <c r="B200" s="94">
        <v>196</v>
      </c>
      <c r="C200" s="40">
        <f t="shared" si="6"/>
        <v>10754912</v>
      </c>
      <c r="D200" s="40">
        <f t="shared" si="7"/>
        <v>12798345.279999999</v>
      </c>
    </row>
    <row r="201" spans="2:4" x14ac:dyDescent="0.25">
      <c r="B201" s="94">
        <v>197</v>
      </c>
      <c r="C201" s="40">
        <f t="shared" si="6"/>
        <v>10809784</v>
      </c>
      <c r="D201" s="40">
        <f t="shared" si="7"/>
        <v>12863642.960000001</v>
      </c>
    </row>
    <row r="202" spans="2:4" x14ac:dyDescent="0.25">
      <c r="B202" s="94">
        <v>198</v>
      </c>
      <c r="C202" s="40">
        <f t="shared" si="6"/>
        <v>10864656</v>
      </c>
      <c r="D202" s="40">
        <f t="shared" si="7"/>
        <v>12928940.640000001</v>
      </c>
    </row>
    <row r="203" spans="2:4" x14ac:dyDescent="0.25">
      <c r="B203" s="94">
        <v>199</v>
      </c>
      <c r="C203" s="40">
        <f t="shared" si="6"/>
        <v>10919528</v>
      </c>
      <c r="D203" s="40">
        <f t="shared" si="7"/>
        <v>12994238.32</v>
      </c>
    </row>
    <row r="204" spans="2:4" x14ac:dyDescent="0.25">
      <c r="B204" s="94">
        <v>200</v>
      </c>
      <c r="C204" s="40">
        <f t="shared" si="6"/>
        <v>10974400</v>
      </c>
      <c r="D204" s="40">
        <f t="shared" si="7"/>
        <v>13059536</v>
      </c>
    </row>
    <row r="205" spans="2:4" x14ac:dyDescent="0.25">
      <c r="B205" s="94">
        <v>201</v>
      </c>
      <c r="C205" s="40">
        <f t="shared" si="6"/>
        <v>11029272</v>
      </c>
      <c r="D205" s="40">
        <f t="shared" si="7"/>
        <v>13124833.68</v>
      </c>
    </row>
    <row r="206" spans="2:4" x14ac:dyDescent="0.25">
      <c r="B206" s="94">
        <v>202</v>
      </c>
      <c r="C206" s="40">
        <f t="shared" si="6"/>
        <v>11084144</v>
      </c>
      <c r="D206" s="40">
        <f t="shared" si="7"/>
        <v>13190131.359999999</v>
      </c>
    </row>
    <row r="207" spans="2:4" x14ac:dyDescent="0.25">
      <c r="B207" s="94">
        <v>203</v>
      </c>
      <c r="C207" s="40">
        <f t="shared" si="6"/>
        <v>11139016</v>
      </c>
      <c r="D207" s="40">
        <f t="shared" si="7"/>
        <v>13255429.040000001</v>
      </c>
    </row>
    <row r="208" spans="2:4" x14ac:dyDescent="0.25">
      <c r="B208" s="94">
        <v>204</v>
      </c>
      <c r="C208" s="40">
        <f t="shared" si="6"/>
        <v>11193888</v>
      </c>
      <c r="D208" s="40">
        <f t="shared" si="7"/>
        <v>13320726.720000001</v>
      </c>
    </row>
    <row r="209" spans="2:4" x14ac:dyDescent="0.25">
      <c r="B209" s="94">
        <v>205</v>
      </c>
      <c r="C209" s="40">
        <f t="shared" si="6"/>
        <v>11248760</v>
      </c>
      <c r="D209" s="40">
        <f t="shared" si="7"/>
        <v>13386024.4</v>
      </c>
    </row>
    <row r="210" spans="2:4" x14ac:dyDescent="0.25">
      <c r="B210" s="94">
        <v>206</v>
      </c>
      <c r="C210" s="40">
        <f t="shared" si="6"/>
        <v>11303632</v>
      </c>
      <c r="D210" s="40">
        <f t="shared" si="7"/>
        <v>13451322.08</v>
      </c>
    </row>
    <row r="211" spans="2:4" x14ac:dyDescent="0.25">
      <c r="B211" s="94">
        <v>207</v>
      </c>
      <c r="C211" s="40">
        <f t="shared" si="6"/>
        <v>11358504</v>
      </c>
      <c r="D211" s="40">
        <f t="shared" si="7"/>
        <v>13516619.76</v>
      </c>
    </row>
    <row r="212" spans="2:4" x14ac:dyDescent="0.25">
      <c r="B212" s="94">
        <v>208</v>
      </c>
      <c r="C212" s="40">
        <f t="shared" si="6"/>
        <v>11413376</v>
      </c>
      <c r="D212" s="40">
        <f t="shared" si="7"/>
        <v>13581917.439999999</v>
      </c>
    </row>
    <row r="213" spans="2:4" x14ac:dyDescent="0.25">
      <c r="B213" s="94">
        <v>209</v>
      </c>
      <c r="C213" s="40">
        <f t="shared" si="6"/>
        <v>11468248</v>
      </c>
      <c r="D213" s="40">
        <f t="shared" si="7"/>
        <v>13647215.119999999</v>
      </c>
    </row>
    <row r="214" spans="2:4" x14ac:dyDescent="0.25">
      <c r="B214" s="94">
        <v>210</v>
      </c>
      <c r="C214" s="40">
        <f t="shared" si="6"/>
        <v>11523120</v>
      </c>
      <c r="D214" s="40">
        <f t="shared" si="7"/>
        <v>13712512.800000001</v>
      </c>
    </row>
    <row r="215" spans="2:4" x14ac:dyDescent="0.25">
      <c r="B215" s="94">
        <v>211</v>
      </c>
      <c r="C215" s="40">
        <f t="shared" si="6"/>
        <v>11577992</v>
      </c>
      <c r="D215" s="40">
        <f t="shared" si="7"/>
        <v>13777810.48</v>
      </c>
    </row>
    <row r="216" spans="2:4" x14ac:dyDescent="0.25">
      <c r="B216" s="94">
        <v>212</v>
      </c>
      <c r="C216" s="40">
        <f t="shared" si="6"/>
        <v>11632864</v>
      </c>
      <c r="D216" s="40">
        <f t="shared" si="7"/>
        <v>13843108.16</v>
      </c>
    </row>
    <row r="217" spans="2:4" x14ac:dyDescent="0.25">
      <c r="B217" s="94">
        <v>213</v>
      </c>
      <c r="C217" s="40">
        <f t="shared" si="6"/>
        <v>11687736</v>
      </c>
      <c r="D217" s="40">
        <f t="shared" si="7"/>
        <v>13908405.84</v>
      </c>
    </row>
    <row r="218" spans="2:4" x14ac:dyDescent="0.25">
      <c r="B218" s="94">
        <v>214</v>
      </c>
      <c r="C218" s="40">
        <f t="shared" si="6"/>
        <v>11742608</v>
      </c>
      <c r="D218" s="40">
        <f t="shared" si="7"/>
        <v>13973703.52</v>
      </c>
    </row>
    <row r="219" spans="2:4" x14ac:dyDescent="0.25">
      <c r="B219" s="94">
        <v>215</v>
      </c>
      <c r="C219" s="40">
        <f t="shared" si="6"/>
        <v>11797480</v>
      </c>
      <c r="D219" s="40">
        <f t="shared" si="7"/>
        <v>14039001.199999999</v>
      </c>
    </row>
    <row r="220" spans="2:4" x14ac:dyDescent="0.25">
      <c r="B220" s="94">
        <v>216</v>
      </c>
      <c r="C220" s="40">
        <f t="shared" si="6"/>
        <v>11852352</v>
      </c>
      <c r="D220" s="40">
        <f t="shared" si="7"/>
        <v>14104298.880000001</v>
      </c>
    </row>
    <row r="221" spans="2:4" x14ac:dyDescent="0.25">
      <c r="B221" s="94">
        <v>217</v>
      </c>
      <c r="C221" s="40">
        <f t="shared" si="6"/>
        <v>11907224</v>
      </c>
      <c r="D221" s="40">
        <f t="shared" si="7"/>
        <v>14169596.560000001</v>
      </c>
    </row>
    <row r="222" spans="2:4" x14ac:dyDescent="0.25">
      <c r="B222" s="94">
        <v>218</v>
      </c>
      <c r="C222" s="40">
        <f t="shared" si="6"/>
        <v>11962096</v>
      </c>
      <c r="D222" s="40">
        <f t="shared" si="7"/>
        <v>14234894.24</v>
      </c>
    </row>
    <row r="223" spans="2:4" x14ac:dyDescent="0.25">
      <c r="B223" s="94">
        <v>219</v>
      </c>
      <c r="C223" s="40">
        <f t="shared" si="6"/>
        <v>12016968</v>
      </c>
      <c r="D223" s="40">
        <f t="shared" si="7"/>
        <v>14300191.92</v>
      </c>
    </row>
    <row r="224" spans="2:4" x14ac:dyDescent="0.25">
      <c r="B224" s="94">
        <v>220</v>
      </c>
      <c r="C224" s="40">
        <f t="shared" si="6"/>
        <v>12071840</v>
      </c>
      <c r="D224" s="40">
        <f t="shared" si="7"/>
        <v>14365489.6</v>
      </c>
    </row>
    <row r="225" spans="2:4" x14ac:dyDescent="0.25">
      <c r="B225" s="94">
        <v>221</v>
      </c>
      <c r="C225" s="40">
        <f t="shared" si="6"/>
        <v>12126712</v>
      </c>
      <c r="D225" s="40">
        <f t="shared" si="7"/>
        <v>14430787.279999999</v>
      </c>
    </row>
    <row r="226" spans="2:4" x14ac:dyDescent="0.25">
      <c r="B226" s="94">
        <v>222</v>
      </c>
      <c r="C226" s="40">
        <f t="shared" si="6"/>
        <v>12181584</v>
      </c>
      <c r="D226" s="40">
        <f t="shared" si="7"/>
        <v>14496084.960000001</v>
      </c>
    </row>
    <row r="227" spans="2:4" x14ac:dyDescent="0.25">
      <c r="B227" s="94">
        <v>223</v>
      </c>
      <c r="C227" s="40">
        <f t="shared" si="6"/>
        <v>12236456</v>
      </c>
      <c r="D227" s="40">
        <f t="shared" si="7"/>
        <v>14561382.640000001</v>
      </c>
    </row>
    <row r="228" spans="2:4" x14ac:dyDescent="0.25">
      <c r="B228" s="94">
        <v>224</v>
      </c>
      <c r="C228" s="40">
        <f t="shared" si="6"/>
        <v>12291328</v>
      </c>
      <c r="D228" s="40">
        <f t="shared" si="7"/>
        <v>14626680.32</v>
      </c>
    </row>
    <row r="229" spans="2:4" x14ac:dyDescent="0.25">
      <c r="B229" s="94">
        <v>225</v>
      </c>
      <c r="C229" s="40">
        <f t="shared" si="6"/>
        <v>12346200</v>
      </c>
      <c r="D229" s="40">
        <f t="shared" si="7"/>
        <v>14691978</v>
      </c>
    </row>
    <row r="230" spans="2:4" x14ac:dyDescent="0.25">
      <c r="B230" s="94">
        <v>226</v>
      </c>
      <c r="C230" s="40">
        <f t="shared" si="6"/>
        <v>12401072</v>
      </c>
      <c r="D230" s="40">
        <f t="shared" si="7"/>
        <v>14757275.68</v>
      </c>
    </row>
    <row r="231" spans="2:4" x14ac:dyDescent="0.25">
      <c r="B231" s="94">
        <v>227</v>
      </c>
      <c r="C231" s="40">
        <f t="shared" si="6"/>
        <v>12455944</v>
      </c>
      <c r="D231" s="40">
        <f t="shared" si="7"/>
        <v>14822573.359999999</v>
      </c>
    </row>
    <row r="232" spans="2:4" x14ac:dyDescent="0.25">
      <c r="B232" s="94">
        <v>228</v>
      </c>
      <c r="C232" s="40">
        <f t="shared" si="6"/>
        <v>12510816</v>
      </c>
      <c r="D232" s="40">
        <f t="shared" si="7"/>
        <v>14887871.040000001</v>
      </c>
    </row>
    <row r="233" spans="2:4" x14ac:dyDescent="0.25">
      <c r="B233" s="94">
        <v>229</v>
      </c>
      <c r="C233" s="40">
        <f t="shared" si="6"/>
        <v>12565688</v>
      </c>
      <c r="D233" s="40">
        <f t="shared" si="7"/>
        <v>14953168.720000001</v>
      </c>
    </row>
    <row r="234" spans="2:4" x14ac:dyDescent="0.25">
      <c r="B234" s="94">
        <v>230</v>
      </c>
      <c r="C234" s="40">
        <f t="shared" si="6"/>
        <v>12620560</v>
      </c>
      <c r="D234" s="40">
        <f t="shared" si="7"/>
        <v>15018466.4</v>
      </c>
    </row>
    <row r="235" spans="2:4" x14ac:dyDescent="0.25">
      <c r="B235" s="94">
        <v>231</v>
      </c>
      <c r="C235" s="40">
        <f t="shared" si="6"/>
        <v>12675432</v>
      </c>
      <c r="D235" s="40">
        <f t="shared" si="7"/>
        <v>15083764.08</v>
      </c>
    </row>
    <row r="236" spans="2:4" x14ac:dyDescent="0.25">
      <c r="B236" s="94">
        <v>232</v>
      </c>
      <c r="C236" s="40">
        <f t="shared" si="6"/>
        <v>12730304</v>
      </c>
      <c r="D236" s="40">
        <f t="shared" si="7"/>
        <v>15149061.76</v>
      </c>
    </row>
    <row r="237" spans="2:4" x14ac:dyDescent="0.25">
      <c r="B237" s="94">
        <v>233</v>
      </c>
      <c r="C237" s="40">
        <f t="shared" si="6"/>
        <v>12785176</v>
      </c>
      <c r="D237" s="40">
        <f t="shared" si="7"/>
        <v>15214359.439999999</v>
      </c>
    </row>
    <row r="238" spans="2:4" x14ac:dyDescent="0.25">
      <c r="B238" s="94">
        <v>234</v>
      </c>
      <c r="C238" s="40">
        <f t="shared" si="6"/>
        <v>12840048</v>
      </c>
      <c r="D238" s="40">
        <f t="shared" si="7"/>
        <v>15279657.119999999</v>
      </c>
    </row>
    <row r="239" spans="2:4" x14ac:dyDescent="0.25">
      <c r="B239" s="94">
        <v>235</v>
      </c>
      <c r="C239" s="40">
        <f t="shared" si="6"/>
        <v>12894920</v>
      </c>
      <c r="D239" s="40">
        <f t="shared" si="7"/>
        <v>15344954.800000001</v>
      </c>
    </row>
    <row r="240" spans="2:4" x14ac:dyDescent="0.25">
      <c r="B240" s="94">
        <v>236</v>
      </c>
      <c r="C240" s="40">
        <f t="shared" si="6"/>
        <v>12949792</v>
      </c>
      <c r="D240" s="40">
        <f t="shared" si="7"/>
        <v>15410252.48</v>
      </c>
    </row>
    <row r="241" spans="2:4" x14ac:dyDescent="0.25">
      <c r="B241" s="94">
        <v>237</v>
      </c>
      <c r="C241" s="40">
        <f t="shared" si="6"/>
        <v>13004664</v>
      </c>
      <c r="D241" s="40">
        <f t="shared" si="7"/>
        <v>15475550.16</v>
      </c>
    </row>
    <row r="242" spans="2:4" x14ac:dyDescent="0.25">
      <c r="B242" s="94">
        <v>238</v>
      </c>
      <c r="C242" s="40">
        <f t="shared" si="6"/>
        <v>13059536</v>
      </c>
      <c r="D242" s="40">
        <f t="shared" si="7"/>
        <v>15540847.84</v>
      </c>
    </row>
    <row r="243" spans="2:4" x14ac:dyDescent="0.25">
      <c r="B243" s="94">
        <v>239</v>
      </c>
      <c r="C243" s="40">
        <f t="shared" si="6"/>
        <v>13114408</v>
      </c>
      <c r="D243" s="40">
        <f t="shared" si="7"/>
        <v>15606145.52</v>
      </c>
    </row>
    <row r="244" spans="2:4" x14ac:dyDescent="0.25">
      <c r="B244" s="94">
        <v>240</v>
      </c>
      <c r="C244" s="40">
        <f t="shared" si="6"/>
        <v>13169280</v>
      </c>
      <c r="D244" s="40">
        <f t="shared" si="7"/>
        <v>15671443.199999999</v>
      </c>
    </row>
    <row r="245" spans="2:4" x14ac:dyDescent="0.25">
      <c r="B245" s="94">
        <v>241</v>
      </c>
      <c r="C245" s="40">
        <f t="shared" si="6"/>
        <v>13224152</v>
      </c>
      <c r="D245" s="40">
        <f t="shared" si="7"/>
        <v>15736740.880000001</v>
      </c>
    </row>
    <row r="246" spans="2:4" x14ac:dyDescent="0.25">
      <c r="B246" s="94">
        <v>242</v>
      </c>
      <c r="C246" s="40">
        <f t="shared" si="6"/>
        <v>13279024</v>
      </c>
      <c r="D246" s="40">
        <f t="shared" si="7"/>
        <v>15802038.560000001</v>
      </c>
    </row>
    <row r="247" spans="2:4" x14ac:dyDescent="0.25">
      <c r="B247" s="94">
        <v>243</v>
      </c>
      <c r="C247" s="40">
        <f t="shared" si="6"/>
        <v>13333896</v>
      </c>
      <c r="D247" s="40">
        <f t="shared" si="7"/>
        <v>15867336.24</v>
      </c>
    </row>
    <row r="248" spans="2:4" x14ac:dyDescent="0.25">
      <c r="B248" s="94">
        <v>244</v>
      </c>
      <c r="C248" s="40">
        <f t="shared" si="6"/>
        <v>13388768</v>
      </c>
      <c r="D248" s="40">
        <f t="shared" si="7"/>
        <v>15932633.92</v>
      </c>
    </row>
    <row r="249" spans="2:4" x14ac:dyDescent="0.25">
      <c r="B249" s="94">
        <v>245</v>
      </c>
      <c r="C249" s="40">
        <f t="shared" si="6"/>
        <v>13443640</v>
      </c>
      <c r="D249" s="40">
        <f t="shared" si="7"/>
        <v>15997931.6</v>
      </c>
    </row>
    <row r="250" spans="2:4" x14ac:dyDescent="0.25">
      <c r="B250" s="94">
        <v>246</v>
      </c>
      <c r="C250" s="40">
        <f t="shared" si="6"/>
        <v>13498512</v>
      </c>
      <c r="D250" s="40">
        <f t="shared" si="7"/>
        <v>16063229.279999999</v>
      </c>
    </row>
    <row r="251" spans="2:4" x14ac:dyDescent="0.25">
      <c r="B251" s="94">
        <v>247</v>
      </c>
      <c r="C251" s="40">
        <f t="shared" si="6"/>
        <v>13553384</v>
      </c>
      <c r="D251" s="40">
        <f t="shared" si="7"/>
        <v>16128526.960000001</v>
      </c>
    </row>
    <row r="252" spans="2:4" x14ac:dyDescent="0.25">
      <c r="B252" s="94">
        <v>248</v>
      </c>
      <c r="C252" s="40">
        <f t="shared" si="6"/>
        <v>13608256</v>
      </c>
      <c r="D252" s="40">
        <f t="shared" si="7"/>
        <v>16193824.640000001</v>
      </c>
    </row>
    <row r="253" spans="2:4" x14ac:dyDescent="0.25">
      <c r="B253" s="94">
        <v>249</v>
      </c>
      <c r="C253" s="40">
        <f t="shared" si="6"/>
        <v>13663128</v>
      </c>
      <c r="D253" s="40">
        <f t="shared" si="7"/>
        <v>16259122.32</v>
      </c>
    </row>
    <row r="254" spans="2:4" x14ac:dyDescent="0.25">
      <c r="B254" s="94">
        <v>250</v>
      </c>
      <c r="C254" s="40">
        <f t="shared" si="6"/>
        <v>13718000</v>
      </c>
      <c r="D254" s="40">
        <f t="shared" si="7"/>
        <v>16324420</v>
      </c>
    </row>
    <row r="255" spans="2:4" x14ac:dyDescent="0.25">
      <c r="B255" s="94">
        <v>251</v>
      </c>
      <c r="C255" s="40">
        <f t="shared" si="6"/>
        <v>13772872</v>
      </c>
      <c r="D255" s="40">
        <f t="shared" si="7"/>
        <v>16389717.68</v>
      </c>
    </row>
    <row r="256" spans="2:4" x14ac:dyDescent="0.25">
      <c r="B256" s="94">
        <v>252</v>
      </c>
      <c r="C256" s="40">
        <f t="shared" si="6"/>
        <v>13827744</v>
      </c>
      <c r="D256" s="40">
        <f t="shared" si="7"/>
        <v>16455015.359999999</v>
      </c>
    </row>
    <row r="257" spans="2:4" x14ac:dyDescent="0.25">
      <c r="B257" s="94">
        <v>253</v>
      </c>
      <c r="C257" s="40">
        <f t="shared" si="6"/>
        <v>13882616</v>
      </c>
      <c r="D257" s="40">
        <f t="shared" si="7"/>
        <v>16520313.040000001</v>
      </c>
    </row>
    <row r="258" spans="2:4" x14ac:dyDescent="0.25">
      <c r="B258" s="94">
        <v>254</v>
      </c>
      <c r="C258" s="40">
        <f t="shared" si="6"/>
        <v>13937488</v>
      </c>
      <c r="D258" s="40">
        <f t="shared" si="7"/>
        <v>16585610.720000001</v>
      </c>
    </row>
    <row r="259" spans="2:4" x14ac:dyDescent="0.25">
      <c r="B259" s="94">
        <v>255</v>
      </c>
      <c r="C259" s="40">
        <f t="shared" si="6"/>
        <v>13992360</v>
      </c>
      <c r="D259" s="40">
        <f t="shared" si="7"/>
        <v>16650908.4</v>
      </c>
    </row>
    <row r="260" spans="2:4" x14ac:dyDescent="0.25">
      <c r="B260" s="94">
        <v>256</v>
      </c>
      <c r="C260" s="40">
        <f t="shared" si="6"/>
        <v>14047232</v>
      </c>
      <c r="D260" s="40">
        <f t="shared" si="7"/>
        <v>16716206.08</v>
      </c>
    </row>
    <row r="261" spans="2:4" x14ac:dyDescent="0.25">
      <c r="B261" s="94">
        <v>257</v>
      </c>
      <c r="C261" s="40">
        <f t="shared" ref="C261:C304" si="8">($C$2*B261)+$C$1</f>
        <v>14102104</v>
      </c>
      <c r="D261" s="40">
        <f t="shared" ref="D261:D304" si="9">$D$2*B261</f>
        <v>16781503.760000002</v>
      </c>
    </row>
    <row r="262" spans="2:4" x14ac:dyDescent="0.25">
      <c r="B262" s="94">
        <v>258</v>
      </c>
      <c r="C262" s="40">
        <f t="shared" si="8"/>
        <v>14156976</v>
      </c>
      <c r="D262" s="40">
        <f t="shared" si="9"/>
        <v>16846801.440000001</v>
      </c>
    </row>
    <row r="263" spans="2:4" x14ac:dyDescent="0.25">
      <c r="B263" s="94">
        <v>259</v>
      </c>
      <c r="C263" s="40">
        <f t="shared" si="8"/>
        <v>14211848</v>
      </c>
      <c r="D263" s="40">
        <f t="shared" si="9"/>
        <v>16912099.120000001</v>
      </c>
    </row>
    <row r="264" spans="2:4" x14ac:dyDescent="0.25">
      <c r="B264" s="94">
        <v>260</v>
      </c>
      <c r="C264" s="40">
        <f t="shared" si="8"/>
        <v>14266720</v>
      </c>
      <c r="D264" s="40">
        <f t="shared" si="9"/>
        <v>16977396.800000001</v>
      </c>
    </row>
    <row r="265" spans="2:4" x14ac:dyDescent="0.25">
      <c r="B265" s="94">
        <v>261</v>
      </c>
      <c r="C265" s="40">
        <f t="shared" si="8"/>
        <v>14321592</v>
      </c>
      <c r="D265" s="40">
        <f t="shared" si="9"/>
        <v>17042694.48</v>
      </c>
    </row>
    <row r="266" spans="2:4" x14ac:dyDescent="0.25">
      <c r="B266" s="94">
        <v>262</v>
      </c>
      <c r="C266" s="40">
        <f t="shared" si="8"/>
        <v>14376464</v>
      </c>
      <c r="D266" s="40">
        <f t="shared" si="9"/>
        <v>17107992.16</v>
      </c>
    </row>
    <row r="267" spans="2:4" x14ac:dyDescent="0.25">
      <c r="B267" s="94">
        <v>263</v>
      </c>
      <c r="C267" s="40">
        <f t="shared" si="8"/>
        <v>14431336</v>
      </c>
      <c r="D267" s="40">
        <f t="shared" si="9"/>
        <v>17173289.84</v>
      </c>
    </row>
    <row r="268" spans="2:4" x14ac:dyDescent="0.25">
      <c r="B268" s="94">
        <v>264</v>
      </c>
      <c r="C268" s="40">
        <f t="shared" si="8"/>
        <v>14486208</v>
      </c>
      <c r="D268" s="40">
        <f t="shared" si="9"/>
        <v>17238587.52</v>
      </c>
    </row>
    <row r="269" spans="2:4" x14ac:dyDescent="0.25">
      <c r="B269" s="94">
        <v>265</v>
      </c>
      <c r="C269" s="40">
        <f t="shared" si="8"/>
        <v>14541080</v>
      </c>
      <c r="D269" s="40">
        <f t="shared" si="9"/>
        <v>17303885.199999999</v>
      </c>
    </row>
    <row r="270" spans="2:4" x14ac:dyDescent="0.25">
      <c r="B270" s="94">
        <v>266</v>
      </c>
      <c r="C270" s="40">
        <f t="shared" si="8"/>
        <v>14595952</v>
      </c>
      <c r="D270" s="40">
        <f t="shared" si="9"/>
        <v>17369182.879999999</v>
      </c>
    </row>
    <row r="271" spans="2:4" x14ac:dyDescent="0.25">
      <c r="B271" s="94">
        <v>267</v>
      </c>
      <c r="C271" s="40">
        <f t="shared" si="8"/>
        <v>14650824</v>
      </c>
      <c r="D271" s="40">
        <f t="shared" si="9"/>
        <v>17434480.559999999</v>
      </c>
    </row>
    <row r="272" spans="2:4" x14ac:dyDescent="0.25">
      <c r="B272" s="94">
        <v>268</v>
      </c>
      <c r="C272" s="40">
        <f t="shared" si="8"/>
        <v>14705696</v>
      </c>
      <c r="D272" s="40">
        <f t="shared" si="9"/>
        <v>17499778.239999998</v>
      </c>
    </row>
    <row r="273" spans="2:4" x14ac:dyDescent="0.25">
      <c r="B273" s="94">
        <v>269</v>
      </c>
      <c r="C273" s="40">
        <f t="shared" si="8"/>
        <v>14760568</v>
      </c>
      <c r="D273" s="40">
        <f t="shared" si="9"/>
        <v>17565075.920000002</v>
      </c>
    </row>
    <row r="274" spans="2:4" x14ac:dyDescent="0.25">
      <c r="B274" s="94">
        <v>270</v>
      </c>
      <c r="C274" s="40">
        <f t="shared" si="8"/>
        <v>14815440</v>
      </c>
      <c r="D274" s="40">
        <f t="shared" si="9"/>
        <v>17630373.600000001</v>
      </c>
    </row>
    <row r="275" spans="2:4" x14ac:dyDescent="0.25">
      <c r="B275" s="94">
        <v>271</v>
      </c>
      <c r="C275" s="40">
        <f t="shared" si="8"/>
        <v>14870312</v>
      </c>
      <c r="D275" s="40">
        <f t="shared" si="9"/>
        <v>17695671.280000001</v>
      </c>
    </row>
    <row r="276" spans="2:4" x14ac:dyDescent="0.25">
      <c r="B276" s="94">
        <v>272</v>
      </c>
      <c r="C276" s="40">
        <f t="shared" si="8"/>
        <v>14925184</v>
      </c>
      <c r="D276" s="40">
        <f t="shared" si="9"/>
        <v>17760968.960000001</v>
      </c>
    </row>
    <row r="277" spans="2:4" x14ac:dyDescent="0.25">
      <c r="B277" s="94">
        <v>273</v>
      </c>
      <c r="C277" s="40">
        <f t="shared" si="8"/>
        <v>14980056</v>
      </c>
      <c r="D277" s="40">
        <f t="shared" si="9"/>
        <v>17826266.640000001</v>
      </c>
    </row>
    <row r="278" spans="2:4" x14ac:dyDescent="0.25">
      <c r="B278" s="94">
        <v>274</v>
      </c>
      <c r="C278" s="40">
        <f t="shared" si="8"/>
        <v>15034928</v>
      </c>
      <c r="D278" s="40">
        <f t="shared" si="9"/>
        <v>17891564.32</v>
      </c>
    </row>
    <row r="279" spans="2:4" x14ac:dyDescent="0.25">
      <c r="B279" s="94">
        <v>275</v>
      </c>
      <c r="C279" s="40">
        <f t="shared" si="8"/>
        <v>15089800</v>
      </c>
      <c r="D279" s="40">
        <f t="shared" si="9"/>
        <v>17956862</v>
      </c>
    </row>
    <row r="280" spans="2:4" x14ac:dyDescent="0.25">
      <c r="B280" s="94">
        <v>276</v>
      </c>
      <c r="C280" s="40">
        <f t="shared" si="8"/>
        <v>15144672</v>
      </c>
      <c r="D280" s="40">
        <f t="shared" si="9"/>
        <v>18022159.68</v>
      </c>
    </row>
    <row r="281" spans="2:4" x14ac:dyDescent="0.25">
      <c r="B281" s="94">
        <v>277</v>
      </c>
      <c r="C281" s="40">
        <f t="shared" si="8"/>
        <v>15199544</v>
      </c>
      <c r="D281" s="40">
        <f t="shared" si="9"/>
        <v>18087457.359999999</v>
      </c>
    </row>
    <row r="282" spans="2:4" x14ac:dyDescent="0.25">
      <c r="B282" s="94">
        <v>278</v>
      </c>
      <c r="C282" s="40">
        <f t="shared" si="8"/>
        <v>15254416</v>
      </c>
      <c r="D282" s="40">
        <f t="shared" si="9"/>
        <v>18152755.039999999</v>
      </c>
    </row>
    <row r="283" spans="2:4" x14ac:dyDescent="0.25">
      <c r="B283" s="94">
        <v>279</v>
      </c>
      <c r="C283" s="40">
        <f t="shared" si="8"/>
        <v>15309288</v>
      </c>
      <c r="D283" s="40">
        <f t="shared" si="9"/>
        <v>18218052.719999999</v>
      </c>
    </row>
    <row r="284" spans="2:4" x14ac:dyDescent="0.25">
      <c r="B284" s="94">
        <v>280</v>
      </c>
      <c r="C284" s="40">
        <f t="shared" si="8"/>
        <v>15364160</v>
      </c>
      <c r="D284" s="40">
        <f t="shared" si="9"/>
        <v>18283350.399999999</v>
      </c>
    </row>
    <row r="285" spans="2:4" x14ac:dyDescent="0.25">
      <c r="B285" s="94">
        <v>281</v>
      </c>
      <c r="C285" s="40">
        <f t="shared" si="8"/>
        <v>15419032</v>
      </c>
      <c r="D285" s="40">
        <f t="shared" si="9"/>
        <v>18348648.080000002</v>
      </c>
    </row>
    <row r="286" spans="2:4" x14ac:dyDescent="0.25">
      <c r="B286" s="94">
        <v>282</v>
      </c>
      <c r="C286" s="40">
        <f t="shared" si="8"/>
        <v>15473904</v>
      </c>
      <c r="D286" s="40">
        <f t="shared" si="9"/>
        <v>18413945.760000002</v>
      </c>
    </row>
    <row r="287" spans="2:4" x14ac:dyDescent="0.25">
      <c r="B287" s="94">
        <v>283</v>
      </c>
      <c r="C287" s="40">
        <f t="shared" si="8"/>
        <v>15528776</v>
      </c>
      <c r="D287" s="40">
        <f t="shared" si="9"/>
        <v>18479243.440000001</v>
      </c>
    </row>
    <row r="288" spans="2:4" x14ac:dyDescent="0.25">
      <c r="B288" s="94">
        <v>284</v>
      </c>
      <c r="C288" s="40">
        <f t="shared" si="8"/>
        <v>15583648</v>
      </c>
      <c r="D288" s="40">
        <f t="shared" si="9"/>
        <v>18544541.120000001</v>
      </c>
    </row>
    <row r="289" spans="2:4" x14ac:dyDescent="0.25">
      <c r="B289" s="94">
        <v>285</v>
      </c>
      <c r="C289" s="40">
        <f t="shared" si="8"/>
        <v>15638520</v>
      </c>
      <c r="D289" s="40">
        <f t="shared" si="9"/>
        <v>18609838.800000001</v>
      </c>
    </row>
    <row r="290" spans="2:4" x14ac:dyDescent="0.25">
      <c r="B290" s="94">
        <v>286</v>
      </c>
      <c r="C290" s="40">
        <f t="shared" si="8"/>
        <v>15693392</v>
      </c>
      <c r="D290" s="40">
        <f t="shared" si="9"/>
        <v>18675136.48</v>
      </c>
    </row>
    <row r="291" spans="2:4" x14ac:dyDescent="0.25">
      <c r="B291" s="94">
        <v>287</v>
      </c>
      <c r="C291" s="40">
        <f t="shared" si="8"/>
        <v>15748264</v>
      </c>
      <c r="D291" s="40">
        <f t="shared" si="9"/>
        <v>18740434.16</v>
      </c>
    </row>
    <row r="292" spans="2:4" x14ac:dyDescent="0.25">
      <c r="B292" s="94">
        <v>288</v>
      </c>
      <c r="C292" s="40">
        <f t="shared" si="8"/>
        <v>15803136</v>
      </c>
      <c r="D292" s="40">
        <f t="shared" si="9"/>
        <v>18805731.84</v>
      </c>
    </row>
    <row r="293" spans="2:4" x14ac:dyDescent="0.25">
      <c r="B293" s="94">
        <v>289</v>
      </c>
      <c r="C293" s="40">
        <f t="shared" si="8"/>
        <v>15858008</v>
      </c>
      <c r="D293" s="40">
        <f t="shared" si="9"/>
        <v>18871029.52</v>
      </c>
    </row>
    <row r="294" spans="2:4" x14ac:dyDescent="0.25">
      <c r="B294" s="94">
        <v>290</v>
      </c>
      <c r="C294" s="40">
        <f t="shared" si="8"/>
        <v>15912880</v>
      </c>
      <c r="D294" s="40">
        <f t="shared" si="9"/>
        <v>18936327.199999999</v>
      </c>
    </row>
    <row r="295" spans="2:4" x14ac:dyDescent="0.25">
      <c r="B295" s="94">
        <v>291</v>
      </c>
      <c r="C295" s="40">
        <f t="shared" si="8"/>
        <v>15967752</v>
      </c>
      <c r="D295" s="40">
        <f t="shared" si="9"/>
        <v>19001624.879999999</v>
      </c>
    </row>
    <row r="296" spans="2:4" x14ac:dyDescent="0.25">
      <c r="B296" s="94">
        <v>292</v>
      </c>
      <c r="C296" s="40">
        <f t="shared" si="8"/>
        <v>16022624</v>
      </c>
      <c r="D296" s="40">
        <f t="shared" si="9"/>
        <v>19066922.559999999</v>
      </c>
    </row>
    <row r="297" spans="2:4" x14ac:dyDescent="0.25">
      <c r="B297" s="94">
        <v>293</v>
      </c>
      <c r="C297" s="40">
        <f t="shared" si="8"/>
        <v>16077496</v>
      </c>
      <c r="D297" s="40">
        <f t="shared" si="9"/>
        <v>19132220.239999998</v>
      </c>
    </row>
    <row r="298" spans="2:4" x14ac:dyDescent="0.25">
      <c r="B298" s="94">
        <v>294</v>
      </c>
      <c r="C298" s="40">
        <f t="shared" si="8"/>
        <v>16132368</v>
      </c>
      <c r="D298" s="40">
        <f t="shared" si="9"/>
        <v>19197517.920000002</v>
      </c>
    </row>
    <row r="299" spans="2:4" x14ac:dyDescent="0.25">
      <c r="B299" s="94">
        <v>295</v>
      </c>
      <c r="C299" s="40">
        <f t="shared" si="8"/>
        <v>16187240</v>
      </c>
      <c r="D299" s="40">
        <f t="shared" si="9"/>
        <v>19262815.600000001</v>
      </c>
    </row>
    <row r="300" spans="2:4" x14ac:dyDescent="0.25">
      <c r="B300" s="94">
        <v>296</v>
      </c>
      <c r="C300" s="40">
        <f t="shared" si="8"/>
        <v>16242112</v>
      </c>
      <c r="D300" s="40">
        <f t="shared" si="9"/>
        <v>19328113.280000001</v>
      </c>
    </row>
    <row r="301" spans="2:4" x14ac:dyDescent="0.25">
      <c r="B301" s="94">
        <v>297</v>
      </c>
      <c r="C301" s="40">
        <f t="shared" si="8"/>
        <v>16296984</v>
      </c>
      <c r="D301" s="40">
        <f t="shared" si="9"/>
        <v>19393410.960000001</v>
      </c>
    </row>
    <row r="302" spans="2:4" x14ac:dyDescent="0.25">
      <c r="B302" s="94">
        <v>298</v>
      </c>
      <c r="C302" s="40">
        <f t="shared" si="8"/>
        <v>16351856</v>
      </c>
      <c r="D302" s="40">
        <f t="shared" si="9"/>
        <v>19458708.640000001</v>
      </c>
    </row>
    <row r="303" spans="2:4" x14ac:dyDescent="0.25">
      <c r="B303" s="94">
        <v>299</v>
      </c>
      <c r="C303" s="40">
        <f t="shared" si="8"/>
        <v>16406728</v>
      </c>
      <c r="D303" s="40">
        <f t="shared" si="9"/>
        <v>19524006.32</v>
      </c>
    </row>
    <row r="304" spans="2:4" x14ac:dyDescent="0.25">
      <c r="B304" s="94">
        <v>300</v>
      </c>
      <c r="C304" s="40">
        <f t="shared" si="8"/>
        <v>16461600</v>
      </c>
      <c r="D304" s="40">
        <f t="shared" si="9"/>
        <v>19589304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90" t="s">
        <v>172</v>
      </c>
      <c r="C2" s="191"/>
      <c r="D2" s="191"/>
      <c r="E2" s="191"/>
      <c r="F2" s="191"/>
      <c r="G2" s="192"/>
      <c r="I2" s="193" t="s">
        <v>173</v>
      </c>
      <c r="J2" s="194"/>
      <c r="L2" s="193" t="s">
        <v>174</v>
      </c>
      <c r="M2" s="194"/>
    </row>
    <row r="3" spans="2:13" x14ac:dyDescent="0.25">
      <c r="B3" s="77" t="s">
        <v>81</v>
      </c>
      <c r="C3" s="77" t="s">
        <v>52</v>
      </c>
      <c r="D3" s="77" t="s">
        <v>53</v>
      </c>
      <c r="E3" s="77" t="s">
        <v>54</v>
      </c>
      <c r="F3" s="77" t="s">
        <v>55</v>
      </c>
      <c r="G3" s="77" t="s">
        <v>56</v>
      </c>
      <c r="I3" s="103" t="s">
        <v>81</v>
      </c>
      <c r="J3" s="103" t="s">
        <v>72</v>
      </c>
      <c r="L3" s="103" t="s">
        <v>180</v>
      </c>
      <c r="M3" s="103" t="s">
        <v>2</v>
      </c>
    </row>
    <row r="4" spans="2:13" x14ac:dyDescent="0.25">
      <c r="B4" s="99" t="s">
        <v>167</v>
      </c>
      <c r="C4" s="97">
        <f>'Balance General'!D11/'Balance General'!D33</f>
        <v>1.0592660091047956</v>
      </c>
      <c r="D4" s="97">
        <f>'Balance General'!E11/'Balance General'!E33</f>
        <v>1.2250370798307983</v>
      </c>
      <c r="E4" s="97">
        <f>'Balance General'!F11/'Balance General'!F33</f>
        <v>1.4291299049786552</v>
      </c>
      <c r="F4" s="97">
        <f>'Balance General'!G11/'Balance General'!G33</f>
        <v>1.7098105046394845</v>
      </c>
      <c r="G4" s="97">
        <f>'Balance General'!H11/'Balance General'!H33</f>
        <v>2.1971029927172818</v>
      </c>
      <c r="I4" s="102" t="s">
        <v>51</v>
      </c>
      <c r="J4" s="3" t="e">
        <f>'Flujo de Caja'!#REF!</f>
        <v>#REF!</v>
      </c>
      <c r="L4" s="102" t="s">
        <v>175</v>
      </c>
      <c r="M4" s="60">
        <v>0.15</v>
      </c>
    </row>
    <row r="5" spans="2:13" x14ac:dyDescent="0.25">
      <c r="B5" s="99" t="s">
        <v>168</v>
      </c>
      <c r="C5" s="98">
        <f>'Balance General'!D39/'Balance General'!D25</f>
        <v>0.8935388495713712</v>
      </c>
      <c r="D5" s="98">
        <f>'Balance General'!E39/'Balance General'!E25</f>
        <v>0.78605477901464504</v>
      </c>
      <c r="E5" s="98">
        <f>'Balance General'!F39/'Balance General'!F25</f>
        <v>0.68271998633808517</v>
      </c>
      <c r="F5" s="98">
        <f>'Balance General'!G39/'Balance General'!G25</f>
        <v>0.57619713166517272</v>
      </c>
      <c r="G5" s="98">
        <f>'Balance General'!H39/'Balance General'!H25</f>
        <v>0.45144203028575852</v>
      </c>
      <c r="I5" s="102" t="s">
        <v>52</v>
      </c>
      <c r="J5" s="3" t="e">
        <f>'Flujo de Caja'!#REF!</f>
        <v>#REF!</v>
      </c>
      <c r="L5" s="102" t="s">
        <v>176</v>
      </c>
      <c r="M5" s="3" t="e">
        <f>M6+J4</f>
        <v>#REF!</v>
      </c>
    </row>
    <row r="6" spans="2:13" x14ac:dyDescent="0.25">
      <c r="B6" s="99" t="s">
        <v>169</v>
      </c>
      <c r="C6" s="98" t="e">
        <f>'Estado de Resultados'!#REF!/'Estado de Resultados'!#REF!</f>
        <v>#REF!</v>
      </c>
      <c r="D6" s="98" t="e">
        <f>'Estado de Resultados'!#REF!/'Estado de Resultados'!#REF!</f>
        <v>#REF!</v>
      </c>
      <c r="E6" s="98" t="e">
        <f>'Estado de Resultados'!#REF!/'Estado de Resultados'!#REF!</f>
        <v>#REF!</v>
      </c>
      <c r="F6" s="98" t="e">
        <f>'Estado de Resultados'!#REF!/'Estado de Resultados'!#REF!</f>
        <v>#REF!</v>
      </c>
      <c r="G6" s="98" t="e">
        <f>'Estado de Resultados'!#REF!/'Estado de Resultados'!#REF!</f>
        <v>#REF!</v>
      </c>
      <c r="I6" s="102" t="s">
        <v>53</v>
      </c>
      <c r="J6" s="3" t="e">
        <f>'Flujo de Caja'!#REF!</f>
        <v>#REF!</v>
      </c>
      <c r="L6" s="102" t="s">
        <v>177</v>
      </c>
      <c r="M6" s="3" t="e">
        <f>NPV(M4,J5:J9)</f>
        <v>#REF!</v>
      </c>
    </row>
    <row r="7" spans="2:13" x14ac:dyDescent="0.25">
      <c r="B7" s="100" t="s">
        <v>170</v>
      </c>
      <c r="C7" s="101" t="e">
        <f>'Estado de Resultados'!#REF!/'Estado de Resultados'!#REF!</f>
        <v>#REF!</v>
      </c>
      <c r="D7" s="101" t="e">
        <f>'Estado de Resultados'!#REF!/'Estado de Resultados'!#REF!</f>
        <v>#REF!</v>
      </c>
      <c r="E7" s="101" t="e">
        <f>'Estado de Resultados'!#REF!/'Estado de Resultados'!#REF!</f>
        <v>#REF!</v>
      </c>
      <c r="F7" s="101" t="e">
        <f>'Estado de Resultados'!#REF!/'Estado de Resultados'!#REF!</f>
        <v>#REF!</v>
      </c>
      <c r="G7" s="101" t="e">
        <f>'Estado de Resultados'!#REF!/'Estado de Resultados'!#REF!</f>
        <v>#REF!</v>
      </c>
      <c r="I7" s="102" t="s">
        <v>54</v>
      </c>
      <c r="J7" s="3" t="e">
        <f>'Flujo de Caja'!#REF!</f>
        <v>#REF!</v>
      </c>
      <c r="L7" s="102" t="s">
        <v>178</v>
      </c>
      <c r="M7" s="60" t="e">
        <f>IRR(J4:J9)</f>
        <v>#VALUE!</v>
      </c>
    </row>
    <row r="8" spans="2:13" x14ac:dyDescent="0.25">
      <c r="B8" s="99" t="s">
        <v>171</v>
      </c>
      <c r="C8" s="98" t="e">
        <f>'Estado de Resultados'!#REF!/'Balance General'!#REF!</f>
        <v>#REF!</v>
      </c>
      <c r="D8" s="98" t="e">
        <f>'Estado de Resultados'!#REF!/'Balance General'!#REF!</f>
        <v>#REF!</v>
      </c>
      <c r="E8" s="98" t="e">
        <f>'Estado de Resultados'!#REF!/'Balance General'!#REF!</f>
        <v>#REF!</v>
      </c>
      <c r="F8" s="98" t="e">
        <f>'Estado de Resultados'!#REF!/'Balance General'!#REF!</f>
        <v>#REF!</v>
      </c>
      <c r="G8" s="98" t="e">
        <f>'Estado de Resultados'!#REF!/'Balance General'!#REF!</f>
        <v>#REF!</v>
      </c>
      <c r="I8" s="102" t="s">
        <v>55</v>
      </c>
      <c r="J8" s="3" t="e">
        <f>'Flujo de Caja'!#REF!</f>
        <v>#REF!</v>
      </c>
      <c r="L8" s="102" t="s">
        <v>179</v>
      </c>
      <c r="M8" s="104" t="e">
        <f>-NPV(M4,J5:J9)/J4</f>
        <v>#REF!</v>
      </c>
    </row>
    <row r="9" spans="2:13" x14ac:dyDescent="0.25">
      <c r="I9" s="102" t="s">
        <v>56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2026-01-18T22:40:36Z</dcterms:modified>
</cp:coreProperties>
</file>