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GitHubProyecto\anteproyecto\Archivos\"/>
    </mc:Choice>
  </mc:AlternateContent>
  <xr:revisionPtr revIDLastSave="0" documentId="13_ncr:1_{EE613D11-9380-4CB5-96A8-8D9D855ADB28}" xr6:coauthVersionLast="47" xr6:coauthVersionMax="47" xr10:uidLastSave="{00000000-0000-0000-0000-000000000000}"/>
  <bookViews>
    <workbookView minimized="1" xWindow="-510" yWindow="1965" windowWidth="18930" windowHeight="15510" firstSheet="8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2" l="1"/>
  <c r="K26" i="4"/>
  <c r="L26" i="4"/>
  <c r="M26" i="4"/>
  <c r="N26" i="4"/>
  <c r="J26" i="4"/>
  <c r="C5005" i="11"/>
  <c r="D5005" i="11"/>
  <c r="C5006" i="11"/>
  <c r="D5006" i="11"/>
  <c r="C5007" i="11"/>
  <c r="D5007" i="11"/>
  <c r="C5008" i="11"/>
  <c r="C5009" i="11" s="1"/>
  <c r="C5010" i="11" s="1"/>
  <c r="C5011" i="11" s="1"/>
  <c r="D5008" i="11"/>
  <c r="D5009" i="11"/>
  <c r="D5010" i="11"/>
  <c r="D5011" i="11"/>
  <c r="C5012" i="11"/>
  <c r="C5013" i="11" s="1"/>
  <c r="C5014" i="11" s="1"/>
  <c r="C5015" i="11" s="1"/>
  <c r="C5016" i="11" s="1"/>
  <c r="C5017" i="11" s="1"/>
  <c r="C5018" i="11" s="1"/>
  <c r="C5019" i="11" s="1"/>
  <c r="C5020" i="11" s="1"/>
  <c r="C5021" i="11" s="1"/>
  <c r="C5022" i="11" s="1"/>
  <c r="C5023" i="11" s="1"/>
  <c r="C5024" i="11" s="1"/>
  <c r="C5025" i="11" s="1"/>
  <c r="C5026" i="11" s="1"/>
  <c r="C5027" i="11" s="1"/>
  <c r="C5028" i="11" s="1"/>
  <c r="C5029" i="11" s="1"/>
  <c r="C5030" i="11" s="1"/>
  <c r="C5031" i="11" s="1"/>
  <c r="C5032" i="11" s="1"/>
  <c r="C5033" i="11" s="1"/>
  <c r="C5034" i="11" s="1"/>
  <c r="C5035" i="11" s="1"/>
  <c r="C5036" i="11" s="1"/>
  <c r="C5037" i="11" s="1"/>
  <c r="C5038" i="11" s="1"/>
  <c r="C5039" i="11" s="1"/>
  <c r="C5040" i="11" s="1"/>
  <c r="C5041" i="11" s="1"/>
  <c r="C5042" i="11" s="1"/>
  <c r="C5043" i="11" s="1"/>
  <c r="C5044" i="11" s="1"/>
  <c r="C5045" i="11" s="1"/>
  <c r="C5046" i="11" s="1"/>
  <c r="C5047" i="11" s="1"/>
  <c r="C5048" i="11" s="1"/>
  <c r="C5049" i="11" s="1"/>
  <c r="C5050" i="11" s="1"/>
  <c r="C5051" i="11" s="1"/>
  <c r="C5052" i="11" s="1"/>
  <c r="C5053" i="11" s="1"/>
  <c r="C5054" i="11" s="1"/>
  <c r="C5055" i="11" s="1"/>
  <c r="C5056" i="11" s="1"/>
  <c r="C5057" i="11" s="1"/>
  <c r="C5058" i="11" s="1"/>
  <c r="C5059" i="11" s="1"/>
  <c r="C5060" i="11" s="1"/>
  <c r="C5061" i="11" s="1"/>
  <c r="C5062" i="11" s="1"/>
  <c r="C5063" i="11" s="1"/>
  <c r="C5064" i="11" s="1"/>
  <c r="C5065" i="11" s="1"/>
  <c r="C5066" i="11" s="1"/>
  <c r="C5067" i="11" s="1"/>
  <c r="C5068" i="11" s="1"/>
  <c r="C5069" i="11" s="1"/>
  <c r="C5070" i="11" s="1"/>
  <c r="C5071" i="11" s="1"/>
  <c r="C5072" i="11" s="1"/>
  <c r="C5073" i="11" s="1"/>
  <c r="C5074" i="11" s="1"/>
  <c r="C5075" i="11" s="1"/>
  <c r="C5076" i="11" s="1"/>
  <c r="C5077" i="11" s="1"/>
  <c r="C5078" i="11" s="1"/>
  <c r="C5079" i="11" s="1"/>
  <c r="C5080" i="11" s="1"/>
  <c r="C5081" i="11" s="1"/>
  <c r="C5082" i="11" s="1"/>
  <c r="C5083" i="11" s="1"/>
  <c r="C5084" i="11" s="1"/>
  <c r="C5085" i="11" s="1"/>
  <c r="C5086" i="11" s="1"/>
  <c r="C5087" i="11" s="1"/>
  <c r="C5088" i="11" s="1"/>
  <c r="C5089" i="11" s="1"/>
  <c r="C5090" i="11" s="1"/>
  <c r="C5091" i="11" s="1"/>
  <c r="C5092" i="11" s="1"/>
  <c r="C5093" i="11" s="1"/>
  <c r="C5094" i="11" s="1"/>
  <c r="C5095" i="11" s="1"/>
  <c r="C5096" i="11" s="1"/>
  <c r="C5097" i="11" s="1"/>
  <c r="C5098" i="11" s="1"/>
  <c r="C5099" i="11" s="1"/>
  <c r="C5100" i="11" s="1"/>
  <c r="C5101" i="11" s="1"/>
  <c r="C5102" i="11" s="1"/>
  <c r="C5103" i="11" s="1"/>
  <c r="C5104" i="11" s="1"/>
  <c r="C5105" i="11" s="1"/>
  <c r="C5106" i="11" s="1"/>
  <c r="C5107" i="11" s="1"/>
  <c r="C5108" i="11" s="1"/>
  <c r="C5109" i="11" s="1"/>
  <c r="C5110" i="11" s="1"/>
  <c r="C5111" i="11" s="1"/>
  <c r="C5112" i="11" s="1"/>
  <c r="C5113" i="11" s="1"/>
  <c r="C5114" i="11" s="1"/>
  <c r="C5115" i="11" s="1"/>
  <c r="C5116" i="11" s="1"/>
  <c r="C5117" i="11" s="1"/>
  <c r="C5118" i="11" s="1"/>
  <c r="C5119" i="11" s="1"/>
  <c r="C5120" i="11" s="1"/>
  <c r="C5121" i="11" s="1"/>
  <c r="C5122" i="11" s="1"/>
  <c r="C5123" i="11" s="1"/>
  <c r="C5124" i="11" s="1"/>
  <c r="C5125" i="11" s="1"/>
  <c r="C5126" i="11" s="1"/>
  <c r="C5127" i="11" s="1"/>
  <c r="C5128" i="11" s="1"/>
  <c r="C5129" i="11" s="1"/>
  <c r="C5130" i="11" s="1"/>
  <c r="C5131" i="11" s="1"/>
  <c r="C5132" i="11" s="1"/>
  <c r="C5133" i="11" s="1"/>
  <c r="C5134" i="11" s="1"/>
  <c r="C5135" i="11" s="1"/>
  <c r="C5136" i="11" s="1"/>
  <c r="C5137" i="11" s="1"/>
  <c r="C5138" i="11" s="1"/>
  <c r="C5139" i="11" s="1"/>
  <c r="C5140" i="11" s="1"/>
  <c r="C5141" i="11" s="1"/>
  <c r="C5142" i="11" s="1"/>
  <c r="C5143" i="11" s="1"/>
  <c r="C5144" i="11" s="1"/>
  <c r="C5145" i="11" s="1"/>
  <c r="C5146" i="11" s="1"/>
  <c r="C5147" i="11" s="1"/>
  <c r="C5148" i="11" s="1"/>
  <c r="C5149" i="11" s="1"/>
  <c r="C5150" i="11" s="1"/>
  <c r="C5151" i="11" s="1"/>
  <c r="C5152" i="11" s="1"/>
  <c r="C5153" i="11" s="1"/>
  <c r="C5154" i="11" s="1"/>
  <c r="C5155" i="11" s="1"/>
  <c r="C5156" i="11" s="1"/>
  <c r="C5157" i="11" s="1"/>
  <c r="C5158" i="11" s="1"/>
  <c r="C5159" i="11" s="1"/>
  <c r="C5160" i="11" s="1"/>
  <c r="C5161" i="11" s="1"/>
  <c r="C5162" i="11" s="1"/>
  <c r="C5163" i="11" s="1"/>
  <c r="C5164" i="11" s="1"/>
  <c r="C5165" i="11" s="1"/>
  <c r="C5166" i="11" s="1"/>
  <c r="C5167" i="11" s="1"/>
  <c r="C5168" i="11" s="1"/>
  <c r="C5169" i="11" s="1"/>
  <c r="C5170" i="11" s="1"/>
  <c r="C5171" i="11" s="1"/>
  <c r="C5172" i="11" s="1"/>
  <c r="C5173" i="11" s="1"/>
  <c r="C5174" i="11" s="1"/>
  <c r="C5175" i="11" s="1"/>
  <c r="C5176" i="11" s="1"/>
  <c r="C5177" i="11" s="1"/>
  <c r="C5178" i="11" s="1"/>
  <c r="C5179" i="11" s="1"/>
  <c r="C5180" i="11" s="1"/>
  <c r="C5181" i="11" s="1"/>
  <c r="C5182" i="11" s="1"/>
  <c r="C5183" i="11" s="1"/>
  <c r="C5184" i="11" s="1"/>
  <c r="C5185" i="11" s="1"/>
  <c r="C5186" i="11" s="1"/>
  <c r="C5187" i="11" s="1"/>
  <c r="C5188" i="11" s="1"/>
  <c r="C5189" i="11" s="1"/>
  <c r="C5190" i="11" s="1"/>
  <c r="C5191" i="11" s="1"/>
  <c r="C5192" i="11" s="1"/>
  <c r="C5193" i="11" s="1"/>
  <c r="C5194" i="11" s="1"/>
  <c r="C5195" i="11" s="1"/>
  <c r="C5196" i="11" s="1"/>
  <c r="C5197" i="11" s="1"/>
  <c r="C5198" i="11" s="1"/>
  <c r="C5199" i="11" s="1"/>
  <c r="C5200" i="11" s="1"/>
  <c r="C5201" i="11" s="1"/>
  <c r="C5202" i="11" s="1"/>
  <c r="C5203" i="11" s="1"/>
  <c r="C5204" i="11" s="1"/>
  <c r="C5205" i="11" s="1"/>
  <c r="C5206" i="11" s="1"/>
  <c r="C5207" i="11" s="1"/>
  <c r="C5208" i="11" s="1"/>
  <c r="C5209" i="11" s="1"/>
  <c r="C5210" i="11" s="1"/>
  <c r="C5211" i="11" s="1"/>
  <c r="C5212" i="11" s="1"/>
  <c r="C5213" i="11" s="1"/>
  <c r="C5214" i="11" s="1"/>
  <c r="C5215" i="11" s="1"/>
  <c r="C5216" i="11" s="1"/>
  <c r="C5217" i="11" s="1"/>
  <c r="C5218" i="11" s="1"/>
  <c r="C5219" i="11" s="1"/>
  <c r="C5220" i="11" s="1"/>
  <c r="C5221" i="11" s="1"/>
  <c r="C5222" i="11" s="1"/>
  <c r="C5223" i="11" s="1"/>
  <c r="C5224" i="11" s="1"/>
  <c r="C5225" i="11" s="1"/>
  <c r="C5226" i="11" s="1"/>
  <c r="C5227" i="11" s="1"/>
  <c r="C5228" i="11" s="1"/>
  <c r="C5229" i="11" s="1"/>
  <c r="C5230" i="11" s="1"/>
  <c r="C5231" i="11" s="1"/>
  <c r="C5232" i="11" s="1"/>
  <c r="C5233" i="11" s="1"/>
  <c r="C5234" i="11" s="1"/>
  <c r="C5235" i="11" s="1"/>
  <c r="C5236" i="11" s="1"/>
  <c r="C5237" i="11" s="1"/>
  <c r="C5238" i="11" s="1"/>
  <c r="C5239" i="11" s="1"/>
  <c r="C5240" i="11" s="1"/>
  <c r="C5241" i="11" s="1"/>
  <c r="C5242" i="11" s="1"/>
  <c r="C5243" i="11" s="1"/>
  <c r="C5244" i="11" s="1"/>
  <c r="C5245" i="11" s="1"/>
  <c r="C5246" i="11" s="1"/>
  <c r="C5247" i="11" s="1"/>
  <c r="C5248" i="11" s="1"/>
  <c r="C5249" i="11" s="1"/>
  <c r="C5250" i="11" s="1"/>
  <c r="C5251" i="11" s="1"/>
  <c r="C5252" i="11" s="1"/>
  <c r="C5253" i="11" s="1"/>
  <c r="C5254" i="11" s="1"/>
  <c r="C5255" i="11" s="1"/>
  <c r="C5256" i="11" s="1"/>
  <c r="C5257" i="11" s="1"/>
  <c r="C5258" i="11" s="1"/>
  <c r="C5259" i="11" s="1"/>
  <c r="C5260" i="11" s="1"/>
  <c r="C5261" i="11" s="1"/>
  <c r="C5262" i="11" s="1"/>
  <c r="C5263" i="11" s="1"/>
  <c r="C5264" i="11" s="1"/>
  <c r="C5265" i="11" s="1"/>
  <c r="C5266" i="11" s="1"/>
  <c r="C5267" i="11" s="1"/>
  <c r="C5268" i="11" s="1"/>
  <c r="C5269" i="11" s="1"/>
  <c r="C5270" i="11" s="1"/>
  <c r="C5271" i="11" s="1"/>
  <c r="C5272" i="11" s="1"/>
  <c r="C5273" i="11" s="1"/>
  <c r="C5274" i="11" s="1"/>
  <c r="C5275" i="11" s="1"/>
  <c r="C5276" i="11" s="1"/>
  <c r="C5277" i="11" s="1"/>
  <c r="C5278" i="11" s="1"/>
  <c r="C5279" i="11" s="1"/>
  <c r="C5280" i="11" s="1"/>
  <c r="C5281" i="11" s="1"/>
  <c r="C5282" i="11" s="1"/>
  <c r="C5283" i="11" s="1"/>
  <c r="C5284" i="11" s="1"/>
  <c r="C5285" i="11" s="1"/>
  <c r="C5286" i="11" s="1"/>
  <c r="C5287" i="11" s="1"/>
  <c r="C5288" i="11" s="1"/>
  <c r="C5289" i="11" s="1"/>
  <c r="C5290" i="11" s="1"/>
  <c r="C5291" i="11" s="1"/>
  <c r="C5292" i="11" s="1"/>
  <c r="C5293" i="11" s="1"/>
  <c r="C5294" i="11" s="1"/>
  <c r="C5295" i="11" s="1"/>
  <c r="C5296" i="11" s="1"/>
  <c r="C5297" i="11" s="1"/>
  <c r="C5298" i="11" s="1"/>
  <c r="C5299" i="11" s="1"/>
  <c r="C5300" i="11" s="1"/>
  <c r="C5301" i="11" s="1"/>
  <c r="C5302" i="11" s="1"/>
  <c r="C5303" i="11" s="1"/>
  <c r="C5304" i="11" s="1"/>
  <c r="C5305" i="11" s="1"/>
  <c r="C5306" i="11" s="1"/>
  <c r="C5307" i="11" s="1"/>
  <c r="C5308" i="11" s="1"/>
  <c r="C5309" i="11" s="1"/>
  <c r="C5310" i="11" s="1"/>
  <c r="C5311" i="11" s="1"/>
  <c r="C5312" i="11" s="1"/>
  <c r="C5313" i="11" s="1"/>
  <c r="C5314" i="11" s="1"/>
  <c r="C5315" i="11" s="1"/>
  <c r="C5316" i="11" s="1"/>
  <c r="C5317" i="11" s="1"/>
  <c r="C5318" i="11" s="1"/>
  <c r="C5319" i="11" s="1"/>
  <c r="C5320" i="11" s="1"/>
  <c r="C5321" i="11" s="1"/>
  <c r="C5322" i="11" s="1"/>
  <c r="C5323" i="11" s="1"/>
  <c r="C5324" i="11" s="1"/>
  <c r="C5325" i="11" s="1"/>
  <c r="C5326" i="11" s="1"/>
  <c r="C5327" i="11" s="1"/>
  <c r="C5328" i="11" s="1"/>
  <c r="C5329" i="11" s="1"/>
  <c r="C5330" i="11" s="1"/>
  <c r="C5331" i="11" s="1"/>
  <c r="C5332" i="11" s="1"/>
  <c r="C5333" i="11" s="1"/>
  <c r="C5334" i="11" s="1"/>
  <c r="C5335" i="11" s="1"/>
  <c r="C5336" i="11" s="1"/>
  <c r="C5337" i="11" s="1"/>
  <c r="C5338" i="11" s="1"/>
  <c r="C5339" i="11" s="1"/>
  <c r="C5340" i="11" s="1"/>
  <c r="C5341" i="11" s="1"/>
  <c r="C5342" i="11" s="1"/>
  <c r="C5343" i="11" s="1"/>
  <c r="C5344" i="11" s="1"/>
  <c r="C5345" i="11" s="1"/>
  <c r="C5346" i="11" s="1"/>
  <c r="C5347" i="11" s="1"/>
  <c r="C5348" i="11" s="1"/>
  <c r="C5349" i="11" s="1"/>
  <c r="C5350" i="11" s="1"/>
  <c r="C5351" i="11" s="1"/>
  <c r="C5352" i="11" s="1"/>
  <c r="C5353" i="11" s="1"/>
  <c r="C5354" i="11" s="1"/>
  <c r="C5355" i="11" s="1"/>
  <c r="C5356" i="11" s="1"/>
  <c r="C5357" i="11" s="1"/>
  <c r="C5358" i="11" s="1"/>
  <c r="C5359" i="11" s="1"/>
  <c r="C5360" i="11" s="1"/>
  <c r="C5361" i="11" s="1"/>
  <c r="C5362" i="11" s="1"/>
  <c r="C5363" i="11" s="1"/>
  <c r="C5364" i="11" s="1"/>
  <c r="C5365" i="11" s="1"/>
  <c r="C5366" i="11" s="1"/>
  <c r="C5367" i="11" s="1"/>
  <c r="C5368" i="11" s="1"/>
  <c r="C5369" i="11" s="1"/>
  <c r="C5370" i="11" s="1"/>
  <c r="C5371" i="11" s="1"/>
  <c r="C5372" i="11" s="1"/>
  <c r="C5373" i="11" s="1"/>
  <c r="C5374" i="11" s="1"/>
  <c r="C5375" i="11" s="1"/>
  <c r="C5376" i="11" s="1"/>
  <c r="C5377" i="11" s="1"/>
  <c r="C5378" i="11" s="1"/>
  <c r="C5379" i="11" s="1"/>
  <c r="C5380" i="11" s="1"/>
  <c r="C5381" i="11" s="1"/>
  <c r="C5382" i="11" s="1"/>
  <c r="C5383" i="11" s="1"/>
  <c r="C5384" i="11" s="1"/>
  <c r="C5385" i="11" s="1"/>
  <c r="C5386" i="11" s="1"/>
  <c r="C5387" i="11" s="1"/>
  <c r="C5388" i="11" s="1"/>
  <c r="C5389" i="11" s="1"/>
  <c r="C5390" i="11" s="1"/>
  <c r="C5391" i="11" s="1"/>
  <c r="C5392" i="11" s="1"/>
  <c r="C5393" i="11" s="1"/>
  <c r="C5394" i="11" s="1"/>
  <c r="C5395" i="11" s="1"/>
  <c r="C5396" i="11" s="1"/>
  <c r="C5397" i="11" s="1"/>
  <c r="C5398" i="11" s="1"/>
  <c r="C5399" i="11" s="1"/>
  <c r="C5400" i="11" s="1"/>
  <c r="C5401" i="11" s="1"/>
  <c r="C5402" i="11" s="1"/>
  <c r="C5403" i="11" s="1"/>
  <c r="C5404" i="11" s="1"/>
  <c r="C5405" i="11" s="1"/>
  <c r="C5406" i="11" s="1"/>
  <c r="C5407" i="11" s="1"/>
  <c r="C5408" i="11" s="1"/>
  <c r="C5409" i="11" s="1"/>
  <c r="C5410" i="11" s="1"/>
  <c r="C5411" i="11" s="1"/>
  <c r="C5412" i="11" s="1"/>
  <c r="C5413" i="11" s="1"/>
  <c r="C5414" i="11" s="1"/>
  <c r="C5415" i="11" s="1"/>
  <c r="C5416" i="11" s="1"/>
  <c r="C5417" i="11" s="1"/>
  <c r="C5418" i="11" s="1"/>
  <c r="C5419" i="11" s="1"/>
  <c r="C5420" i="11" s="1"/>
  <c r="C5421" i="11" s="1"/>
  <c r="C5422" i="11" s="1"/>
  <c r="C5423" i="11" s="1"/>
  <c r="C5424" i="11" s="1"/>
  <c r="C5425" i="11" s="1"/>
  <c r="C5426" i="11" s="1"/>
  <c r="C5427" i="11" s="1"/>
  <c r="C5428" i="11" s="1"/>
  <c r="C5429" i="11" s="1"/>
  <c r="C5430" i="11" s="1"/>
  <c r="C5431" i="11" s="1"/>
  <c r="C5432" i="11" s="1"/>
  <c r="C5433" i="11" s="1"/>
  <c r="C5434" i="11" s="1"/>
  <c r="C5435" i="11" s="1"/>
  <c r="C5436" i="11" s="1"/>
  <c r="C5437" i="11" s="1"/>
  <c r="C5438" i="11" s="1"/>
  <c r="C5439" i="11" s="1"/>
  <c r="C5440" i="11" s="1"/>
  <c r="C5441" i="11" s="1"/>
  <c r="C5442" i="11" s="1"/>
  <c r="C5443" i="11" s="1"/>
  <c r="C5444" i="11" s="1"/>
  <c r="C5445" i="11" s="1"/>
  <c r="C5446" i="11" s="1"/>
  <c r="C5447" i="11" s="1"/>
  <c r="C5448" i="11" s="1"/>
  <c r="C5449" i="11" s="1"/>
  <c r="C5450" i="11" s="1"/>
  <c r="C5451" i="11" s="1"/>
  <c r="C5452" i="11" s="1"/>
  <c r="C5453" i="11" s="1"/>
  <c r="C5454" i="11" s="1"/>
  <c r="C5455" i="11" s="1"/>
  <c r="C5456" i="11" s="1"/>
  <c r="C5457" i="11" s="1"/>
  <c r="C5458" i="11" s="1"/>
  <c r="C5459" i="11" s="1"/>
  <c r="C5460" i="11" s="1"/>
  <c r="C5461" i="11" s="1"/>
  <c r="C5462" i="11" s="1"/>
  <c r="C5463" i="11" s="1"/>
  <c r="C5464" i="11" s="1"/>
  <c r="C5465" i="11" s="1"/>
  <c r="C5466" i="11" s="1"/>
  <c r="C5467" i="11" s="1"/>
  <c r="C5468" i="11" s="1"/>
  <c r="C5469" i="11" s="1"/>
  <c r="C5470" i="11" s="1"/>
  <c r="C5471" i="11" s="1"/>
  <c r="C5472" i="11" s="1"/>
  <c r="C5473" i="11" s="1"/>
  <c r="C5474" i="11" s="1"/>
  <c r="C5475" i="11" s="1"/>
  <c r="C5476" i="11" s="1"/>
  <c r="C5477" i="11" s="1"/>
  <c r="C5478" i="11" s="1"/>
  <c r="C5479" i="11" s="1"/>
  <c r="C5480" i="11" s="1"/>
  <c r="C5481" i="11" s="1"/>
  <c r="C5482" i="11" s="1"/>
  <c r="C5483" i="11" s="1"/>
  <c r="C5484" i="11" s="1"/>
  <c r="C5485" i="11" s="1"/>
  <c r="C5486" i="11" s="1"/>
  <c r="C5487" i="11" s="1"/>
  <c r="C5488" i="11" s="1"/>
  <c r="C5489" i="11" s="1"/>
  <c r="C5490" i="11" s="1"/>
  <c r="C5491" i="11" s="1"/>
  <c r="C5492" i="11" s="1"/>
  <c r="C5493" i="11" s="1"/>
  <c r="C5494" i="11" s="1"/>
  <c r="C5495" i="11" s="1"/>
  <c r="C5496" i="11" s="1"/>
  <c r="C5497" i="11" s="1"/>
  <c r="C5498" i="11" s="1"/>
  <c r="C5499" i="11" s="1"/>
  <c r="C5500" i="11" s="1"/>
  <c r="C5501" i="11" s="1"/>
  <c r="C5502" i="11" s="1"/>
  <c r="C5503" i="11" s="1"/>
  <c r="C5504" i="11" s="1"/>
  <c r="C5505" i="11" s="1"/>
  <c r="C5506" i="11" s="1"/>
  <c r="C5507" i="11" s="1"/>
  <c r="C5508" i="11" s="1"/>
  <c r="C5509" i="11" s="1"/>
  <c r="C5510" i="11" s="1"/>
  <c r="C5511" i="11" s="1"/>
  <c r="C5512" i="11" s="1"/>
  <c r="C5513" i="11" s="1"/>
  <c r="C5514" i="11" s="1"/>
  <c r="C5515" i="11" s="1"/>
  <c r="C5516" i="11" s="1"/>
  <c r="C5517" i="11" s="1"/>
  <c r="C5518" i="11" s="1"/>
  <c r="C5519" i="11" s="1"/>
  <c r="C5520" i="11" s="1"/>
  <c r="C5521" i="11" s="1"/>
  <c r="C5522" i="11" s="1"/>
  <c r="C5523" i="11" s="1"/>
  <c r="C5524" i="11" s="1"/>
  <c r="C5525" i="11" s="1"/>
  <c r="C5526" i="11" s="1"/>
  <c r="C5527" i="11" s="1"/>
  <c r="C5528" i="11" s="1"/>
  <c r="C5529" i="11" s="1"/>
  <c r="C5530" i="11" s="1"/>
  <c r="C5531" i="11" s="1"/>
  <c r="C5532" i="11" s="1"/>
  <c r="C5533" i="11" s="1"/>
  <c r="C5534" i="11" s="1"/>
  <c r="C5535" i="11" s="1"/>
  <c r="C5536" i="11" s="1"/>
  <c r="C5537" i="11" s="1"/>
  <c r="C5538" i="11" s="1"/>
  <c r="C5539" i="11" s="1"/>
  <c r="C5540" i="11" s="1"/>
  <c r="C5541" i="11" s="1"/>
  <c r="C5542" i="11" s="1"/>
  <c r="C5543" i="11" s="1"/>
  <c r="C5544" i="11" s="1"/>
  <c r="C5545" i="11" s="1"/>
  <c r="C5546" i="11" s="1"/>
  <c r="C5547" i="11" s="1"/>
  <c r="C5548" i="11" s="1"/>
  <c r="C5549" i="11" s="1"/>
  <c r="C5550" i="11" s="1"/>
  <c r="C5551" i="11" s="1"/>
  <c r="C5552" i="11" s="1"/>
  <c r="C5553" i="11" s="1"/>
  <c r="C5554" i="11" s="1"/>
  <c r="C5555" i="11" s="1"/>
  <c r="C5556" i="11" s="1"/>
  <c r="C5557" i="11" s="1"/>
  <c r="C5558" i="11" s="1"/>
  <c r="C5559" i="11" s="1"/>
  <c r="C5560" i="11" s="1"/>
  <c r="C5561" i="11" s="1"/>
  <c r="C5562" i="11" s="1"/>
  <c r="C5563" i="11" s="1"/>
  <c r="C5564" i="11" s="1"/>
  <c r="C5565" i="11" s="1"/>
  <c r="C5566" i="11" s="1"/>
  <c r="C5567" i="11" s="1"/>
  <c r="C5568" i="11" s="1"/>
  <c r="C5569" i="11" s="1"/>
  <c r="C5570" i="11" s="1"/>
  <c r="C5571" i="11" s="1"/>
  <c r="C5572" i="11" s="1"/>
  <c r="C5573" i="11" s="1"/>
  <c r="C5574" i="11" s="1"/>
  <c r="C5575" i="11" s="1"/>
  <c r="C5576" i="11" s="1"/>
  <c r="C5577" i="11" s="1"/>
  <c r="C5578" i="11" s="1"/>
  <c r="C5579" i="11" s="1"/>
  <c r="C5580" i="11" s="1"/>
  <c r="C5581" i="11" s="1"/>
  <c r="C5582" i="11" s="1"/>
  <c r="C5583" i="11" s="1"/>
  <c r="C5584" i="11" s="1"/>
  <c r="C5585" i="11" s="1"/>
  <c r="C5586" i="11" s="1"/>
  <c r="C5587" i="11" s="1"/>
  <c r="C5588" i="11" s="1"/>
  <c r="C5589" i="11" s="1"/>
  <c r="C5590" i="11" s="1"/>
  <c r="C5591" i="11" s="1"/>
  <c r="C5592" i="11" s="1"/>
  <c r="C5593" i="11" s="1"/>
  <c r="C5594" i="11" s="1"/>
  <c r="C5595" i="11" s="1"/>
  <c r="C5596" i="11" s="1"/>
  <c r="C5597" i="11" s="1"/>
  <c r="C5598" i="11" s="1"/>
  <c r="C5599" i="11" s="1"/>
  <c r="C5600" i="11" s="1"/>
  <c r="C5601" i="11" s="1"/>
  <c r="C5602" i="11" s="1"/>
  <c r="C5603" i="11" s="1"/>
  <c r="C5604" i="11" s="1"/>
  <c r="C5605" i="11" s="1"/>
  <c r="C5606" i="11" s="1"/>
  <c r="C5607" i="11" s="1"/>
  <c r="C5608" i="11" s="1"/>
  <c r="C5609" i="11" s="1"/>
  <c r="C5610" i="11" s="1"/>
  <c r="C5611" i="11" s="1"/>
  <c r="C5612" i="11" s="1"/>
  <c r="C5613" i="11" s="1"/>
  <c r="C5614" i="11" s="1"/>
  <c r="C5615" i="11" s="1"/>
  <c r="C5616" i="11" s="1"/>
  <c r="C5617" i="11" s="1"/>
  <c r="C5618" i="11" s="1"/>
  <c r="C5619" i="11" s="1"/>
  <c r="C5620" i="11" s="1"/>
  <c r="C5621" i="11" s="1"/>
  <c r="C5622" i="11" s="1"/>
  <c r="C5623" i="11" s="1"/>
  <c r="C5624" i="11" s="1"/>
  <c r="C5625" i="11" s="1"/>
  <c r="C5626" i="11" s="1"/>
  <c r="C5627" i="11" s="1"/>
  <c r="C5628" i="11" s="1"/>
  <c r="C5629" i="11" s="1"/>
  <c r="C5630" i="11" s="1"/>
  <c r="C5631" i="11" s="1"/>
  <c r="C5632" i="11" s="1"/>
  <c r="C5633" i="11" s="1"/>
  <c r="C5634" i="11" s="1"/>
  <c r="C5635" i="11" s="1"/>
  <c r="C5636" i="11" s="1"/>
  <c r="C5637" i="11" s="1"/>
  <c r="C5638" i="11" s="1"/>
  <c r="C5639" i="11" s="1"/>
  <c r="C5640" i="11" s="1"/>
  <c r="C5641" i="11" s="1"/>
  <c r="C5642" i="11" s="1"/>
  <c r="C5643" i="11" s="1"/>
  <c r="C5644" i="11" s="1"/>
  <c r="C5645" i="11" s="1"/>
  <c r="C5646" i="11" s="1"/>
  <c r="C5647" i="11" s="1"/>
  <c r="C5648" i="11" s="1"/>
  <c r="C5649" i="11" s="1"/>
  <c r="C5650" i="11" s="1"/>
  <c r="C5651" i="11" s="1"/>
  <c r="C5652" i="11" s="1"/>
  <c r="C5653" i="11" s="1"/>
  <c r="C5654" i="11" s="1"/>
  <c r="C5655" i="11" s="1"/>
  <c r="C5656" i="11" s="1"/>
  <c r="C5657" i="11" s="1"/>
  <c r="C5658" i="11" s="1"/>
  <c r="C5659" i="11" s="1"/>
  <c r="C5660" i="11" s="1"/>
  <c r="C5661" i="11" s="1"/>
  <c r="C5662" i="11" s="1"/>
  <c r="C5663" i="11" s="1"/>
  <c r="C5664" i="11" s="1"/>
  <c r="C5665" i="11" s="1"/>
  <c r="C5666" i="11" s="1"/>
  <c r="C5667" i="11" s="1"/>
  <c r="C5668" i="11" s="1"/>
  <c r="C5669" i="11" s="1"/>
  <c r="C5670" i="11" s="1"/>
  <c r="C5671" i="11" s="1"/>
  <c r="C5672" i="11" s="1"/>
  <c r="C5673" i="11" s="1"/>
  <c r="C5674" i="11" s="1"/>
  <c r="C5675" i="11" s="1"/>
  <c r="C5676" i="11" s="1"/>
  <c r="C5677" i="11" s="1"/>
  <c r="C5678" i="11" s="1"/>
  <c r="C5679" i="11" s="1"/>
  <c r="C5680" i="11" s="1"/>
  <c r="C5681" i="11" s="1"/>
  <c r="C5682" i="11" s="1"/>
  <c r="C5683" i="11" s="1"/>
  <c r="C5684" i="11" s="1"/>
  <c r="C5685" i="11" s="1"/>
  <c r="C5686" i="11" s="1"/>
  <c r="C5687" i="11" s="1"/>
  <c r="C5688" i="11" s="1"/>
  <c r="C5689" i="11" s="1"/>
  <c r="C5690" i="11" s="1"/>
  <c r="C5691" i="11" s="1"/>
  <c r="C5692" i="11" s="1"/>
  <c r="C5693" i="11" s="1"/>
  <c r="C5694" i="11" s="1"/>
  <c r="C5695" i="11" s="1"/>
  <c r="C5696" i="11" s="1"/>
  <c r="C5697" i="11" s="1"/>
  <c r="C5698" i="11" s="1"/>
  <c r="C5699" i="11" s="1"/>
  <c r="C5700" i="11" s="1"/>
  <c r="C5701" i="11" s="1"/>
  <c r="C5702" i="11" s="1"/>
  <c r="C5703" i="11" s="1"/>
  <c r="C5704" i="11" s="1"/>
  <c r="C5705" i="11" s="1"/>
  <c r="C5706" i="11" s="1"/>
  <c r="C5707" i="11" s="1"/>
  <c r="C5708" i="11" s="1"/>
  <c r="C5709" i="11" s="1"/>
  <c r="C5710" i="11" s="1"/>
  <c r="C5711" i="11" s="1"/>
  <c r="C5712" i="11" s="1"/>
  <c r="C5713" i="11" s="1"/>
  <c r="C5714" i="11" s="1"/>
  <c r="C5715" i="11" s="1"/>
  <c r="C5716" i="11" s="1"/>
  <c r="C5717" i="11" s="1"/>
  <c r="C5718" i="11" s="1"/>
  <c r="C5719" i="11" s="1"/>
  <c r="C5720" i="11" s="1"/>
  <c r="C5721" i="11" s="1"/>
  <c r="C5722" i="11" s="1"/>
  <c r="C5723" i="11" s="1"/>
  <c r="C5724" i="11" s="1"/>
  <c r="C5725" i="11" s="1"/>
  <c r="C5726" i="11" s="1"/>
  <c r="C5727" i="11" s="1"/>
  <c r="C5728" i="11" s="1"/>
  <c r="C5729" i="11" s="1"/>
  <c r="C5730" i="11" s="1"/>
  <c r="C5731" i="11" s="1"/>
  <c r="C5732" i="11" s="1"/>
  <c r="C5733" i="11" s="1"/>
  <c r="C5734" i="11" s="1"/>
  <c r="C5735" i="11" s="1"/>
  <c r="C5736" i="11" s="1"/>
  <c r="C5737" i="11" s="1"/>
  <c r="C5738" i="11" s="1"/>
  <c r="C5739" i="11" s="1"/>
  <c r="C5740" i="11" s="1"/>
  <c r="C5741" i="11" s="1"/>
  <c r="C5742" i="11" s="1"/>
  <c r="C5743" i="11" s="1"/>
  <c r="C5744" i="11" s="1"/>
  <c r="C5745" i="11" s="1"/>
  <c r="C5746" i="11" s="1"/>
  <c r="C5747" i="11" s="1"/>
  <c r="C5748" i="11" s="1"/>
  <c r="C5749" i="11" s="1"/>
  <c r="C5750" i="11" s="1"/>
  <c r="C5751" i="11" s="1"/>
  <c r="C5752" i="11" s="1"/>
  <c r="C5753" i="11" s="1"/>
  <c r="C5754" i="11" s="1"/>
  <c r="C5755" i="11" s="1"/>
  <c r="C5756" i="11" s="1"/>
  <c r="C5757" i="11" s="1"/>
  <c r="C5758" i="11" s="1"/>
  <c r="C5759" i="11" s="1"/>
  <c r="C5760" i="11" s="1"/>
  <c r="C5761" i="11" s="1"/>
  <c r="C5762" i="11" s="1"/>
  <c r="C5763" i="11" s="1"/>
  <c r="C5764" i="11" s="1"/>
  <c r="C5765" i="11" s="1"/>
  <c r="C5766" i="11" s="1"/>
  <c r="C5767" i="11" s="1"/>
  <c r="C5768" i="11" s="1"/>
  <c r="C5769" i="11" s="1"/>
  <c r="C5770" i="11" s="1"/>
  <c r="C5771" i="11" s="1"/>
  <c r="C5772" i="11" s="1"/>
  <c r="C5773" i="11" s="1"/>
  <c r="C5774" i="11" s="1"/>
  <c r="C5775" i="11" s="1"/>
  <c r="C5776" i="11" s="1"/>
  <c r="C5777" i="11" s="1"/>
  <c r="C5778" i="11" s="1"/>
  <c r="C5779" i="11" s="1"/>
  <c r="C5780" i="11" s="1"/>
  <c r="C5781" i="11" s="1"/>
  <c r="C5782" i="11" s="1"/>
  <c r="C5783" i="11" s="1"/>
  <c r="C5784" i="11" s="1"/>
  <c r="C5785" i="11" s="1"/>
  <c r="C5786" i="11" s="1"/>
  <c r="C5787" i="11" s="1"/>
  <c r="C5788" i="11" s="1"/>
  <c r="C5789" i="11" s="1"/>
  <c r="C5790" i="11" s="1"/>
  <c r="C5791" i="11" s="1"/>
  <c r="C5792" i="11" s="1"/>
  <c r="C5793" i="11" s="1"/>
  <c r="C5794" i="11" s="1"/>
  <c r="C5795" i="11" s="1"/>
  <c r="C5796" i="11" s="1"/>
  <c r="C5797" i="11" s="1"/>
  <c r="C5798" i="11" s="1"/>
  <c r="C5799" i="11" s="1"/>
  <c r="C5800" i="11" s="1"/>
  <c r="C5801" i="11" s="1"/>
  <c r="C5802" i="11" s="1"/>
  <c r="C5803" i="11" s="1"/>
  <c r="C5804" i="11" s="1"/>
  <c r="C5805" i="11" s="1"/>
  <c r="C5806" i="11" s="1"/>
  <c r="C5807" i="11" s="1"/>
  <c r="C5808" i="11" s="1"/>
  <c r="C5809" i="11" s="1"/>
  <c r="C5810" i="11" s="1"/>
  <c r="C5811" i="11" s="1"/>
  <c r="C5812" i="11" s="1"/>
  <c r="C5813" i="11" s="1"/>
  <c r="C5814" i="11" s="1"/>
  <c r="C5815" i="11" s="1"/>
  <c r="C5816" i="11" s="1"/>
  <c r="C5817" i="11" s="1"/>
  <c r="C5818" i="11" s="1"/>
  <c r="C5819" i="11" s="1"/>
  <c r="C5820" i="11" s="1"/>
  <c r="C5821" i="11" s="1"/>
  <c r="C5822" i="11" s="1"/>
  <c r="C5823" i="11" s="1"/>
  <c r="C5824" i="11" s="1"/>
  <c r="C5825" i="11" s="1"/>
  <c r="C5826" i="11" s="1"/>
  <c r="C5827" i="11" s="1"/>
  <c r="C5828" i="11" s="1"/>
  <c r="C5829" i="11" s="1"/>
  <c r="C5830" i="11" s="1"/>
  <c r="C5831" i="11" s="1"/>
  <c r="C5832" i="11" s="1"/>
  <c r="C5833" i="11" s="1"/>
  <c r="C5834" i="11" s="1"/>
  <c r="C5835" i="11" s="1"/>
  <c r="C5836" i="11" s="1"/>
  <c r="C5837" i="11" s="1"/>
  <c r="C5838" i="11" s="1"/>
  <c r="C5839" i="11" s="1"/>
  <c r="C5840" i="11" s="1"/>
  <c r="C5841" i="11" s="1"/>
  <c r="C5842" i="11" s="1"/>
  <c r="C5843" i="11" s="1"/>
  <c r="C5844" i="11" s="1"/>
  <c r="C5845" i="11" s="1"/>
  <c r="C5846" i="11" s="1"/>
  <c r="C5847" i="11" s="1"/>
  <c r="C5848" i="11" s="1"/>
  <c r="C5849" i="11" s="1"/>
  <c r="C5850" i="11" s="1"/>
  <c r="C5851" i="11" s="1"/>
  <c r="C5852" i="11" s="1"/>
  <c r="C5853" i="11" s="1"/>
  <c r="C5854" i="11" s="1"/>
  <c r="C5855" i="11" s="1"/>
  <c r="C5856" i="11" s="1"/>
  <c r="C5857" i="11" s="1"/>
  <c r="C5858" i="11" s="1"/>
  <c r="C5859" i="11" s="1"/>
  <c r="C5860" i="11" s="1"/>
  <c r="C5861" i="11" s="1"/>
  <c r="C5862" i="11" s="1"/>
  <c r="C5863" i="11" s="1"/>
  <c r="C5864" i="11" s="1"/>
  <c r="C5865" i="11" s="1"/>
  <c r="C5866" i="11" s="1"/>
  <c r="C5867" i="11" s="1"/>
  <c r="C5868" i="11" s="1"/>
  <c r="C5869" i="11" s="1"/>
  <c r="C5870" i="11" s="1"/>
  <c r="C5871" i="11" s="1"/>
  <c r="C5872" i="11" s="1"/>
  <c r="C5873" i="11" s="1"/>
  <c r="C5874" i="11" s="1"/>
  <c r="C5875" i="11" s="1"/>
  <c r="C5876" i="11" s="1"/>
  <c r="C5877" i="11" s="1"/>
  <c r="C5878" i="11" s="1"/>
  <c r="C5879" i="11" s="1"/>
  <c r="C5880" i="11" s="1"/>
  <c r="C5881" i="11" s="1"/>
  <c r="C5882" i="11" s="1"/>
  <c r="C5883" i="11" s="1"/>
  <c r="C5884" i="11" s="1"/>
  <c r="C5885" i="11" s="1"/>
  <c r="C5886" i="11" s="1"/>
  <c r="C5887" i="11" s="1"/>
  <c r="C5888" i="11" s="1"/>
  <c r="C5889" i="11" s="1"/>
  <c r="C5890" i="11" s="1"/>
  <c r="C5891" i="11" s="1"/>
  <c r="C5892" i="11" s="1"/>
  <c r="C5893" i="11" s="1"/>
  <c r="C5894" i="11" s="1"/>
  <c r="C5895" i="11" s="1"/>
  <c r="C5896" i="11" s="1"/>
  <c r="C5897" i="11" s="1"/>
  <c r="C5898" i="11" s="1"/>
  <c r="C5899" i="11" s="1"/>
  <c r="C5900" i="11" s="1"/>
  <c r="C5901" i="11" s="1"/>
  <c r="C5902" i="11" s="1"/>
  <c r="C5903" i="11" s="1"/>
  <c r="C5904" i="11" s="1"/>
  <c r="C5905" i="11" s="1"/>
  <c r="C5906" i="11" s="1"/>
  <c r="C5907" i="11" s="1"/>
  <c r="C5908" i="11" s="1"/>
  <c r="C5909" i="11" s="1"/>
  <c r="C5910" i="11" s="1"/>
  <c r="C5911" i="11" s="1"/>
  <c r="C5912" i="11" s="1"/>
  <c r="C5913" i="11" s="1"/>
  <c r="C5914" i="11" s="1"/>
  <c r="C5915" i="11" s="1"/>
  <c r="C5916" i="11" s="1"/>
  <c r="C5917" i="11" s="1"/>
  <c r="C5918" i="11" s="1"/>
  <c r="C5919" i="11" s="1"/>
  <c r="C5920" i="11" s="1"/>
  <c r="C5921" i="11" s="1"/>
  <c r="C5922" i="11" s="1"/>
  <c r="C5923" i="11" s="1"/>
  <c r="C5924" i="11" s="1"/>
  <c r="C5925" i="11" s="1"/>
  <c r="C5926" i="11" s="1"/>
  <c r="C5927" i="11" s="1"/>
  <c r="C5928" i="11" s="1"/>
  <c r="C5929" i="11" s="1"/>
  <c r="C5930" i="11" s="1"/>
  <c r="C5931" i="11" s="1"/>
  <c r="C5932" i="11" s="1"/>
  <c r="C5933" i="11" s="1"/>
  <c r="C5934" i="11" s="1"/>
  <c r="C5935" i="11" s="1"/>
  <c r="C5936" i="11" s="1"/>
  <c r="C5937" i="11" s="1"/>
  <c r="C5938" i="11" s="1"/>
  <c r="C5939" i="11" s="1"/>
  <c r="C5940" i="11" s="1"/>
  <c r="C5941" i="11" s="1"/>
  <c r="C5942" i="11" s="1"/>
  <c r="C5943" i="11" s="1"/>
  <c r="C5944" i="11" s="1"/>
  <c r="C5945" i="11" s="1"/>
  <c r="C5946" i="11" s="1"/>
  <c r="C5947" i="11" s="1"/>
  <c r="C5948" i="11" s="1"/>
  <c r="C5949" i="11" s="1"/>
  <c r="C5950" i="11" s="1"/>
  <c r="C5951" i="11" s="1"/>
  <c r="C5952" i="11" s="1"/>
  <c r="C5953" i="11" s="1"/>
  <c r="C5954" i="11" s="1"/>
  <c r="C5955" i="11" s="1"/>
  <c r="C5956" i="11" s="1"/>
  <c r="C5957" i="11" s="1"/>
  <c r="C5958" i="11" s="1"/>
  <c r="C5959" i="11" s="1"/>
  <c r="C5960" i="11" s="1"/>
  <c r="C5961" i="11" s="1"/>
  <c r="C5962" i="11" s="1"/>
  <c r="C5963" i="11" s="1"/>
  <c r="C5964" i="11" s="1"/>
  <c r="C5965" i="11" s="1"/>
  <c r="C5966" i="11" s="1"/>
  <c r="C5967" i="11" s="1"/>
  <c r="C5968" i="11" s="1"/>
  <c r="C5969" i="11" s="1"/>
  <c r="C5970" i="11" s="1"/>
  <c r="C5971" i="11" s="1"/>
  <c r="C5972" i="11" s="1"/>
  <c r="C5973" i="11" s="1"/>
  <c r="C5974" i="11" s="1"/>
  <c r="C5975" i="11" s="1"/>
  <c r="C5976" i="11" s="1"/>
  <c r="C5977" i="11" s="1"/>
  <c r="C5978" i="11" s="1"/>
  <c r="C5979" i="11" s="1"/>
  <c r="C5980" i="11" s="1"/>
  <c r="C5981" i="11" s="1"/>
  <c r="C5982" i="11" s="1"/>
  <c r="C5983" i="11" s="1"/>
  <c r="C5984" i="11" s="1"/>
  <c r="C5985" i="11" s="1"/>
  <c r="C5986" i="11" s="1"/>
  <c r="C5987" i="11" s="1"/>
  <c r="C5988" i="11" s="1"/>
  <c r="C5989" i="11" s="1"/>
  <c r="C5990" i="11" s="1"/>
  <c r="C5991" i="11" s="1"/>
  <c r="C5992" i="11" s="1"/>
  <c r="C5993" i="11" s="1"/>
  <c r="C5994" i="11" s="1"/>
  <c r="C5995" i="11" s="1"/>
  <c r="C5996" i="11" s="1"/>
  <c r="C5997" i="11" s="1"/>
  <c r="C5998" i="11" s="1"/>
  <c r="C5999" i="11" s="1"/>
  <c r="C6000" i="11" s="1"/>
  <c r="C6001" i="11" s="1"/>
  <c r="C6002" i="11" s="1"/>
  <c r="C6003" i="11" s="1"/>
  <c r="C6004" i="11" s="1"/>
  <c r="D5012" i="11"/>
  <c r="D5013" i="11"/>
  <c r="D5014" i="11"/>
  <c r="D5015" i="11"/>
  <c r="D5016" i="11"/>
  <c r="D5017" i="11"/>
  <c r="D5018" i="11"/>
  <c r="D5019" i="11"/>
  <c r="D5020" i="11"/>
  <c r="D5021" i="11"/>
  <c r="D5022" i="11"/>
  <c r="D5023" i="11"/>
  <c r="D5024" i="11"/>
  <c r="D5025" i="11"/>
  <c r="D5026" i="11"/>
  <c r="D5027" i="11"/>
  <c r="D5028" i="11"/>
  <c r="D5029" i="11"/>
  <c r="D5030" i="11"/>
  <c r="D5031" i="11"/>
  <c r="D5032" i="11"/>
  <c r="D5033" i="11"/>
  <c r="D5034" i="11"/>
  <c r="D5035" i="11"/>
  <c r="D5036" i="11"/>
  <c r="D5037" i="11"/>
  <c r="D5038" i="11"/>
  <c r="D5039" i="11"/>
  <c r="D5040" i="11"/>
  <c r="D5041" i="11"/>
  <c r="D5042" i="11"/>
  <c r="D5043" i="11"/>
  <c r="D5044" i="11"/>
  <c r="D5045" i="11"/>
  <c r="D5046" i="11"/>
  <c r="D5047" i="11"/>
  <c r="D5048" i="11"/>
  <c r="D5049" i="11"/>
  <c r="D5050" i="11"/>
  <c r="D5051" i="11"/>
  <c r="D5052" i="11"/>
  <c r="D5053" i="11"/>
  <c r="D5054" i="11"/>
  <c r="D5055" i="11"/>
  <c r="D5056" i="11"/>
  <c r="D5057" i="11"/>
  <c r="D5058" i="11"/>
  <c r="D5059" i="11"/>
  <c r="D5060" i="11"/>
  <c r="D5061" i="11"/>
  <c r="D5062" i="11"/>
  <c r="D5063" i="11"/>
  <c r="D5064" i="11"/>
  <c r="D5065" i="11"/>
  <c r="D5066" i="11"/>
  <c r="D5067" i="11"/>
  <c r="D5068" i="11"/>
  <c r="D5069" i="11"/>
  <c r="D5070" i="11"/>
  <c r="D5071" i="11"/>
  <c r="D5072" i="11"/>
  <c r="D5073" i="11"/>
  <c r="D5074" i="11"/>
  <c r="D5075" i="11"/>
  <c r="D5076" i="11"/>
  <c r="D5077" i="11"/>
  <c r="D5078" i="11"/>
  <c r="D5079" i="11"/>
  <c r="D5080" i="11"/>
  <c r="D5081" i="11"/>
  <c r="D5082" i="11"/>
  <c r="D5083" i="11"/>
  <c r="D5084" i="11"/>
  <c r="D5085" i="11"/>
  <c r="D5086" i="11"/>
  <c r="D5087" i="11"/>
  <c r="D5088" i="11"/>
  <c r="D5089" i="11"/>
  <c r="D5090" i="11"/>
  <c r="D5091" i="11"/>
  <c r="D5092" i="11"/>
  <c r="D5093" i="11"/>
  <c r="D5094" i="11"/>
  <c r="D5095" i="11"/>
  <c r="D5096" i="11"/>
  <c r="D5097" i="11"/>
  <c r="D5098" i="11"/>
  <c r="D5099" i="11"/>
  <c r="D5100" i="11"/>
  <c r="D5101" i="11"/>
  <c r="D5102" i="11"/>
  <c r="D5103" i="11"/>
  <c r="D5104" i="11"/>
  <c r="D5105" i="11"/>
  <c r="D5106" i="11"/>
  <c r="D5107" i="11"/>
  <c r="D5108" i="11"/>
  <c r="D5109" i="11"/>
  <c r="D5110" i="11"/>
  <c r="D5111" i="11"/>
  <c r="D5112" i="11"/>
  <c r="D5113" i="11"/>
  <c r="D5114" i="11"/>
  <c r="D5115" i="11"/>
  <c r="D5116" i="11"/>
  <c r="D5117" i="11"/>
  <c r="D5118" i="11"/>
  <c r="D5119" i="11"/>
  <c r="D5120" i="11"/>
  <c r="D5121" i="11"/>
  <c r="D5122" i="11"/>
  <c r="D5123" i="11"/>
  <c r="D5124" i="11"/>
  <c r="D5125" i="11"/>
  <c r="D5126" i="11"/>
  <c r="D5127" i="11"/>
  <c r="D5128" i="11"/>
  <c r="D5129" i="11"/>
  <c r="D5130" i="11"/>
  <c r="D5131" i="11"/>
  <c r="D5132" i="11"/>
  <c r="D5133" i="11"/>
  <c r="D5134" i="11"/>
  <c r="D5135" i="11"/>
  <c r="D5136" i="11"/>
  <c r="D5137" i="11"/>
  <c r="D5138" i="11"/>
  <c r="D5139" i="11"/>
  <c r="D5140" i="11"/>
  <c r="D5141" i="11"/>
  <c r="D5142" i="11"/>
  <c r="D5143" i="11"/>
  <c r="D5144" i="11"/>
  <c r="D5145" i="11"/>
  <c r="D5146" i="11"/>
  <c r="D5147" i="11"/>
  <c r="D5148" i="11"/>
  <c r="D5149" i="11"/>
  <c r="D5150" i="11"/>
  <c r="D5151" i="11"/>
  <c r="D5152" i="11"/>
  <c r="D5153" i="11"/>
  <c r="D5154" i="11"/>
  <c r="D5155" i="11"/>
  <c r="D5156" i="11"/>
  <c r="D5157" i="11"/>
  <c r="D5158" i="11"/>
  <c r="D5159" i="11"/>
  <c r="D5160" i="11"/>
  <c r="D5161" i="11"/>
  <c r="D5162" i="11"/>
  <c r="D5163" i="11"/>
  <c r="D5164" i="11"/>
  <c r="D5165" i="11"/>
  <c r="D5166" i="11"/>
  <c r="D5167" i="11"/>
  <c r="D5168" i="11"/>
  <c r="D5169" i="11"/>
  <c r="D5170" i="11"/>
  <c r="D5171" i="11"/>
  <c r="D5172" i="11"/>
  <c r="D5173" i="11"/>
  <c r="D5174" i="11"/>
  <c r="D5175" i="11"/>
  <c r="D5176" i="11"/>
  <c r="D5177" i="11"/>
  <c r="D5178" i="11"/>
  <c r="D5179" i="11"/>
  <c r="D5180" i="11"/>
  <c r="D5181" i="11"/>
  <c r="D5182" i="11"/>
  <c r="D5183" i="11"/>
  <c r="D5184" i="11"/>
  <c r="D5185" i="11"/>
  <c r="D5186" i="11"/>
  <c r="D5187" i="11"/>
  <c r="D5188" i="11"/>
  <c r="D5189" i="11"/>
  <c r="D5190" i="11"/>
  <c r="D5191" i="11"/>
  <c r="D5192" i="11"/>
  <c r="D5193" i="11"/>
  <c r="D5194" i="11"/>
  <c r="D5195" i="11"/>
  <c r="D5196" i="11"/>
  <c r="D5197" i="11"/>
  <c r="D5198" i="11"/>
  <c r="D5199" i="11"/>
  <c r="D5200" i="11"/>
  <c r="D5201" i="11"/>
  <c r="D5202" i="11"/>
  <c r="D5203" i="11"/>
  <c r="D5204" i="11"/>
  <c r="D5205" i="11"/>
  <c r="D5206" i="11"/>
  <c r="D5207" i="11"/>
  <c r="D5208" i="11"/>
  <c r="D5209" i="11"/>
  <c r="D5210" i="11"/>
  <c r="D5211" i="11"/>
  <c r="D5212" i="11"/>
  <c r="D5213" i="11"/>
  <c r="D5214" i="11"/>
  <c r="D5215" i="11"/>
  <c r="D5216" i="11"/>
  <c r="D5217" i="11"/>
  <c r="D5218" i="11"/>
  <c r="D5219" i="11"/>
  <c r="D5220" i="11"/>
  <c r="D5221" i="11"/>
  <c r="D5222" i="11"/>
  <c r="D5223" i="11"/>
  <c r="D5224" i="11"/>
  <c r="D5225" i="11"/>
  <c r="D5226" i="11"/>
  <c r="D5227" i="11"/>
  <c r="D5228" i="11"/>
  <c r="D5229" i="11"/>
  <c r="D5230" i="11"/>
  <c r="D5231" i="11"/>
  <c r="D5232" i="11"/>
  <c r="D5233" i="11"/>
  <c r="D5234" i="11"/>
  <c r="D5235" i="11"/>
  <c r="D5236" i="11"/>
  <c r="D5237" i="11"/>
  <c r="D5238" i="11"/>
  <c r="D5239" i="11"/>
  <c r="D5240" i="11"/>
  <c r="D5241" i="11"/>
  <c r="D5242" i="11"/>
  <c r="D5243" i="11"/>
  <c r="D5244" i="11"/>
  <c r="D5245" i="11"/>
  <c r="D5246" i="11"/>
  <c r="D5247" i="11"/>
  <c r="D5248" i="11"/>
  <c r="D5249" i="11"/>
  <c r="D5250" i="11"/>
  <c r="D5251" i="11"/>
  <c r="D5252" i="11"/>
  <c r="D5253" i="11"/>
  <c r="D5254" i="11"/>
  <c r="D5255" i="11"/>
  <c r="D5256" i="11"/>
  <c r="D5257" i="11"/>
  <c r="D5258" i="11"/>
  <c r="D5259" i="11"/>
  <c r="D5260" i="11"/>
  <c r="D5261" i="11"/>
  <c r="D5262" i="11"/>
  <c r="D5263" i="11"/>
  <c r="D5264" i="11"/>
  <c r="D5265" i="11"/>
  <c r="D5266" i="11"/>
  <c r="D5267" i="11"/>
  <c r="D5268" i="11"/>
  <c r="D5269" i="11"/>
  <c r="D5270" i="11"/>
  <c r="D5271" i="11"/>
  <c r="D5272" i="11"/>
  <c r="D5273" i="11"/>
  <c r="D5274" i="11"/>
  <c r="D5275" i="11"/>
  <c r="D5276" i="11"/>
  <c r="D5277" i="11"/>
  <c r="D5278" i="11"/>
  <c r="D5279" i="11"/>
  <c r="D5280" i="11"/>
  <c r="D5281" i="11"/>
  <c r="D5282" i="11"/>
  <c r="D5283" i="11"/>
  <c r="D5284" i="11"/>
  <c r="D5285" i="11"/>
  <c r="D5286" i="11"/>
  <c r="D5287" i="11"/>
  <c r="D5288" i="11"/>
  <c r="D5289" i="11"/>
  <c r="D5290" i="11"/>
  <c r="D5291" i="11"/>
  <c r="D5292" i="11"/>
  <c r="D5293" i="11"/>
  <c r="D5294" i="11"/>
  <c r="D5295" i="11"/>
  <c r="D5296" i="11"/>
  <c r="D5297" i="11"/>
  <c r="D5298" i="11"/>
  <c r="D5299" i="11"/>
  <c r="D5300" i="11"/>
  <c r="D5301" i="11"/>
  <c r="D5302" i="11"/>
  <c r="D5303" i="11"/>
  <c r="D5304" i="11"/>
  <c r="D5305" i="11"/>
  <c r="D5306" i="11"/>
  <c r="D5307" i="11"/>
  <c r="D5308" i="11"/>
  <c r="D5309" i="11"/>
  <c r="D5310" i="11"/>
  <c r="D5311" i="11"/>
  <c r="D5312" i="11"/>
  <c r="D5313" i="11"/>
  <c r="D5314" i="11"/>
  <c r="D5315" i="11"/>
  <c r="D5316" i="11"/>
  <c r="D5317" i="11"/>
  <c r="D5318" i="11"/>
  <c r="D5319" i="11"/>
  <c r="D5320" i="11"/>
  <c r="D5321" i="11"/>
  <c r="D5322" i="11"/>
  <c r="D5323" i="11"/>
  <c r="D5324" i="11"/>
  <c r="D5325" i="11"/>
  <c r="D5326" i="11"/>
  <c r="D5327" i="11"/>
  <c r="D5328" i="11"/>
  <c r="D5329" i="11"/>
  <c r="D5330" i="11"/>
  <c r="D5331" i="11"/>
  <c r="D5332" i="11"/>
  <c r="D5333" i="11"/>
  <c r="D5334" i="11"/>
  <c r="D5335" i="11"/>
  <c r="D5336" i="11"/>
  <c r="D5337" i="11"/>
  <c r="D5338" i="11"/>
  <c r="D5339" i="11"/>
  <c r="D5340" i="11"/>
  <c r="D5341" i="11"/>
  <c r="D5342" i="11"/>
  <c r="D5343" i="11"/>
  <c r="D5344" i="11"/>
  <c r="D5345" i="11"/>
  <c r="D5346" i="11"/>
  <c r="D5347" i="11"/>
  <c r="D5348" i="11"/>
  <c r="D5349" i="11"/>
  <c r="D5350" i="11"/>
  <c r="D5351" i="11"/>
  <c r="D5352" i="11"/>
  <c r="D5353" i="11"/>
  <c r="D5354" i="11"/>
  <c r="D5355" i="11"/>
  <c r="D5356" i="11"/>
  <c r="D5357" i="11"/>
  <c r="D5358" i="11"/>
  <c r="D5359" i="11"/>
  <c r="D5360" i="11"/>
  <c r="D5361" i="11"/>
  <c r="D5362" i="11"/>
  <c r="D5363" i="11"/>
  <c r="D5364" i="11"/>
  <c r="D5365" i="11"/>
  <c r="D5366" i="11"/>
  <c r="D5367" i="11"/>
  <c r="D5368" i="11"/>
  <c r="D5369" i="11"/>
  <c r="D5370" i="11"/>
  <c r="D5371" i="11"/>
  <c r="D5372" i="11"/>
  <c r="D5373" i="11"/>
  <c r="D5374" i="11"/>
  <c r="D5375" i="11"/>
  <c r="D5376" i="11"/>
  <c r="D5377" i="11"/>
  <c r="D5378" i="11"/>
  <c r="D5379" i="11"/>
  <c r="D5380" i="11"/>
  <c r="D5381" i="11"/>
  <c r="D5382" i="11"/>
  <c r="D5383" i="11"/>
  <c r="D5384" i="11"/>
  <c r="D5385" i="11"/>
  <c r="D5386" i="11"/>
  <c r="D5387" i="11"/>
  <c r="D5388" i="11"/>
  <c r="D5389" i="11"/>
  <c r="D5390" i="11"/>
  <c r="D5391" i="11"/>
  <c r="D5392" i="11"/>
  <c r="D5393" i="11"/>
  <c r="D5394" i="11"/>
  <c r="D5395" i="11"/>
  <c r="D5396" i="11"/>
  <c r="D5397" i="11"/>
  <c r="D5398" i="11"/>
  <c r="D5399" i="11"/>
  <c r="D5400" i="11"/>
  <c r="D5401" i="11"/>
  <c r="D5402" i="11"/>
  <c r="D5403" i="11"/>
  <c r="D5404" i="11"/>
  <c r="D5405" i="11"/>
  <c r="D5406" i="11"/>
  <c r="D5407" i="11"/>
  <c r="D5408" i="11"/>
  <c r="D5409" i="11"/>
  <c r="D5410" i="11"/>
  <c r="D5411" i="11"/>
  <c r="D5412" i="11"/>
  <c r="D5413" i="11"/>
  <c r="D5414" i="11"/>
  <c r="D5415" i="11"/>
  <c r="D5416" i="11"/>
  <c r="D5417" i="11"/>
  <c r="D5418" i="11"/>
  <c r="D5419" i="11"/>
  <c r="D5420" i="11"/>
  <c r="D5421" i="11"/>
  <c r="D5422" i="11"/>
  <c r="D5423" i="11"/>
  <c r="D5424" i="11"/>
  <c r="D5425" i="11"/>
  <c r="D5426" i="11"/>
  <c r="D5427" i="11"/>
  <c r="D5428" i="11"/>
  <c r="D5429" i="11"/>
  <c r="D5430" i="11"/>
  <c r="D5431" i="11"/>
  <c r="D5432" i="11"/>
  <c r="D5433" i="11"/>
  <c r="D5434" i="11"/>
  <c r="D5435" i="11"/>
  <c r="D5436" i="11"/>
  <c r="D5437" i="11"/>
  <c r="D5438" i="11"/>
  <c r="D5439" i="11"/>
  <c r="D5440" i="11"/>
  <c r="D5441" i="11"/>
  <c r="D5442" i="11"/>
  <c r="D5443" i="11"/>
  <c r="D5444" i="11"/>
  <c r="D5445" i="11"/>
  <c r="D5446" i="11"/>
  <c r="D5447" i="11"/>
  <c r="D5448" i="11"/>
  <c r="D5449" i="11"/>
  <c r="D5450" i="11"/>
  <c r="D5451" i="11"/>
  <c r="D5452" i="11"/>
  <c r="D5453" i="11"/>
  <c r="D5454" i="11"/>
  <c r="D5455" i="11"/>
  <c r="D5456" i="11"/>
  <c r="D5457" i="11"/>
  <c r="D5458" i="11"/>
  <c r="D5459" i="11"/>
  <c r="D5460" i="11"/>
  <c r="D5461" i="11"/>
  <c r="D5462" i="11"/>
  <c r="D5463" i="11"/>
  <c r="D5464" i="11"/>
  <c r="D5465" i="11"/>
  <c r="D5466" i="11"/>
  <c r="D5467" i="11"/>
  <c r="D5468" i="11"/>
  <c r="D5469" i="11"/>
  <c r="D5470" i="11"/>
  <c r="D5471" i="11"/>
  <c r="D5472" i="11"/>
  <c r="D5473" i="11"/>
  <c r="D5474" i="11"/>
  <c r="D5475" i="11"/>
  <c r="D5476" i="11"/>
  <c r="D5477" i="11"/>
  <c r="D5478" i="11"/>
  <c r="D5479" i="11"/>
  <c r="D5480" i="11"/>
  <c r="D5481" i="11"/>
  <c r="D5482" i="11"/>
  <c r="D5483" i="11"/>
  <c r="D5484" i="11"/>
  <c r="D5485" i="11"/>
  <c r="D5486" i="11"/>
  <c r="D5487" i="11"/>
  <c r="D5488" i="11"/>
  <c r="D5489" i="11"/>
  <c r="D5490" i="11"/>
  <c r="D5491" i="11"/>
  <c r="D5492" i="11"/>
  <c r="D5493" i="11"/>
  <c r="D5494" i="11"/>
  <c r="D5495" i="11"/>
  <c r="D5496" i="11"/>
  <c r="D5497" i="11"/>
  <c r="D5498" i="11"/>
  <c r="D5499" i="11"/>
  <c r="D5500" i="11"/>
  <c r="D5501" i="11"/>
  <c r="D5502" i="11"/>
  <c r="D5503" i="11"/>
  <c r="D5504" i="11"/>
  <c r="D5505" i="11"/>
  <c r="D5506" i="11"/>
  <c r="D5507" i="11"/>
  <c r="D5508" i="11"/>
  <c r="D5509" i="11"/>
  <c r="D5510" i="11"/>
  <c r="D5511" i="11"/>
  <c r="D5512" i="11"/>
  <c r="D5513" i="11"/>
  <c r="D5514" i="11"/>
  <c r="D5515" i="11"/>
  <c r="D5516" i="11"/>
  <c r="D5517" i="11"/>
  <c r="D5518" i="11"/>
  <c r="D5519" i="11"/>
  <c r="D5520" i="11"/>
  <c r="D5521" i="11"/>
  <c r="D5522" i="11"/>
  <c r="D5523" i="11"/>
  <c r="D5524" i="11"/>
  <c r="D5525" i="11"/>
  <c r="D5526" i="11"/>
  <c r="D5527" i="11"/>
  <c r="D5528" i="11"/>
  <c r="D5529" i="11"/>
  <c r="D5530" i="11"/>
  <c r="D5531" i="11"/>
  <c r="D5532" i="11"/>
  <c r="D5533" i="11"/>
  <c r="D5534" i="11"/>
  <c r="D5535" i="11"/>
  <c r="D5536" i="11"/>
  <c r="D5537" i="11"/>
  <c r="D5538" i="11"/>
  <c r="D5539" i="11"/>
  <c r="D5540" i="11"/>
  <c r="D5541" i="11"/>
  <c r="D5542" i="11"/>
  <c r="D5543" i="11"/>
  <c r="D5544" i="11"/>
  <c r="D5545" i="11"/>
  <c r="D5546" i="11"/>
  <c r="D5547" i="11"/>
  <c r="D5548" i="11"/>
  <c r="D5549" i="11"/>
  <c r="D5550" i="11"/>
  <c r="D5551" i="11"/>
  <c r="D5552" i="11"/>
  <c r="D5553" i="11"/>
  <c r="D5554" i="11"/>
  <c r="D5555" i="11"/>
  <c r="D5556" i="11"/>
  <c r="D5557" i="11"/>
  <c r="D5558" i="11"/>
  <c r="D5559" i="11"/>
  <c r="D5560" i="11"/>
  <c r="D5561" i="11"/>
  <c r="D5562" i="11"/>
  <c r="D5563" i="11"/>
  <c r="D5564" i="11"/>
  <c r="D5565" i="11"/>
  <c r="D5566" i="11"/>
  <c r="D5567" i="11"/>
  <c r="D5568" i="11"/>
  <c r="D5569" i="11"/>
  <c r="D5570" i="11"/>
  <c r="D5571" i="11"/>
  <c r="D5572" i="11"/>
  <c r="D5573" i="11"/>
  <c r="D5574" i="11"/>
  <c r="D5575" i="11"/>
  <c r="D5576" i="11"/>
  <c r="D5577" i="11"/>
  <c r="D5578" i="11"/>
  <c r="D5579" i="11"/>
  <c r="D5580" i="11"/>
  <c r="D5581" i="11"/>
  <c r="D5582" i="11"/>
  <c r="D5583" i="11"/>
  <c r="D5584" i="11"/>
  <c r="D5585" i="11"/>
  <c r="D5586" i="11"/>
  <c r="D5587" i="11"/>
  <c r="D5588" i="11"/>
  <c r="D5589" i="11"/>
  <c r="D5590" i="11"/>
  <c r="D5591" i="11"/>
  <c r="D5592" i="11"/>
  <c r="D5593" i="11"/>
  <c r="D5594" i="11"/>
  <c r="D5595" i="11"/>
  <c r="D5596" i="11"/>
  <c r="D5597" i="11"/>
  <c r="D5598" i="11"/>
  <c r="D5599" i="11"/>
  <c r="D5600" i="11"/>
  <c r="D5601" i="11"/>
  <c r="D5602" i="11"/>
  <c r="D5603" i="11"/>
  <c r="D5604" i="11"/>
  <c r="D5605" i="11"/>
  <c r="D5606" i="11"/>
  <c r="D5607" i="11"/>
  <c r="D5608" i="11"/>
  <c r="D5609" i="11"/>
  <c r="D5610" i="11"/>
  <c r="D5611" i="11"/>
  <c r="D5612" i="11"/>
  <c r="D5613" i="11"/>
  <c r="D5614" i="11"/>
  <c r="D5615" i="11"/>
  <c r="D5616" i="11"/>
  <c r="D5617" i="11"/>
  <c r="D5618" i="11"/>
  <c r="D5619" i="11"/>
  <c r="D5620" i="11"/>
  <c r="D5621" i="11"/>
  <c r="D5622" i="11"/>
  <c r="D5623" i="11"/>
  <c r="D5624" i="11"/>
  <c r="D5625" i="11"/>
  <c r="D5626" i="11"/>
  <c r="D5627" i="11"/>
  <c r="D5628" i="11"/>
  <c r="D5629" i="11"/>
  <c r="D5630" i="11"/>
  <c r="D5631" i="11"/>
  <c r="D5632" i="11"/>
  <c r="D5633" i="11"/>
  <c r="D5634" i="11"/>
  <c r="D5635" i="11"/>
  <c r="D5636" i="11"/>
  <c r="D5637" i="11"/>
  <c r="D5638" i="11"/>
  <c r="D5639" i="11"/>
  <c r="D5640" i="11"/>
  <c r="D5641" i="11"/>
  <c r="D5642" i="11"/>
  <c r="D5643" i="11"/>
  <c r="D5644" i="11"/>
  <c r="D5645" i="11"/>
  <c r="D5646" i="11"/>
  <c r="D5647" i="11"/>
  <c r="D5648" i="11"/>
  <c r="D5649" i="11"/>
  <c r="D5650" i="11"/>
  <c r="D5651" i="11"/>
  <c r="D5652" i="11"/>
  <c r="D5653" i="11"/>
  <c r="D5654" i="11"/>
  <c r="D5655" i="11"/>
  <c r="D5656" i="11"/>
  <c r="D5657" i="11"/>
  <c r="D5658" i="11"/>
  <c r="D5659" i="11"/>
  <c r="D5660" i="11"/>
  <c r="D5661" i="11"/>
  <c r="D5662" i="11"/>
  <c r="D5663" i="11"/>
  <c r="D5664" i="11"/>
  <c r="D5665" i="11"/>
  <c r="D5666" i="11"/>
  <c r="D5667" i="11"/>
  <c r="D5668" i="11"/>
  <c r="D5669" i="11"/>
  <c r="D5670" i="11"/>
  <c r="D5671" i="11"/>
  <c r="D5672" i="11"/>
  <c r="D5673" i="11"/>
  <c r="D5674" i="11"/>
  <c r="D5675" i="11"/>
  <c r="D5676" i="11"/>
  <c r="D5677" i="11"/>
  <c r="D5678" i="11"/>
  <c r="D5679" i="11"/>
  <c r="D5680" i="11"/>
  <c r="D5681" i="11"/>
  <c r="D5682" i="11"/>
  <c r="D5683" i="11"/>
  <c r="D5684" i="11"/>
  <c r="D5685" i="11"/>
  <c r="D5686" i="11"/>
  <c r="D5687" i="11"/>
  <c r="D5688" i="11"/>
  <c r="D5689" i="11"/>
  <c r="D5690" i="11"/>
  <c r="D5691" i="11"/>
  <c r="D5692" i="11"/>
  <c r="D5693" i="11"/>
  <c r="D5694" i="11"/>
  <c r="D5695" i="11"/>
  <c r="D5696" i="11"/>
  <c r="D5697" i="11"/>
  <c r="D5698" i="11"/>
  <c r="D5699" i="11"/>
  <c r="D5700" i="11"/>
  <c r="D5701" i="11"/>
  <c r="D5702" i="11"/>
  <c r="D5703" i="11"/>
  <c r="D5704" i="11"/>
  <c r="D5705" i="11"/>
  <c r="D5706" i="11"/>
  <c r="D5707" i="11"/>
  <c r="D5708" i="11"/>
  <c r="D5709" i="11"/>
  <c r="D5710" i="11"/>
  <c r="D5711" i="11"/>
  <c r="D5712" i="11"/>
  <c r="D5713" i="11"/>
  <c r="D5714" i="11"/>
  <c r="D5715" i="11"/>
  <c r="D5716" i="11"/>
  <c r="D5717" i="11"/>
  <c r="D5718" i="11"/>
  <c r="D5719" i="11"/>
  <c r="D5720" i="11"/>
  <c r="D5721" i="11"/>
  <c r="D5722" i="11"/>
  <c r="D5723" i="11"/>
  <c r="D5724" i="11"/>
  <c r="D5725" i="11"/>
  <c r="D5726" i="11"/>
  <c r="D5727" i="11"/>
  <c r="D5728" i="11"/>
  <c r="D5729" i="11"/>
  <c r="D5730" i="11"/>
  <c r="D5731" i="11"/>
  <c r="D5732" i="11"/>
  <c r="D5733" i="11"/>
  <c r="D5734" i="11"/>
  <c r="D5735" i="11"/>
  <c r="D5736" i="11"/>
  <c r="D5737" i="11"/>
  <c r="D5738" i="11"/>
  <c r="D5739" i="11"/>
  <c r="D5740" i="11"/>
  <c r="D5741" i="11"/>
  <c r="D5742" i="11"/>
  <c r="D5743" i="11"/>
  <c r="D5744" i="11"/>
  <c r="D5745" i="11"/>
  <c r="D5746" i="11"/>
  <c r="D5747" i="11"/>
  <c r="D5748" i="11"/>
  <c r="D5749" i="11"/>
  <c r="D5750" i="11"/>
  <c r="D5751" i="11"/>
  <c r="D5752" i="11"/>
  <c r="D5753" i="11"/>
  <c r="D5754" i="11"/>
  <c r="D5755" i="11"/>
  <c r="D5756" i="11"/>
  <c r="D5757" i="11"/>
  <c r="D5758" i="11"/>
  <c r="D5759" i="11"/>
  <c r="D5760" i="11"/>
  <c r="D5761" i="11"/>
  <c r="D5762" i="11"/>
  <c r="D5763" i="11"/>
  <c r="D5764" i="11"/>
  <c r="D5765" i="11"/>
  <c r="D5766" i="11"/>
  <c r="D5767" i="11"/>
  <c r="D5768" i="11"/>
  <c r="D5769" i="11"/>
  <c r="D5770" i="11"/>
  <c r="D5771" i="11"/>
  <c r="D5772" i="11"/>
  <c r="D5773" i="11"/>
  <c r="D5774" i="11"/>
  <c r="D5775" i="11"/>
  <c r="D5776" i="11"/>
  <c r="D5777" i="11"/>
  <c r="D5778" i="11"/>
  <c r="D5779" i="11"/>
  <c r="D5780" i="11"/>
  <c r="D5781" i="11"/>
  <c r="D5782" i="11"/>
  <c r="D5783" i="11"/>
  <c r="D5784" i="11"/>
  <c r="D5785" i="11"/>
  <c r="D5786" i="11"/>
  <c r="D5787" i="11"/>
  <c r="D5788" i="11"/>
  <c r="D5789" i="11"/>
  <c r="D5790" i="11"/>
  <c r="D5791" i="11"/>
  <c r="D5792" i="11"/>
  <c r="D5793" i="11"/>
  <c r="D5794" i="11"/>
  <c r="D5795" i="11"/>
  <c r="D5796" i="11"/>
  <c r="D5797" i="11"/>
  <c r="D5798" i="11"/>
  <c r="D5799" i="11"/>
  <c r="D5800" i="11"/>
  <c r="D5801" i="11"/>
  <c r="D5802" i="11"/>
  <c r="D5803" i="11"/>
  <c r="D5804" i="11"/>
  <c r="D5805" i="11"/>
  <c r="D5806" i="11"/>
  <c r="D5807" i="11"/>
  <c r="D5808" i="11"/>
  <c r="D5809" i="11"/>
  <c r="D5810" i="11"/>
  <c r="D5811" i="11"/>
  <c r="D5812" i="11"/>
  <c r="D5813" i="11"/>
  <c r="D5814" i="11"/>
  <c r="D5815" i="11"/>
  <c r="D5816" i="11"/>
  <c r="D5817" i="11"/>
  <c r="D5818" i="11"/>
  <c r="D5819" i="11"/>
  <c r="D5820" i="11"/>
  <c r="D5821" i="11"/>
  <c r="D5822" i="11"/>
  <c r="D5823" i="11"/>
  <c r="D5824" i="11"/>
  <c r="D5825" i="11"/>
  <c r="D5826" i="11"/>
  <c r="D5827" i="11"/>
  <c r="D5828" i="11"/>
  <c r="D5829" i="11"/>
  <c r="D5830" i="11"/>
  <c r="D5831" i="11"/>
  <c r="D5832" i="11"/>
  <c r="D5833" i="11"/>
  <c r="D5834" i="11"/>
  <c r="D5835" i="11"/>
  <c r="D5836" i="11"/>
  <c r="D5837" i="11"/>
  <c r="D5838" i="11"/>
  <c r="D5839" i="11"/>
  <c r="D5840" i="11"/>
  <c r="D5841" i="11"/>
  <c r="D5842" i="11"/>
  <c r="D5843" i="11"/>
  <c r="D5844" i="11"/>
  <c r="D5845" i="11"/>
  <c r="D5846" i="11"/>
  <c r="D5847" i="11"/>
  <c r="D5848" i="11"/>
  <c r="D5849" i="11"/>
  <c r="D5850" i="11"/>
  <c r="D5851" i="11"/>
  <c r="D5852" i="11"/>
  <c r="D5853" i="11"/>
  <c r="D5854" i="11"/>
  <c r="D5855" i="11"/>
  <c r="D5856" i="11"/>
  <c r="D5857" i="11"/>
  <c r="D5858" i="11"/>
  <c r="D5859" i="11"/>
  <c r="D5860" i="11"/>
  <c r="D5861" i="11"/>
  <c r="D5862" i="11"/>
  <c r="D5863" i="11"/>
  <c r="D5864" i="11"/>
  <c r="D5865" i="11"/>
  <c r="D5866" i="11"/>
  <c r="D5867" i="11"/>
  <c r="D5868" i="11"/>
  <c r="D5869" i="11"/>
  <c r="D5870" i="11"/>
  <c r="D5871" i="11"/>
  <c r="D5872" i="11"/>
  <c r="D5873" i="11"/>
  <c r="D5874" i="11"/>
  <c r="D5875" i="11"/>
  <c r="D5876" i="11"/>
  <c r="D5877" i="11"/>
  <c r="D5878" i="11"/>
  <c r="D5879" i="11"/>
  <c r="D5880" i="11"/>
  <c r="D5881" i="11"/>
  <c r="D5882" i="11"/>
  <c r="D5883" i="11"/>
  <c r="D5884" i="11"/>
  <c r="D5885" i="11"/>
  <c r="D5886" i="11"/>
  <c r="D5887" i="11"/>
  <c r="D5888" i="11"/>
  <c r="D5889" i="11"/>
  <c r="D5890" i="11"/>
  <c r="D5891" i="11"/>
  <c r="D5892" i="11"/>
  <c r="D5893" i="11"/>
  <c r="D5894" i="11"/>
  <c r="D5895" i="11"/>
  <c r="D5896" i="11"/>
  <c r="D5897" i="11"/>
  <c r="D5898" i="11"/>
  <c r="D5899" i="11"/>
  <c r="D5900" i="11"/>
  <c r="D5901" i="11"/>
  <c r="D5902" i="11"/>
  <c r="D5903" i="11"/>
  <c r="D5904" i="11"/>
  <c r="D5905" i="11"/>
  <c r="D5906" i="11"/>
  <c r="D5907" i="11"/>
  <c r="D5908" i="11"/>
  <c r="D5909" i="11"/>
  <c r="D5910" i="11"/>
  <c r="D5911" i="11"/>
  <c r="D5912" i="11"/>
  <c r="D5913" i="11"/>
  <c r="D5914" i="11"/>
  <c r="D5915" i="11"/>
  <c r="D5916" i="11"/>
  <c r="D5917" i="11"/>
  <c r="D5918" i="11"/>
  <c r="D5919" i="11"/>
  <c r="D5920" i="11"/>
  <c r="D5921" i="11"/>
  <c r="D5922" i="11"/>
  <c r="D5923" i="11"/>
  <c r="D5924" i="11"/>
  <c r="D5925" i="11"/>
  <c r="D5926" i="11"/>
  <c r="D5927" i="11"/>
  <c r="D5928" i="11"/>
  <c r="D5929" i="11"/>
  <c r="D5930" i="11"/>
  <c r="D5931" i="11"/>
  <c r="D5932" i="11"/>
  <c r="D5933" i="11"/>
  <c r="D5934" i="11"/>
  <c r="D5935" i="11"/>
  <c r="D5936" i="11"/>
  <c r="D5937" i="11"/>
  <c r="D5938" i="11"/>
  <c r="D5939" i="11"/>
  <c r="D5940" i="11"/>
  <c r="D5941" i="11"/>
  <c r="D5942" i="11"/>
  <c r="D5943" i="11"/>
  <c r="D5944" i="11"/>
  <c r="D5945" i="11"/>
  <c r="D5946" i="11"/>
  <c r="D5947" i="11"/>
  <c r="D5948" i="11"/>
  <c r="D5949" i="11"/>
  <c r="D5950" i="11"/>
  <c r="D5951" i="11"/>
  <c r="D5952" i="11"/>
  <c r="D5953" i="11"/>
  <c r="D5954" i="11"/>
  <c r="D5955" i="11"/>
  <c r="D5956" i="11"/>
  <c r="D5957" i="11"/>
  <c r="D5958" i="11"/>
  <c r="D5959" i="11"/>
  <c r="D5960" i="11"/>
  <c r="D5961" i="11"/>
  <c r="D5962" i="11"/>
  <c r="D5963" i="11"/>
  <c r="D5964" i="11"/>
  <c r="D5965" i="11"/>
  <c r="D5966" i="11"/>
  <c r="D5967" i="11"/>
  <c r="D5968" i="11"/>
  <c r="D5969" i="11"/>
  <c r="D5970" i="11"/>
  <c r="D5971" i="11"/>
  <c r="D5972" i="11"/>
  <c r="D5973" i="11"/>
  <c r="D5974" i="11"/>
  <c r="D5975" i="11"/>
  <c r="D5976" i="11"/>
  <c r="D5977" i="11"/>
  <c r="D5978" i="11"/>
  <c r="D5979" i="11"/>
  <c r="D5980" i="11"/>
  <c r="D5981" i="11"/>
  <c r="D5982" i="11"/>
  <c r="D5983" i="11"/>
  <c r="D5984" i="11"/>
  <c r="D5985" i="11"/>
  <c r="D5986" i="11"/>
  <c r="D5987" i="11"/>
  <c r="D5988" i="11"/>
  <c r="D5989" i="11"/>
  <c r="D5990" i="11"/>
  <c r="D5991" i="11"/>
  <c r="D5992" i="11"/>
  <c r="D5993" i="11"/>
  <c r="D5994" i="11"/>
  <c r="D5995" i="11"/>
  <c r="D5996" i="11"/>
  <c r="D5997" i="11"/>
  <c r="D5998" i="11"/>
  <c r="D5999" i="11"/>
  <c r="D6000" i="11"/>
  <c r="D6001" i="11"/>
  <c r="D6002" i="11"/>
  <c r="D6003" i="11"/>
  <c r="D6004" i="1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C305" i="11" s="1"/>
  <c r="C306" i="11" s="1"/>
  <c r="C307" i="11" s="1"/>
  <c r="C308" i="11" s="1"/>
  <c r="C309" i="11" s="1"/>
  <c r="C310" i="11" s="1"/>
  <c r="C311" i="11" s="1"/>
  <c r="C312" i="11" s="1"/>
  <c r="C313" i="11" s="1"/>
  <c r="C314" i="11" s="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C327" i="11" s="1"/>
  <c r="C328" i="11" s="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C341" i="11" s="1"/>
  <c r="C342" i="11" s="1"/>
  <c r="C343" i="11" s="1"/>
  <c r="C344" i="11" s="1"/>
  <c r="C345" i="11" s="1"/>
  <c r="C346" i="11" s="1"/>
  <c r="C347" i="11" s="1"/>
  <c r="C348" i="11" s="1"/>
  <c r="C349" i="11" s="1"/>
  <c r="C350" i="11" s="1"/>
  <c r="C351" i="11" s="1"/>
  <c r="C352" i="11" s="1"/>
  <c r="C353" i="11" s="1"/>
  <c r="C354" i="11" s="1"/>
  <c r="C355" i="11" s="1"/>
  <c r="C356" i="11" s="1"/>
  <c r="C357" i="11" s="1"/>
  <c r="C358" i="11" s="1"/>
  <c r="C359" i="11" s="1"/>
  <c r="C360" i="11" s="1"/>
  <c r="C361" i="11" s="1"/>
  <c r="C362" i="11" s="1"/>
  <c r="C363" i="11" s="1"/>
  <c r="C364" i="11" s="1"/>
  <c r="C365" i="11" s="1"/>
  <c r="C366" i="11" s="1"/>
  <c r="C367" i="11" s="1"/>
  <c r="C368" i="11" s="1"/>
  <c r="C369" i="11" s="1"/>
  <c r="C370" i="11" s="1"/>
  <c r="C371" i="11" s="1"/>
  <c r="C372" i="11" s="1"/>
  <c r="C373" i="11" s="1"/>
  <c r="C374" i="11" s="1"/>
  <c r="C375" i="11" s="1"/>
  <c r="C376" i="11" s="1"/>
  <c r="C377" i="11" s="1"/>
  <c r="C378" i="11" s="1"/>
  <c r="C379" i="11" s="1"/>
  <c r="C380" i="11" s="1"/>
  <c r="C381" i="11" s="1"/>
  <c r="C382" i="11" s="1"/>
  <c r="C383" i="11" s="1"/>
  <c r="C384" i="11" s="1"/>
  <c r="C385" i="11" s="1"/>
  <c r="C386" i="11" s="1"/>
  <c r="C387" i="11" s="1"/>
  <c r="C388" i="11" s="1"/>
  <c r="C389" i="11" s="1"/>
  <c r="C390" i="11" s="1"/>
  <c r="C391" i="11" s="1"/>
  <c r="C392" i="11" s="1"/>
  <c r="C393" i="11" s="1"/>
  <c r="C394" i="11" s="1"/>
  <c r="C395" i="11" s="1"/>
  <c r="C396" i="11" s="1"/>
  <c r="C397" i="11" s="1"/>
  <c r="C398" i="11" s="1"/>
  <c r="C399" i="11" s="1"/>
  <c r="C400" i="11" s="1"/>
  <c r="C401" i="11" s="1"/>
  <c r="C402" i="11" s="1"/>
  <c r="C403" i="11" s="1"/>
  <c r="C404" i="11" s="1"/>
  <c r="C405" i="11" s="1"/>
  <c r="C406" i="11" s="1"/>
  <c r="C407" i="11" s="1"/>
  <c r="C408" i="11" s="1"/>
  <c r="C409" i="11" s="1"/>
  <c r="C410" i="11" s="1"/>
  <c r="C411" i="11" s="1"/>
  <c r="C412" i="11" s="1"/>
  <c r="C413" i="11" s="1"/>
  <c r="C414" i="11" s="1"/>
  <c r="C415" i="11" s="1"/>
  <c r="C416" i="11" s="1"/>
  <c r="C417" i="11" s="1"/>
  <c r="C418" i="11" s="1"/>
  <c r="C419" i="11" s="1"/>
  <c r="C420" i="11" s="1"/>
  <c r="C421" i="11" s="1"/>
  <c r="C422" i="11" s="1"/>
  <c r="C423" i="11" s="1"/>
  <c r="C424" i="11" s="1"/>
  <c r="C425" i="11" s="1"/>
  <c r="C426" i="11" s="1"/>
  <c r="C427" i="11" s="1"/>
  <c r="C428" i="11" s="1"/>
  <c r="C429" i="11" s="1"/>
  <c r="C430" i="11" s="1"/>
  <c r="C431" i="11" s="1"/>
  <c r="C432" i="11" s="1"/>
  <c r="C433" i="11" s="1"/>
  <c r="C434" i="11" s="1"/>
  <c r="C435" i="11" s="1"/>
  <c r="C436" i="11" s="1"/>
  <c r="C437" i="11" s="1"/>
  <c r="C438" i="11" s="1"/>
  <c r="C439" i="11" s="1"/>
  <c r="C440" i="11" s="1"/>
  <c r="C441" i="11" s="1"/>
  <c r="C442" i="11" s="1"/>
  <c r="C443" i="11" s="1"/>
  <c r="C444" i="11" s="1"/>
  <c r="C445" i="11" s="1"/>
  <c r="C446" i="11" s="1"/>
  <c r="C447" i="11" s="1"/>
  <c r="C448" i="11" s="1"/>
  <c r="C449" i="11" s="1"/>
  <c r="C450" i="11" s="1"/>
  <c r="C451" i="11" s="1"/>
  <c r="C452" i="11" s="1"/>
  <c r="C453" i="11" s="1"/>
  <c r="C454" i="11" s="1"/>
  <c r="C455" i="11" s="1"/>
  <c r="C456" i="11" s="1"/>
  <c r="C457" i="11" s="1"/>
  <c r="C458" i="11" s="1"/>
  <c r="C459" i="11" s="1"/>
  <c r="C460" i="11" s="1"/>
  <c r="C461" i="11" s="1"/>
  <c r="C462" i="11" s="1"/>
  <c r="C463" i="11" s="1"/>
  <c r="C464" i="11" s="1"/>
  <c r="C465" i="11" s="1"/>
  <c r="C466" i="11" s="1"/>
  <c r="C467" i="11" s="1"/>
  <c r="C468" i="11" s="1"/>
  <c r="C469" i="11" s="1"/>
  <c r="C470" i="11" s="1"/>
  <c r="C471" i="11" s="1"/>
  <c r="C472" i="11" s="1"/>
  <c r="C473" i="11" s="1"/>
  <c r="C474" i="11" s="1"/>
  <c r="C475" i="11" s="1"/>
  <c r="C476" i="11" s="1"/>
  <c r="C477" i="11" s="1"/>
  <c r="C478" i="11" s="1"/>
  <c r="C479" i="11" s="1"/>
  <c r="C480" i="11" s="1"/>
  <c r="C481" i="11" s="1"/>
  <c r="C482" i="11" s="1"/>
  <c r="C483" i="11" s="1"/>
  <c r="C484" i="11" s="1"/>
  <c r="C485" i="11" s="1"/>
  <c r="C486" i="11" s="1"/>
  <c r="C487" i="11" s="1"/>
  <c r="C488" i="11" s="1"/>
  <c r="C489" i="11" s="1"/>
  <c r="C490" i="11" s="1"/>
  <c r="C491" i="11" s="1"/>
  <c r="C492" i="11" s="1"/>
  <c r="C493" i="11" s="1"/>
  <c r="C494" i="11" s="1"/>
  <c r="C495" i="11" s="1"/>
  <c r="C496" i="11" s="1"/>
  <c r="C497" i="11" s="1"/>
  <c r="C498" i="11" s="1"/>
  <c r="C499" i="11" s="1"/>
  <c r="C500" i="11" s="1"/>
  <c r="C501" i="11" s="1"/>
  <c r="C502" i="11" s="1"/>
  <c r="C503" i="11" s="1"/>
  <c r="C504" i="11" s="1"/>
  <c r="C505" i="11" s="1"/>
  <c r="C506" i="11" s="1"/>
  <c r="C507" i="11" s="1"/>
  <c r="C508" i="11" s="1"/>
  <c r="C509" i="11" s="1"/>
  <c r="C510" i="11" s="1"/>
  <c r="C511" i="11" s="1"/>
  <c r="C512" i="11" s="1"/>
  <c r="C513" i="11" s="1"/>
  <c r="C514" i="11" s="1"/>
  <c r="C515" i="11" s="1"/>
  <c r="C516" i="11" s="1"/>
  <c r="C517" i="11" s="1"/>
  <c r="C518" i="11" s="1"/>
  <c r="C519" i="11" s="1"/>
  <c r="C520" i="11" s="1"/>
  <c r="C521" i="11" s="1"/>
  <c r="C522" i="11" s="1"/>
  <c r="C523" i="11" s="1"/>
  <c r="C524" i="11" s="1"/>
  <c r="C525" i="11" s="1"/>
  <c r="C526" i="11" s="1"/>
  <c r="C527" i="11" s="1"/>
  <c r="C528" i="11" s="1"/>
  <c r="C529" i="11" s="1"/>
  <c r="C530" i="11" s="1"/>
  <c r="C531" i="11" s="1"/>
  <c r="C532" i="11" s="1"/>
  <c r="C533" i="11" s="1"/>
  <c r="C534" i="11" s="1"/>
  <c r="C535" i="11" s="1"/>
  <c r="C536" i="11" s="1"/>
  <c r="C537" i="11" s="1"/>
  <c r="C538" i="11" s="1"/>
  <c r="C539" i="11" s="1"/>
  <c r="C540" i="11" s="1"/>
  <c r="C541" i="11" s="1"/>
  <c r="C542" i="11" s="1"/>
  <c r="C543" i="11" s="1"/>
  <c r="C544" i="11" s="1"/>
  <c r="C545" i="11" s="1"/>
  <c r="C546" i="11" s="1"/>
  <c r="C547" i="11" s="1"/>
  <c r="C548" i="11" s="1"/>
  <c r="C549" i="11" s="1"/>
  <c r="C550" i="11" s="1"/>
  <c r="C551" i="11" s="1"/>
  <c r="C552" i="11" s="1"/>
  <c r="C553" i="11" s="1"/>
  <c r="C554" i="11" s="1"/>
  <c r="C555" i="11" s="1"/>
  <c r="C556" i="11" s="1"/>
  <c r="C557" i="11" s="1"/>
  <c r="C558" i="11" s="1"/>
  <c r="C559" i="11" s="1"/>
  <c r="C560" i="11" s="1"/>
  <c r="C561" i="11" s="1"/>
  <c r="C562" i="11" s="1"/>
  <c r="C563" i="11" s="1"/>
  <c r="C564" i="11" s="1"/>
  <c r="C565" i="11" s="1"/>
  <c r="C566" i="11" s="1"/>
  <c r="C567" i="11" s="1"/>
  <c r="C568" i="11" s="1"/>
  <c r="C569" i="11" s="1"/>
  <c r="C570" i="11" s="1"/>
  <c r="C571" i="11" s="1"/>
  <c r="C572" i="11" s="1"/>
  <c r="C573" i="11" s="1"/>
  <c r="C574" i="11" s="1"/>
  <c r="C575" i="11" s="1"/>
  <c r="C576" i="11" s="1"/>
  <c r="C577" i="11" s="1"/>
  <c r="C578" i="11" s="1"/>
  <c r="C579" i="11" s="1"/>
  <c r="C580" i="11" s="1"/>
  <c r="C581" i="11" s="1"/>
  <c r="C582" i="11" s="1"/>
  <c r="C583" i="11" s="1"/>
  <c r="C584" i="11" s="1"/>
  <c r="C585" i="11" s="1"/>
  <c r="C586" i="11" s="1"/>
  <c r="C587" i="11" s="1"/>
  <c r="C588" i="11" s="1"/>
  <c r="C589" i="11" s="1"/>
  <c r="C590" i="11" s="1"/>
  <c r="C591" i="11" s="1"/>
  <c r="C592" i="11" s="1"/>
  <c r="C593" i="11" s="1"/>
  <c r="C594" i="11" s="1"/>
  <c r="C595" i="11" s="1"/>
  <c r="C596" i="11" s="1"/>
  <c r="C597" i="11" s="1"/>
  <c r="C598" i="11" s="1"/>
  <c r="C599" i="11" s="1"/>
  <c r="C600" i="11" s="1"/>
  <c r="C601" i="11" s="1"/>
  <c r="C602" i="11" s="1"/>
  <c r="C603" i="11" s="1"/>
  <c r="C604" i="11" s="1"/>
  <c r="C605" i="11" s="1"/>
  <c r="C606" i="11" s="1"/>
  <c r="C607" i="11" s="1"/>
  <c r="C608" i="11" s="1"/>
  <c r="C609" i="11" s="1"/>
  <c r="C610" i="11" s="1"/>
  <c r="C611" i="11" s="1"/>
  <c r="C612" i="11" s="1"/>
  <c r="C613" i="11" s="1"/>
  <c r="C614" i="11" s="1"/>
  <c r="C615" i="11" s="1"/>
  <c r="C616" i="11" s="1"/>
  <c r="C617" i="11" s="1"/>
  <c r="C618" i="11" s="1"/>
  <c r="C619" i="11" s="1"/>
  <c r="C620" i="11" s="1"/>
  <c r="C621" i="11" s="1"/>
  <c r="C622" i="11" s="1"/>
  <c r="C623" i="11" s="1"/>
  <c r="C624" i="11" s="1"/>
  <c r="C625" i="11" s="1"/>
  <c r="C626" i="11" s="1"/>
  <c r="C627" i="11" s="1"/>
  <c r="C628" i="11" s="1"/>
  <c r="C629" i="11" s="1"/>
  <c r="C630" i="11" s="1"/>
  <c r="C631" i="11" s="1"/>
  <c r="C632" i="11" s="1"/>
  <c r="C633" i="11" s="1"/>
  <c r="C634" i="11" s="1"/>
  <c r="C635" i="11" s="1"/>
  <c r="C636" i="11" s="1"/>
  <c r="C637" i="11" s="1"/>
  <c r="C638" i="11" s="1"/>
  <c r="C639" i="11" s="1"/>
  <c r="C640" i="11" s="1"/>
  <c r="C641" i="11" s="1"/>
  <c r="C642" i="11" s="1"/>
  <c r="C643" i="11" s="1"/>
  <c r="C644" i="11" s="1"/>
  <c r="C645" i="11" s="1"/>
  <c r="C646" i="11" s="1"/>
  <c r="C647" i="11" s="1"/>
  <c r="C648" i="11" s="1"/>
  <c r="C649" i="11" s="1"/>
  <c r="C650" i="11" s="1"/>
  <c r="C651" i="11" s="1"/>
  <c r="C652" i="11" s="1"/>
  <c r="C653" i="11" s="1"/>
  <c r="C654" i="11" s="1"/>
  <c r="C655" i="11" s="1"/>
  <c r="C656" i="11" s="1"/>
  <c r="C657" i="11" s="1"/>
  <c r="C658" i="11" s="1"/>
  <c r="C659" i="11" s="1"/>
  <c r="C660" i="11" s="1"/>
  <c r="C661" i="11" s="1"/>
  <c r="C662" i="11" s="1"/>
  <c r="C663" i="11" s="1"/>
  <c r="C664" i="11" s="1"/>
  <c r="C665" i="11" s="1"/>
  <c r="C666" i="11" s="1"/>
  <c r="C667" i="11" s="1"/>
  <c r="C668" i="11" s="1"/>
  <c r="C669" i="11" s="1"/>
  <c r="C670" i="11" s="1"/>
  <c r="C671" i="11" s="1"/>
  <c r="C672" i="11" s="1"/>
  <c r="C673" i="11" s="1"/>
  <c r="C674" i="11" s="1"/>
  <c r="C675" i="11" s="1"/>
  <c r="C676" i="11" s="1"/>
  <c r="C677" i="11" s="1"/>
  <c r="C678" i="11" s="1"/>
  <c r="C679" i="11" s="1"/>
  <c r="C680" i="11" s="1"/>
  <c r="C681" i="11" s="1"/>
  <c r="C682" i="11" s="1"/>
  <c r="C683" i="11" s="1"/>
  <c r="C684" i="11" s="1"/>
  <c r="C685" i="11" s="1"/>
  <c r="C686" i="11" s="1"/>
  <c r="C687" i="11" s="1"/>
  <c r="C688" i="11" s="1"/>
  <c r="C689" i="11" s="1"/>
  <c r="C690" i="11" s="1"/>
  <c r="C691" i="11" s="1"/>
  <c r="C692" i="11" s="1"/>
  <c r="C693" i="11" s="1"/>
  <c r="C694" i="11" s="1"/>
  <c r="C695" i="11" s="1"/>
  <c r="C696" i="11" s="1"/>
  <c r="C697" i="11" s="1"/>
  <c r="C698" i="11" s="1"/>
  <c r="C699" i="11" s="1"/>
  <c r="C700" i="11" s="1"/>
  <c r="C701" i="11" s="1"/>
  <c r="C702" i="11" s="1"/>
  <c r="C703" i="11" s="1"/>
  <c r="C704" i="11" s="1"/>
  <c r="C705" i="11" s="1"/>
  <c r="C706" i="11" s="1"/>
  <c r="C707" i="11" s="1"/>
  <c r="C708" i="11" s="1"/>
  <c r="C709" i="11" s="1"/>
  <c r="C710" i="11" s="1"/>
  <c r="C711" i="11" s="1"/>
  <c r="C712" i="11" s="1"/>
  <c r="C713" i="11" s="1"/>
  <c r="C714" i="11" s="1"/>
  <c r="C715" i="11" s="1"/>
  <c r="C716" i="11" s="1"/>
  <c r="C717" i="11" s="1"/>
  <c r="C718" i="11" s="1"/>
  <c r="C719" i="11" s="1"/>
  <c r="C720" i="11" s="1"/>
  <c r="C721" i="11" s="1"/>
  <c r="C722" i="11" s="1"/>
  <c r="C723" i="11" s="1"/>
  <c r="C724" i="11" s="1"/>
  <c r="C725" i="11" s="1"/>
  <c r="C726" i="11" s="1"/>
  <c r="C727" i="11" s="1"/>
  <c r="C728" i="11" s="1"/>
  <c r="C729" i="11" s="1"/>
  <c r="C730" i="11" s="1"/>
  <c r="C731" i="11" s="1"/>
  <c r="C732" i="11" s="1"/>
  <c r="C733" i="11" s="1"/>
  <c r="C734" i="11" s="1"/>
  <c r="C735" i="11" s="1"/>
  <c r="C736" i="11" s="1"/>
  <c r="C737" i="11" s="1"/>
  <c r="C738" i="11" s="1"/>
  <c r="C739" i="11" s="1"/>
  <c r="C740" i="11" s="1"/>
  <c r="C741" i="11" s="1"/>
  <c r="C742" i="11" s="1"/>
  <c r="C743" i="11" s="1"/>
  <c r="C744" i="11" s="1"/>
  <c r="C745" i="11" s="1"/>
  <c r="C746" i="11" s="1"/>
  <c r="C747" i="11" s="1"/>
  <c r="C748" i="11" s="1"/>
  <c r="C749" i="11" s="1"/>
  <c r="C750" i="11" s="1"/>
  <c r="C751" i="11" s="1"/>
  <c r="C752" i="11" s="1"/>
  <c r="C753" i="11" s="1"/>
  <c r="C754" i="11" s="1"/>
  <c r="C755" i="11" s="1"/>
  <c r="C756" i="11" s="1"/>
  <c r="C757" i="11" s="1"/>
  <c r="C758" i="11" s="1"/>
  <c r="C759" i="11" s="1"/>
  <c r="C760" i="11" s="1"/>
  <c r="C761" i="11" s="1"/>
  <c r="C762" i="11" s="1"/>
  <c r="C763" i="11" s="1"/>
  <c r="C764" i="11" s="1"/>
  <c r="C765" i="11" s="1"/>
  <c r="C766" i="11" s="1"/>
  <c r="C767" i="11" s="1"/>
  <c r="C768" i="11" s="1"/>
  <c r="C769" i="11" s="1"/>
  <c r="C770" i="11" s="1"/>
  <c r="C771" i="11" s="1"/>
  <c r="C772" i="11" s="1"/>
  <c r="C773" i="11" s="1"/>
  <c r="C774" i="11" s="1"/>
  <c r="C775" i="11" s="1"/>
  <c r="C776" i="11" s="1"/>
  <c r="C777" i="11" s="1"/>
  <c r="C778" i="11" s="1"/>
  <c r="C779" i="11" s="1"/>
  <c r="C780" i="11" s="1"/>
  <c r="C781" i="11" s="1"/>
  <c r="C782" i="11" s="1"/>
  <c r="C783" i="11" s="1"/>
  <c r="C784" i="11" s="1"/>
  <c r="C785" i="11" s="1"/>
  <c r="C786" i="11" s="1"/>
  <c r="C787" i="11" s="1"/>
  <c r="C788" i="11" s="1"/>
  <c r="C789" i="11" s="1"/>
  <c r="C790" i="11" s="1"/>
  <c r="C791" i="11" s="1"/>
  <c r="C792" i="11" s="1"/>
  <c r="C793" i="11" s="1"/>
  <c r="C794" i="11" s="1"/>
  <c r="C795" i="11" s="1"/>
  <c r="C796" i="11" s="1"/>
  <c r="C797" i="11" s="1"/>
  <c r="C798" i="11" s="1"/>
  <c r="C799" i="11" s="1"/>
  <c r="C800" i="11" s="1"/>
  <c r="C801" i="11" s="1"/>
  <c r="C802" i="11" s="1"/>
  <c r="C803" i="11" s="1"/>
  <c r="C804" i="11" s="1"/>
  <c r="C805" i="11" s="1"/>
  <c r="C806" i="11" s="1"/>
  <c r="C807" i="11" s="1"/>
  <c r="C808" i="11" s="1"/>
  <c r="C809" i="11" s="1"/>
  <c r="C810" i="11" s="1"/>
  <c r="C811" i="11" s="1"/>
  <c r="C812" i="11" s="1"/>
  <c r="C813" i="11" s="1"/>
  <c r="C814" i="11" s="1"/>
  <c r="C815" i="11" s="1"/>
  <c r="C816" i="11" s="1"/>
  <c r="C817" i="11" s="1"/>
  <c r="C818" i="11" s="1"/>
  <c r="C819" i="11" s="1"/>
  <c r="C820" i="11" s="1"/>
  <c r="C821" i="11" s="1"/>
  <c r="C822" i="11" s="1"/>
  <c r="C823" i="11" s="1"/>
  <c r="C824" i="11" s="1"/>
  <c r="C825" i="11" s="1"/>
  <c r="C826" i="11" s="1"/>
  <c r="C827" i="11" s="1"/>
  <c r="C828" i="11" s="1"/>
  <c r="C829" i="11" s="1"/>
  <c r="C830" i="11" s="1"/>
  <c r="C831" i="11" s="1"/>
  <c r="C832" i="11" s="1"/>
  <c r="C833" i="11" s="1"/>
  <c r="C834" i="11" s="1"/>
  <c r="C835" i="11" s="1"/>
  <c r="C836" i="11" s="1"/>
  <c r="C837" i="11" s="1"/>
  <c r="C838" i="11" s="1"/>
  <c r="C839" i="11" s="1"/>
  <c r="C840" i="11" s="1"/>
  <c r="C841" i="11" s="1"/>
  <c r="C842" i="11" s="1"/>
  <c r="C843" i="11" s="1"/>
  <c r="C844" i="11" s="1"/>
  <c r="C845" i="11" s="1"/>
  <c r="C846" i="11" s="1"/>
  <c r="C847" i="11" s="1"/>
  <c r="C848" i="11" s="1"/>
  <c r="C849" i="11" s="1"/>
  <c r="C850" i="11" s="1"/>
  <c r="C851" i="11" s="1"/>
  <c r="C852" i="11" s="1"/>
  <c r="C853" i="11" s="1"/>
  <c r="C854" i="11" s="1"/>
  <c r="C855" i="11" s="1"/>
  <c r="C856" i="11" s="1"/>
  <c r="C857" i="11" s="1"/>
  <c r="C858" i="11" s="1"/>
  <c r="C859" i="11" s="1"/>
  <c r="C860" i="11" s="1"/>
  <c r="C861" i="11" s="1"/>
  <c r="C862" i="11" s="1"/>
  <c r="C863" i="11" s="1"/>
  <c r="C864" i="11" s="1"/>
  <c r="C865" i="11" s="1"/>
  <c r="C866" i="11" s="1"/>
  <c r="C867" i="11" s="1"/>
  <c r="C868" i="11" s="1"/>
  <c r="C869" i="11" s="1"/>
  <c r="C870" i="11" s="1"/>
  <c r="C871" i="11" s="1"/>
  <c r="C872" i="11" s="1"/>
  <c r="C873" i="11" s="1"/>
  <c r="C874" i="11" s="1"/>
  <c r="C875" i="11" s="1"/>
  <c r="C876" i="11" s="1"/>
  <c r="C877" i="11" s="1"/>
  <c r="C878" i="11" s="1"/>
  <c r="C879" i="11" s="1"/>
  <c r="C880" i="11" s="1"/>
  <c r="C881" i="11" s="1"/>
  <c r="C882" i="11" s="1"/>
  <c r="C883" i="11" s="1"/>
  <c r="C884" i="11" s="1"/>
  <c r="C885" i="11" s="1"/>
  <c r="C886" i="11" s="1"/>
  <c r="C887" i="11" s="1"/>
  <c r="C888" i="11" s="1"/>
  <c r="C889" i="11" s="1"/>
  <c r="C890" i="11" s="1"/>
  <c r="C891" i="11" s="1"/>
  <c r="C892" i="11" s="1"/>
  <c r="C893" i="11" s="1"/>
  <c r="C894" i="11" s="1"/>
  <c r="C895" i="11" s="1"/>
  <c r="C896" i="11" s="1"/>
  <c r="C897" i="11" s="1"/>
  <c r="C898" i="11" s="1"/>
  <c r="C899" i="11" s="1"/>
  <c r="C900" i="11" s="1"/>
  <c r="C901" i="11" s="1"/>
  <c r="C902" i="11" s="1"/>
  <c r="C903" i="11" s="1"/>
  <c r="C904" i="11" s="1"/>
  <c r="C905" i="11" s="1"/>
  <c r="C906" i="11" s="1"/>
  <c r="C907" i="11" s="1"/>
  <c r="C908" i="11" s="1"/>
  <c r="C909" i="11" s="1"/>
  <c r="C910" i="11" s="1"/>
  <c r="C911" i="11" s="1"/>
  <c r="C912" i="11" s="1"/>
  <c r="C913" i="11" s="1"/>
  <c r="C914" i="11" s="1"/>
  <c r="C915" i="11" s="1"/>
  <c r="C916" i="11" s="1"/>
  <c r="C917" i="11" s="1"/>
  <c r="C918" i="11" s="1"/>
  <c r="C919" i="11" s="1"/>
  <c r="C920" i="11" s="1"/>
  <c r="C921" i="11" s="1"/>
  <c r="C922" i="11" s="1"/>
  <c r="C923" i="11" s="1"/>
  <c r="C924" i="11" s="1"/>
  <c r="C925" i="11" s="1"/>
  <c r="C926" i="11" s="1"/>
  <c r="C927" i="11" s="1"/>
  <c r="C928" i="11" s="1"/>
  <c r="C929" i="11" s="1"/>
  <c r="C930" i="11" s="1"/>
  <c r="C931" i="11" s="1"/>
  <c r="C932" i="11" s="1"/>
  <c r="C933" i="11" s="1"/>
  <c r="C934" i="11" s="1"/>
  <c r="C935" i="11" s="1"/>
  <c r="C936" i="11" s="1"/>
  <c r="C937" i="11" s="1"/>
  <c r="C938" i="11" s="1"/>
  <c r="C939" i="11" s="1"/>
  <c r="C940" i="11" s="1"/>
  <c r="C941" i="11" s="1"/>
  <c r="C942" i="11" s="1"/>
  <c r="C943" i="11" s="1"/>
  <c r="C944" i="11" s="1"/>
  <c r="C945" i="11" s="1"/>
  <c r="C946" i="11" s="1"/>
  <c r="C947" i="11" s="1"/>
  <c r="C948" i="11" s="1"/>
  <c r="C949" i="11" s="1"/>
  <c r="C950" i="11" s="1"/>
  <c r="C951" i="11" s="1"/>
  <c r="C952" i="11" s="1"/>
  <c r="C953" i="11" s="1"/>
  <c r="C954" i="11" s="1"/>
  <c r="C955" i="11" s="1"/>
  <c r="C956" i="11" s="1"/>
  <c r="C957" i="11" s="1"/>
  <c r="C958" i="11" s="1"/>
  <c r="C959" i="11" s="1"/>
  <c r="C960" i="11" s="1"/>
  <c r="C961" i="11" s="1"/>
  <c r="C962" i="11" s="1"/>
  <c r="C963" i="11" s="1"/>
  <c r="C964" i="11" s="1"/>
  <c r="C965" i="11" s="1"/>
  <c r="C966" i="11" s="1"/>
  <c r="C967" i="11" s="1"/>
  <c r="C968" i="11" s="1"/>
  <c r="C969" i="11" s="1"/>
  <c r="C970" i="11" s="1"/>
  <c r="C971" i="11" s="1"/>
  <c r="C972" i="11" s="1"/>
  <c r="C973" i="11" s="1"/>
  <c r="C974" i="11" s="1"/>
  <c r="C975" i="11" s="1"/>
  <c r="C976" i="11" s="1"/>
  <c r="C977" i="11" s="1"/>
  <c r="C978" i="11" s="1"/>
  <c r="C979" i="11" s="1"/>
  <c r="C980" i="11" s="1"/>
  <c r="C981" i="11" s="1"/>
  <c r="C982" i="11" s="1"/>
  <c r="C983" i="11" s="1"/>
  <c r="C984" i="11" s="1"/>
  <c r="C985" i="11" s="1"/>
  <c r="C986" i="11" s="1"/>
  <c r="C987" i="11" s="1"/>
  <c r="C988" i="11" s="1"/>
  <c r="C989" i="11" s="1"/>
  <c r="C990" i="11" s="1"/>
  <c r="C991" i="11" s="1"/>
  <c r="C992" i="11" s="1"/>
  <c r="C993" i="11" s="1"/>
  <c r="C994" i="11" s="1"/>
  <c r="C995" i="11" s="1"/>
  <c r="C996" i="11" s="1"/>
  <c r="C997" i="11" s="1"/>
  <c r="C998" i="11" s="1"/>
  <c r="C999" i="11" s="1"/>
  <c r="C1000" i="11" s="1"/>
  <c r="C1001" i="11" s="1"/>
  <c r="C1002" i="11" s="1"/>
  <c r="C1003" i="11" s="1"/>
  <c r="C1004" i="11" s="1"/>
  <c r="C1005" i="11" s="1"/>
  <c r="C1006" i="11" s="1"/>
  <c r="C1007" i="11" s="1"/>
  <c r="C1008" i="11" s="1"/>
  <c r="C1009" i="11" s="1"/>
  <c r="C1010" i="11" s="1"/>
  <c r="C1011" i="11" s="1"/>
  <c r="C1012" i="11" s="1"/>
  <c r="C1013" i="11" s="1"/>
  <c r="C1014" i="11" s="1"/>
  <c r="C1015" i="11" s="1"/>
  <c r="C1016" i="11" s="1"/>
  <c r="C1017" i="11" s="1"/>
  <c r="C1018" i="11" s="1"/>
  <c r="C1019" i="11" s="1"/>
  <c r="C1020" i="11" s="1"/>
  <c r="C1021" i="11" s="1"/>
  <c r="C1022" i="11" s="1"/>
  <c r="C1023" i="11" s="1"/>
  <c r="C1024" i="11" s="1"/>
  <c r="C1025" i="11" s="1"/>
  <c r="C1026" i="11" s="1"/>
  <c r="C1027" i="11" s="1"/>
  <c r="C1028" i="11" s="1"/>
  <c r="C1029" i="11" s="1"/>
  <c r="C1030" i="11" s="1"/>
  <c r="C1031" i="11" s="1"/>
  <c r="C1032" i="11" s="1"/>
  <c r="C1033" i="11" s="1"/>
  <c r="C1034" i="11" s="1"/>
  <c r="C1035" i="11" s="1"/>
  <c r="C1036" i="11" s="1"/>
  <c r="C1037" i="11" s="1"/>
  <c r="C1038" i="11" s="1"/>
  <c r="C1039" i="11" s="1"/>
  <c r="C1040" i="11" s="1"/>
  <c r="C1041" i="11" s="1"/>
  <c r="C1042" i="11" s="1"/>
  <c r="C1043" i="11" s="1"/>
  <c r="C1044" i="11" s="1"/>
  <c r="C1045" i="11" s="1"/>
  <c r="C1046" i="11" s="1"/>
  <c r="C1047" i="11" s="1"/>
  <c r="C1048" i="11" s="1"/>
  <c r="C1049" i="11" s="1"/>
  <c r="C1050" i="11" s="1"/>
  <c r="C1051" i="11" s="1"/>
  <c r="C1052" i="11" s="1"/>
  <c r="C1053" i="11" s="1"/>
  <c r="C1054" i="11" s="1"/>
  <c r="C1055" i="11" s="1"/>
  <c r="C1056" i="11" s="1"/>
  <c r="C1057" i="11" s="1"/>
  <c r="C1058" i="11" s="1"/>
  <c r="C1059" i="11" s="1"/>
  <c r="C1060" i="11" s="1"/>
  <c r="C1061" i="11" s="1"/>
  <c r="C1062" i="11" s="1"/>
  <c r="C1063" i="11" s="1"/>
  <c r="C1064" i="11" s="1"/>
  <c r="C1065" i="11" s="1"/>
  <c r="C1066" i="11" s="1"/>
  <c r="C1067" i="11" s="1"/>
  <c r="C1068" i="11" s="1"/>
  <c r="C1069" i="11" s="1"/>
  <c r="C1070" i="11" s="1"/>
  <c r="C1071" i="11" s="1"/>
  <c r="C1072" i="11" s="1"/>
  <c r="C1073" i="11" s="1"/>
  <c r="C1074" i="11" s="1"/>
  <c r="C1075" i="11" s="1"/>
  <c r="C1076" i="11" s="1"/>
  <c r="C1077" i="11" s="1"/>
  <c r="C1078" i="11" s="1"/>
  <c r="C1079" i="11" s="1"/>
  <c r="C1080" i="11" s="1"/>
  <c r="C1081" i="11" s="1"/>
  <c r="C1082" i="11" s="1"/>
  <c r="C1083" i="11" s="1"/>
  <c r="C1084" i="11" s="1"/>
  <c r="C1085" i="11" s="1"/>
  <c r="C1086" i="11" s="1"/>
  <c r="C1087" i="11" s="1"/>
  <c r="C1088" i="11" s="1"/>
  <c r="C1089" i="11" s="1"/>
  <c r="C1090" i="11" s="1"/>
  <c r="C1091" i="11" s="1"/>
  <c r="C1092" i="11" s="1"/>
  <c r="C1093" i="11" s="1"/>
  <c r="C1094" i="11" s="1"/>
  <c r="C1095" i="11" s="1"/>
  <c r="C1096" i="11" s="1"/>
  <c r="C1097" i="11" s="1"/>
  <c r="C1098" i="11" s="1"/>
  <c r="C1099" i="11" s="1"/>
  <c r="C1100" i="11" s="1"/>
  <c r="C1101" i="11" s="1"/>
  <c r="C1102" i="11" s="1"/>
  <c r="C1103" i="11" s="1"/>
  <c r="C1104" i="11" s="1"/>
  <c r="C1105" i="11" s="1"/>
  <c r="C1106" i="11" s="1"/>
  <c r="C1107" i="11" s="1"/>
  <c r="C1108" i="11" s="1"/>
  <c r="C1109" i="11" s="1"/>
  <c r="C1110" i="11" s="1"/>
  <c r="C1111" i="11" s="1"/>
  <c r="C1112" i="11" s="1"/>
  <c r="C1113" i="11" s="1"/>
  <c r="C1114" i="11" s="1"/>
  <c r="C1115" i="11" s="1"/>
  <c r="C1116" i="11" s="1"/>
  <c r="C1117" i="11" s="1"/>
  <c r="C1118" i="11" s="1"/>
  <c r="C1119" i="11" s="1"/>
  <c r="C1120" i="11" s="1"/>
  <c r="C1121" i="11" s="1"/>
  <c r="C1122" i="11" s="1"/>
  <c r="C1123" i="11" s="1"/>
  <c r="C1124" i="11" s="1"/>
  <c r="C1125" i="11" s="1"/>
  <c r="C1126" i="11" s="1"/>
  <c r="C1127" i="11" s="1"/>
  <c r="C1128" i="11" s="1"/>
  <c r="C1129" i="11" s="1"/>
  <c r="C1130" i="11" s="1"/>
  <c r="C1131" i="11" s="1"/>
  <c r="C1132" i="11" s="1"/>
  <c r="C1133" i="11" s="1"/>
  <c r="C1134" i="11" s="1"/>
  <c r="C1135" i="11" s="1"/>
  <c r="C1136" i="11" s="1"/>
  <c r="C1137" i="11" s="1"/>
  <c r="C1138" i="11" s="1"/>
  <c r="C1139" i="11" s="1"/>
  <c r="C1140" i="11" s="1"/>
  <c r="C1141" i="11" s="1"/>
  <c r="C1142" i="11" s="1"/>
  <c r="C1143" i="11" s="1"/>
  <c r="C1144" i="11" s="1"/>
  <c r="C1145" i="11" s="1"/>
  <c r="C1146" i="11" s="1"/>
  <c r="C1147" i="11" s="1"/>
  <c r="C1148" i="11" s="1"/>
  <c r="C1149" i="11" s="1"/>
  <c r="C1150" i="11" s="1"/>
  <c r="C1151" i="11" s="1"/>
  <c r="C1152" i="11" s="1"/>
  <c r="C1153" i="11" s="1"/>
  <c r="C1154" i="11" s="1"/>
  <c r="C1155" i="11" s="1"/>
  <c r="C1156" i="11" s="1"/>
  <c r="C1157" i="11" s="1"/>
  <c r="C1158" i="11" s="1"/>
  <c r="C1159" i="11" s="1"/>
  <c r="C1160" i="11" s="1"/>
  <c r="C1161" i="11" s="1"/>
  <c r="C1162" i="11" s="1"/>
  <c r="C1163" i="11" s="1"/>
  <c r="C1164" i="11" s="1"/>
  <c r="C1165" i="11" s="1"/>
  <c r="C1166" i="11" s="1"/>
  <c r="C1167" i="11" s="1"/>
  <c r="C1168" i="11" s="1"/>
  <c r="C1169" i="11" s="1"/>
  <c r="C1170" i="11" s="1"/>
  <c r="C1171" i="11" s="1"/>
  <c r="C1172" i="11" s="1"/>
  <c r="C1173" i="11" s="1"/>
  <c r="C1174" i="11" s="1"/>
  <c r="C1175" i="11" s="1"/>
  <c r="C1176" i="11" s="1"/>
  <c r="C1177" i="11" s="1"/>
  <c r="C1178" i="11" s="1"/>
  <c r="C1179" i="11" s="1"/>
  <c r="C1180" i="11" s="1"/>
  <c r="C1181" i="11" s="1"/>
  <c r="C1182" i="11" s="1"/>
  <c r="C1183" i="11" s="1"/>
  <c r="C1184" i="11" s="1"/>
  <c r="C1185" i="11" s="1"/>
  <c r="C1186" i="11" s="1"/>
  <c r="C1187" i="11" s="1"/>
  <c r="C1188" i="11" s="1"/>
  <c r="C1189" i="11" s="1"/>
  <c r="C1190" i="11" s="1"/>
  <c r="C1191" i="11" s="1"/>
  <c r="C1192" i="11" s="1"/>
  <c r="C1193" i="11" s="1"/>
  <c r="C1194" i="11" s="1"/>
  <c r="C1195" i="11" s="1"/>
  <c r="C1196" i="11" s="1"/>
  <c r="C1197" i="11" s="1"/>
  <c r="C1198" i="11" s="1"/>
  <c r="C1199" i="11" s="1"/>
  <c r="C1200" i="11" s="1"/>
  <c r="C1201" i="11" s="1"/>
  <c r="C1202" i="11" s="1"/>
  <c r="C1203" i="11" s="1"/>
  <c r="C1204" i="11" s="1"/>
  <c r="C1205" i="11" s="1"/>
  <c r="C1206" i="11" s="1"/>
  <c r="C1207" i="11" s="1"/>
  <c r="C1208" i="11" s="1"/>
  <c r="C1209" i="11" s="1"/>
  <c r="C1210" i="11" s="1"/>
  <c r="C1211" i="11" s="1"/>
  <c r="C1212" i="11" s="1"/>
  <c r="C1213" i="11" s="1"/>
  <c r="C1214" i="11" s="1"/>
  <c r="C1215" i="11" s="1"/>
  <c r="C1216" i="11" s="1"/>
  <c r="C1217" i="11" s="1"/>
  <c r="C1218" i="11" s="1"/>
  <c r="C1219" i="11" s="1"/>
  <c r="C1220" i="11" s="1"/>
  <c r="C1221" i="11" s="1"/>
  <c r="C1222" i="11" s="1"/>
  <c r="C1223" i="11" s="1"/>
  <c r="C1224" i="11" s="1"/>
  <c r="C1225" i="11" s="1"/>
  <c r="C1226" i="11" s="1"/>
  <c r="C1227" i="11" s="1"/>
  <c r="C1228" i="11" s="1"/>
  <c r="C1229" i="11" s="1"/>
  <c r="C1230" i="11" s="1"/>
  <c r="C1231" i="11" s="1"/>
  <c r="C1232" i="11" s="1"/>
  <c r="C1233" i="11" s="1"/>
  <c r="C1234" i="11" s="1"/>
  <c r="C1235" i="11" s="1"/>
  <c r="C1236" i="11" s="1"/>
  <c r="C1237" i="11" s="1"/>
  <c r="C1238" i="11" s="1"/>
  <c r="C1239" i="11" s="1"/>
  <c r="C1240" i="11" s="1"/>
  <c r="C1241" i="11" s="1"/>
  <c r="C1242" i="11" s="1"/>
  <c r="C1243" i="11" s="1"/>
  <c r="C1244" i="11" s="1"/>
  <c r="C1245" i="11" s="1"/>
  <c r="C1246" i="11" s="1"/>
  <c r="C1247" i="11" s="1"/>
  <c r="C1248" i="11" s="1"/>
  <c r="C1249" i="11" s="1"/>
  <c r="C1250" i="11" s="1"/>
  <c r="C1251" i="11" s="1"/>
  <c r="C1252" i="11" s="1"/>
  <c r="C1253" i="11" s="1"/>
  <c r="C1254" i="11" s="1"/>
  <c r="C1255" i="11" s="1"/>
  <c r="C1256" i="11" s="1"/>
  <c r="C1257" i="11" s="1"/>
  <c r="C1258" i="11" s="1"/>
  <c r="C1259" i="11" s="1"/>
  <c r="C1260" i="11" s="1"/>
  <c r="C1261" i="11" s="1"/>
  <c r="C1262" i="11" s="1"/>
  <c r="C1263" i="11" s="1"/>
  <c r="C1264" i="11" s="1"/>
  <c r="C1265" i="11" s="1"/>
  <c r="C1266" i="11" s="1"/>
  <c r="C1267" i="11" s="1"/>
  <c r="C1268" i="11" s="1"/>
  <c r="C1269" i="11" s="1"/>
  <c r="C1270" i="11" s="1"/>
  <c r="C1271" i="11" s="1"/>
  <c r="C1272" i="11" s="1"/>
  <c r="C1273" i="11" s="1"/>
  <c r="C1274" i="11" s="1"/>
  <c r="C1275" i="11" s="1"/>
  <c r="C1276" i="11" s="1"/>
  <c r="C1277" i="11" s="1"/>
  <c r="C1278" i="11" s="1"/>
  <c r="C1279" i="11" s="1"/>
  <c r="C1280" i="11" s="1"/>
  <c r="C1281" i="11" s="1"/>
  <c r="C1282" i="11" s="1"/>
  <c r="C1283" i="11" s="1"/>
  <c r="C1284" i="11" s="1"/>
  <c r="C1285" i="11" s="1"/>
  <c r="C1286" i="11" s="1"/>
  <c r="C1287" i="11" s="1"/>
  <c r="C1288" i="11" s="1"/>
  <c r="C1289" i="11" s="1"/>
  <c r="C1290" i="11" s="1"/>
  <c r="C1291" i="11" s="1"/>
  <c r="C1292" i="11" s="1"/>
  <c r="C1293" i="11" s="1"/>
  <c r="C1294" i="11" s="1"/>
  <c r="C1295" i="11" s="1"/>
  <c r="C1296" i="11" s="1"/>
  <c r="C1297" i="11" s="1"/>
  <c r="C1298" i="11" s="1"/>
  <c r="C1299" i="11" s="1"/>
  <c r="C1300" i="11" s="1"/>
  <c r="C1301" i="11" s="1"/>
  <c r="C1302" i="11" s="1"/>
  <c r="C1303" i="11" s="1"/>
  <c r="C1304" i="11" s="1"/>
  <c r="C1305" i="11" s="1"/>
  <c r="C1306" i="11" s="1"/>
  <c r="C1307" i="11" s="1"/>
  <c r="C1308" i="11" s="1"/>
  <c r="C1309" i="11" s="1"/>
  <c r="C1310" i="11" s="1"/>
  <c r="C1311" i="11" s="1"/>
  <c r="C1312" i="11" s="1"/>
  <c r="C1313" i="11" s="1"/>
  <c r="C1314" i="11" s="1"/>
  <c r="C1315" i="11" s="1"/>
  <c r="C1316" i="11" s="1"/>
  <c r="C1317" i="11" s="1"/>
  <c r="C1318" i="11" s="1"/>
  <c r="C1319" i="11" s="1"/>
  <c r="C1320" i="11" s="1"/>
  <c r="C1321" i="11" s="1"/>
  <c r="C1322" i="11" s="1"/>
  <c r="C1323" i="11" s="1"/>
  <c r="C1324" i="11" s="1"/>
  <c r="C1325" i="11" s="1"/>
  <c r="C1326" i="11" s="1"/>
  <c r="C1327" i="11" s="1"/>
  <c r="C1328" i="11" s="1"/>
  <c r="C1329" i="11" s="1"/>
  <c r="C1330" i="11" s="1"/>
  <c r="C1331" i="11" s="1"/>
  <c r="C1332" i="11" s="1"/>
  <c r="C1333" i="11" s="1"/>
  <c r="C1334" i="11" s="1"/>
  <c r="C1335" i="11" s="1"/>
  <c r="C1336" i="11" s="1"/>
  <c r="C1337" i="11" s="1"/>
  <c r="C1338" i="11" s="1"/>
  <c r="C1339" i="11" s="1"/>
  <c r="C1340" i="11" s="1"/>
  <c r="C1341" i="11" s="1"/>
  <c r="C1342" i="11" s="1"/>
  <c r="C1343" i="11" s="1"/>
  <c r="C1344" i="11" s="1"/>
  <c r="C1345" i="11" s="1"/>
  <c r="C1346" i="11" s="1"/>
  <c r="C1347" i="11" s="1"/>
  <c r="C1348" i="11" s="1"/>
  <c r="C1349" i="11" s="1"/>
  <c r="C1350" i="11" s="1"/>
  <c r="C1351" i="11" s="1"/>
  <c r="C1352" i="11" s="1"/>
  <c r="C1353" i="11" s="1"/>
  <c r="C1354" i="11" s="1"/>
  <c r="C1355" i="11" s="1"/>
  <c r="C1356" i="11" s="1"/>
  <c r="C1357" i="11" s="1"/>
  <c r="C1358" i="11" s="1"/>
  <c r="C1359" i="11" s="1"/>
  <c r="C1360" i="11" s="1"/>
  <c r="C1361" i="11" s="1"/>
  <c r="C1362" i="11" s="1"/>
  <c r="C1363" i="11" s="1"/>
  <c r="C1364" i="11" s="1"/>
  <c r="C1365" i="11" s="1"/>
  <c r="C1366" i="11" s="1"/>
  <c r="C1367" i="11" s="1"/>
  <c r="C1368" i="11" s="1"/>
  <c r="C1369" i="11" s="1"/>
  <c r="C1370" i="11" s="1"/>
  <c r="C1371" i="11" s="1"/>
  <c r="C1372" i="11" s="1"/>
  <c r="C1373" i="11" s="1"/>
  <c r="C1374" i="11" s="1"/>
  <c r="C1375" i="11" s="1"/>
  <c r="C1376" i="11" s="1"/>
  <c r="C1377" i="11" s="1"/>
  <c r="C1378" i="11" s="1"/>
  <c r="C1379" i="11" s="1"/>
  <c r="C1380" i="11" s="1"/>
  <c r="C1381" i="11" s="1"/>
  <c r="C1382" i="11" s="1"/>
  <c r="C1383" i="11" s="1"/>
  <c r="C1384" i="11" s="1"/>
  <c r="C1385" i="11" s="1"/>
  <c r="C1386" i="11" s="1"/>
  <c r="C1387" i="11" s="1"/>
  <c r="C1388" i="11" s="1"/>
  <c r="C1389" i="11" s="1"/>
  <c r="C1390" i="11" s="1"/>
  <c r="C1391" i="11" s="1"/>
  <c r="C1392" i="11" s="1"/>
  <c r="C1393" i="11" s="1"/>
  <c r="C1394" i="11" s="1"/>
  <c r="C1395" i="11" s="1"/>
  <c r="C1396" i="11" s="1"/>
  <c r="C1397" i="11" s="1"/>
  <c r="C1398" i="11" s="1"/>
  <c r="C1399" i="11" s="1"/>
  <c r="C1400" i="11" s="1"/>
  <c r="C1401" i="11" s="1"/>
  <c r="C1402" i="11" s="1"/>
  <c r="C1403" i="11" s="1"/>
  <c r="C1404" i="11" s="1"/>
  <c r="C1405" i="11" s="1"/>
  <c r="C1406" i="11" s="1"/>
  <c r="C1407" i="11" s="1"/>
  <c r="C1408" i="11" s="1"/>
  <c r="C1409" i="11" s="1"/>
  <c r="C1410" i="11" s="1"/>
  <c r="C1411" i="11" s="1"/>
  <c r="C1412" i="11" s="1"/>
  <c r="C1413" i="11" s="1"/>
  <c r="C1414" i="11" s="1"/>
  <c r="C1415" i="11" s="1"/>
  <c r="C1416" i="11" s="1"/>
  <c r="C1417" i="11" s="1"/>
  <c r="C1418" i="11" s="1"/>
  <c r="C1419" i="11" s="1"/>
  <c r="C1420" i="11" s="1"/>
  <c r="C1421" i="11" s="1"/>
  <c r="C1422" i="11" s="1"/>
  <c r="C1423" i="11" s="1"/>
  <c r="C1424" i="11" s="1"/>
  <c r="C1425" i="11" s="1"/>
  <c r="C1426" i="11" s="1"/>
  <c r="C1427" i="11" s="1"/>
  <c r="C1428" i="11" s="1"/>
  <c r="C1429" i="11" s="1"/>
  <c r="C1430" i="11" s="1"/>
  <c r="C1431" i="11" s="1"/>
  <c r="C1432" i="11" s="1"/>
  <c r="C1433" i="11" s="1"/>
  <c r="C1434" i="11" s="1"/>
  <c r="C1435" i="11" s="1"/>
  <c r="C1436" i="11" s="1"/>
  <c r="C1437" i="11" s="1"/>
  <c r="C1438" i="11" s="1"/>
  <c r="C1439" i="11" s="1"/>
  <c r="C1440" i="11" s="1"/>
  <c r="C1441" i="11" s="1"/>
  <c r="C1442" i="11" s="1"/>
  <c r="C1443" i="11" s="1"/>
  <c r="C1444" i="11" s="1"/>
  <c r="C1445" i="11" s="1"/>
  <c r="C1446" i="11" s="1"/>
  <c r="C1447" i="11" s="1"/>
  <c r="C1448" i="11" s="1"/>
  <c r="C1449" i="11" s="1"/>
  <c r="C1450" i="11" s="1"/>
  <c r="C1451" i="11" s="1"/>
  <c r="C1452" i="11" s="1"/>
  <c r="C1453" i="11" s="1"/>
  <c r="C1454" i="11" s="1"/>
  <c r="C1455" i="11" s="1"/>
  <c r="C1456" i="11" s="1"/>
  <c r="C1457" i="11" s="1"/>
  <c r="C1458" i="11" s="1"/>
  <c r="C1459" i="11" s="1"/>
  <c r="C1460" i="11" s="1"/>
  <c r="C1461" i="11" s="1"/>
  <c r="C1462" i="11" s="1"/>
  <c r="C1463" i="11" s="1"/>
  <c r="C1464" i="11" s="1"/>
  <c r="C1465" i="11" s="1"/>
  <c r="C1466" i="11" s="1"/>
  <c r="C1467" i="11" s="1"/>
  <c r="C1468" i="11" s="1"/>
  <c r="C1469" i="11" s="1"/>
  <c r="C1470" i="11" s="1"/>
  <c r="C1471" i="11" s="1"/>
  <c r="C1472" i="11" s="1"/>
  <c r="C1473" i="11" s="1"/>
  <c r="C1474" i="11" s="1"/>
  <c r="C1475" i="11" s="1"/>
  <c r="C1476" i="11" s="1"/>
  <c r="C1477" i="11" s="1"/>
  <c r="C1478" i="11" s="1"/>
  <c r="C1479" i="11" s="1"/>
  <c r="C1480" i="11" s="1"/>
  <c r="C1481" i="11" s="1"/>
  <c r="C1482" i="11" s="1"/>
  <c r="C1483" i="11" s="1"/>
  <c r="C1484" i="11" s="1"/>
  <c r="C1485" i="11" s="1"/>
  <c r="C1486" i="11" s="1"/>
  <c r="C1487" i="11" s="1"/>
  <c r="C1488" i="11" s="1"/>
  <c r="C1489" i="11" s="1"/>
  <c r="C1490" i="11" s="1"/>
  <c r="C1491" i="11" s="1"/>
  <c r="C1492" i="11" s="1"/>
  <c r="C1493" i="11" s="1"/>
  <c r="C1494" i="11" s="1"/>
  <c r="C1495" i="11" s="1"/>
  <c r="C1496" i="11" s="1"/>
  <c r="C1497" i="11" s="1"/>
  <c r="C1498" i="11" s="1"/>
  <c r="C1499" i="11" s="1"/>
  <c r="C1500" i="11" s="1"/>
  <c r="C1501" i="11" s="1"/>
  <c r="C1502" i="11" s="1"/>
  <c r="C1503" i="11" s="1"/>
  <c r="C1504" i="11" s="1"/>
  <c r="C1505" i="11" s="1"/>
  <c r="C1506" i="11" s="1"/>
  <c r="C1507" i="11" s="1"/>
  <c r="C1508" i="11" s="1"/>
  <c r="C1509" i="11" s="1"/>
  <c r="C1510" i="11" s="1"/>
  <c r="C1511" i="11" s="1"/>
  <c r="C1512" i="11" s="1"/>
  <c r="C1513" i="11" s="1"/>
  <c r="C1514" i="11" s="1"/>
  <c r="C1515" i="11" s="1"/>
  <c r="C1516" i="11" s="1"/>
  <c r="C1517" i="11" s="1"/>
  <c r="C1518" i="11" s="1"/>
  <c r="C1519" i="11" s="1"/>
  <c r="C1520" i="11" s="1"/>
  <c r="C1521" i="11" s="1"/>
  <c r="C1522" i="11" s="1"/>
  <c r="C1523" i="11" s="1"/>
  <c r="C1524" i="11" s="1"/>
  <c r="C1525" i="11" s="1"/>
  <c r="C1526" i="11" s="1"/>
  <c r="C1527" i="11" s="1"/>
  <c r="C1528" i="11" s="1"/>
  <c r="C1529" i="11" s="1"/>
  <c r="C1530" i="11" s="1"/>
  <c r="C1531" i="11" s="1"/>
  <c r="C1532" i="11" s="1"/>
  <c r="C1533" i="11" s="1"/>
  <c r="C1534" i="11" s="1"/>
  <c r="C1535" i="11" s="1"/>
  <c r="C1536" i="11" s="1"/>
  <c r="C1537" i="11" s="1"/>
  <c r="C1538" i="11" s="1"/>
  <c r="C1539" i="11" s="1"/>
  <c r="C1540" i="11" s="1"/>
  <c r="C1541" i="11" s="1"/>
  <c r="C1542" i="11" s="1"/>
  <c r="C1543" i="11" s="1"/>
  <c r="C1544" i="11" s="1"/>
  <c r="C1545" i="11" s="1"/>
  <c r="C1546" i="11" s="1"/>
  <c r="C1547" i="11" s="1"/>
  <c r="C1548" i="11" s="1"/>
  <c r="C1549" i="11" s="1"/>
  <c r="C1550" i="11" s="1"/>
  <c r="C1551" i="11" s="1"/>
  <c r="C1552" i="11" s="1"/>
  <c r="C1553" i="11" s="1"/>
  <c r="C1554" i="11" s="1"/>
  <c r="C1555" i="11" s="1"/>
  <c r="C1556" i="11" s="1"/>
  <c r="C1557" i="11" s="1"/>
  <c r="C1558" i="11" s="1"/>
  <c r="C1559" i="11" s="1"/>
  <c r="C1560" i="11" s="1"/>
  <c r="C1561" i="11" s="1"/>
  <c r="C1562" i="11" s="1"/>
  <c r="C1563" i="11" s="1"/>
  <c r="C1564" i="11" s="1"/>
  <c r="C1565" i="11" s="1"/>
  <c r="C1566" i="11" s="1"/>
  <c r="C1567" i="11" s="1"/>
  <c r="C1568" i="11" s="1"/>
  <c r="C1569" i="11" s="1"/>
  <c r="C1570" i="11" s="1"/>
  <c r="C1571" i="11" s="1"/>
  <c r="C1572" i="11" s="1"/>
  <c r="C1573" i="11" s="1"/>
  <c r="C1574" i="11" s="1"/>
  <c r="C1575" i="11" s="1"/>
  <c r="C1576" i="11" s="1"/>
  <c r="C1577" i="11" s="1"/>
  <c r="C1578" i="11" s="1"/>
  <c r="C1579" i="11" s="1"/>
  <c r="C1580" i="11" s="1"/>
  <c r="C1581" i="11" s="1"/>
  <c r="C1582" i="11" s="1"/>
  <c r="C1583" i="11" s="1"/>
  <c r="C1584" i="11" s="1"/>
  <c r="C1585" i="11" s="1"/>
  <c r="C1586" i="11" s="1"/>
  <c r="C1587" i="11" s="1"/>
  <c r="C1588" i="11" s="1"/>
  <c r="C1589" i="11" s="1"/>
  <c r="C1590" i="11" s="1"/>
  <c r="C1591" i="11" s="1"/>
  <c r="C1592" i="11" s="1"/>
  <c r="C1593" i="11" s="1"/>
  <c r="C1594" i="11" s="1"/>
  <c r="C1595" i="11" s="1"/>
  <c r="C1596" i="11" s="1"/>
  <c r="C1597" i="11" s="1"/>
  <c r="C1598" i="11" s="1"/>
  <c r="C1599" i="11" s="1"/>
  <c r="C1600" i="11" s="1"/>
  <c r="C1601" i="11" s="1"/>
  <c r="C1602" i="11" s="1"/>
  <c r="C1603" i="11" s="1"/>
  <c r="C1604" i="11" s="1"/>
  <c r="C1605" i="11" s="1"/>
  <c r="C1606" i="11" s="1"/>
  <c r="C1607" i="11" s="1"/>
  <c r="C1608" i="11" s="1"/>
  <c r="C1609" i="11" s="1"/>
  <c r="C1610" i="11" s="1"/>
  <c r="C1611" i="11" s="1"/>
  <c r="C1612" i="11" s="1"/>
  <c r="C1613" i="11" s="1"/>
  <c r="C1614" i="11" s="1"/>
  <c r="C1615" i="11" s="1"/>
  <c r="C1616" i="11" s="1"/>
  <c r="C1617" i="11" s="1"/>
  <c r="C1618" i="11" s="1"/>
  <c r="C1619" i="11" s="1"/>
  <c r="C1620" i="11" s="1"/>
  <c r="C1621" i="11" s="1"/>
  <c r="C1622" i="11" s="1"/>
  <c r="C1623" i="11" s="1"/>
  <c r="C1624" i="11" s="1"/>
  <c r="C1625" i="11" s="1"/>
  <c r="C1626" i="11" s="1"/>
  <c r="C1627" i="11" s="1"/>
  <c r="C1628" i="11" s="1"/>
  <c r="C1629" i="11" s="1"/>
  <c r="C1630" i="11" s="1"/>
  <c r="C1631" i="11" s="1"/>
  <c r="C1632" i="11" s="1"/>
  <c r="C1633" i="11" s="1"/>
  <c r="C1634" i="11" s="1"/>
  <c r="C1635" i="11" s="1"/>
  <c r="C1636" i="11" s="1"/>
  <c r="C1637" i="11" s="1"/>
  <c r="C1638" i="11" s="1"/>
  <c r="C1639" i="11" s="1"/>
  <c r="C1640" i="11" s="1"/>
  <c r="C1641" i="11" s="1"/>
  <c r="C1642" i="11" s="1"/>
  <c r="C1643" i="11" s="1"/>
  <c r="C1644" i="11" s="1"/>
  <c r="C1645" i="11" s="1"/>
  <c r="C1646" i="11" s="1"/>
  <c r="C1647" i="11" s="1"/>
  <c r="C1648" i="11" s="1"/>
  <c r="C1649" i="11" s="1"/>
  <c r="C1650" i="11" s="1"/>
  <c r="C1651" i="11" s="1"/>
  <c r="C1652" i="11" s="1"/>
  <c r="C1653" i="11" s="1"/>
  <c r="C1654" i="11" s="1"/>
  <c r="C1655" i="11" s="1"/>
  <c r="C1656" i="11" s="1"/>
  <c r="C1657" i="11" s="1"/>
  <c r="C1658" i="11" s="1"/>
  <c r="C1659" i="11" s="1"/>
  <c r="C1660" i="11" s="1"/>
  <c r="C1661" i="11" s="1"/>
  <c r="C1662" i="11" s="1"/>
  <c r="C1663" i="11" s="1"/>
  <c r="C1664" i="11" s="1"/>
  <c r="C1665" i="11" s="1"/>
  <c r="C1666" i="11" s="1"/>
  <c r="C1667" i="11" s="1"/>
  <c r="C1668" i="11" s="1"/>
  <c r="C1669" i="11" s="1"/>
  <c r="C1670" i="11" s="1"/>
  <c r="C1671" i="11" s="1"/>
  <c r="C1672" i="11" s="1"/>
  <c r="C1673" i="11" s="1"/>
  <c r="C1674" i="11" s="1"/>
  <c r="C1675" i="11" s="1"/>
  <c r="C1676" i="11" s="1"/>
  <c r="C1677" i="11" s="1"/>
  <c r="C1678" i="11" s="1"/>
  <c r="C1679" i="11" s="1"/>
  <c r="C1680" i="11" s="1"/>
  <c r="C1681" i="11" s="1"/>
  <c r="C1682" i="11" s="1"/>
  <c r="C1683" i="11" s="1"/>
  <c r="C1684" i="11" s="1"/>
  <c r="C1685" i="11" s="1"/>
  <c r="C1686" i="11" s="1"/>
  <c r="C1687" i="11" s="1"/>
  <c r="C1688" i="11" s="1"/>
  <c r="C1689" i="11" s="1"/>
  <c r="C1690" i="11" s="1"/>
  <c r="C1691" i="11" s="1"/>
  <c r="C1692" i="11" s="1"/>
  <c r="C1693" i="11" s="1"/>
  <c r="C1694" i="11" s="1"/>
  <c r="C1695" i="11" s="1"/>
  <c r="C1696" i="11" s="1"/>
  <c r="C1697" i="11" s="1"/>
  <c r="C1698" i="11" s="1"/>
  <c r="C1699" i="11" s="1"/>
  <c r="C1700" i="11" s="1"/>
  <c r="C1701" i="11" s="1"/>
  <c r="C1702" i="11" s="1"/>
  <c r="C1703" i="11" s="1"/>
  <c r="C1704" i="11" s="1"/>
  <c r="C1705" i="11" s="1"/>
  <c r="C1706" i="11" s="1"/>
  <c r="C1707" i="11" s="1"/>
  <c r="C1708" i="11" s="1"/>
  <c r="C1709" i="11" s="1"/>
  <c r="C1710" i="11" s="1"/>
  <c r="C1711" i="11" s="1"/>
  <c r="C1712" i="11" s="1"/>
  <c r="C1713" i="11" s="1"/>
  <c r="C1714" i="11" s="1"/>
  <c r="C1715" i="11" s="1"/>
  <c r="C1716" i="11" s="1"/>
  <c r="C1717" i="11" s="1"/>
  <c r="C1718" i="11" s="1"/>
  <c r="C1719" i="11" s="1"/>
  <c r="C1720" i="11" s="1"/>
  <c r="C1721" i="11" s="1"/>
  <c r="C1722" i="11" s="1"/>
  <c r="C1723" i="11" s="1"/>
  <c r="C1724" i="11" s="1"/>
  <c r="C1725" i="11" s="1"/>
  <c r="C1726" i="11" s="1"/>
  <c r="C1727" i="11" s="1"/>
  <c r="C1728" i="11" s="1"/>
  <c r="C1729" i="11" s="1"/>
  <c r="C1730" i="11" s="1"/>
  <c r="C1731" i="11" s="1"/>
  <c r="C1732" i="11" s="1"/>
  <c r="C1733" i="11" s="1"/>
  <c r="C1734" i="11" s="1"/>
  <c r="C1735" i="11" s="1"/>
  <c r="C1736" i="11" s="1"/>
  <c r="C1737" i="11" s="1"/>
  <c r="C1738" i="11" s="1"/>
  <c r="C1739" i="11" s="1"/>
  <c r="C1740" i="11" s="1"/>
  <c r="C1741" i="11" s="1"/>
  <c r="C1742" i="11" s="1"/>
  <c r="C1743" i="11" s="1"/>
  <c r="C1744" i="11" s="1"/>
  <c r="C1745" i="11" s="1"/>
  <c r="C1746" i="11" s="1"/>
  <c r="C1747" i="11" s="1"/>
  <c r="C1748" i="11" s="1"/>
  <c r="C1749" i="11" s="1"/>
  <c r="C1750" i="11" s="1"/>
  <c r="C1751" i="11" s="1"/>
  <c r="C1752" i="11" s="1"/>
  <c r="C1753" i="11" s="1"/>
  <c r="C1754" i="11" s="1"/>
  <c r="C1755" i="11" s="1"/>
  <c r="C1756" i="11" s="1"/>
  <c r="C1757" i="11" s="1"/>
  <c r="C1758" i="11" s="1"/>
  <c r="C1759" i="11" s="1"/>
  <c r="C1760" i="11" s="1"/>
  <c r="C1761" i="11" s="1"/>
  <c r="C1762" i="11" s="1"/>
  <c r="C1763" i="11" s="1"/>
  <c r="C1764" i="11" s="1"/>
  <c r="C1765" i="11" s="1"/>
  <c r="C1766" i="11" s="1"/>
  <c r="C1767" i="11" s="1"/>
  <c r="C1768" i="11" s="1"/>
  <c r="C1769" i="11" s="1"/>
  <c r="C1770" i="11" s="1"/>
  <c r="C1771" i="11" s="1"/>
  <c r="C1772" i="11" s="1"/>
  <c r="C1773" i="11" s="1"/>
  <c r="C1774" i="11" s="1"/>
  <c r="C1775" i="11" s="1"/>
  <c r="C1776" i="11" s="1"/>
  <c r="C1777" i="11" s="1"/>
  <c r="C1778" i="11" s="1"/>
  <c r="C1779" i="11" s="1"/>
  <c r="C1780" i="11" s="1"/>
  <c r="C1781" i="11" s="1"/>
  <c r="C1782" i="11" s="1"/>
  <c r="C1783" i="11" s="1"/>
  <c r="C1784" i="11" s="1"/>
  <c r="C1785" i="11" s="1"/>
  <c r="C1786" i="11" s="1"/>
  <c r="C1787" i="11" s="1"/>
  <c r="C1788" i="11" s="1"/>
  <c r="C1789" i="11" s="1"/>
  <c r="C1790" i="11" s="1"/>
  <c r="C1791" i="11" s="1"/>
  <c r="C1792" i="11" s="1"/>
  <c r="C1793" i="11" s="1"/>
  <c r="C1794" i="11" s="1"/>
  <c r="C1795" i="11" s="1"/>
  <c r="C1796" i="11" s="1"/>
  <c r="C1797" i="11" s="1"/>
  <c r="C1798" i="11" s="1"/>
  <c r="C1799" i="11" s="1"/>
  <c r="C1800" i="11" s="1"/>
  <c r="C1801" i="11" s="1"/>
  <c r="C1802" i="11" s="1"/>
  <c r="C1803" i="11" s="1"/>
  <c r="C1804" i="11" s="1"/>
  <c r="C1805" i="11" s="1"/>
  <c r="C1806" i="11" s="1"/>
  <c r="C1807" i="11" s="1"/>
  <c r="C1808" i="11" s="1"/>
  <c r="C1809" i="11" s="1"/>
  <c r="C1810" i="11" s="1"/>
  <c r="C1811" i="11" s="1"/>
  <c r="C1812" i="11" s="1"/>
  <c r="C1813" i="11" s="1"/>
  <c r="C1814" i="11" s="1"/>
  <c r="C1815" i="11" s="1"/>
  <c r="C1816" i="11" s="1"/>
  <c r="C1817" i="11" s="1"/>
  <c r="C1818" i="11" s="1"/>
  <c r="C1819" i="11" s="1"/>
  <c r="C1820" i="11" s="1"/>
  <c r="C1821" i="11" s="1"/>
  <c r="C1822" i="11" s="1"/>
  <c r="C1823" i="11" s="1"/>
  <c r="C1824" i="11" s="1"/>
  <c r="C1825" i="11" s="1"/>
  <c r="C1826" i="11" s="1"/>
  <c r="C1827" i="11" s="1"/>
  <c r="C1828" i="11" s="1"/>
  <c r="C1829" i="11" s="1"/>
  <c r="C1830" i="11" s="1"/>
  <c r="C1831" i="11" s="1"/>
  <c r="C1832" i="11" s="1"/>
  <c r="C1833" i="11" s="1"/>
  <c r="C1834" i="11" s="1"/>
  <c r="C1835" i="11" s="1"/>
  <c r="C1836" i="11" s="1"/>
  <c r="C1837" i="11" s="1"/>
  <c r="C1838" i="11" s="1"/>
  <c r="C1839" i="11" s="1"/>
  <c r="C1840" i="11" s="1"/>
  <c r="C1841" i="11" s="1"/>
  <c r="C1842" i="11" s="1"/>
  <c r="C1843" i="11" s="1"/>
  <c r="C1844" i="11" s="1"/>
  <c r="C1845" i="11" s="1"/>
  <c r="C1846" i="11" s="1"/>
  <c r="C1847" i="11" s="1"/>
  <c r="C1848" i="11" s="1"/>
  <c r="C1849" i="11" s="1"/>
  <c r="C1850" i="11" s="1"/>
  <c r="C1851" i="11" s="1"/>
  <c r="C1852" i="11" s="1"/>
  <c r="C1853" i="11" s="1"/>
  <c r="C1854" i="11" s="1"/>
  <c r="C1855" i="11" s="1"/>
  <c r="C1856" i="11" s="1"/>
  <c r="C1857" i="11" s="1"/>
  <c r="C1858" i="11" s="1"/>
  <c r="C1859" i="11" s="1"/>
  <c r="C1860" i="11" s="1"/>
  <c r="C1861" i="11" s="1"/>
  <c r="C1862" i="11" s="1"/>
  <c r="C1863" i="11" s="1"/>
  <c r="C1864" i="11" s="1"/>
  <c r="C1865" i="11" s="1"/>
  <c r="C1866" i="11" s="1"/>
  <c r="C1867" i="11" s="1"/>
  <c r="C1868" i="11" s="1"/>
  <c r="C1869" i="11" s="1"/>
  <c r="C1870" i="11" s="1"/>
  <c r="C1871" i="11" s="1"/>
  <c r="C1872" i="11" s="1"/>
  <c r="C1873" i="11" s="1"/>
  <c r="C1874" i="11" s="1"/>
  <c r="C1875" i="11" s="1"/>
  <c r="C1876" i="11" s="1"/>
  <c r="C1877" i="11" s="1"/>
  <c r="C1878" i="11" s="1"/>
  <c r="C1879" i="11" s="1"/>
  <c r="C1880" i="11" s="1"/>
  <c r="C1881" i="11" s="1"/>
  <c r="C1882" i="11" s="1"/>
  <c r="C1883" i="11" s="1"/>
  <c r="C1884" i="11" s="1"/>
  <c r="C1885" i="11" s="1"/>
  <c r="C1886" i="11" s="1"/>
  <c r="C1887" i="11" s="1"/>
  <c r="C1888" i="11" s="1"/>
  <c r="C1889" i="11" s="1"/>
  <c r="C1890" i="11" s="1"/>
  <c r="C1891" i="11" s="1"/>
  <c r="C1892" i="11" s="1"/>
  <c r="C1893" i="11" s="1"/>
  <c r="C1894" i="11" s="1"/>
  <c r="C1895" i="11" s="1"/>
  <c r="C1896" i="11" s="1"/>
  <c r="C1897" i="11" s="1"/>
  <c r="C1898" i="11" s="1"/>
  <c r="C1899" i="11" s="1"/>
  <c r="C1900" i="11" s="1"/>
  <c r="C1901" i="11" s="1"/>
  <c r="C1902" i="11" s="1"/>
  <c r="C1903" i="11" s="1"/>
  <c r="C1904" i="11" s="1"/>
  <c r="C1905" i="11" s="1"/>
  <c r="C1906" i="11" s="1"/>
  <c r="C1907" i="11" s="1"/>
  <c r="C1908" i="11" s="1"/>
  <c r="C1909" i="11" s="1"/>
  <c r="C1910" i="11" s="1"/>
  <c r="C1911" i="11" s="1"/>
  <c r="C1912" i="11" s="1"/>
  <c r="C1913" i="11" s="1"/>
  <c r="C1914" i="11" s="1"/>
  <c r="C1915" i="11" s="1"/>
  <c r="C1916" i="11" s="1"/>
  <c r="C1917" i="11" s="1"/>
  <c r="C1918" i="11" s="1"/>
  <c r="C1919" i="11" s="1"/>
  <c r="C1920" i="11" s="1"/>
  <c r="C1921" i="11" s="1"/>
  <c r="C1922" i="11" s="1"/>
  <c r="C1923" i="11" s="1"/>
  <c r="C1924" i="11" s="1"/>
  <c r="C1925" i="11" s="1"/>
  <c r="C1926" i="11" s="1"/>
  <c r="C1927" i="11" s="1"/>
  <c r="C1928" i="11" s="1"/>
  <c r="C1929" i="11" s="1"/>
  <c r="C1930" i="11" s="1"/>
  <c r="C1931" i="11" s="1"/>
  <c r="C1932" i="11" s="1"/>
  <c r="C1933" i="11" s="1"/>
  <c r="C1934" i="11" s="1"/>
  <c r="C1935" i="11" s="1"/>
  <c r="C1936" i="11" s="1"/>
  <c r="C1937" i="11" s="1"/>
  <c r="C1938" i="11" s="1"/>
  <c r="C1939" i="11" s="1"/>
  <c r="C1940" i="11" s="1"/>
  <c r="C1941" i="11" s="1"/>
  <c r="C1942" i="11" s="1"/>
  <c r="C1943" i="11" s="1"/>
  <c r="C1944" i="11" s="1"/>
  <c r="C1945" i="11" s="1"/>
  <c r="C1946" i="11" s="1"/>
  <c r="C1947" i="11" s="1"/>
  <c r="C1948" i="11" s="1"/>
  <c r="C1949" i="11" s="1"/>
  <c r="C1950" i="11" s="1"/>
  <c r="C1951" i="11" s="1"/>
  <c r="C1952" i="11" s="1"/>
  <c r="C1953" i="11" s="1"/>
  <c r="C1954" i="11" s="1"/>
  <c r="C1955" i="11" s="1"/>
  <c r="C1956" i="11" s="1"/>
  <c r="C1957" i="11" s="1"/>
  <c r="C1958" i="11" s="1"/>
  <c r="C1959" i="11" s="1"/>
  <c r="C1960" i="11" s="1"/>
  <c r="C1961" i="11" s="1"/>
  <c r="C1962" i="11" s="1"/>
  <c r="C1963" i="11" s="1"/>
  <c r="C1964" i="11" s="1"/>
  <c r="C1965" i="11" s="1"/>
  <c r="C1966" i="11" s="1"/>
  <c r="C1967" i="11" s="1"/>
  <c r="C1968" i="11" s="1"/>
  <c r="C1969" i="11" s="1"/>
  <c r="C1970" i="11" s="1"/>
  <c r="C1971" i="11" s="1"/>
  <c r="C1972" i="11" s="1"/>
  <c r="C1973" i="11" s="1"/>
  <c r="C1974" i="11" s="1"/>
  <c r="C1975" i="11" s="1"/>
  <c r="C1976" i="11" s="1"/>
  <c r="C1977" i="11" s="1"/>
  <c r="C1978" i="11" s="1"/>
  <c r="C1979" i="11" s="1"/>
  <c r="C1980" i="11" s="1"/>
  <c r="C1981" i="11" s="1"/>
  <c r="C1982" i="11" s="1"/>
  <c r="C1983" i="11" s="1"/>
  <c r="C1984" i="11" s="1"/>
  <c r="C1985" i="11" s="1"/>
  <c r="C1986" i="11" s="1"/>
  <c r="C1987" i="11" s="1"/>
  <c r="C1988" i="11" s="1"/>
  <c r="C1989" i="11" s="1"/>
  <c r="C1990" i="11" s="1"/>
  <c r="C1991" i="11" s="1"/>
  <c r="C1992" i="11" s="1"/>
  <c r="C1993" i="11" s="1"/>
  <c r="C1994" i="11" s="1"/>
  <c r="C1995" i="11" s="1"/>
  <c r="C1996" i="11" s="1"/>
  <c r="C1997" i="11" s="1"/>
  <c r="C1998" i="11" s="1"/>
  <c r="C1999" i="11" s="1"/>
  <c r="C2000" i="11" s="1"/>
  <c r="C2001" i="11" s="1"/>
  <c r="C2002" i="11" s="1"/>
  <c r="C2003" i="11" s="1"/>
  <c r="C2004" i="11" s="1"/>
  <c r="C2005" i="11" s="1"/>
  <c r="C2006" i="11" s="1"/>
  <c r="C2007" i="11" s="1"/>
  <c r="C2008" i="11" s="1"/>
  <c r="C2009" i="11" s="1"/>
  <c r="C2010" i="11" s="1"/>
  <c r="C2011" i="11" s="1"/>
  <c r="C2012" i="11" s="1"/>
  <c r="C2013" i="11" s="1"/>
  <c r="C2014" i="11" s="1"/>
  <c r="C2015" i="11" s="1"/>
  <c r="C2016" i="11" s="1"/>
  <c r="C2017" i="11" s="1"/>
  <c r="C2018" i="11" s="1"/>
  <c r="C2019" i="11" s="1"/>
  <c r="C2020" i="11" s="1"/>
  <c r="C2021" i="11" s="1"/>
  <c r="C2022" i="11" s="1"/>
  <c r="C2023" i="11" s="1"/>
  <c r="C2024" i="11" s="1"/>
  <c r="C2025" i="11" s="1"/>
  <c r="C2026" i="11" s="1"/>
  <c r="C2027" i="11" s="1"/>
  <c r="C2028" i="11" s="1"/>
  <c r="C2029" i="11" s="1"/>
  <c r="C2030" i="11" s="1"/>
  <c r="C2031" i="11" s="1"/>
  <c r="C2032" i="11" s="1"/>
  <c r="C2033" i="11" s="1"/>
  <c r="C2034" i="11" s="1"/>
  <c r="C2035" i="11" s="1"/>
  <c r="C2036" i="11" s="1"/>
  <c r="C2037" i="11" s="1"/>
  <c r="C2038" i="11" s="1"/>
  <c r="C2039" i="11" s="1"/>
  <c r="C2040" i="11" s="1"/>
  <c r="C2041" i="11" s="1"/>
  <c r="C2042" i="11" s="1"/>
  <c r="C2043" i="11" s="1"/>
  <c r="C2044" i="11" s="1"/>
  <c r="C2045" i="11" s="1"/>
  <c r="C2046" i="11" s="1"/>
  <c r="C2047" i="11" s="1"/>
  <c r="C2048" i="11" s="1"/>
  <c r="C2049" i="11" s="1"/>
  <c r="C2050" i="11" s="1"/>
  <c r="C2051" i="11" s="1"/>
  <c r="C2052" i="11" s="1"/>
  <c r="C2053" i="11" s="1"/>
  <c r="C2054" i="11" s="1"/>
  <c r="C2055" i="11" s="1"/>
  <c r="C2056" i="11" s="1"/>
  <c r="C2057" i="11" s="1"/>
  <c r="C2058" i="11" s="1"/>
  <c r="C2059" i="11" s="1"/>
  <c r="C2060" i="11" s="1"/>
  <c r="C2061" i="11" s="1"/>
  <c r="C2062" i="11" s="1"/>
  <c r="C2063" i="11" s="1"/>
  <c r="C2064" i="11" s="1"/>
  <c r="C2065" i="11" s="1"/>
  <c r="C2066" i="11" s="1"/>
  <c r="C2067" i="11" s="1"/>
  <c r="C2068" i="11" s="1"/>
  <c r="C2069" i="11" s="1"/>
  <c r="C2070" i="11" s="1"/>
  <c r="C2071" i="11" s="1"/>
  <c r="C2072" i="11" s="1"/>
  <c r="C2073" i="11" s="1"/>
  <c r="C2074" i="11" s="1"/>
  <c r="C2075" i="11" s="1"/>
  <c r="C2076" i="11" s="1"/>
  <c r="C2077" i="11" s="1"/>
  <c r="C2078" i="11" s="1"/>
  <c r="C2079" i="11" s="1"/>
  <c r="C2080" i="11" s="1"/>
  <c r="C2081" i="11" s="1"/>
  <c r="C2082" i="11" s="1"/>
  <c r="C2083" i="11" s="1"/>
  <c r="C2084" i="11" s="1"/>
  <c r="C2085" i="11" s="1"/>
  <c r="C2086" i="11" s="1"/>
  <c r="C2087" i="11" s="1"/>
  <c r="C2088" i="11" s="1"/>
  <c r="C2089" i="11" s="1"/>
  <c r="C2090" i="11" s="1"/>
  <c r="C2091" i="11" s="1"/>
  <c r="C2092" i="11" s="1"/>
  <c r="C2093" i="11" s="1"/>
  <c r="C2094" i="11" s="1"/>
  <c r="C2095" i="11" s="1"/>
  <c r="C2096" i="11" s="1"/>
  <c r="C2097" i="11" s="1"/>
  <c r="C2098" i="11" s="1"/>
  <c r="C2099" i="11" s="1"/>
  <c r="C2100" i="11" s="1"/>
  <c r="C2101" i="11" s="1"/>
  <c r="C2102" i="11" s="1"/>
  <c r="C2103" i="11" s="1"/>
  <c r="C2104" i="11" s="1"/>
  <c r="C2105" i="11" s="1"/>
  <c r="C2106" i="11" s="1"/>
  <c r="C2107" i="11" s="1"/>
  <c r="C2108" i="11" s="1"/>
  <c r="C2109" i="11" s="1"/>
  <c r="C2110" i="11" s="1"/>
  <c r="C2111" i="11" s="1"/>
  <c r="C2112" i="11" s="1"/>
  <c r="C2113" i="11" s="1"/>
  <c r="C2114" i="11" s="1"/>
  <c r="C2115" i="11" s="1"/>
  <c r="C2116" i="11" s="1"/>
  <c r="C2117" i="11" s="1"/>
  <c r="C2118" i="11" s="1"/>
  <c r="C2119" i="11" s="1"/>
  <c r="C2120" i="11" s="1"/>
  <c r="C2121" i="11" s="1"/>
  <c r="C2122" i="11" s="1"/>
  <c r="C2123" i="11" s="1"/>
  <c r="C2124" i="11" s="1"/>
  <c r="C2125" i="11" s="1"/>
  <c r="C2126" i="11" s="1"/>
  <c r="C2127" i="11" s="1"/>
  <c r="C2128" i="11" s="1"/>
  <c r="C2129" i="11" s="1"/>
  <c r="C2130" i="11" s="1"/>
  <c r="C2131" i="11" s="1"/>
  <c r="C2132" i="11" s="1"/>
  <c r="C2133" i="11" s="1"/>
  <c r="C2134" i="11" s="1"/>
  <c r="C2135" i="11" s="1"/>
  <c r="C2136" i="11" s="1"/>
  <c r="C2137" i="11" s="1"/>
  <c r="C2138" i="11" s="1"/>
  <c r="C2139" i="11" s="1"/>
  <c r="C2140" i="11" s="1"/>
  <c r="C2141" i="11" s="1"/>
  <c r="C2142" i="11" s="1"/>
  <c r="C2143" i="11" s="1"/>
  <c r="C2144" i="11" s="1"/>
  <c r="C2145" i="11" s="1"/>
  <c r="C2146" i="11" s="1"/>
  <c r="C2147" i="11" s="1"/>
  <c r="C2148" i="11" s="1"/>
  <c r="C2149" i="11" s="1"/>
  <c r="C2150" i="11" s="1"/>
  <c r="C2151" i="11" s="1"/>
  <c r="C2152" i="11" s="1"/>
  <c r="C2153" i="11" s="1"/>
  <c r="C2154" i="11" s="1"/>
  <c r="C2155" i="11" s="1"/>
  <c r="C2156" i="11" s="1"/>
  <c r="C2157" i="11" s="1"/>
  <c r="C2158" i="11" s="1"/>
  <c r="C2159" i="11" s="1"/>
  <c r="C2160" i="11" s="1"/>
  <c r="C2161" i="11" s="1"/>
  <c r="C2162" i="11" s="1"/>
  <c r="C2163" i="11" s="1"/>
  <c r="C2164" i="11" s="1"/>
  <c r="C2165" i="11" s="1"/>
  <c r="C2166" i="11" s="1"/>
  <c r="C2167" i="11" s="1"/>
  <c r="C2168" i="11" s="1"/>
  <c r="C2169" i="11" s="1"/>
  <c r="C2170" i="11" s="1"/>
  <c r="C2171" i="11" s="1"/>
  <c r="C2172" i="11" s="1"/>
  <c r="C2173" i="11" s="1"/>
  <c r="C2174" i="11" s="1"/>
  <c r="C2175" i="11" s="1"/>
  <c r="C2176" i="11" s="1"/>
  <c r="C2177" i="11" s="1"/>
  <c r="C2178" i="11" s="1"/>
  <c r="C2179" i="11" s="1"/>
  <c r="C2180" i="11" s="1"/>
  <c r="C2181" i="11" s="1"/>
  <c r="C2182" i="11" s="1"/>
  <c r="C2183" i="11" s="1"/>
  <c r="C2184" i="11" s="1"/>
  <c r="C2185" i="11" s="1"/>
  <c r="C2186" i="11" s="1"/>
  <c r="C2187" i="11" s="1"/>
  <c r="C2188" i="11" s="1"/>
  <c r="C2189" i="11" s="1"/>
  <c r="C2190" i="11" s="1"/>
  <c r="C2191" i="11" s="1"/>
  <c r="C2192" i="11" s="1"/>
  <c r="C2193" i="11" s="1"/>
  <c r="C2194" i="11" s="1"/>
  <c r="C2195" i="11" s="1"/>
  <c r="C2196" i="11" s="1"/>
  <c r="C2197" i="11" s="1"/>
  <c r="C2198" i="11" s="1"/>
  <c r="C2199" i="11" s="1"/>
  <c r="C2200" i="11" s="1"/>
  <c r="C2201" i="11" s="1"/>
  <c r="C2202" i="11" s="1"/>
  <c r="C2203" i="11" s="1"/>
  <c r="C2204" i="11" s="1"/>
  <c r="C2205" i="11" s="1"/>
  <c r="C2206" i="11" s="1"/>
  <c r="C2207" i="11" s="1"/>
  <c r="C2208" i="11" s="1"/>
  <c r="C2209" i="11" s="1"/>
  <c r="C2210" i="11" s="1"/>
  <c r="C2211" i="11" s="1"/>
  <c r="C2212" i="11" s="1"/>
  <c r="C2213" i="11" s="1"/>
  <c r="C2214" i="11" s="1"/>
  <c r="C2215" i="11" s="1"/>
  <c r="C2216" i="11" s="1"/>
  <c r="C2217" i="11" s="1"/>
  <c r="C2218" i="11" s="1"/>
  <c r="C2219" i="11" s="1"/>
  <c r="C2220" i="11" s="1"/>
  <c r="C2221" i="11" s="1"/>
  <c r="C2222" i="11" s="1"/>
  <c r="C2223" i="11" s="1"/>
  <c r="C2224" i="11" s="1"/>
  <c r="C2225" i="11" s="1"/>
  <c r="C2226" i="11" s="1"/>
  <c r="C2227" i="11" s="1"/>
  <c r="C2228" i="11" s="1"/>
  <c r="C2229" i="11" s="1"/>
  <c r="C2230" i="11" s="1"/>
  <c r="C2231" i="11" s="1"/>
  <c r="C2232" i="11" s="1"/>
  <c r="C2233" i="11" s="1"/>
  <c r="C2234" i="11" s="1"/>
  <c r="C2235" i="11" s="1"/>
  <c r="C2236" i="11" s="1"/>
  <c r="C2237" i="11" s="1"/>
  <c r="C2238" i="11" s="1"/>
  <c r="C2239" i="11" s="1"/>
  <c r="C2240" i="11" s="1"/>
  <c r="C2241" i="11" s="1"/>
  <c r="C2242" i="11" s="1"/>
  <c r="C2243" i="11" s="1"/>
  <c r="C2244" i="11" s="1"/>
  <c r="C2245" i="11" s="1"/>
  <c r="C2246" i="11" s="1"/>
  <c r="C2247" i="11" s="1"/>
  <c r="C2248" i="11" s="1"/>
  <c r="C2249" i="11" s="1"/>
  <c r="C2250" i="11" s="1"/>
  <c r="C2251" i="11" s="1"/>
  <c r="C2252" i="11" s="1"/>
  <c r="C2253" i="11" s="1"/>
  <c r="C2254" i="11" s="1"/>
  <c r="C2255" i="11" s="1"/>
  <c r="C2256" i="11" s="1"/>
  <c r="C2257" i="11" s="1"/>
  <c r="C2258" i="11" s="1"/>
  <c r="C2259" i="11" s="1"/>
  <c r="C2260" i="11" s="1"/>
  <c r="C2261" i="11" s="1"/>
  <c r="C2262" i="11" s="1"/>
  <c r="C2263" i="11" s="1"/>
  <c r="C2264" i="11" s="1"/>
  <c r="C2265" i="11" s="1"/>
  <c r="C2266" i="11" s="1"/>
  <c r="C2267" i="11" s="1"/>
  <c r="C2268" i="11" s="1"/>
  <c r="C2269" i="11" s="1"/>
  <c r="C2270" i="11" s="1"/>
  <c r="C2271" i="11" s="1"/>
  <c r="C2272" i="11" s="1"/>
  <c r="C2273" i="11" s="1"/>
  <c r="C2274" i="11" s="1"/>
  <c r="C2275" i="11" s="1"/>
  <c r="C2276" i="11" s="1"/>
  <c r="C2277" i="11" s="1"/>
  <c r="C2278" i="11" s="1"/>
  <c r="C2279" i="11" s="1"/>
  <c r="C2280" i="11" s="1"/>
  <c r="C2281" i="11" s="1"/>
  <c r="C2282" i="11" s="1"/>
  <c r="C2283" i="11" s="1"/>
  <c r="C2284" i="11" s="1"/>
  <c r="C2285" i="11" s="1"/>
  <c r="C2286" i="11" s="1"/>
  <c r="C2287" i="11" s="1"/>
  <c r="C2288" i="11" s="1"/>
  <c r="C2289" i="11" s="1"/>
  <c r="C2290" i="11" s="1"/>
  <c r="C2291" i="11" s="1"/>
  <c r="C2292" i="11" s="1"/>
  <c r="C2293" i="11" s="1"/>
  <c r="C2294" i="11" s="1"/>
  <c r="C2295" i="11" s="1"/>
  <c r="C2296" i="11" s="1"/>
  <c r="C2297" i="11" s="1"/>
  <c r="C2298" i="11" s="1"/>
  <c r="C2299" i="11" s="1"/>
  <c r="C2300" i="11" s="1"/>
  <c r="C2301" i="11" s="1"/>
  <c r="C2302" i="11" s="1"/>
  <c r="C2303" i="11" s="1"/>
  <c r="C2304" i="11" s="1"/>
  <c r="C2305" i="11" s="1"/>
  <c r="C2306" i="11" s="1"/>
  <c r="C2307" i="11" s="1"/>
  <c r="C2308" i="11" s="1"/>
  <c r="C2309" i="11" s="1"/>
  <c r="C2310" i="11" s="1"/>
  <c r="C2311" i="11" s="1"/>
  <c r="C2312" i="11" s="1"/>
  <c r="C2313" i="11" s="1"/>
  <c r="C2314" i="11" s="1"/>
  <c r="C2315" i="11" s="1"/>
  <c r="C2316" i="11" s="1"/>
  <c r="C2317" i="11" s="1"/>
  <c r="C2318" i="11" s="1"/>
  <c r="C2319" i="11" s="1"/>
  <c r="C2320" i="11" s="1"/>
  <c r="C2321" i="11" s="1"/>
  <c r="C2322" i="11" s="1"/>
  <c r="C2323" i="11" s="1"/>
  <c r="C2324" i="11" s="1"/>
  <c r="C2325" i="11" s="1"/>
  <c r="C2326" i="11" s="1"/>
  <c r="C2327" i="11" s="1"/>
  <c r="C2328" i="11" s="1"/>
  <c r="C2329" i="11" s="1"/>
  <c r="C2330" i="11" s="1"/>
  <c r="C2331" i="11" s="1"/>
  <c r="C2332" i="11" s="1"/>
  <c r="C2333" i="11" s="1"/>
  <c r="C2334" i="11" s="1"/>
  <c r="C2335" i="11" s="1"/>
  <c r="C2336" i="11" s="1"/>
  <c r="C2337" i="11" s="1"/>
  <c r="C2338" i="11" s="1"/>
  <c r="C2339" i="11" s="1"/>
  <c r="C2340" i="11" s="1"/>
  <c r="C2341" i="11" s="1"/>
  <c r="C2342" i="11" s="1"/>
  <c r="C2343" i="11" s="1"/>
  <c r="C2344" i="11" s="1"/>
  <c r="C2345" i="11" s="1"/>
  <c r="C2346" i="11" s="1"/>
  <c r="C2347" i="11" s="1"/>
  <c r="C2348" i="11" s="1"/>
  <c r="C2349" i="11" s="1"/>
  <c r="C2350" i="11" s="1"/>
  <c r="C2351" i="11" s="1"/>
  <c r="C2352" i="11" s="1"/>
  <c r="C2353" i="11" s="1"/>
  <c r="C2354" i="11" s="1"/>
  <c r="C2355" i="11" s="1"/>
  <c r="C2356" i="11" s="1"/>
  <c r="C2357" i="11" s="1"/>
  <c r="C2358" i="11" s="1"/>
  <c r="C2359" i="11" s="1"/>
  <c r="C2360" i="11" s="1"/>
  <c r="C2361" i="11" s="1"/>
  <c r="C2362" i="11" s="1"/>
  <c r="C2363" i="11" s="1"/>
  <c r="C2364" i="11" s="1"/>
  <c r="C2365" i="11" s="1"/>
  <c r="C2366" i="11" s="1"/>
  <c r="C2367" i="11" s="1"/>
  <c r="C2368" i="11" s="1"/>
  <c r="C2369" i="11" s="1"/>
  <c r="C2370" i="11" s="1"/>
  <c r="C2371" i="11" s="1"/>
  <c r="C2372" i="11" s="1"/>
  <c r="C2373" i="11" s="1"/>
  <c r="C2374" i="11" s="1"/>
  <c r="C2375" i="11" s="1"/>
  <c r="C2376" i="11" s="1"/>
  <c r="C2377" i="11" s="1"/>
  <c r="C2378" i="11" s="1"/>
  <c r="C2379" i="11" s="1"/>
  <c r="C2380" i="11" s="1"/>
  <c r="C2381" i="11" s="1"/>
  <c r="C2382" i="11" s="1"/>
  <c r="C2383" i="11" s="1"/>
  <c r="C2384" i="11" s="1"/>
  <c r="C2385" i="11" s="1"/>
  <c r="C2386" i="11" s="1"/>
  <c r="C2387" i="11" s="1"/>
  <c r="C2388" i="11" s="1"/>
  <c r="C2389" i="11" s="1"/>
  <c r="C2390" i="11" s="1"/>
  <c r="C2391" i="11" s="1"/>
  <c r="C2392" i="11" s="1"/>
  <c r="C2393" i="11" s="1"/>
  <c r="C2394" i="11" s="1"/>
  <c r="C2395" i="11" s="1"/>
  <c r="C2396" i="11" s="1"/>
  <c r="C2397" i="11" s="1"/>
  <c r="C2398" i="11" s="1"/>
  <c r="C2399" i="11" s="1"/>
  <c r="C2400" i="11" s="1"/>
  <c r="C2401" i="11" s="1"/>
  <c r="C2402" i="11" s="1"/>
  <c r="C2403" i="11" s="1"/>
  <c r="C2404" i="11" s="1"/>
  <c r="C2405" i="11" s="1"/>
  <c r="C2406" i="11" s="1"/>
  <c r="C2407" i="11" s="1"/>
  <c r="C2408" i="11" s="1"/>
  <c r="C2409" i="11" s="1"/>
  <c r="C2410" i="11" s="1"/>
  <c r="C2411" i="11" s="1"/>
  <c r="C2412" i="11" s="1"/>
  <c r="C2413" i="11" s="1"/>
  <c r="C2414" i="11" s="1"/>
  <c r="C2415" i="11" s="1"/>
  <c r="C2416" i="11" s="1"/>
  <c r="C2417" i="11" s="1"/>
  <c r="C2418" i="11" s="1"/>
  <c r="C2419" i="11" s="1"/>
  <c r="C2420" i="11" s="1"/>
  <c r="C2421" i="11" s="1"/>
  <c r="C2422" i="11" s="1"/>
  <c r="C2423" i="11" s="1"/>
  <c r="C2424" i="11" s="1"/>
  <c r="C2425" i="11" s="1"/>
  <c r="C2426" i="11" s="1"/>
  <c r="C2427" i="11" s="1"/>
  <c r="C2428" i="11" s="1"/>
  <c r="C2429" i="11" s="1"/>
  <c r="C2430" i="11" s="1"/>
  <c r="C2431" i="11" s="1"/>
  <c r="C2432" i="11" s="1"/>
  <c r="C2433" i="11" s="1"/>
  <c r="C2434" i="11" s="1"/>
  <c r="C2435" i="11" s="1"/>
  <c r="C2436" i="11" s="1"/>
  <c r="C2437" i="11" s="1"/>
  <c r="C2438" i="11" s="1"/>
  <c r="C2439" i="11" s="1"/>
  <c r="C2440" i="11" s="1"/>
  <c r="C2441" i="11" s="1"/>
  <c r="C2442" i="11" s="1"/>
  <c r="C2443" i="11" s="1"/>
  <c r="C2444" i="11" s="1"/>
  <c r="C2445" i="11" s="1"/>
  <c r="C2446" i="11" s="1"/>
  <c r="C2447" i="11" s="1"/>
  <c r="C2448" i="11" s="1"/>
  <c r="C2449" i="11" s="1"/>
  <c r="C2450" i="11" s="1"/>
  <c r="C2451" i="11" s="1"/>
  <c r="C2452" i="11" s="1"/>
  <c r="C2453" i="11" s="1"/>
  <c r="C2454" i="11" s="1"/>
  <c r="C2455" i="11" s="1"/>
  <c r="C2456" i="11" s="1"/>
  <c r="C2457" i="11" s="1"/>
  <c r="C2458" i="11" s="1"/>
  <c r="C2459" i="11" s="1"/>
  <c r="C2460" i="11" s="1"/>
  <c r="C2461" i="11" s="1"/>
  <c r="C2462" i="11" s="1"/>
  <c r="C2463" i="11" s="1"/>
  <c r="C2464" i="11" s="1"/>
  <c r="C2465" i="11" s="1"/>
  <c r="C2466" i="11" s="1"/>
  <c r="C2467" i="11" s="1"/>
  <c r="C2468" i="11" s="1"/>
  <c r="C2469" i="11" s="1"/>
  <c r="C2470" i="11" s="1"/>
  <c r="C2471" i="11" s="1"/>
  <c r="C2472" i="11" s="1"/>
  <c r="C2473" i="11" s="1"/>
  <c r="C2474" i="11" s="1"/>
  <c r="C2475" i="11" s="1"/>
  <c r="C2476" i="11" s="1"/>
  <c r="C2477" i="11" s="1"/>
  <c r="C2478" i="11" s="1"/>
  <c r="C2479" i="11" s="1"/>
  <c r="C2480" i="11" s="1"/>
  <c r="C2481" i="11" s="1"/>
  <c r="C2482" i="11" s="1"/>
  <c r="C2483" i="11" s="1"/>
  <c r="C2484" i="11" s="1"/>
  <c r="C2485" i="11" s="1"/>
  <c r="C2486" i="11" s="1"/>
  <c r="C2487" i="11" s="1"/>
  <c r="C2488" i="11" s="1"/>
  <c r="C2489" i="11" s="1"/>
  <c r="C2490" i="11" s="1"/>
  <c r="C2491" i="11" s="1"/>
  <c r="C2492" i="11" s="1"/>
  <c r="C2493" i="11" s="1"/>
  <c r="C2494" i="11" s="1"/>
  <c r="C2495" i="11" s="1"/>
  <c r="C2496" i="11" s="1"/>
  <c r="C2497" i="11" s="1"/>
  <c r="C2498" i="11" s="1"/>
  <c r="C2499" i="11" s="1"/>
  <c r="C2500" i="11" s="1"/>
  <c r="C2501" i="11" s="1"/>
  <c r="C2502" i="11" s="1"/>
  <c r="C2503" i="11" s="1"/>
  <c r="C2504" i="11" s="1"/>
  <c r="C2505" i="11" s="1"/>
  <c r="C2506" i="11" s="1"/>
  <c r="C2507" i="11" s="1"/>
  <c r="C2508" i="11" s="1"/>
  <c r="C2509" i="11" s="1"/>
  <c r="C2510" i="11" s="1"/>
  <c r="C2511" i="11" s="1"/>
  <c r="C2512" i="11" s="1"/>
  <c r="C2513" i="11" s="1"/>
  <c r="C2514" i="11" s="1"/>
  <c r="C2515" i="11" s="1"/>
  <c r="C2516" i="11" s="1"/>
  <c r="C2517" i="11" s="1"/>
  <c r="C2518" i="11" s="1"/>
  <c r="C2519" i="11" s="1"/>
  <c r="C2520" i="11" s="1"/>
  <c r="C2521" i="11" s="1"/>
  <c r="C2522" i="11" s="1"/>
  <c r="C2523" i="11" s="1"/>
  <c r="C2524" i="11" s="1"/>
  <c r="C2525" i="11" s="1"/>
  <c r="C2526" i="11" s="1"/>
  <c r="C2527" i="11" s="1"/>
  <c r="C2528" i="11" s="1"/>
  <c r="C2529" i="11" s="1"/>
  <c r="C2530" i="11" s="1"/>
  <c r="C2531" i="11" s="1"/>
  <c r="C2532" i="11" s="1"/>
  <c r="C2533" i="11" s="1"/>
  <c r="C2534" i="11" s="1"/>
  <c r="C2535" i="11" s="1"/>
  <c r="C2536" i="11" s="1"/>
  <c r="C2537" i="11" s="1"/>
  <c r="C2538" i="11" s="1"/>
  <c r="C2539" i="11" s="1"/>
  <c r="C2540" i="11" s="1"/>
  <c r="C2541" i="11" s="1"/>
  <c r="C2542" i="11" s="1"/>
  <c r="C2543" i="11" s="1"/>
  <c r="C2544" i="11" s="1"/>
  <c r="C2545" i="11" s="1"/>
  <c r="C2546" i="11" s="1"/>
  <c r="C2547" i="11" s="1"/>
  <c r="C2548" i="11" s="1"/>
  <c r="C2549" i="11" s="1"/>
  <c r="C2550" i="11" s="1"/>
  <c r="C2551" i="11" s="1"/>
  <c r="C2552" i="11" s="1"/>
  <c r="C2553" i="11" s="1"/>
  <c r="C2554" i="11" s="1"/>
  <c r="C2555" i="11" s="1"/>
  <c r="C2556" i="11" s="1"/>
  <c r="C2557" i="11" s="1"/>
  <c r="C2558" i="11" s="1"/>
  <c r="C2559" i="11" s="1"/>
  <c r="C2560" i="11" s="1"/>
  <c r="C2561" i="11" s="1"/>
  <c r="C2562" i="11" s="1"/>
  <c r="C2563" i="11" s="1"/>
  <c r="C2564" i="11" s="1"/>
  <c r="C2565" i="11" s="1"/>
  <c r="C2566" i="11" s="1"/>
  <c r="C2567" i="11" s="1"/>
  <c r="C2568" i="11" s="1"/>
  <c r="C2569" i="11" s="1"/>
  <c r="C2570" i="11" s="1"/>
  <c r="C2571" i="11" s="1"/>
  <c r="C2572" i="11" s="1"/>
  <c r="C2573" i="11" s="1"/>
  <c r="C2574" i="11" s="1"/>
  <c r="C2575" i="11" s="1"/>
  <c r="C2576" i="11" s="1"/>
  <c r="C2577" i="11" s="1"/>
  <c r="C2578" i="11" s="1"/>
  <c r="C2579" i="11" s="1"/>
  <c r="C2580" i="11" s="1"/>
  <c r="C2581" i="11" s="1"/>
  <c r="C2582" i="11" s="1"/>
  <c r="C2583" i="11" s="1"/>
  <c r="C2584" i="11" s="1"/>
  <c r="C2585" i="11" s="1"/>
  <c r="C2586" i="11" s="1"/>
  <c r="C2587" i="11" s="1"/>
  <c r="C2588" i="11" s="1"/>
  <c r="C2589" i="11" s="1"/>
  <c r="C2590" i="11" s="1"/>
  <c r="C2591" i="11" s="1"/>
  <c r="C2592" i="11" s="1"/>
  <c r="C2593" i="11" s="1"/>
  <c r="C2594" i="11" s="1"/>
  <c r="C2595" i="11" s="1"/>
  <c r="C2596" i="11" s="1"/>
  <c r="C2597" i="11" s="1"/>
  <c r="C2598" i="11" s="1"/>
  <c r="C2599" i="11" s="1"/>
  <c r="C2600" i="11" s="1"/>
  <c r="C2601" i="11" s="1"/>
  <c r="C2602" i="11" s="1"/>
  <c r="C2603" i="11" s="1"/>
  <c r="C2604" i="11" s="1"/>
  <c r="C2605" i="11" s="1"/>
  <c r="C2606" i="11" s="1"/>
  <c r="C2607" i="11" s="1"/>
  <c r="C2608" i="11" s="1"/>
  <c r="C2609" i="11" s="1"/>
  <c r="C2610" i="11" s="1"/>
  <c r="C2611" i="11" s="1"/>
  <c r="C2612" i="11" s="1"/>
  <c r="C2613" i="11" s="1"/>
  <c r="C2614" i="11" s="1"/>
  <c r="C2615" i="11" s="1"/>
  <c r="C2616" i="11" s="1"/>
  <c r="C2617" i="11" s="1"/>
  <c r="C2618" i="11" s="1"/>
  <c r="C2619" i="11" s="1"/>
  <c r="C2620" i="11" s="1"/>
  <c r="C2621" i="11" s="1"/>
  <c r="C2622" i="11" s="1"/>
  <c r="C2623" i="11" s="1"/>
  <c r="C2624" i="11" s="1"/>
  <c r="C2625" i="11" s="1"/>
  <c r="C2626" i="11" s="1"/>
  <c r="C2627" i="11" s="1"/>
  <c r="C2628" i="11" s="1"/>
  <c r="C2629" i="11" s="1"/>
  <c r="C2630" i="11" s="1"/>
  <c r="C2631" i="11" s="1"/>
  <c r="C2632" i="11" s="1"/>
  <c r="C2633" i="11" s="1"/>
  <c r="C2634" i="11" s="1"/>
  <c r="C2635" i="11" s="1"/>
  <c r="C2636" i="11" s="1"/>
  <c r="C2637" i="11" s="1"/>
  <c r="C2638" i="11" s="1"/>
  <c r="C2639" i="11" s="1"/>
  <c r="C2640" i="11" s="1"/>
  <c r="C2641" i="11" s="1"/>
  <c r="C2642" i="11" s="1"/>
  <c r="C2643" i="11" s="1"/>
  <c r="C2644" i="11" s="1"/>
  <c r="C2645" i="11" s="1"/>
  <c r="C2646" i="11" s="1"/>
  <c r="C2647" i="11" s="1"/>
  <c r="C2648" i="11" s="1"/>
  <c r="C2649" i="11" s="1"/>
  <c r="C2650" i="11" s="1"/>
  <c r="C2651" i="11" s="1"/>
  <c r="C2652" i="11" s="1"/>
  <c r="C2653" i="11" s="1"/>
  <c r="C2654" i="11" s="1"/>
  <c r="C2655" i="11" s="1"/>
  <c r="C2656" i="11" s="1"/>
  <c r="C2657" i="11" s="1"/>
  <c r="C2658" i="11" s="1"/>
  <c r="C2659" i="11" s="1"/>
  <c r="C2660" i="11" s="1"/>
  <c r="C2661" i="11" s="1"/>
  <c r="C2662" i="11" s="1"/>
  <c r="C2663" i="11" s="1"/>
  <c r="C2664" i="11" s="1"/>
  <c r="C2665" i="11" s="1"/>
  <c r="C2666" i="11" s="1"/>
  <c r="C2667" i="11" s="1"/>
  <c r="C2668" i="11" s="1"/>
  <c r="C2669" i="11" s="1"/>
  <c r="C2670" i="11" s="1"/>
  <c r="C2671" i="11" s="1"/>
  <c r="C2672" i="11" s="1"/>
  <c r="C2673" i="11" s="1"/>
  <c r="C2674" i="11" s="1"/>
  <c r="C2675" i="11" s="1"/>
  <c r="C2676" i="11" s="1"/>
  <c r="C2677" i="11" s="1"/>
  <c r="C2678" i="11" s="1"/>
  <c r="C2679" i="11" s="1"/>
  <c r="C2680" i="11" s="1"/>
  <c r="C2681" i="11" s="1"/>
  <c r="C2682" i="11" s="1"/>
  <c r="C2683" i="11" s="1"/>
  <c r="C2684" i="11" s="1"/>
  <c r="C2685" i="11" s="1"/>
  <c r="C2686" i="11" s="1"/>
  <c r="C2687" i="11" s="1"/>
  <c r="C2688" i="11" s="1"/>
  <c r="C2689" i="11" s="1"/>
  <c r="C2690" i="11" s="1"/>
  <c r="C2691" i="11" s="1"/>
  <c r="C2692" i="11" s="1"/>
  <c r="C2693" i="11" s="1"/>
  <c r="C2694" i="11" s="1"/>
  <c r="C2695" i="11" s="1"/>
  <c r="C2696" i="11" s="1"/>
  <c r="C2697" i="11" s="1"/>
  <c r="C2698" i="11" s="1"/>
  <c r="C2699" i="11" s="1"/>
  <c r="C2700" i="11" s="1"/>
  <c r="C2701" i="11" s="1"/>
  <c r="C2702" i="11" s="1"/>
  <c r="C2703" i="11" s="1"/>
  <c r="C2704" i="11" s="1"/>
  <c r="C2705" i="11" s="1"/>
  <c r="C2706" i="11" s="1"/>
  <c r="C2707" i="11" s="1"/>
  <c r="C2708" i="11" s="1"/>
  <c r="C2709" i="11" s="1"/>
  <c r="C2710" i="11" s="1"/>
  <c r="C2711" i="11" s="1"/>
  <c r="C2712" i="11" s="1"/>
  <c r="C2713" i="11" s="1"/>
  <c r="C2714" i="11" s="1"/>
  <c r="C2715" i="11" s="1"/>
  <c r="C2716" i="11" s="1"/>
  <c r="C2717" i="11" s="1"/>
  <c r="C2718" i="11" s="1"/>
  <c r="C2719" i="11" s="1"/>
  <c r="C2720" i="11" s="1"/>
  <c r="C2721" i="11" s="1"/>
  <c r="C2722" i="11" s="1"/>
  <c r="C2723" i="11" s="1"/>
  <c r="C2724" i="11" s="1"/>
  <c r="C2725" i="11" s="1"/>
  <c r="C2726" i="11" s="1"/>
  <c r="C2727" i="11" s="1"/>
  <c r="C2728" i="11" s="1"/>
  <c r="C2729" i="11" s="1"/>
  <c r="C2730" i="11" s="1"/>
  <c r="C2731" i="11" s="1"/>
  <c r="C2732" i="11" s="1"/>
  <c r="C2733" i="11" s="1"/>
  <c r="C2734" i="11" s="1"/>
  <c r="C2735" i="11" s="1"/>
  <c r="C2736" i="11" s="1"/>
  <c r="C2737" i="11" s="1"/>
  <c r="C2738" i="11" s="1"/>
  <c r="C2739" i="11" s="1"/>
  <c r="C2740" i="11" s="1"/>
  <c r="C2741" i="11" s="1"/>
  <c r="C2742" i="11" s="1"/>
  <c r="C2743" i="11" s="1"/>
  <c r="C2744" i="11" s="1"/>
  <c r="C2745" i="11" s="1"/>
  <c r="C2746" i="11" s="1"/>
  <c r="C2747" i="11" s="1"/>
  <c r="C2748" i="11" s="1"/>
  <c r="C2749" i="11" s="1"/>
  <c r="C2750" i="11" s="1"/>
  <c r="C2751" i="11" s="1"/>
  <c r="C2752" i="11" s="1"/>
  <c r="C2753" i="11" s="1"/>
  <c r="C2754" i="11" s="1"/>
  <c r="C2755" i="11" s="1"/>
  <c r="C2756" i="11" s="1"/>
  <c r="C2757" i="11" s="1"/>
  <c r="C2758" i="11" s="1"/>
  <c r="C2759" i="11" s="1"/>
  <c r="C2760" i="11" s="1"/>
  <c r="C2761" i="11" s="1"/>
  <c r="C2762" i="11" s="1"/>
  <c r="C2763" i="11" s="1"/>
  <c r="C2764" i="11" s="1"/>
  <c r="C2765" i="11" s="1"/>
  <c r="C2766" i="11" s="1"/>
  <c r="C2767" i="11" s="1"/>
  <c r="C2768" i="11" s="1"/>
  <c r="C2769" i="11" s="1"/>
  <c r="C2770" i="11" s="1"/>
  <c r="C2771" i="11" s="1"/>
  <c r="C2772" i="11" s="1"/>
  <c r="C2773" i="11" s="1"/>
  <c r="C2774" i="11" s="1"/>
  <c r="C2775" i="11" s="1"/>
  <c r="C2776" i="11" s="1"/>
  <c r="C2777" i="11" s="1"/>
  <c r="C2778" i="11" s="1"/>
  <c r="C2779" i="11" s="1"/>
  <c r="C2780" i="11" s="1"/>
  <c r="C2781" i="11" s="1"/>
  <c r="C2782" i="11" s="1"/>
  <c r="C2783" i="11" s="1"/>
  <c r="C2784" i="11" s="1"/>
  <c r="C2785" i="11" s="1"/>
  <c r="C2786" i="11" s="1"/>
  <c r="C2787" i="11" s="1"/>
  <c r="C2788" i="11" s="1"/>
  <c r="C2789" i="11" s="1"/>
  <c r="C2790" i="11" s="1"/>
  <c r="C2791" i="11" s="1"/>
  <c r="C2792" i="11" s="1"/>
  <c r="C2793" i="11" s="1"/>
  <c r="C2794" i="11" s="1"/>
  <c r="C2795" i="11" s="1"/>
  <c r="C2796" i="11" s="1"/>
  <c r="C2797" i="11" s="1"/>
  <c r="C2798" i="11" s="1"/>
  <c r="C2799" i="11" s="1"/>
  <c r="C2800" i="11" s="1"/>
  <c r="C2801" i="11" s="1"/>
  <c r="C2802" i="11" s="1"/>
  <c r="C2803" i="11" s="1"/>
  <c r="C2804" i="11" s="1"/>
  <c r="C2805" i="11" s="1"/>
  <c r="C2806" i="11" s="1"/>
  <c r="C2807" i="11" s="1"/>
  <c r="C2808" i="11" s="1"/>
  <c r="C2809" i="11" s="1"/>
  <c r="C2810" i="11" s="1"/>
  <c r="C2811" i="11" s="1"/>
  <c r="C2812" i="11" s="1"/>
  <c r="C2813" i="11" s="1"/>
  <c r="C2814" i="11" s="1"/>
  <c r="C2815" i="11" s="1"/>
  <c r="C2816" i="11" s="1"/>
  <c r="C2817" i="11" s="1"/>
  <c r="C2818" i="11" s="1"/>
  <c r="C2819" i="11" s="1"/>
  <c r="C2820" i="11" s="1"/>
  <c r="C2821" i="11" s="1"/>
  <c r="C2822" i="11" s="1"/>
  <c r="C2823" i="11" s="1"/>
  <c r="C2824" i="11" s="1"/>
  <c r="C2825" i="11" s="1"/>
  <c r="C2826" i="11" s="1"/>
  <c r="C2827" i="11" s="1"/>
  <c r="C2828" i="11" s="1"/>
  <c r="C2829" i="11" s="1"/>
  <c r="C2830" i="11" s="1"/>
  <c r="C2831" i="11" s="1"/>
  <c r="C2832" i="11" s="1"/>
  <c r="C2833" i="11" s="1"/>
  <c r="C2834" i="11" s="1"/>
  <c r="C2835" i="11" s="1"/>
  <c r="C2836" i="11" s="1"/>
  <c r="C2837" i="11" s="1"/>
  <c r="C2838" i="11" s="1"/>
  <c r="C2839" i="11" s="1"/>
  <c r="C2840" i="11" s="1"/>
  <c r="C2841" i="11" s="1"/>
  <c r="C2842" i="11" s="1"/>
  <c r="C2843" i="11" s="1"/>
  <c r="C2844" i="11" s="1"/>
  <c r="C2845" i="11" s="1"/>
  <c r="C2846" i="11" s="1"/>
  <c r="C2847" i="11" s="1"/>
  <c r="C2848" i="11" s="1"/>
  <c r="C2849" i="11" s="1"/>
  <c r="C2850" i="11" s="1"/>
  <c r="C2851" i="11" s="1"/>
  <c r="C2852" i="11" s="1"/>
  <c r="C2853" i="11" s="1"/>
  <c r="C2854" i="11" s="1"/>
  <c r="C2855" i="11" s="1"/>
  <c r="C2856" i="11" s="1"/>
  <c r="C2857" i="11" s="1"/>
  <c r="C2858" i="11" s="1"/>
  <c r="C2859" i="11" s="1"/>
  <c r="C2860" i="11" s="1"/>
  <c r="C2861" i="11" s="1"/>
  <c r="C2862" i="11" s="1"/>
  <c r="C2863" i="11" s="1"/>
  <c r="C2864" i="11" s="1"/>
  <c r="C2865" i="11" s="1"/>
  <c r="C2866" i="11" s="1"/>
  <c r="C2867" i="11" s="1"/>
  <c r="C2868" i="11" s="1"/>
  <c r="C2869" i="11" s="1"/>
  <c r="C2870" i="11" s="1"/>
  <c r="C2871" i="11" s="1"/>
  <c r="C2872" i="11" s="1"/>
  <c r="C2873" i="11" s="1"/>
  <c r="C2874" i="11" s="1"/>
  <c r="C2875" i="11" s="1"/>
  <c r="C2876" i="11" s="1"/>
  <c r="C2877" i="11" s="1"/>
  <c r="C2878" i="11" s="1"/>
  <c r="C2879" i="11" s="1"/>
  <c r="C2880" i="11" s="1"/>
  <c r="C2881" i="11" s="1"/>
  <c r="C2882" i="11" s="1"/>
  <c r="C2883" i="11" s="1"/>
  <c r="C2884" i="11" s="1"/>
  <c r="C2885" i="11" s="1"/>
  <c r="C2886" i="11" s="1"/>
  <c r="C2887" i="11" s="1"/>
  <c r="C2888" i="11" s="1"/>
  <c r="C2889" i="11" s="1"/>
  <c r="C2890" i="11" s="1"/>
  <c r="C2891" i="11" s="1"/>
  <c r="C2892" i="11" s="1"/>
  <c r="C2893" i="11" s="1"/>
  <c r="C2894" i="11" s="1"/>
  <c r="C2895" i="11" s="1"/>
  <c r="C2896" i="11" s="1"/>
  <c r="C2897" i="11" s="1"/>
  <c r="C2898" i="11" s="1"/>
  <c r="C2899" i="11" s="1"/>
  <c r="C2900" i="11" s="1"/>
  <c r="C2901" i="11" s="1"/>
  <c r="C2902" i="11" s="1"/>
  <c r="C2903" i="11" s="1"/>
  <c r="C2904" i="11" s="1"/>
  <c r="C2905" i="11" s="1"/>
  <c r="C2906" i="11" s="1"/>
  <c r="C2907" i="11" s="1"/>
  <c r="C2908" i="11" s="1"/>
  <c r="C2909" i="11" s="1"/>
  <c r="C2910" i="11" s="1"/>
  <c r="C2911" i="11" s="1"/>
  <c r="C2912" i="11" s="1"/>
  <c r="C2913" i="11" s="1"/>
  <c r="C2914" i="11" s="1"/>
  <c r="C2915" i="11" s="1"/>
  <c r="C2916" i="11" s="1"/>
  <c r="C2917" i="11" s="1"/>
  <c r="C2918" i="11" s="1"/>
  <c r="C2919" i="11" s="1"/>
  <c r="C2920" i="11" s="1"/>
  <c r="C2921" i="11" s="1"/>
  <c r="C2922" i="11" s="1"/>
  <c r="C2923" i="11" s="1"/>
  <c r="C2924" i="11" s="1"/>
  <c r="C2925" i="11" s="1"/>
  <c r="C2926" i="11" s="1"/>
  <c r="C2927" i="11" s="1"/>
  <c r="C2928" i="11" s="1"/>
  <c r="C2929" i="11" s="1"/>
  <c r="C2930" i="11" s="1"/>
  <c r="C2931" i="11" s="1"/>
  <c r="C2932" i="11" s="1"/>
  <c r="C2933" i="11" s="1"/>
  <c r="C2934" i="11" s="1"/>
  <c r="C2935" i="11" s="1"/>
  <c r="C2936" i="11" s="1"/>
  <c r="C2937" i="11" s="1"/>
  <c r="C2938" i="11" s="1"/>
  <c r="C2939" i="11" s="1"/>
  <c r="C2940" i="11" s="1"/>
  <c r="C2941" i="11" s="1"/>
  <c r="C2942" i="11" s="1"/>
  <c r="C2943" i="11" s="1"/>
  <c r="C2944" i="11" s="1"/>
  <c r="C2945" i="11" s="1"/>
  <c r="C2946" i="11" s="1"/>
  <c r="C2947" i="11" s="1"/>
  <c r="C2948" i="11" s="1"/>
  <c r="C2949" i="11" s="1"/>
  <c r="C2950" i="11" s="1"/>
  <c r="C2951" i="11" s="1"/>
  <c r="C2952" i="11" s="1"/>
  <c r="C2953" i="11" s="1"/>
  <c r="C2954" i="11" s="1"/>
  <c r="C2955" i="11" s="1"/>
  <c r="C2956" i="11" s="1"/>
  <c r="C2957" i="11" s="1"/>
  <c r="C2958" i="11" s="1"/>
  <c r="C2959" i="11" s="1"/>
  <c r="C2960" i="11" s="1"/>
  <c r="C2961" i="11" s="1"/>
  <c r="C2962" i="11" s="1"/>
  <c r="C2963" i="11" s="1"/>
  <c r="C2964" i="11" s="1"/>
  <c r="C2965" i="11" s="1"/>
  <c r="C2966" i="11" s="1"/>
  <c r="C2967" i="11" s="1"/>
  <c r="C2968" i="11" s="1"/>
  <c r="C2969" i="11" s="1"/>
  <c r="C2970" i="11" s="1"/>
  <c r="C2971" i="11" s="1"/>
  <c r="C2972" i="11" s="1"/>
  <c r="C2973" i="11" s="1"/>
  <c r="C2974" i="11" s="1"/>
  <c r="C2975" i="11" s="1"/>
  <c r="C2976" i="11" s="1"/>
  <c r="C2977" i="11" s="1"/>
  <c r="C2978" i="11" s="1"/>
  <c r="C2979" i="11" s="1"/>
  <c r="C2980" i="11" s="1"/>
  <c r="C2981" i="11" s="1"/>
  <c r="C2982" i="11" s="1"/>
  <c r="C2983" i="11" s="1"/>
  <c r="C2984" i="11" s="1"/>
  <c r="C2985" i="11" s="1"/>
  <c r="C2986" i="11" s="1"/>
  <c r="C2987" i="11" s="1"/>
  <c r="C2988" i="11" s="1"/>
  <c r="C2989" i="11" s="1"/>
  <c r="C2990" i="11" s="1"/>
  <c r="C2991" i="11" s="1"/>
  <c r="C2992" i="11" s="1"/>
  <c r="C2993" i="11" s="1"/>
  <c r="C2994" i="11" s="1"/>
  <c r="C2995" i="11" s="1"/>
  <c r="C2996" i="11" s="1"/>
  <c r="C2997" i="11" s="1"/>
  <c r="C2998" i="11" s="1"/>
  <c r="C2999" i="11" s="1"/>
  <c r="C3000" i="11" s="1"/>
  <c r="C3001" i="11" s="1"/>
  <c r="C3002" i="11" s="1"/>
  <c r="C3003" i="11" s="1"/>
  <c r="C3004" i="11" s="1"/>
  <c r="C3005" i="11" s="1"/>
  <c r="C3006" i="11" s="1"/>
  <c r="C3007" i="11" s="1"/>
  <c r="C3008" i="11" s="1"/>
  <c r="C3009" i="11" s="1"/>
  <c r="C3010" i="11" s="1"/>
  <c r="C3011" i="11" s="1"/>
  <c r="C3012" i="11" s="1"/>
  <c r="C3013" i="11" s="1"/>
  <c r="C3014" i="11" s="1"/>
  <c r="C3015" i="11" s="1"/>
  <c r="C3016" i="11" s="1"/>
  <c r="C3017" i="11" s="1"/>
  <c r="C3018" i="11" s="1"/>
  <c r="C3019" i="11" s="1"/>
  <c r="C3020" i="11" s="1"/>
  <c r="C3021" i="11" s="1"/>
  <c r="C3022" i="11" s="1"/>
  <c r="C3023" i="11" s="1"/>
  <c r="C3024" i="11" s="1"/>
  <c r="C3025" i="11" s="1"/>
  <c r="C3026" i="11" s="1"/>
  <c r="C3027" i="11" s="1"/>
  <c r="C3028" i="11" s="1"/>
  <c r="C3029" i="11" s="1"/>
  <c r="C3030" i="11" s="1"/>
  <c r="C3031" i="11" s="1"/>
  <c r="C3032" i="11" s="1"/>
  <c r="C3033" i="11" s="1"/>
  <c r="C3034" i="11" s="1"/>
  <c r="C3035" i="11" s="1"/>
  <c r="C3036" i="11" s="1"/>
  <c r="C3037" i="11" s="1"/>
  <c r="C3038" i="11" s="1"/>
  <c r="C3039" i="11" s="1"/>
  <c r="C3040" i="11" s="1"/>
  <c r="C3041" i="11" s="1"/>
  <c r="C3042" i="11" s="1"/>
  <c r="C3043" i="11" s="1"/>
  <c r="C3044" i="11" s="1"/>
  <c r="C3045" i="11" s="1"/>
  <c r="C3046" i="11" s="1"/>
  <c r="C3047" i="11" s="1"/>
  <c r="C3048" i="11" s="1"/>
  <c r="C3049" i="11" s="1"/>
  <c r="C3050" i="11" s="1"/>
  <c r="C3051" i="11" s="1"/>
  <c r="C3052" i="11" s="1"/>
  <c r="C3053" i="11" s="1"/>
  <c r="C3054" i="11" s="1"/>
  <c r="C3055" i="11" s="1"/>
  <c r="C3056" i="11" s="1"/>
  <c r="C3057" i="11" s="1"/>
  <c r="C3058" i="11" s="1"/>
  <c r="C3059" i="11" s="1"/>
  <c r="C3060" i="11" s="1"/>
  <c r="C3061" i="11" s="1"/>
  <c r="C3062" i="11" s="1"/>
  <c r="C3063" i="11" s="1"/>
  <c r="C3064" i="11" s="1"/>
  <c r="C3065" i="11" s="1"/>
  <c r="C3066" i="11" s="1"/>
  <c r="C3067" i="11" s="1"/>
  <c r="C3068" i="11" s="1"/>
  <c r="C3069" i="11" s="1"/>
  <c r="C3070" i="11" s="1"/>
  <c r="C3071" i="11" s="1"/>
  <c r="C3072" i="11" s="1"/>
  <c r="C3073" i="11" s="1"/>
  <c r="C3074" i="11" s="1"/>
  <c r="C3075" i="11" s="1"/>
  <c r="C3076" i="11" s="1"/>
  <c r="C3077" i="11" s="1"/>
  <c r="C3078" i="11" s="1"/>
  <c r="C3079" i="11" s="1"/>
  <c r="C3080" i="11" s="1"/>
  <c r="C3081" i="11" s="1"/>
  <c r="C3082" i="11" s="1"/>
  <c r="C3083" i="11" s="1"/>
  <c r="C3084" i="11" s="1"/>
  <c r="C3085" i="11" s="1"/>
  <c r="C3086" i="11" s="1"/>
  <c r="C3087" i="11" s="1"/>
  <c r="C3088" i="11" s="1"/>
  <c r="C3089" i="11" s="1"/>
  <c r="C3090" i="11" s="1"/>
  <c r="C3091" i="11" s="1"/>
  <c r="C3092" i="11" s="1"/>
  <c r="C3093" i="11" s="1"/>
  <c r="C3094" i="11" s="1"/>
  <c r="C3095" i="11" s="1"/>
  <c r="C3096" i="11" s="1"/>
  <c r="C3097" i="11" s="1"/>
  <c r="C3098" i="11" s="1"/>
  <c r="C3099" i="11" s="1"/>
  <c r="C3100" i="11" s="1"/>
  <c r="C3101" i="11" s="1"/>
  <c r="C3102" i="11" s="1"/>
  <c r="C3103" i="11" s="1"/>
  <c r="C3104" i="11" s="1"/>
  <c r="C3105" i="11" s="1"/>
  <c r="C3106" i="11" s="1"/>
  <c r="C3107" i="11" s="1"/>
  <c r="C3108" i="11" s="1"/>
  <c r="C3109" i="11" s="1"/>
  <c r="C3110" i="11" s="1"/>
  <c r="C3111" i="11" s="1"/>
  <c r="C3112" i="11" s="1"/>
  <c r="C3113" i="11" s="1"/>
  <c r="C3114" i="11" s="1"/>
  <c r="C3115" i="11" s="1"/>
  <c r="C3116" i="11" s="1"/>
  <c r="C3117" i="11" s="1"/>
  <c r="C3118" i="11" s="1"/>
  <c r="C3119" i="11" s="1"/>
  <c r="C3120" i="11" s="1"/>
  <c r="C3121" i="11" s="1"/>
  <c r="C3122" i="11" s="1"/>
  <c r="C3123" i="11" s="1"/>
  <c r="C3124" i="11" s="1"/>
  <c r="C3125" i="11" s="1"/>
  <c r="C3126" i="11" s="1"/>
  <c r="C3127" i="11" s="1"/>
  <c r="C3128" i="11" s="1"/>
  <c r="C3129" i="11" s="1"/>
  <c r="C3130" i="11" s="1"/>
  <c r="C3131" i="11" s="1"/>
  <c r="C3132" i="11" s="1"/>
  <c r="C3133" i="11" s="1"/>
  <c r="C3134" i="11" s="1"/>
  <c r="C3135" i="11" s="1"/>
  <c r="C3136" i="11" s="1"/>
  <c r="C3137" i="11" s="1"/>
  <c r="C3138" i="11" s="1"/>
  <c r="C3139" i="11" s="1"/>
  <c r="C3140" i="11" s="1"/>
  <c r="C3141" i="11" s="1"/>
  <c r="C3142" i="11" s="1"/>
  <c r="C3143" i="11" s="1"/>
  <c r="C3144" i="11" s="1"/>
  <c r="C3145" i="11" s="1"/>
  <c r="C3146" i="11" s="1"/>
  <c r="C3147" i="11" s="1"/>
  <c r="C3148" i="11" s="1"/>
  <c r="C3149" i="11" s="1"/>
  <c r="C3150" i="11" s="1"/>
  <c r="C3151" i="11" s="1"/>
  <c r="C3152" i="11" s="1"/>
  <c r="C3153" i="11" s="1"/>
  <c r="C3154" i="11" s="1"/>
  <c r="C3155" i="11" s="1"/>
  <c r="C3156" i="11" s="1"/>
  <c r="C3157" i="11" s="1"/>
  <c r="C3158" i="11" s="1"/>
  <c r="C3159" i="11" s="1"/>
  <c r="C3160" i="11" s="1"/>
  <c r="C3161" i="11" s="1"/>
  <c r="C3162" i="11" s="1"/>
  <c r="C3163" i="11" s="1"/>
  <c r="C3164" i="11" s="1"/>
  <c r="C3165" i="11" s="1"/>
  <c r="C3166" i="11" s="1"/>
  <c r="C3167" i="11" s="1"/>
  <c r="C3168" i="11" s="1"/>
  <c r="C3169" i="11" s="1"/>
  <c r="C3170" i="11" s="1"/>
  <c r="C3171" i="11" s="1"/>
  <c r="C3172" i="11" s="1"/>
  <c r="C3173" i="11" s="1"/>
  <c r="C3174" i="11" s="1"/>
  <c r="C3175" i="11" s="1"/>
  <c r="C3176" i="11" s="1"/>
  <c r="C3177" i="11" s="1"/>
  <c r="C3178" i="11" s="1"/>
  <c r="C3179" i="11" s="1"/>
  <c r="C3180" i="11" s="1"/>
  <c r="C3181" i="11" s="1"/>
  <c r="C3182" i="11" s="1"/>
  <c r="C3183" i="11" s="1"/>
  <c r="C3184" i="11" s="1"/>
  <c r="C3185" i="11" s="1"/>
  <c r="C3186" i="11" s="1"/>
  <c r="C3187" i="11" s="1"/>
  <c r="C3188" i="11" s="1"/>
  <c r="C3189" i="11" s="1"/>
  <c r="C3190" i="11" s="1"/>
  <c r="C3191" i="11" s="1"/>
  <c r="C3192" i="11" s="1"/>
  <c r="C3193" i="11" s="1"/>
  <c r="C3194" i="11" s="1"/>
  <c r="C3195" i="11" s="1"/>
  <c r="C3196" i="11" s="1"/>
  <c r="C3197" i="11" s="1"/>
  <c r="C3198" i="11" s="1"/>
  <c r="C3199" i="11" s="1"/>
  <c r="C3200" i="11" s="1"/>
  <c r="C3201" i="11" s="1"/>
  <c r="C3202" i="11" s="1"/>
  <c r="C3203" i="11" s="1"/>
  <c r="C3204" i="11" s="1"/>
  <c r="C3205" i="11" s="1"/>
  <c r="C3206" i="11" s="1"/>
  <c r="C3207" i="11" s="1"/>
  <c r="C3208" i="11" s="1"/>
  <c r="C3209" i="11" s="1"/>
  <c r="C3210" i="11" s="1"/>
  <c r="C3211" i="11" s="1"/>
  <c r="C3212" i="11" s="1"/>
  <c r="C3213" i="11" s="1"/>
  <c r="C3214" i="11" s="1"/>
  <c r="C3215" i="11" s="1"/>
  <c r="C3216" i="11" s="1"/>
  <c r="C3217" i="11" s="1"/>
  <c r="C3218" i="11" s="1"/>
  <c r="C3219" i="11" s="1"/>
  <c r="C3220" i="11" s="1"/>
  <c r="C3221" i="11" s="1"/>
  <c r="C3222" i="11" s="1"/>
  <c r="C3223" i="11" s="1"/>
  <c r="C3224" i="11" s="1"/>
  <c r="C3225" i="11" s="1"/>
  <c r="C3226" i="11" s="1"/>
  <c r="C3227" i="11" s="1"/>
  <c r="C3228" i="11" s="1"/>
  <c r="C3229" i="11" s="1"/>
  <c r="C3230" i="11" s="1"/>
  <c r="C3231" i="11" s="1"/>
  <c r="C3232" i="11" s="1"/>
  <c r="C3233" i="11" s="1"/>
  <c r="C3234" i="11" s="1"/>
  <c r="C3235" i="11" s="1"/>
  <c r="C3236" i="11" s="1"/>
  <c r="C3237" i="11" s="1"/>
  <c r="C3238" i="11" s="1"/>
  <c r="C3239" i="11" s="1"/>
  <c r="C3240" i="11" s="1"/>
  <c r="C3241" i="11" s="1"/>
  <c r="C3242" i="11" s="1"/>
  <c r="C3243" i="11" s="1"/>
  <c r="C3244" i="11" s="1"/>
  <c r="C3245" i="11" s="1"/>
  <c r="C3246" i="11" s="1"/>
  <c r="C3247" i="11" s="1"/>
  <c r="C3248" i="11" s="1"/>
  <c r="C3249" i="11" s="1"/>
  <c r="C3250" i="11" s="1"/>
  <c r="C3251" i="11" s="1"/>
  <c r="C3252" i="11" s="1"/>
  <c r="C3253" i="11" s="1"/>
  <c r="C3254" i="11" s="1"/>
  <c r="C3255" i="11" s="1"/>
  <c r="C3256" i="11" s="1"/>
  <c r="C3257" i="11" s="1"/>
  <c r="C3258" i="11" s="1"/>
  <c r="C3259" i="11" s="1"/>
  <c r="C3260" i="11" s="1"/>
  <c r="C3261" i="11" s="1"/>
  <c r="C3262" i="11" s="1"/>
  <c r="C3263" i="11" s="1"/>
  <c r="C3264" i="11" s="1"/>
  <c r="C3265" i="11" s="1"/>
  <c r="C3266" i="11" s="1"/>
  <c r="C3267" i="11" s="1"/>
  <c r="C3268" i="11" s="1"/>
  <c r="C3269" i="11" s="1"/>
  <c r="C3270" i="11" s="1"/>
  <c r="C3271" i="11" s="1"/>
  <c r="C3272" i="11" s="1"/>
  <c r="C3273" i="11" s="1"/>
  <c r="C3274" i="11" s="1"/>
  <c r="C3275" i="11" s="1"/>
  <c r="C3276" i="11" s="1"/>
  <c r="C3277" i="11" s="1"/>
  <c r="C3278" i="11" s="1"/>
  <c r="C3279" i="11" s="1"/>
  <c r="C3280" i="11" s="1"/>
  <c r="C3281" i="11" s="1"/>
  <c r="C3282" i="11" s="1"/>
  <c r="C3283" i="11" s="1"/>
  <c r="C3284" i="11" s="1"/>
  <c r="C3285" i="11" s="1"/>
  <c r="C3286" i="11" s="1"/>
  <c r="C3287" i="11" s="1"/>
  <c r="C3288" i="11" s="1"/>
  <c r="C3289" i="11" s="1"/>
  <c r="C3290" i="11" s="1"/>
  <c r="C3291" i="11" s="1"/>
  <c r="C3292" i="11" s="1"/>
  <c r="C3293" i="11" s="1"/>
  <c r="C3294" i="11" s="1"/>
  <c r="C3295" i="11" s="1"/>
  <c r="C3296" i="11" s="1"/>
  <c r="C3297" i="11" s="1"/>
  <c r="C3298" i="11" s="1"/>
  <c r="C3299" i="11" s="1"/>
  <c r="C3300" i="11" s="1"/>
  <c r="C3301" i="11" s="1"/>
  <c r="C3302" i="11" s="1"/>
  <c r="C3303" i="11" s="1"/>
  <c r="C3304" i="11" s="1"/>
  <c r="C3305" i="11" s="1"/>
  <c r="C3306" i="11" s="1"/>
  <c r="C3307" i="11" s="1"/>
  <c r="C3308" i="11" s="1"/>
  <c r="C3309" i="11" s="1"/>
  <c r="C3310" i="11" s="1"/>
  <c r="C3311" i="11" s="1"/>
  <c r="C3312" i="11" s="1"/>
  <c r="C3313" i="11" s="1"/>
  <c r="C3314" i="11" s="1"/>
  <c r="C3315" i="11" s="1"/>
  <c r="C3316" i="11" s="1"/>
  <c r="C3317" i="11" s="1"/>
  <c r="C3318" i="11" s="1"/>
  <c r="C3319" i="11" s="1"/>
  <c r="C3320" i="11" s="1"/>
  <c r="C3321" i="11" s="1"/>
  <c r="C3322" i="11" s="1"/>
  <c r="C3323" i="11" s="1"/>
  <c r="C3324" i="11" s="1"/>
  <c r="C3325" i="11" s="1"/>
  <c r="C3326" i="11" s="1"/>
  <c r="C3327" i="11" s="1"/>
  <c r="C3328" i="11" s="1"/>
  <c r="C3329" i="11" s="1"/>
  <c r="C3330" i="11" s="1"/>
  <c r="C3331" i="11" s="1"/>
  <c r="C3332" i="11" s="1"/>
  <c r="C3333" i="11" s="1"/>
  <c r="C3334" i="11" s="1"/>
  <c r="C3335" i="11" s="1"/>
  <c r="C3336" i="11" s="1"/>
  <c r="C3337" i="11" s="1"/>
  <c r="C3338" i="11" s="1"/>
  <c r="C3339" i="11" s="1"/>
  <c r="C3340" i="11" s="1"/>
  <c r="C3341" i="11" s="1"/>
  <c r="C3342" i="11" s="1"/>
  <c r="C3343" i="11" s="1"/>
  <c r="C3344" i="11" s="1"/>
  <c r="C3345" i="11" s="1"/>
  <c r="C3346" i="11" s="1"/>
  <c r="C3347" i="11" s="1"/>
  <c r="C3348" i="11" s="1"/>
  <c r="C3349" i="11" s="1"/>
  <c r="C3350" i="11" s="1"/>
  <c r="C3351" i="11" s="1"/>
  <c r="C3352" i="11" s="1"/>
  <c r="C3353" i="11" s="1"/>
  <c r="C3354" i="11" s="1"/>
  <c r="C3355" i="11" s="1"/>
  <c r="C3356" i="11" s="1"/>
  <c r="C3357" i="11" s="1"/>
  <c r="C3358" i="11" s="1"/>
  <c r="C3359" i="11" s="1"/>
  <c r="C3360" i="11" s="1"/>
  <c r="C3361" i="11" s="1"/>
  <c r="C3362" i="11" s="1"/>
  <c r="C3363" i="11" s="1"/>
  <c r="C3364" i="11" s="1"/>
  <c r="C3365" i="11" s="1"/>
  <c r="C3366" i="11" s="1"/>
  <c r="C3367" i="11" s="1"/>
  <c r="C3368" i="11" s="1"/>
  <c r="C3369" i="11" s="1"/>
  <c r="C3370" i="11" s="1"/>
  <c r="C3371" i="11" s="1"/>
  <c r="C3372" i="11" s="1"/>
  <c r="C3373" i="11" s="1"/>
  <c r="C3374" i="11" s="1"/>
  <c r="C3375" i="11" s="1"/>
  <c r="C3376" i="11" s="1"/>
  <c r="C3377" i="11" s="1"/>
  <c r="C3378" i="11" s="1"/>
  <c r="C3379" i="11" s="1"/>
  <c r="C3380" i="11" s="1"/>
  <c r="C3381" i="11" s="1"/>
  <c r="C3382" i="11" s="1"/>
  <c r="C3383" i="11" s="1"/>
  <c r="C3384" i="11" s="1"/>
  <c r="C3385" i="11" s="1"/>
  <c r="C3386" i="11" s="1"/>
  <c r="C3387" i="11" s="1"/>
  <c r="C3388" i="11" s="1"/>
  <c r="C3389" i="11" s="1"/>
  <c r="C3390" i="11" s="1"/>
  <c r="C3391" i="11" s="1"/>
  <c r="C3392" i="11" s="1"/>
  <c r="C3393" i="11" s="1"/>
  <c r="C3394" i="11" s="1"/>
  <c r="C3395" i="11" s="1"/>
  <c r="C3396" i="11" s="1"/>
  <c r="C3397" i="11" s="1"/>
  <c r="C3398" i="11" s="1"/>
  <c r="C3399" i="11" s="1"/>
  <c r="C3400" i="11" s="1"/>
  <c r="C3401" i="11" s="1"/>
  <c r="C3402" i="11" s="1"/>
  <c r="C3403" i="11" s="1"/>
  <c r="C3404" i="11" s="1"/>
  <c r="C3405" i="11" s="1"/>
  <c r="C3406" i="11" s="1"/>
  <c r="C3407" i="11" s="1"/>
  <c r="C3408" i="11" s="1"/>
  <c r="C3409" i="11" s="1"/>
  <c r="C3410" i="11" s="1"/>
  <c r="C3411" i="11" s="1"/>
  <c r="C3412" i="11" s="1"/>
  <c r="C3413" i="11" s="1"/>
  <c r="C3414" i="11" s="1"/>
  <c r="C3415" i="11" s="1"/>
  <c r="C3416" i="11" s="1"/>
  <c r="C3417" i="11" s="1"/>
  <c r="C3418" i="11" s="1"/>
  <c r="C3419" i="11" s="1"/>
  <c r="C3420" i="11" s="1"/>
  <c r="C3421" i="11" s="1"/>
  <c r="C3422" i="11" s="1"/>
  <c r="C3423" i="11" s="1"/>
  <c r="C3424" i="11" s="1"/>
  <c r="C3425" i="11" s="1"/>
  <c r="C3426" i="11" s="1"/>
  <c r="C3427" i="11" s="1"/>
  <c r="C3428" i="11" s="1"/>
  <c r="C3429" i="11" s="1"/>
  <c r="C3430" i="11" s="1"/>
  <c r="C3431" i="11" s="1"/>
  <c r="C3432" i="11" s="1"/>
  <c r="C3433" i="11" s="1"/>
  <c r="C3434" i="11" s="1"/>
  <c r="C3435" i="11" s="1"/>
  <c r="C3436" i="11" s="1"/>
  <c r="C3437" i="11" s="1"/>
  <c r="C3438" i="11" s="1"/>
  <c r="C3439" i="11" s="1"/>
  <c r="C3440" i="11" s="1"/>
  <c r="C3441" i="11" s="1"/>
  <c r="C3442" i="11" s="1"/>
  <c r="C3443" i="11" s="1"/>
  <c r="C3444" i="11" s="1"/>
  <c r="C3445" i="11" s="1"/>
  <c r="C3446" i="11" s="1"/>
  <c r="C3447" i="11" s="1"/>
  <c r="C3448" i="11" s="1"/>
  <c r="C3449" i="11" s="1"/>
  <c r="C3450" i="11" s="1"/>
  <c r="C3451" i="11" s="1"/>
  <c r="C3452" i="11" s="1"/>
  <c r="C3453" i="11" s="1"/>
  <c r="C3454" i="11" s="1"/>
  <c r="C3455" i="11" s="1"/>
  <c r="C3456" i="11" s="1"/>
  <c r="C3457" i="11" s="1"/>
  <c r="C3458" i="11" s="1"/>
  <c r="C3459" i="11" s="1"/>
  <c r="C3460" i="11" s="1"/>
  <c r="C3461" i="11" s="1"/>
  <c r="C3462" i="11" s="1"/>
  <c r="C3463" i="11" s="1"/>
  <c r="C3464" i="11" s="1"/>
  <c r="C3465" i="11" s="1"/>
  <c r="C3466" i="11" s="1"/>
  <c r="C3467" i="11" s="1"/>
  <c r="C3468" i="11" s="1"/>
  <c r="C3469" i="11" s="1"/>
  <c r="C3470" i="11" s="1"/>
  <c r="C3471" i="11" s="1"/>
  <c r="C3472" i="11" s="1"/>
  <c r="C3473" i="11" s="1"/>
  <c r="C3474" i="11" s="1"/>
  <c r="C3475" i="11" s="1"/>
  <c r="C3476" i="11" s="1"/>
  <c r="C3477" i="11" s="1"/>
  <c r="C3478" i="11" s="1"/>
  <c r="C3479" i="11" s="1"/>
  <c r="C3480" i="11" s="1"/>
  <c r="C3481" i="11" s="1"/>
  <c r="C3482" i="11" s="1"/>
  <c r="C3483" i="11" s="1"/>
  <c r="C3484" i="11" s="1"/>
  <c r="C3485" i="11" s="1"/>
  <c r="C3486" i="11" s="1"/>
  <c r="C3487" i="11" s="1"/>
  <c r="C3488" i="11" s="1"/>
  <c r="C3489" i="11" s="1"/>
  <c r="C3490" i="11" s="1"/>
  <c r="C3491" i="11" s="1"/>
  <c r="C3492" i="11" s="1"/>
  <c r="C3493" i="11" s="1"/>
  <c r="C3494" i="11" s="1"/>
  <c r="C3495" i="11" s="1"/>
  <c r="C3496" i="11" s="1"/>
  <c r="C3497" i="11" s="1"/>
  <c r="C3498" i="11" s="1"/>
  <c r="C3499" i="11" s="1"/>
  <c r="C3500" i="11" s="1"/>
  <c r="C3501" i="11" s="1"/>
  <c r="C3502" i="11" s="1"/>
  <c r="C3503" i="11" s="1"/>
  <c r="C3504" i="11" s="1"/>
  <c r="C3505" i="11" s="1"/>
  <c r="C3506" i="11" s="1"/>
  <c r="C3507" i="11" s="1"/>
  <c r="C3508" i="11" s="1"/>
  <c r="C3509" i="11" s="1"/>
  <c r="C3510" i="11" s="1"/>
  <c r="C3511" i="11" s="1"/>
  <c r="C3512" i="11" s="1"/>
  <c r="C3513" i="11" s="1"/>
  <c r="C3514" i="11" s="1"/>
  <c r="C3515" i="11" s="1"/>
  <c r="C3516" i="11" s="1"/>
  <c r="C3517" i="11" s="1"/>
  <c r="C3518" i="11" s="1"/>
  <c r="C3519" i="11" s="1"/>
  <c r="C3520" i="11" s="1"/>
  <c r="C3521" i="11" s="1"/>
  <c r="C3522" i="11" s="1"/>
  <c r="C3523" i="11" s="1"/>
  <c r="C3524" i="11" s="1"/>
  <c r="C3525" i="11" s="1"/>
  <c r="C3526" i="11" s="1"/>
  <c r="C3527" i="11" s="1"/>
  <c r="C3528" i="11" s="1"/>
  <c r="C3529" i="11" s="1"/>
  <c r="C3530" i="11" s="1"/>
  <c r="C3531" i="11" s="1"/>
  <c r="C3532" i="11" s="1"/>
  <c r="C3533" i="11" s="1"/>
  <c r="C3534" i="11" s="1"/>
  <c r="C3535" i="11" s="1"/>
  <c r="C3536" i="11" s="1"/>
  <c r="C3537" i="11" s="1"/>
  <c r="C3538" i="11" s="1"/>
  <c r="C3539" i="11" s="1"/>
  <c r="C3540" i="11" s="1"/>
  <c r="C3541" i="11" s="1"/>
  <c r="C3542" i="11" s="1"/>
  <c r="C3543" i="11" s="1"/>
  <c r="C3544" i="11" s="1"/>
  <c r="C3545" i="11" s="1"/>
  <c r="C3546" i="11" s="1"/>
  <c r="C3547" i="11" s="1"/>
  <c r="C3548" i="11" s="1"/>
  <c r="C3549" i="11" s="1"/>
  <c r="C3550" i="11" s="1"/>
  <c r="C3551" i="11" s="1"/>
  <c r="C3552" i="11" s="1"/>
  <c r="C3553" i="11" s="1"/>
  <c r="C3554" i="11" s="1"/>
  <c r="C3555" i="11" s="1"/>
  <c r="C3556" i="11" s="1"/>
  <c r="C3557" i="11" s="1"/>
  <c r="C3558" i="11" s="1"/>
  <c r="C3559" i="11" s="1"/>
  <c r="C3560" i="11" s="1"/>
  <c r="C3561" i="11" s="1"/>
  <c r="C3562" i="11" s="1"/>
  <c r="C3563" i="11" s="1"/>
  <c r="C3564" i="11" s="1"/>
  <c r="C3565" i="11" s="1"/>
  <c r="C3566" i="11" s="1"/>
  <c r="C3567" i="11" s="1"/>
  <c r="C3568" i="11" s="1"/>
  <c r="C3569" i="11" s="1"/>
  <c r="C3570" i="11" s="1"/>
  <c r="C3571" i="11" s="1"/>
  <c r="C3572" i="11" s="1"/>
  <c r="C3573" i="11" s="1"/>
  <c r="C3574" i="11" s="1"/>
  <c r="C3575" i="11" s="1"/>
  <c r="C3576" i="11" s="1"/>
  <c r="C3577" i="11" s="1"/>
  <c r="C3578" i="11" s="1"/>
  <c r="C3579" i="11" s="1"/>
  <c r="C3580" i="11" s="1"/>
  <c r="C3581" i="11" s="1"/>
  <c r="C3582" i="11" s="1"/>
  <c r="C3583" i="11" s="1"/>
  <c r="C3584" i="11" s="1"/>
  <c r="C3585" i="11" s="1"/>
  <c r="C3586" i="11" s="1"/>
  <c r="C3587" i="11" s="1"/>
  <c r="C3588" i="11" s="1"/>
  <c r="C3589" i="11" s="1"/>
  <c r="C3590" i="11" s="1"/>
  <c r="C3591" i="11" s="1"/>
  <c r="C3592" i="11" s="1"/>
  <c r="C3593" i="11" s="1"/>
  <c r="C3594" i="11" s="1"/>
  <c r="C3595" i="11" s="1"/>
  <c r="C3596" i="11" s="1"/>
  <c r="C3597" i="11" s="1"/>
  <c r="C3598" i="11" s="1"/>
  <c r="C3599" i="11" s="1"/>
  <c r="C3600" i="11" s="1"/>
  <c r="C3601" i="11" s="1"/>
  <c r="C3602" i="11" s="1"/>
  <c r="C3603" i="11" s="1"/>
  <c r="C3604" i="11" s="1"/>
  <c r="C3605" i="11" s="1"/>
  <c r="C3606" i="11" s="1"/>
  <c r="C3607" i="11" s="1"/>
  <c r="C3608" i="11" s="1"/>
  <c r="C3609" i="11" s="1"/>
  <c r="C3610" i="11" s="1"/>
  <c r="C3611" i="11" s="1"/>
  <c r="C3612" i="11" s="1"/>
  <c r="C3613" i="11" s="1"/>
  <c r="C3614" i="11" s="1"/>
  <c r="C3615" i="11" s="1"/>
  <c r="C3616" i="11" s="1"/>
  <c r="C3617" i="11" s="1"/>
  <c r="C3618" i="11" s="1"/>
  <c r="C3619" i="11" s="1"/>
  <c r="C3620" i="11" s="1"/>
  <c r="C3621" i="11" s="1"/>
  <c r="C3622" i="11" s="1"/>
  <c r="C3623" i="11" s="1"/>
  <c r="C3624" i="11" s="1"/>
  <c r="C3625" i="11" s="1"/>
  <c r="C3626" i="11" s="1"/>
  <c r="C3627" i="11" s="1"/>
  <c r="C3628" i="11" s="1"/>
  <c r="C3629" i="11" s="1"/>
  <c r="C3630" i="11" s="1"/>
  <c r="C3631" i="11" s="1"/>
  <c r="C3632" i="11" s="1"/>
  <c r="C3633" i="11" s="1"/>
  <c r="C3634" i="11" s="1"/>
  <c r="C3635" i="11" s="1"/>
  <c r="C3636" i="11" s="1"/>
  <c r="C3637" i="11" s="1"/>
  <c r="C3638" i="11" s="1"/>
  <c r="C3639" i="11" s="1"/>
  <c r="C3640" i="11" s="1"/>
  <c r="C3641" i="11" s="1"/>
  <c r="C3642" i="11" s="1"/>
  <c r="C3643" i="11" s="1"/>
  <c r="C3644" i="11" s="1"/>
  <c r="C3645" i="11" s="1"/>
  <c r="C3646" i="11" s="1"/>
  <c r="C3647" i="11" s="1"/>
  <c r="C3648" i="11" s="1"/>
  <c r="C3649" i="11" s="1"/>
  <c r="C3650" i="11" s="1"/>
  <c r="C3651" i="11" s="1"/>
  <c r="C3652" i="11" s="1"/>
  <c r="C3653" i="11" s="1"/>
  <c r="C3654" i="11" s="1"/>
  <c r="C3655" i="11" s="1"/>
  <c r="C3656" i="11" s="1"/>
  <c r="C3657" i="11" s="1"/>
  <c r="C3658" i="11" s="1"/>
  <c r="C3659" i="11" s="1"/>
  <c r="C3660" i="11" s="1"/>
  <c r="C3661" i="11" s="1"/>
  <c r="C3662" i="11" s="1"/>
  <c r="C3663" i="11" s="1"/>
  <c r="C3664" i="11" s="1"/>
  <c r="C3665" i="11" s="1"/>
  <c r="C3666" i="11" s="1"/>
  <c r="C3667" i="11" s="1"/>
  <c r="C3668" i="11" s="1"/>
  <c r="C3669" i="11" s="1"/>
  <c r="C3670" i="11" s="1"/>
  <c r="C3671" i="11" s="1"/>
  <c r="C3672" i="11" s="1"/>
  <c r="C3673" i="11" s="1"/>
  <c r="C3674" i="11" s="1"/>
  <c r="C3675" i="11" s="1"/>
  <c r="C3676" i="11" s="1"/>
  <c r="C3677" i="11" s="1"/>
  <c r="C3678" i="11" s="1"/>
  <c r="C3679" i="11" s="1"/>
  <c r="C3680" i="11" s="1"/>
  <c r="C3681" i="11" s="1"/>
  <c r="C3682" i="11" s="1"/>
  <c r="C3683" i="11" s="1"/>
  <c r="C3684" i="11" s="1"/>
  <c r="C3685" i="11" s="1"/>
  <c r="C3686" i="11" s="1"/>
  <c r="C3687" i="11" s="1"/>
  <c r="C3688" i="11" s="1"/>
  <c r="C3689" i="11" s="1"/>
  <c r="C3690" i="11" s="1"/>
  <c r="C3691" i="11" s="1"/>
  <c r="C3692" i="11" s="1"/>
  <c r="C3693" i="11" s="1"/>
  <c r="C3694" i="11" s="1"/>
  <c r="C3695" i="11" s="1"/>
  <c r="C3696" i="11" s="1"/>
  <c r="C3697" i="11" s="1"/>
  <c r="C3698" i="11" s="1"/>
  <c r="C3699" i="11" s="1"/>
  <c r="C3700" i="11" s="1"/>
  <c r="C3701" i="11" s="1"/>
  <c r="C3702" i="11" s="1"/>
  <c r="C3703" i="11" s="1"/>
  <c r="C3704" i="11" s="1"/>
  <c r="C3705" i="11" s="1"/>
  <c r="C3706" i="11" s="1"/>
  <c r="C3707" i="11" s="1"/>
  <c r="C3708" i="11" s="1"/>
  <c r="C3709" i="11" s="1"/>
  <c r="C3710" i="11" s="1"/>
  <c r="C3711" i="11" s="1"/>
  <c r="C3712" i="11" s="1"/>
  <c r="C3713" i="11" s="1"/>
  <c r="C3714" i="11" s="1"/>
  <c r="C3715" i="11" s="1"/>
  <c r="C3716" i="11" s="1"/>
  <c r="C3717" i="11" s="1"/>
  <c r="C3718" i="11" s="1"/>
  <c r="C3719" i="11" s="1"/>
  <c r="C3720" i="11" s="1"/>
  <c r="C3721" i="11" s="1"/>
  <c r="C3722" i="11" s="1"/>
  <c r="C3723" i="11" s="1"/>
  <c r="C3724" i="11" s="1"/>
  <c r="C3725" i="11" s="1"/>
  <c r="C3726" i="11" s="1"/>
  <c r="C3727" i="11" s="1"/>
  <c r="C3728" i="11" s="1"/>
  <c r="C3729" i="11" s="1"/>
  <c r="C3730" i="11" s="1"/>
  <c r="C3731" i="11" s="1"/>
  <c r="C3732" i="11" s="1"/>
  <c r="C3733" i="11" s="1"/>
  <c r="C3734" i="11" s="1"/>
  <c r="C3735" i="11" s="1"/>
  <c r="C3736" i="11" s="1"/>
  <c r="C3737" i="11" s="1"/>
  <c r="C3738" i="11" s="1"/>
  <c r="C3739" i="11" s="1"/>
  <c r="C3740" i="11" s="1"/>
  <c r="C3741" i="11" s="1"/>
  <c r="C3742" i="11" s="1"/>
  <c r="C3743" i="11" s="1"/>
  <c r="C3744" i="11" s="1"/>
  <c r="C3745" i="11" s="1"/>
  <c r="C3746" i="11" s="1"/>
  <c r="C3747" i="11" s="1"/>
  <c r="C3748" i="11" s="1"/>
  <c r="C3749" i="11" s="1"/>
  <c r="C3750" i="11" s="1"/>
  <c r="C3751" i="11" s="1"/>
  <c r="C3752" i="11" s="1"/>
  <c r="C3753" i="11" s="1"/>
  <c r="C3754" i="11" s="1"/>
  <c r="C3755" i="11" s="1"/>
  <c r="C3756" i="11" s="1"/>
  <c r="C3757" i="11" s="1"/>
  <c r="C3758" i="11" s="1"/>
  <c r="C3759" i="11" s="1"/>
  <c r="C3760" i="11" s="1"/>
  <c r="C3761" i="11" s="1"/>
  <c r="C3762" i="11" s="1"/>
  <c r="C3763" i="11" s="1"/>
  <c r="C3764" i="11" s="1"/>
  <c r="C3765" i="11" s="1"/>
  <c r="C3766" i="11" s="1"/>
  <c r="C3767" i="11" s="1"/>
  <c r="C3768" i="11" s="1"/>
  <c r="C3769" i="11" s="1"/>
  <c r="C3770" i="11" s="1"/>
  <c r="C3771" i="11" s="1"/>
  <c r="C3772" i="11" s="1"/>
  <c r="C3773" i="11" s="1"/>
  <c r="C3774" i="11" s="1"/>
  <c r="C3775" i="11" s="1"/>
  <c r="C3776" i="11" s="1"/>
  <c r="C3777" i="11" s="1"/>
  <c r="C3778" i="11" s="1"/>
  <c r="C3779" i="11" s="1"/>
  <c r="C3780" i="11" s="1"/>
  <c r="C3781" i="11" s="1"/>
  <c r="C3782" i="11" s="1"/>
  <c r="C3783" i="11" s="1"/>
  <c r="C3784" i="11" s="1"/>
  <c r="C3785" i="11" s="1"/>
  <c r="C3786" i="11" s="1"/>
  <c r="C3787" i="11" s="1"/>
  <c r="C3788" i="11" s="1"/>
  <c r="C3789" i="11" s="1"/>
  <c r="C3790" i="11" s="1"/>
  <c r="C3791" i="11" s="1"/>
  <c r="C3792" i="11" s="1"/>
  <c r="C3793" i="11" s="1"/>
  <c r="C3794" i="11" s="1"/>
  <c r="C3795" i="11" s="1"/>
  <c r="C3796" i="11" s="1"/>
  <c r="C3797" i="11" s="1"/>
  <c r="C3798" i="11" s="1"/>
  <c r="C3799" i="11" s="1"/>
  <c r="C3800" i="11" s="1"/>
  <c r="C3801" i="11" s="1"/>
  <c r="C3802" i="11" s="1"/>
  <c r="C3803" i="11" s="1"/>
  <c r="C3804" i="11" s="1"/>
  <c r="C3805" i="11" s="1"/>
  <c r="C3806" i="11" s="1"/>
  <c r="C3807" i="11" s="1"/>
  <c r="C3808" i="11" s="1"/>
  <c r="C3809" i="11" s="1"/>
  <c r="C3810" i="11" s="1"/>
  <c r="C3811" i="11" s="1"/>
  <c r="C3812" i="11" s="1"/>
  <c r="C3813" i="11" s="1"/>
  <c r="C3814" i="11" s="1"/>
  <c r="C3815" i="11" s="1"/>
  <c r="C3816" i="11" s="1"/>
  <c r="C3817" i="11" s="1"/>
  <c r="C3818" i="11" s="1"/>
  <c r="C3819" i="11" s="1"/>
  <c r="C3820" i="11" s="1"/>
  <c r="C3821" i="11" s="1"/>
  <c r="C3822" i="11" s="1"/>
  <c r="C3823" i="11" s="1"/>
  <c r="C3824" i="11" s="1"/>
  <c r="C3825" i="11" s="1"/>
  <c r="C3826" i="11" s="1"/>
  <c r="C3827" i="11" s="1"/>
  <c r="C3828" i="11" s="1"/>
  <c r="C3829" i="11" s="1"/>
  <c r="C3830" i="11" s="1"/>
  <c r="C3831" i="11" s="1"/>
  <c r="C3832" i="11" s="1"/>
  <c r="C3833" i="11" s="1"/>
  <c r="C3834" i="11" s="1"/>
  <c r="C3835" i="11" s="1"/>
  <c r="C3836" i="11" s="1"/>
  <c r="C3837" i="11" s="1"/>
  <c r="C3838" i="11" s="1"/>
  <c r="C3839" i="11" s="1"/>
  <c r="C3840" i="11" s="1"/>
  <c r="C3841" i="11" s="1"/>
  <c r="C3842" i="11" s="1"/>
  <c r="C3843" i="11" s="1"/>
  <c r="C3844" i="11" s="1"/>
  <c r="C3845" i="11" s="1"/>
  <c r="C3846" i="11" s="1"/>
  <c r="C3847" i="11" s="1"/>
  <c r="C3848" i="11" s="1"/>
  <c r="C3849" i="11" s="1"/>
  <c r="C3850" i="11" s="1"/>
  <c r="C3851" i="11" s="1"/>
  <c r="C3852" i="11" s="1"/>
  <c r="C3853" i="11" s="1"/>
  <c r="C3854" i="11" s="1"/>
  <c r="C3855" i="11" s="1"/>
  <c r="C3856" i="11" s="1"/>
  <c r="C3857" i="11" s="1"/>
  <c r="C3858" i="11" s="1"/>
  <c r="C3859" i="11" s="1"/>
  <c r="C3860" i="11" s="1"/>
  <c r="C3861" i="11" s="1"/>
  <c r="C3862" i="11" s="1"/>
  <c r="C3863" i="11" s="1"/>
  <c r="C3864" i="11" s="1"/>
  <c r="C3865" i="11" s="1"/>
  <c r="C3866" i="11" s="1"/>
  <c r="C3867" i="11" s="1"/>
  <c r="C3868" i="11" s="1"/>
  <c r="C3869" i="11" s="1"/>
  <c r="C3870" i="11" s="1"/>
  <c r="C3871" i="11" s="1"/>
  <c r="C3872" i="11" s="1"/>
  <c r="C3873" i="11" s="1"/>
  <c r="C3874" i="11" s="1"/>
  <c r="C3875" i="11" s="1"/>
  <c r="C3876" i="11" s="1"/>
  <c r="C3877" i="11" s="1"/>
  <c r="C3878" i="11" s="1"/>
  <c r="C3879" i="11" s="1"/>
  <c r="C3880" i="11" s="1"/>
  <c r="C3881" i="11" s="1"/>
  <c r="C3882" i="11" s="1"/>
  <c r="C3883" i="11" s="1"/>
  <c r="C3884" i="11" s="1"/>
  <c r="C3885" i="11" s="1"/>
  <c r="C3886" i="11" s="1"/>
  <c r="C3887" i="11" s="1"/>
  <c r="C3888" i="11" s="1"/>
  <c r="C3889" i="11" s="1"/>
  <c r="C3890" i="11" s="1"/>
  <c r="C3891" i="11" s="1"/>
  <c r="C3892" i="11" s="1"/>
  <c r="C3893" i="11" s="1"/>
  <c r="C3894" i="11" s="1"/>
  <c r="C3895" i="11" s="1"/>
  <c r="C3896" i="11" s="1"/>
  <c r="C3897" i="11" s="1"/>
  <c r="C3898" i="11" s="1"/>
  <c r="C3899" i="11" s="1"/>
  <c r="C3900" i="11" s="1"/>
  <c r="C3901" i="11" s="1"/>
  <c r="C3902" i="11" s="1"/>
  <c r="C3903" i="11" s="1"/>
  <c r="C3904" i="11" s="1"/>
  <c r="C3905" i="11" s="1"/>
  <c r="C3906" i="11" s="1"/>
  <c r="C3907" i="11" s="1"/>
  <c r="C3908" i="11" s="1"/>
  <c r="C3909" i="11" s="1"/>
  <c r="C3910" i="11" s="1"/>
  <c r="C3911" i="11" s="1"/>
  <c r="C3912" i="11" s="1"/>
  <c r="C3913" i="11" s="1"/>
  <c r="C3914" i="11" s="1"/>
  <c r="C3915" i="11" s="1"/>
  <c r="C3916" i="11" s="1"/>
  <c r="C3917" i="11" s="1"/>
  <c r="C3918" i="11" s="1"/>
  <c r="C3919" i="11" s="1"/>
  <c r="C3920" i="11" s="1"/>
  <c r="C3921" i="11" s="1"/>
  <c r="C3922" i="11" s="1"/>
  <c r="C3923" i="11" s="1"/>
  <c r="C3924" i="11" s="1"/>
  <c r="C3925" i="11" s="1"/>
  <c r="C3926" i="11" s="1"/>
  <c r="C3927" i="11" s="1"/>
  <c r="C3928" i="11" s="1"/>
  <c r="C3929" i="11" s="1"/>
  <c r="C3930" i="11" s="1"/>
  <c r="C3931" i="11" s="1"/>
  <c r="C3932" i="11" s="1"/>
  <c r="C3933" i="11" s="1"/>
  <c r="C3934" i="11" s="1"/>
  <c r="C3935" i="11" s="1"/>
  <c r="C3936" i="11" s="1"/>
  <c r="C3937" i="11" s="1"/>
  <c r="C3938" i="11" s="1"/>
  <c r="C3939" i="11" s="1"/>
  <c r="C3940" i="11" s="1"/>
  <c r="C3941" i="11" s="1"/>
  <c r="C3942" i="11" s="1"/>
  <c r="C3943" i="11" s="1"/>
  <c r="C3944" i="11" s="1"/>
  <c r="C3945" i="11" s="1"/>
  <c r="C3946" i="11" s="1"/>
  <c r="C3947" i="11" s="1"/>
  <c r="C3948" i="11" s="1"/>
  <c r="C3949" i="11" s="1"/>
  <c r="C3950" i="11" s="1"/>
  <c r="C3951" i="11" s="1"/>
  <c r="C3952" i="11" s="1"/>
  <c r="C3953" i="11" s="1"/>
  <c r="C3954" i="11" s="1"/>
  <c r="C3955" i="11" s="1"/>
  <c r="C3956" i="11" s="1"/>
  <c r="C3957" i="11" s="1"/>
  <c r="C3958" i="11" s="1"/>
  <c r="C3959" i="11" s="1"/>
  <c r="C3960" i="11" s="1"/>
  <c r="C3961" i="11" s="1"/>
  <c r="C3962" i="11" s="1"/>
  <c r="C3963" i="11" s="1"/>
  <c r="C3964" i="11" s="1"/>
  <c r="C3965" i="11" s="1"/>
  <c r="C3966" i="11" s="1"/>
  <c r="C3967" i="11" s="1"/>
  <c r="C3968" i="11" s="1"/>
  <c r="C3969" i="11" s="1"/>
  <c r="C3970" i="11" s="1"/>
  <c r="C3971" i="11" s="1"/>
  <c r="C3972" i="11" s="1"/>
  <c r="C3973" i="11" s="1"/>
  <c r="C3974" i="11" s="1"/>
  <c r="C3975" i="11" s="1"/>
  <c r="C3976" i="11" s="1"/>
  <c r="C3977" i="11" s="1"/>
  <c r="C3978" i="11" s="1"/>
  <c r="C3979" i="11" s="1"/>
  <c r="C3980" i="11" s="1"/>
  <c r="C3981" i="11" s="1"/>
  <c r="C3982" i="11" s="1"/>
  <c r="C3983" i="11" s="1"/>
  <c r="C3984" i="11" s="1"/>
  <c r="C3985" i="11" s="1"/>
  <c r="C3986" i="11" s="1"/>
  <c r="C3987" i="11" s="1"/>
  <c r="C3988" i="11" s="1"/>
  <c r="C3989" i="11" s="1"/>
  <c r="C3990" i="11" s="1"/>
  <c r="C3991" i="11" s="1"/>
  <c r="C3992" i="11" s="1"/>
  <c r="C3993" i="11" s="1"/>
  <c r="C3994" i="11" s="1"/>
  <c r="C3995" i="11" s="1"/>
  <c r="C3996" i="11" s="1"/>
  <c r="C3997" i="11" s="1"/>
  <c r="C3998" i="11" s="1"/>
  <c r="C3999" i="11" s="1"/>
  <c r="C4000" i="11" s="1"/>
  <c r="C4001" i="11" s="1"/>
  <c r="C4002" i="11" s="1"/>
  <c r="C4003" i="11" s="1"/>
  <c r="C4004" i="11" s="1"/>
  <c r="C4005" i="11" s="1"/>
  <c r="C4006" i="11" s="1"/>
  <c r="C4007" i="11" s="1"/>
  <c r="C4008" i="11" s="1"/>
  <c r="C4009" i="11" s="1"/>
  <c r="C4010" i="11" s="1"/>
  <c r="C4011" i="11" s="1"/>
  <c r="C4012" i="11" s="1"/>
  <c r="C4013" i="11" s="1"/>
  <c r="C4014" i="11" s="1"/>
  <c r="C4015" i="11" s="1"/>
  <c r="C4016" i="11" s="1"/>
  <c r="C4017" i="11" s="1"/>
  <c r="C4018" i="11" s="1"/>
  <c r="C4019" i="11" s="1"/>
  <c r="C4020" i="11" s="1"/>
  <c r="C4021" i="11" s="1"/>
  <c r="C4022" i="11" s="1"/>
  <c r="C4023" i="11" s="1"/>
  <c r="C4024" i="11" s="1"/>
  <c r="C4025" i="11" s="1"/>
  <c r="C4026" i="11" s="1"/>
  <c r="C4027" i="11" s="1"/>
  <c r="C4028" i="11" s="1"/>
  <c r="C4029" i="11" s="1"/>
  <c r="C4030" i="11" s="1"/>
  <c r="C4031" i="11" s="1"/>
  <c r="C4032" i="11" s="1"/>
  <c r="C4033" i="11" s="1"/>
  <c r="C4034" i="11" s="1"/>
  <c r="C4035" i="11" s="1"/>
  <c r="C4036" i="11" s="1"/>
  <c r="C4037" i="11" s="1"/>
  <c r="C4038" i="11" s="1"/>
  <c r="C4039" i="11" s="1"/>
  <c r="C4040" i="11" s="1"/>
  <c r="C4041" i="11" s="1"/>
  <c r="C4042" i="11" s="1"/>
  <c r="C4043" i="11" s="1"/>
  <c r="C4044" i="11" s="1"/>
  <c r="C4045" i="11" s="1"/>
  <c r="C4046" i="11" s="1"/>
  <c r="C4047" i="11" s="1"/>
  <c r="C4048" i="11" s="1"/>
  <c r="C4049" i="11" s="1"/>
  <c r="C4050" i="11" s="1"/>
  <c r="C4051" i="11" s="1"/>
  <c r="C4052" i="11" s="1"/>
  <c r="C4053" i="11" s="1"/>
  <c r="C4054" i="11" s="1"/>
  <c r="C4055" i="11" s="1"/>
  <c r="C4056" i="11" s="1"/>
  <c r="C4057" i="11" s="1"/>
  <c r="C4058" i="11" s="1"/>
  <c r="C4059" i="11" s="1"/>
  <c r="C4060" i="11" s="1"/>
  <c r="C4061" i="11" s="1"/>
  <c r="C4062" i="11" s="1"/>
  <c r="C4063" i="11" s="1"/>
  <c r="C4064" i="11" s="1"/>
  <c r="C4065" i="11" s="1"/>
  <c r="C4066" i="11" s="1"/>
  <c r="C4067" i="11" s="1"/>
  <c r="C4068" i="11" s="1"/>
  <c r="C4069" i="11" s="1"/>
  <c r="C4070" i="11" s="1"/>
  <c r="C4071" i="11" s="1"/>
  <c r="C4072" i="11" s="1"/>
  <c r="C4073" i="11" s="1"/>
  <c r="C4074" i="11" s="1"/>
  <c r="C4075" i="11" s="1"/>
  <c r="C4076" i="11" s="1"/>
  <c r="C4077" i="11" s="1"/>
  <c r="C4078" i="11" s="1"/>
  <c r="C4079" i="11" s="1"/>
  <c r="C4080" i="11" s="1"/>
  <c r="C4081" i="11" s="1"/>
  <c r="C4082" i="11" s="1"/>
  <c r="C4083" i="11" s="1"/>
  <c r="C4084" i="11" s="1"/>
  <c r="C4085" i="11" s="1"/>
  <c r="C4086" i="11" s="1"/>
  <c r="C4087" i="11" s="1"/>
  <c r="C4088" i="11" s="1"/>
  <c r="C4089" i="11" s="1"/>
  <c r="C4090" i="11" s="1"/>
  <c r="C4091" i="11" s="1"/>
  <c r="C4092" i="11" s="1"/>
  <c r="C4093" i="11" s="1"/>
  <c r="C4094" i="11" s="1"/>
  <c r="C4095" i="11" s="1"/>
  <c r="C4096" i="11" s="1"/>
  <c r="C4097" i="11" s="1"/>
  <c r="C4098" i="11" s="1"/>
  <c r="C4099" i="11" s="1"/>
  <c r="C4100" i="11" s="1"/>
  <c r="C4101" i="11" s="1"/>
  <c r="C4102" i="11" s="1"/>
  <c r="C4103" i="11" s="1"/>
  <c r="C4104" i="11" s="1"/>
  <c r="C4105" i="11" s="1"/>
  <c r="C4106" i="11" s="1"/>
  <c r="C4107" i="11" s="1"/>
  <c r="C4108" i="11" s="1"/>
  <c r="C4109" i="11" s="1"/>
  <c r="C4110" i="11" s="1"/>
  <c r="C4111" i="11" s="1"/>
  <c r="C4112" i="11" s="1"/>
  <c r="C4113" i="11" s="1"/>
  <c r="C4114" i="11" s="1"/>
  <c r="C4115" i="11" s="1"/>
  <c r="C4116" i="11" s="1"/>
  <c r="C4117" i="11" s="1"/>
  <c r="C4118" i="11" s="1"/>
  <c r="C4119" i="11" s="1"/>
  <c r="C4120" i="11" s="1"/>
  <c r="C4121" i="11" s="1"/>
  <c r="C4122" i="11" s="1"/>
  <c r="C4123" i="11" s="1"/>
  <c r="C4124" i="11" s="1"/>
  <c r="C4125" i="11" s="1"/>
  <c r="C4126" i="11" s="1"/>
  <c r="C4127" i="11" s="1"/>
  <c r="C4128" i="11" s="1"/>
  <c r="C4129" i="11" s="1"/>
  <c r="C4130" i="11" s="1"/>
  <c r="C4131" i="11" s="1"/>
  <c r="C4132" i="11" s="1"/>
  <c r="C4133" i="11" s="1"/>
  <c r="C4134" i="11" s="1"/>
  <c r="C4135" i="11" s="1"/>
  <c r="C4136" i="11" s="1"/>
  <c r="C4137" i="11" s="1"/>
  <c r="C4138" i="11" s="1"/>
  <c r="C4139" i="11" s="1"/>
  <c r="C4140" i="11" s="1"/>
  <c r="C4141" i="11" s="1"/>
  <c r="C4142" i="11" s="1"/>
  <c r="C4143" i="11" s="1"/>
  <c r="C4144" i="11" s="1"/>
  <c r="C4145" i="11" s="1"/>
  <c r="C4146" i="11" s="1"/>
  <c r="C4147" i="11" s="1"/>
  <c r="C4148" i="11" s="1"/>
  <c r="C4149" i="11" s="1"/>
  <c r="C4150" i="11" s="1"/>
  <c r="C4151" i="11" s="1"/>
  <c r="C4152" i="11" s="1"/>
  <c r="C4153" i="11" s="1"/>
  <c r="C4154" i="11" s="1"/>
  <c r="C4155" i="11" s="1"/>
  <c r="C4156" i="11" s="1"/>
  <c r="C4157" i="11" s="1"/>
  <c r="C4158" i="11" s="1"/>
  <c r="C4159" i="11" s="1"/>
  <c r="C4160" i="11" s="1"/>
  <c r="C4161" i="11" s="1"/>
  <c r="C4162" i="11" s="1"/>
  <c r="C4163" i="11" s="1"/>
  <c r="C4164" i="11" s="1"/>
  <c r="C4165" i="11" s="1"/>
  <c r="C4166" i="11" s="1"/>
  <c r="C4167" i="11" s="1"/>
  <c r="C4168" i="11" s="1"/>
  <c r="C4169" i="11" s="1"/>
  <c r="C4170" i="11" s="1"/>
  <c r="C4171" i="11" s="1"/>
  <c r="C4172" i="11" s="1"/>
  <c r="C4173" i="11" s="1"/>
  <c r="C4174" i="11" s="1"/>
  <c r="C4175" i="11" s="1"/>
  <c r="C4176" i="11" s="1"/>
  <c r="C4177" i="11" s="1"/>
  <c r="C4178" i="11" s="1"/>
  <c r="C4179" i="11" s="1"/>
  <c r="C4180" i="11" s="1"/>
  <c r="C4181" i="11" s="1"/>
  <c r="C4182" i="11" s="1"/>
  <c r="C4183" i="11" s="1"/>
  <c r="C4184" i="11" s="1"/>
  <c r="C4185" i="11" s="1"/>
  <c r="C4186" i="11" s="1"/>
  <c r="C4187" i="11" s="1"/>
  <c r="C4188" i="11" s="1"/>
  <c r="C4189" i="11" s="1"/>
  <c r="C4190" i="11" s="1"/>
  <c r="C4191" i="11" s="1"/>
  <c r="C4192" i="11" s="1"/>
  <c r="C4193" i="11" s="1"/>
  <c r="C4194" i="11" s="1"/>
  <c r="C4195" i="11" s="1"/>
  <c r="C4196" i="11" s="1"/>
  <c r="C4197" i="11" s="1"/>
  <c r="C4198" i="11" s="1"/>
  <c r="C4199" i="11" s="1"/>
  <c r="C4200" i="11" s="1"/>
  <c r="C4201" i="11" s="1"/>
  <c r="C4202" i="11" s="1"/>
  <c r="C4203" i="11" s="1"/>
  <c r="C4204" i="11" s="1"/>
  <c r="C4205" i="11" s="1"/>
  <c r="C4206" i="11" s="1"/>
  <c r="C4207" i="11" s="1"/>
  <c r="C4208" i="11" s="1"/>
  <c r="C4209" i="11" s="1"/>
  <c r="C4210" i="11" s="1"/>
  <c r="C4211" i="11" s="1"/>
  <c r="C4212" i="11" s="1"/>
  <c r="C4213" i="11" s="1"/>
  <c r="C4214" i="11" s="1"/>
  <c r="C4215" i="11" s="1"/>
  <c r="C4216" i="11" s="1"/>
  <c r="C4217" i="11" s="1"/>
  <c r="C4218" i="11" s="1"/>
  <c r="C4219" i="11" s="1"/>
  <c r="C4220" i="11" s="1"/>
  <c r="C4221" i="11" s="1"/>
  <c r="C4222" i="11" s="1"/>
  <c r="C4223" i="11" s="1"/>
  <c r="C4224" i="11" s="1"/>
  <c r="C4225" i="11" s="1"/>
  <c r="C4226" i="11" s="1"/>
  <c r="C4227" i="11" s="1"/>
  <c r="C4228" i="11" s="1"/>
  <c r="C4229" i="11" s="1"/>
  <c r="C4230" i="11" s="1"/>
  <c r="C4231" i="11" s="1"/>
  <c r="C4232" i="11" s="1"/>
  <c r="C4233" i="11" s="1"/>
  <c r="C4234" i="11" s="1"/>
  <c r="C4235" i="11" s="1"/>
  <c r="C4236" i="11" s="1"/>
  <c r="C4237" i="11" s="1"/>
  <c r="C4238" i="11" s="1"/>
  <c r="C4239" i="11" s="1"/>
  <c r="C4240" i="11" s="1"/>
  <c r="C4241" i="11" s="1"/>
  <c r="C4242" i="11" s="1"/>
  <c r="C4243" i="11" s="1"/>
  <c r="C4244" i="11" s="1"/>
  <c r="C4245" i="11" s="1"/>
  <c r="C4246" i="11" s="1"/>
  <c r="C4247" i="11" s="1"/>
  <c r="C4248" i="11" s="1"/>
  <c r="C4249" i="11" s="1"/>
  <c r="C4250" i="11" s="1"/>
  <c r="C4251" i="11" s="1"/>
  <c r="C4252" i="11" s="1"/>
  <c r="C4253" i="11" s="1"/>
  <c r="C4254" i="11" s="1"/>
  <c r="C4255" i="11" s="1"/>
  <c r="C4256" i="11" s="1"/>
  <c r="C4257" i="11" s="1"/>
  <c r="C4258" i="11" s="1"/>
  <c r="C4259" i="11" s="1"/>
  <c r="C4260" i="11" s="1"/>
  <c r="C4261" i="11" s="1"/>
  <c r="C4262" i="11" s="1"/>
  <c r="C4263" i="11" s="1"/>
  <c r="C4264" i="11" s="1"/>
  <c r="C4265" i="11" s="1"/>
  <c r="C4266" i="11" s="1"/>
  <c r="C4267" i="11" s="1"/>
  <c r="C4268" i="11" s="1"/>
  <c r="C4269" i="11" s="1"/>
  <c r="C4270" i="11" s="1"/>
  <c r="C4271" i="11" s="1"/>
  <c r="C4272" i="11" s="1"/>
  <c r="C4273" i="11" s="1"/>
  <c r="C4274" i="11" s="1"/>
  <c r="C4275" i="11" s="1"/>
  <c r="C4276" i="11" s="1"/>
  <c r="C4277" i="11" s="1"/>
  <c r="C4278" i="11" s="1"/>
  <c r="C4279" i="11" s="1"/>
  <c r="C4280" i="11" s="1"/>
  <c r="C4281" i="11" s="1"/>
  <c r="C4282" i="11" s="1"/>
  <c r="C4283" i="11" s="1"/>
  <c r="C4284" i="11" s="1"/>
  <c r="C4285" i="11" s="1"/>
  <c r="C4286" i="11" s="1"/>
  <c r="C4287" i="11" s="1"/>
  <c r="C4288" i="11" s="1"/>
  <c r="C4289" i="11" s="1"/>
  <c r="C4290" i="11" s="1"/>
  <c r="C4291" i="11" s="1"/>
  <c r="C4292" i="11" s="1"/>
  <c r="C4293" i="11" s="1"/>
  <c r="C4294" i="11" s="1"/>
  <c r="C4295" i="11" s="1"/>
  <c r="C4296" i="11" s="1"/>
  <c r="C4297" i="11" s="1"/>
  <c r="C4298" i="11" s="1"/>
  <c r="C4299" i="11" s="1"/>
  <c r="C4300" i="11" s="1"/>
  <c r="C4301" i="11" s="1"/>
  <c r="C4302" i="11" s="1"/>
  <c r="C4303" i="11" s="1"/>
  <c r="C4304" i="11" s="1"/>
  <c r="C4305" i="11" s="1"/>
  <c r="C4306" i="11" s="1"/>
  <c r="C4307" i="11" s="1"/>
  <c r="C4308" i="11" s="1"/>
  <c r="C4309" i="11" s="1"/>
  <c r="C4310" i="11" s="1"/>
  <c r="C4311" i="11" s="1"/>
  <c r="C4312" i="11" s="1"/>
  <c r="C4313" i="11" s="1"/>
  <c r="C4314" i="11" s="1"/>
  <c r="C4315" i="11" s="1"/>
  <c r="C4316" i="11" s="1"/>
  <c r="C4317" i="11" s="1"/>
  <c r="C4318" i="11" s="1"/>
  <c r="C4319" i="11" s="1"/>
  <c r="C4320" i="11" s="1"/>
  <c r="C4321" i="11" s="1"/>
  <c r="C4322" i="11" s="1"/>
  <c r="C4323" i="11" s="1"/>
  <c r="C4324" i="11" s="1"/>
  <c r="C4325" i="11" s="1"/>
  <c r="C4326" i="11" s="1"/>
  <c r="C4327" i="11" s="1"/>
  <c r="C4328" i="11" s="1"/>
  <c r="C4329" i="11" s="1"/>
  <c r="C4330" i="11" s="1"/>
  <c r="C4331" i="11" s="1"/>
  <c r="C4332" i="11" s="1"/>
  <c r="C4333" i="11" s="1"/>
  <c r="C4334" i="11" s="1"/>
  <c r="C4335" i="11" s="1"/>
  <c r="C4336" i="11" s="1"/>
  <c r="C4337" i="11" s="1"/>
  <c r="C4338" i="11" s="1"/>
  <c r="C4339" i="11" s="1"/>
  <c r="C4340" i="11" s="1"/>
  <c r="C4341" i="11" s="1"/>
  <c r="C4342" i="11" s="1"/>
  <c r="C4343" i="11" s="1"/>
  <c r="C4344" i="11" s="1"/>
  <c r="C4345" i="11" s="1"/>
  <c r="C4346" i="11" s="1"/>
  <c r="C4347" i="11" s="1"/>
  <c r="C4348" i="11" s="1"/>
  <c r="C4349" i="11" s="1"/>
  <c r="C4350" i="11" s="1"/>
  <c r="C4351" i="11" s="1"/>
  <c r="C4352" i="11" s="1"/>
  <c r="C4353" i="11" s="1"/>
  <c r="C4354" i="11" s="1"/>
  <c r="C4355" i="11" s="1"/>
  <c r="C4356" i="11" s="1"/>
  <c r="C4357" i="11" s="1"/>
  <c r="C4358" i="11" s="1"/>
  <c r="C4359" i="11" s="1"/>
  <c r="C4360" i="11" s="1"/>
  <c r="C4361" i="11" s="1"/>
  <c r="C4362" i="11" s="1"/>
  <c r="C4363" i="11" s="1"/>
  <c r="C4364" i="11" s="1"/>
  <c r="C4365" i="11" s="1"/>
  <c r="C4366" i="11" s="1"/>
  <c r="C4367" i="11" s="1"/>
  <c r="C4368" i="11" s="1"/>
  <c r="C4369" i="11" s="1"/>
  <c r="C4370" i="11" s="1"/>
  <c r="C4371" i="11" s="1"/>
  <c r="C4372" i="11" s="1"/>
  <c r="C4373" i="11" s="1"/>
  <c r="C4374" i="11" s="1"/>
  <c r="C4375" i="11" s="1"/>
  <c r="C4376" i="11" s="1"/>
  <c r="C4377" i="11" s="1"/>
  <c r="C4378" i="11" s="1"/>
  <c r="C4379" i="11" s="1"/>
  <c r="C4380" i="11" s="1"/>
  <c r="C4381" i="11" s="1"/>
  <c r="C4382" i="11" s="1"/>
  <c r="C4383" i="11" s="1"/>
  <c r="C4384" i="11" s="1"/>
  <c r="C4385" i="11" s="1"/>
  <c r="C4386" i="11" s="1"/>
  <c r="C4387" i="11" s="1"/>
  <c r="C4388" i="11" s="1"/>
  <c r="C4389" i="11" s="1"/>
  <c r="C4390" i="11" s="1"/>
  <c r="C4391" i="11" s="1"/>
  <c r="C4392" i="11" s="1"/>
  <c r="C4393" i="11" s="1"/>
  <c r="C4394" i="11" s="1"/>
  <c r="C4395" i="11" s="1"/>
  <c r="C4396" i="11" s="1"/>
  <c r="C4397" i="11" s="1"/>
  <c r="C4398" i="11" s="1"/>
  <c r="C4399" i="11" s="1"/>
  <c r="C4400" i="11" s="1"/>
  <c r="C4401" i="11" s="1"/>
  <c r="C4402" i="11" s="1"/>
  <c r="C4403" i="11" s="1"/>
  <c r="C4404" i="11" s="1"/>
  <c r="C4405" i="11" s="1"/>
  <c r="C4406" i="11" s="1"/>
  <c r="C4407" i="11" s="1"/>
  <c r="C4408" i="11" s="1"/>
  <c r="C4409" i="11" s="1"/>
  <c r="C4410" i="11" s="1"/>
  <c r="C4411" i="11" s="1"/>
  <c r="C4412" i="11" s="1"/>
  <c r="C4413" i="11" s="1"/>
  <c r="C4414" i="11" s="1"/>
  <c r="C4415" i="11" s="1"/>
  <c r="C4416" i="11" s="1"/>
  <c r="C4417" i="11" s="1"/>
  <c r="C4418" i="11" s="1"/>
  <c r="C4419" i="11" s="1"/>
  <c r="C4420" i="11" s="1"/>
  <c r="C4421" i="11" s="1"/>
  <c r="C4422" i="11" s="1"/>
  <c r="C4423" i="11" s="1"/>
  <c r="C4424" i="11" s="1"/>
  <c r="C4425" i="11" s="1"/>
  <c r="C4426" i="11" s="1"/>
  <c r="C4427" i="11" s="1"/>
  <c r="C4428" i="11" s="1"/>
  <c r="C4429" i="11" s="1"/>
  <c r="C4430" i="11" s="1"/>
  <c r="C4431" i="11" s="1"/>
  <c r="C4432" i="11" s="1"/>
  <c r="C4433" i="11" s="1"/>
  <c r="C4434" i="11" s="1"/>
  <c r="C4435" i="11" s="1"/>
  <c r="C4436" i="11" s="1"/>
  <c r="C4437" i="11" s="1"/>
  <c r="C4438" i="11" s="1"/>
  <c r="C4439" i="11" s="1"/>
  <c r="C4440" i="11" s="1"/>
  <c r="C4441" i="11" s="1"/>
  <c r="C4442" i="11" s="1"/>
  <c r="C4443" i="11" s="1"/>
  <c r="C4444" i="11" s="1"/>
  <c r="C4445" i="11" s="1"/>
  <c r="C4446" i="11" s="1"/>
  <c r="C4447" i="11" s="1"/>
  <c r="C4448" i="11" s="1"/>
  <c r="C4449" i="11" s="1"/>
  <c r="C4450" i="11" s="1"/>
  <c r="C4451" i="11" s="1"/>
  <c r="C4452" i="11" s="1"/>
  <c r="C4453" i="11" s="1"/>
  <c r="C4454" i="11" s="1"/>
  <c r="C4455" i="11" s="1"/>
  <c r="C4456" i="11" s="1"/>
  <c r="C4457" i="11" s="1"/>
  <c r="C4458" i="11" s="1"/>
  <c r="C4459" i="11" s="1"/>
  <c r="C4460" i="11" s="1"/>
  <c r="C4461" i="11" s="1"/>
  <c r="C4462" i="11" s="1"/>
  <c r="C4463" i="11" s="1"/>
  <c r="C4464" i="11" s="1"/>
  <c r="C4465" i="11" s="1"/>
  <c r="C4466" i="11" s="1"/>
  <c r="C4467" i="11" s="1"/>
  <c r="C4468" i="11" s="1"/>
  <c r="C4469" i="11" s="1"/>
  <c r="C4470" i="11" s="1"/>
  <c r="C4471" i="11" s="1"/>
  <c r="C4472" i="11" s="1"/>
  <c r="C4473" i="11" s="1"/>
  <c r="C4474" i="11" s="1"/>
  <c r="C4475" i="11" s="1"/>
  <c r="C4476" i="11" s="1"/>
  <c r="C4477" i="11" s="1"/>
  <c r="C4478" i="11" s="1"/>
  <c r="C4479" i="11" s="1"/>
  <c r="C4480" i="11" s="1"/>
  <c r="C4481" i="11" s="1"/>
  <c r="C4482" i="11" s="1"/>
  <c r="C4483" i="11" s="1"/>
  <c r="C4484" i="11" s="1"/>
  <c r="C4485" i="11" s="1"/>
  <c r="C4486" i="11" s="1"/>
  <c r="C4487" i="11" s="1"/>
  <c r="C4488" i="11" s="1"/>
  <c r="C4489" i="11" s="1"/>
  <c r="C4490" i="11" s="1"/>
  <c r="C4491" i="11" s="1"/>
  <c r="C4492" i="11" s="1"/>
  <c r="C4493" i="11" s="1"/>
  <c r="C4494" i="11" s="1"/>
  <c r="C4495" i="11" s="1"/>
  <c r="C4496" i="11" s="1"/>
  <c r="C4497" i="11" s="1"/>
  <c r="C4498" i="11" s="1"/>
  <c r="C4499" i="11" s="1"/>
  <c r="C4500" i="11" s="1"/>
  <c r="C4501" i="11" s="1"/>
  <c r="C4502" i="11" s="1"/>
  <c r="C4503" i="11" s="1"/>
  <c r="C4504" i="11" s="1"/>
  <c r="C4505" i="11" s="1"/>
  <c r="C4506" i="11" s="1"/>
  <c r="C4507" i="11" s="1"/>
  <c r="C4508" i="11" s="1"/>
  <c r="C4509" i="11" s="1"/>
  <c r="C4510" i="11" s="1"/>
  <c r="C4511" i="11" s="1"/>
  <c r="C4512" i="11" s="1"/>
  <c r="C4513" i="11" s="1"/>
  <c r="C4514" i="11" s="1"/>
  <c r="C4515" i="11" s="1"/>
  <c r="C4516" i="11" s="1"/>
  <c r="C4517" i="11" s="1"/>
  <c r="C4518" i="11" s="1"/>
  <c r="C4519" i="11" s="1"/>
  <c r="C4520" i="11" s="1"/>
  <c r="C4521" i="11" s="1"/>
  <c r="C4522" i="11" s="1"/>
  <c r="C4523" i="11" s="1"/>
  <c r="C4524" i="11" s="1"/>
  <c r="C4525" i="11" s="1"/>
  <c r="C4526" i="11" s="1"/>
  <c r="C4527" i="11" s="1"/>
  <c r="C4528" i="11" s="1"/>
  <c r="C4529" i="11" s="1"/>
  <c r="C4530" i="11" s="1"/>
  <c r="C4531" i="11" s="1"/>
  <c r="C4532" i="11" s="1"/>
  <c r="C4533" i="11" s="1"/>
  <c r="C4534" i="11" s="1"/>
  <c r="C4535" i="11" s="1"/>
  <c r="C4536" i="11" s="1"/>
  <c r="C4537" i="11" s="1"/>
  <c r="C4538" i="11" s="1"/>
  <c r="C4539" i="11" s="1"/>
  <c r="C4540" i="11" s="1"/>
  <c r="C4541" i="11" s="1"/>
  <c r="C4542" i="11" s="1"/>
  <c r="C4543" i="11" s="1"/>
  <c r="C4544" i="11" s="1"/>
  <c r="C4545" i="11" s="1"/>
  <c r="C4546" i="11" s="1"/>
  <c r="C4547" i="11" s="1"/>
  <c r="C4548" i="11" s="1"/>
  <c r="C4549" i="11" s="1"/>
  <c r="C4550" i="11" s="1"/>
  <c r="C4551" i="11" s="1"/>
  <c r="C4552" i="11" s="1"/>
  <c r="C4553" i="11" s="1"/>
  <c r="C4554" i="11" s="1"/>
  <c r="C4555" i="11" s="1"/>
  <c r="C4556" i="11" s="1"/>
  <c r="C4557" i="11" s="1"/>
  <c r="C4558" i="11" s="1"/>
  <c r="C4559" i="11" s="1"/>
  <c r="C4560" i="11" s="1"/>
  <c r="C4561" i="11" s="1"/>
  <c r="C4562" i="11" s="1"/>
  <c r="C4563" i="11" s="1"/>
  <c r="C4564" i="11" s="1"/>
  <c r="C4565" i="11" s="1"/>
  <c r="C4566" i="11" s="1"/>
  <c r="C4567" i="11" s="1"/>
  <c r="C4568" i="11" s="1"/>
  <c r="C4569" i="11" s="1"/>
  <c r="C4570" i="11" s="1"/>
  <c r="C4571" i="11" s="1"/>
  <c r="C4572" i="11" s="1"/>
  <c r="C4573" i="11" s="1"/>
  <c r="C4574" i="11" s="1"/>
  <c r="C4575" i="11" s="1"/>
  <c r="C4576" i="11" s="1"/>
  <c r="C4577" i="11" s="1"/>
  <c r="C4578" i="11" s="1"/>
  <c r="C4579" i="11" s="1"/>
  <c r="C4580" i="11" s="1"/>
  <c r="C4581" i="11" s="1"/>
  <c r="C4582" i="11" s="1"/>
  <c r="C4583" i="11" s="1"/>
  <c r="C4584" i="11" s="1"/>
  <c r="C4585" i="11" s="1"/>
  <c r="C4586" i="11" s="1"/>
  <c r="C4587" i="11" s="1"/>
  <c r="C4588" i="11" s="1"/>
  <c r="C4589" i="11" s="1"/>
  <c r="C4590" i="11" s="1"/>
  <c r="C4591" i="11" s="1"/>
  <c r="C4592" i="11" s="1"/>
  <c r="C4593" i="11" s="1"/>
  <c r="C4594" i="11" s="1"/>
  <c r="C4595" i="11" s="1"/>
  <c r="C4596" i="11" s="1"/>
  <c r="C4597" i="11" s="1"/>
  <c r="C4598" i="11" s="1"/>
  <c r="C4599" i="11" s="1"/>
  <c r="C4600" i="11" s="1"/>
  <c r="C4601" i="11" s="1"/>
  <c r="C4602" i="11" s="1"/>
  <c r="C4603" i="11" s="1"/>
  <c r="C4604" i="11" s="1"/>
  <c r="C4605" i="11" s="1"/>
  <c r="C4606" i="11" s="1"/>
  <c r="C4607" i="11" s="1"/>
  <c r="C4608" i="11" s="1"/>
  <c r="C4609" i="11" s="1"/>
  <c r="C4610" i="11" s="1"/>
  <c r="C4611" i="11" s="1"/>
  <c r="C4612" i="11" s="1"/>
  <c r="C4613" i="11" s="1"/>
  <c r="C4614" i="11" s="1"/>
  <c r="C4615" i="11" s="1"/>
  <c r="C4616" i="11" s="1"/>
  <c r="C4617" i="11" s="1"/>
  <c r="C4618" i="11" s="1"/>
  <c r="C4619" i="11" s="1"/>
  <c r="C4620" i="11" s="1"/>
  <c r="C4621" i="11" s="1"/>
  <c r="C4622" i="11" s="1"/>
  <c r="C4623" i="11" s="1"/>
  <c r="C4624" i="11" s="1"/>
  <c r="C4625" i="11" s="1"/>
  <c r="C4626" i="11" s="1"/>
  <c r="C4627" i="11" s="1"/>
  <c r="C4628" i="11" s="1"/>
  <c r="C4629" i="11" s="1"/>
  <c r="C4630" i="11" s="1"/>
  <c r="C4631" i="11" s="1"/>
  <c r="C4632" i="11" s="1"/>
  <c r="C4633" i="11" s="1"/>
  <c r="C4634" i="11" s="1"/>
  <c r="C4635" i="11" s="1"/>
  <c r="C4636" i="11" s="1"/>
  <c r="C4637" i="11" s="1"/>
  <c r="C4638" i="11" s="1"/>
  <c r="C4639" i="11" s="1"/>
  <c r="C4640" i="11" s="1"/>
  <c r="C4641" i="11" s="1"/>
  <c r="C4642" i="11" s="1"/>
  <c r="C4643" i="11" s="1"/>
  <c r="C4644" i="11" s="1"/>
  <c r="C4645" i="11" s="1"/>
  <c r="C4646" i="11" s="1"/>
  <c r="C4647" i="11" s="1"/>
  <c r="C4648" i="11" s="1"/>
  <c r="C4649" i="11" s="1"/>
  <c r="C4650" i="11" s="1"/>
  <c r="C4651" i="11" s="1"/>
  <c r="C4652" i="11" s="1"/>
  <c r="C4653" i="11" s="1"/>
  <c r="C4654" i="11" s="1"/>
  <c r="C4655" i="11" s="1"/>
  <c r="C4656" i="11" s="1"/>
  <c r="C4657" i="11" s="1"/>
  <c r="C4658" i="11" s="1"/>
  <c r="C4659" i="11" s="1"/>
  <c r="C4660" i="11" s="1"/>
  <c r="C4661" i="11" s="1"/>
  <c r="C4662" i="11" s="1"/>
  <c r="C4663" i="11" s="1"/>
  <c r="C4664" i="11" s="1"/>
  <c r="C4665" i="11" s="1"/>
  <c r="C4666" i="11" s="1"/>
  <c r="C4667" i="11" s="1"/>
  <c r="C4668" i="11" s="1"/>
  <c r="C4669" i="11" s="1"/>
  <c r="C4670" i="11" s="1"/>
  <c r="C4671" i="11" s="1"/>
  <c r="C4672" i="11" s="1"/>
  <c r="C4673" i="11" s="1"/>
  <c r="C4674" i="11" s="1"/>
  <c r="C4675" i="11" s="1"/>
  <c r="C4676" i="11" s="1"/>
  <c r="C4677" i="11" s="1"/>
  <c r="C4678" i="11" s="1"/>
  <c r="C4679" i="11" s="1"/>
  <c r="C4680" i="11" s="1"/>
  <c r="C4681" i="11" s="1"/>
  <c r="C4682" i="11" s="1"/>
  <c r="C4683" i="11" s="1"/>
  <c r="C4684" i="11" s="1"/>
  <c r="C4685" i="11" s="1"/>
  <c r="C4686" i="11" s="1"/>
  <c r="C4687" i="11" s="1"/>
  <c r="C4688" i="11" s="1"/>
  <c r="C4689" i="11" s="1"/>
  <c r="C4690" i="11" s="1"/>
  <c r="C4691" i="11" s="1"/>
  <c r="C4692" i="11" s="1"/>
  <c r="C4693" i="11" s="1"/>
  <c r="C4694" i="11" s="1"/>
  <c r="C4695" i="11" s="1"/>
  <c r="C4696" i="11" s="1"/>
  <c r="C4697" i="11" s="1"/>
  <c r="C4698" i="11" s="1"/>
  <c r="C4699" i="11" s="1"/>
  <c r="C4700" i="11" s="1"/>
  <c r="C4701" i="11" s="1"/>
  <c r="C4702" i="11" s="1"/>
  <c r="C4703" i="11" s="1"/>
  <c r="C4704" i="11" s="1"/>
  <c r="C4705" i="11" s="1"/>
  <c r="C4706" i="11" s="1"/>
  <c r="C4707" i="11" s="1"/>
  <c r="C4708" i="11" s="1"/>
  <c r="C4709" i="11" s="1"/>
  <c r="C4710" i="11" s="1"/>
  <c r="C4711" i="11" s="1"/>
  <c r="C4712" i="11" s="1"/>
  <c r="C4713" i="11" s="1"/>
  <c r="C4714" i="11" s="1"/>
  <c r="C4715" i="11" s="1"/>
  <c r="C4716" i="11" s="1"/>
  <c r="C4717" i="11" s="1"/>
  <c r="C4718" i="11" s="1"/>
  <c r="C4719" i="11" s="1"/>
  <c r="C4720" i="11" s="1"/>
  <c r="C4721" i="11" s="1"/>
  <c r="C4722" i="11" s="1"/>
  <c r="C4723" i="11" s="1"/>
  <c r="C4724" i="11" s="1"/>
  <c r="C4725" i="11" s="1"/>
  <c r="C4726" i="11" s="1"/>
  <c r="C4727" i="11" s="1"/>
  <c r="C4728" i="11" s="1"/>
  <c r="C4729" i="11" s="1"/>
  <c r="C4730" i="11" s="1"/>
  <c r="C4731" i="11" s="1"/>
  <c r="C4732" i="11" s="1"/>
  <c r="C4733" i="11" s="1"/>
  <c r="C4734" i="11" s="1"/>
  <c r="C4735" i="11" s="1"/>
  <c r="C4736" i="11" s="1"/>
  <c r="C4737" i="11" s="1"/>
  <c r="C4738" i="11" s="1"/>
  <c r="C4739" i="11" s="1"/>
  <c r="C4740" i="11" s="1"/>
  <c r="C4741" i="11" s="1"/>
  <c r="C4742" i="11" s="1"/>
  <c r="C4743" i="11" s="1"/>
  <c r="C4744" i="11" s="1"/>
  <c r="C4745" i="11" s="1"/>
  <c r="C4746" i="11" s="1"/>
  <c r="C4747" i="11" s="1"/>
  <c r="C4748" i="11" s="1"/>
  <c r="C4749" i="11" s="1"/>
  <c r="C4750" i="11" s="1"/>
  <c r="C4751" i="11" s="1"/>
  <c r="C4752" i="11" s="1"/>
  <c r="C4753" i="11" s="1"/>
  <c r="C4754" i="11" s="1"/>
  <c r="C4755" i="11" s="1"/>
  <c r="C4756" i="11" s="1"/>
  <c r="C4757" i="11" s="1"/>
  <c r="C4758" i="11" s="1"/>
  <c r="C4759" i="11" s="1"/>
  <c r="C4760" i="11" s="1"/>
  <c r="C4761" i="11" s="1"/>
  <c r="C4762" i="11" s="1"/>
  <c r="C4763" i="11" s="1"/>
  <c r="C4764" i="11" s="1"/>
  <c r="C4765" i="11" s="1"/>
  <c r="C4766" i="11" s="1"/>
  <c r="C4767" i="11" s="1"/>
  <c r="C4768" i="11" s="1"/>
  <c r="C4769" i="11" s="1"/>
  <c r="C4770" i="11" s="1"/>
  <c r="C4771" i="11" s="1"/>
  <c r="C4772" i="11" s="1"/>
  <c r="C4773" i="11" s="1"/>
  <c r="C4774" i="11" s="1"/>
  <c r="C4775" i="11" s="1"/>
  <c r="C4776" i="11" s="1"/>
  <c r="C4777" i="11" s="1"/>
  <c r="C4778" i="11" s="1"/>
  <c r="C4779" i="11" s="1"/>
  <c r="C4780" i="11" s="1"/>
  <c r="C4781" i="11" s="1"/>
  <c r="C4782" i="11" s="1"/>
  <c r="C4783" i="11" s="1"/>
  <c r="C4784" i="11" s="1"/>
  <c r="C4785" i="11" s="1"/>
  <c r="C4786" i="11" s="1"/>
  <c r="C4787" i="11" s="1"/>
  <c r="C4788" i="11" s="1"/>
  <c r="C4789" i="11" s="1"/>
  <c r="C4790" i="11" s="1"/>
  <c r="C4791" i="11" s="1"/>
  <c r="C4792" i="11" s="1"/>
  <c r="C4793" i="11" s="1"/>
  <c r="C4794" i="11" s="1"/>
  <c r="C4795" i="11" s="1"/>
  <c r="C4796" i="11" s="1"/>
  <c r="C4797" i="11" s="1"/>
  <c r="C4798" i="11" s="1"/>
  <c r="C4799" i="11" s="1"/>
  <c r="C4800" i="11" s="1"/>
  <c r="C4801" i="11" s="1"/>
  <c r="C4802" i="11" s="1"/>
  <c r="C4803" i="11" s="1"/>
  <c r="C4804" i="11" s="1"/>
  <c r="C4805" i="11" s="1"/>
  <c r="C4806" i="11" s="1"/>
  <c r="C4807" i="11" s="1"/>
  <c r="C4808" i="11" s="1"/>
  <c r="C4809" i="11" s="1"/>
  <c r="C4810" i="11" s="1"/>
  <c r="C4811" i="11" s="1"/>
  <c r="C4812" i="11" s="1"/>
  <c r="C4813" i="11" s="1"/>
  <c r="C4814" i="11" s="1"/>
  <c r="C4815" i="11" s="1"/>
  <c r="C4816" i="11" s="1"/>
  <c r="C4817" i="11" s="1"/>
  <c r="C4818" i="11" s="1"/>
  <c r="C4819" i="11" s="1"/>
  <c r="C4820" i="11" s="1"/>
  <c r="C4821" i="11" s="1"/>
  <c r="C4822" i="11" s="1"/>
  <c r="C4823" i="11" s="1"/>
  <c r="C4824" i="11" s="1"/>
  <c r="C4825" i="11" s="1"/>
  <c r="C4826" i="11" s="1"/>
  <c r="C4827" i="11" s="1"/>
  <c r="C4828" i="11" s="1"/>
  <c r="C4829" i="11" s="1"/>
  <c r="C4830" i="11" s="1"/>
  <c r="C4831" i="11" s="1"/>
  <c r="C4832" i="11" s="1"/>
  <c r="C4833" i="11" s="1"/>
  <c r="C4834" i="11" s="1"/>
  <c r="C4835" i="11" s="1"/>
  <c r="C4836" i="11" s="1"/>
  <c r="C4837" i="11" s="1"/>
  <c r="C4838" i="11" s="1"/>
  <c r="C4839" i="11" s="1"/>
  <c r="C4840" i="11" s="1"/>
  <c r="C4841" i="11" s="1"/>
  <c r="C4842" i="11" s="1"/>
  <c r="C4843" i="11" s="1"/>
  <c r="C4844" i="11" s="1"/>
  <c r="C4845" i="11" s="1"/>
  <c r="C4846" i="11" s="1"/>
  <c r="C4847" i="11" s="1"/>
  <c r="C4848" i="11" s="1"/>
  <c r="C4849" i="11" s="1"/>
  <c r="C4850" i="11" s="1"/>
  <c r="C4851" i="11" s="1"/>
  <c r="C4852" i="11" s="1"/>
  <c r="C4853" i="11" s="1"/>
  <c r="C4854" i="11" s="1"/>
  <c r="C4855" i="11" s="1"/>
  <c r="C4856" i="11" s="1"/>
  <c r="C4857" i="11" s="1"/>
  <c r="C4858" i="11" s="1"/>
  <c r="C4859" i="11" s="1"/>
  <c r="C4860" i="11" s="1"/>
  <c r="C4861" i="11" s="1"/>
  <c r="C4862" i="11" s="1"/>
  <c r="C4863" i="11" s="1"/>
  <c r="C4864" i="11" s="1"/>
  <c r="C4865" i="11" s="1"/>
  <c r="C4866" i="11" s="1"/>
  <c r="C4867" i="11" s="1"/>
  <c r="C4868" i="11" s="1"/>
  <c r="C4869" i="11" s="1"/>
  <c r="C4870" i="11" s="1"/>
  <c r="C4871" i="11" s="1"/>
  <c r="C4872" i="11" s="1"/>
  <c r="C4873" i="11" s="1"/>
  <c r="C4874" i="11" s="1"/>
  <c r="C4875" i="11" s="1"/>
  <c r="C4876" i="11" s="1"/>
  <c r="C4877" i="11" s="1"/>
  <c r="C4878" i="11" s="1"/>
  <c r="C4879" i="11" s="1"/>
  <c r="C4880" i="11" s="1"/>
  <c r="C4881" i="11" s="1"/>
  <c r="C4882" i="11" s="1"/>
  <c r="C4883" i="11" s="1"/>
  <c r="C4884" i="11" s="1"/>
  <c r="C4885" i="11" s="1"/>
  <c r="C4886" i="11" s="1"/>
  <c r="C4887" i="11" s="1"/>
  <c r="C4888" i="11" s="1"/>
  <c r="C4889" i="11" s="1"/>
  <c r="C4890" i="11" s="1"/>
  <c r="C4891" i="11" s="1"/>
  <c r="C4892" i="11" s="1"/>
  <c r="C4893" i="11" s="1"/>
  <c r="C4894" i="11" s="1"/>
  <c r="C4895" i="11" s="1"/>
  <c r="C4896" i="11" s="1"/>
  <c r="C4897" i="11" s="1"/>
  <c r="C4898" i="11" s="1"/>
  <c r="C4899" i="11" s="1"/>
  <c r="C4900" i="11" s="1"/>
  <c r="C4901" i="11" s="1"/>
  <c r="C4902" i="11" s="1"/>
  <c r="C4903" i="11" s="1"/>
  <c r="C4904" i="11" s="1"/>
  <c r="C4905" i="11" s="1"/>
  <c r="C4906" i="11" s="1"/>
  <c r="C4907" i="11" s="1"/>
  <c r="C4908" i="11" s="1"/>
  <c r="C4909" i="11" s="1"/>
  <c r="C4910" i="11" s="1"/>
  <c r="C4911" i="11" s="1"/>
  <c r="C4912" i="11" s="1"/>
  <c r="C4913" i="11" s="1"/>
  <c r="C4914" i="11" s="1"/>
  <c r="C4915" i="11" s="1"/>
  <c r="C4916" i="11" s="1"/>
  <c r="C4917" i="11" s="1"/>
  <c r="C4918" i="11" s="1"/>
  <c r="C4919" i="11" s="1"/>
  <c r="C4920" i="11" s="1"/>
  <c r="C4921" i="11" s="1"/>
  <c r="C4922" i="11" s="1"/>
  <c r="C4923" i="11" s="1"/>
  <c r="C4924" i="11" s="1"/>
  <c r="C4925" i="11" s="1"/>
  <c r="C4926" i="11" s="1"/>
  <c r="C4927" i="11" s="1"/>
  <c r="C4928" i="11" s="1"/>
  <c r="C4929" i="11" s="1"/>
  <c r="C4930" i="11" s="1"/>
  <c r="C4931" i="11" s="1"/>
  <c r="C4932" i="11" s="1"/>
  <c r="C4933" i="11" s="1"/>
  <c r="C4934" i="11" s="1"/>
  <c r="C4935" i="11" s="1"/>
  <c r="C4936" i="11" s="1"/>
  <c r="C4937" i="11" s="1"/>
  <c r="C4938" i="11" s="1"/>
  <c r="C4939" i="11" s="1"/>
  <c r="C4940" i="11" s="1"/>
  <c r="C4941" i="11" s="1"/>
  <c r="C4942" i="11" s="1"/>
  <c r="C4943" i="11" s="1"/>
  <c r="C4944" i="11" s="1"/>
  <c r="C4945" i="11" s="1"/>
  <c r="C4946" i="11" s="1"/>
  <c r="C4947" i="11" s="1"/>
  <c r="C4948" i="11" s="1"/>
  <c r="C4949" i="11" s="1"/>
  <c r="C4950" i="11" s="1"/>
  <c r="C4951" i="11" s="1"/>
  <c r="C4952" i="11" s="1"/>
  <c r="C4953" i="11" s="1"/>
  <c r="C4954" i="11" s="1"/>
  <c r="C4955" i="11" s="1"/>
  <c r="C4956" i="11" s="1"/>
  <c r="C4957" i="11" s="1"/>
  <c r="C4958" i="11" s="1"/>
  <c r="C4959" i="11" s="1"/>
  <c r="C4960" i="11" s="1"/>
  <c r="C4961" i="11" s="1"/>
  <c r="C4962" i="11" s="1"/>
  <c r="C4963" i="11" s="1"/>
  <c r="C4964" i="11" s="1"/>
  <c r="C4965" i="11" s="1"/>
  <c r="C4966" i="11" s="1"/>
  <c r="C4967" i="11" s="1"/>
  <c r="C4968" i="11" s="1"/>
  <c r="C4969" i="11" s="1"/>
  <c r="C4970" i="11" s="1"/>
  <c r="C4971" i="11" s="1"/>
  <c r="C4972" i="11" s="1"/>
  <c r="C4973" i="11" s="1"/>
  <c r="C4974" i="11" s="1"/>
  <c r="C4975" i="11" s="1"/>
  <c r="C4976" i="11" s="1"/>
  <c r="C4977" i="11" s="1"/>
  <c r="C4978" i="11" s="1"/>
  <c r="C4979" i="11" s="1"/>
  <c r="C4980" i="11" s="1"/>
  <c r="C4981" i="11" s="1"/>
  <c r="C4982" i="11" s="1"/>
  <c r="C4983" i="11" s="1"/>
  <c r="C4984" i="11" s="1"/>
  <c r="C4985" i="11" s="1"/>
  <c r="C4986" i="11" s="1"/>
  <c r="C4987" i="11" s="1"/>
  <c r="C4988" i="11" s="1"/>
  <c r="C4989" i="11" s="1"/>
  <c r="C4990" i="11" s="1"/>
  <c r="C4991" i="11" s="1"/>
  <c r="C4992" i="11" s="1"/>
  <c r="C4993" i="11" s="1"/>
  <c r="C4994" i="11" s="1"/>
  <c r="C4995" i="11" s="1"/>
  <c r="C4996" i="11" s="1"/>
  <c r="C4997" i="11" s="1"/>
  <c r="C4998" i="11" s="1"/>
  <c r="C4999" i="11" s="1"/>
  <c r="C5000" i="11" s="1"/>
  <c r="C5001" i="11" s="1"/>
  <c r="C5002" i="11" s="1"/>
  <c r="C5003" i="11" s="1"/>
  <c r="C5004" i="11" s="1"/>
  <c r="C5" i="11"/>
  <c r="C4" i="11"/>
  <c r="C15" i="10"/>
  <c r="J4" i="10"/>
  <c r="F10" i="3"/>
  <c r="G10" i="3"/>
  <c r="J10" i="3"/>
  <c r="D13" i="8"/>
  <c r="D11" i="7"/>
  <c r="B49" i="3" l="1"/>
  <c r="B50" i="3" s="1"/>
  <c r="B48" i="3"/>
  <c r="B47" i="3"/>
  <c r="D21" i="3"/>
  <c r="C11" i="4"/>
  <c r="G13" i="3" l="1"/>
  <c r="I15" i="3"/>
  <c r="I29" i="3" s="1"/>
  <c r="G20" i="3"/>
  <c r="J20" i="3" s="1"/>
  <c r="G24" i="3"/>
  <c r="J24" i="3" s="1"/>
  <c r="I26" i="3"/>
  <c r="J32" i="3"/>
  <c r="K32" i="3" s="1"/>
  <c r="L32" i="3" s="1"/>
  <c r="M32" i="3" s="1"/>
  <c r="N32" i="3" s="1"/>
  <c r="K20" i="3" l="1"/>
  <c r="D14" i="8"/>
  <c r="D11" i="9"/>
  <c r="D13" i="7"/>
  <c r="J26" i="3"/>
  <c r="D15" i="8"/>
  <c r="D12" i="9"/>
  <c r="D14" i="7"/>
  <c r="K24" i="3"/>
  <c r="E15" i="8" l="1"/>
  <c r="E12" i="9"/>
  <c r="E14" i="7"/>
  <c r="L20" i="3"/>
  <c r="E14" i="8"/>
  <c r="E11" i="9"/>
  <c r="E13" i="7"/>
  <c r="K26" i="3"/>
  <c r="L24" i="3"/>
  <c r="F15" i="8" l="1"/>
  <c r="F12" i="9"/>
  <c r="F14" i="7"/>
  <c r="M20" i="3"/>
  <c r="F14" i="8"/>
  <c r="F11" i="9"/>
  <c r="F13" i="7"/>
  <c r="M24" i="3"/>
  <c r="L26" i="3"/>
  <c r="G15" i="8" l="1"/>
  <c r="G12" i="9"/>
  <c r="G14" i="7"/>
  <c r="N20" i="3"/>
  <c r="G14" i="8"/>
  <c r="G11" i="9"/>
  <c r="G13" i="7"/>
  <c r="N24" i="3"/>
  <c r="M26" i="3"/>
  <c r="N26" i="3" l="1"/>
  <c r="H15" i="8"/>
  <c r="H12" i="9"/>
  <c r="H14" i="7"/>
  <c r="H14" i="8"/>
  <c r="H11" i="9"/>
  <c r="H13" i="7"/>
  <c r="C8" i="7" l="1"/>
  <c r="B9" i="2" l="1"/>
  <c r="D21" i="9"/>
  <c r="E21" i="9"/>
  <c r="F21" i="9"/>
  <c r="G21" i="9"/>
  <c r="H21" i="9"/>
  <c r="C10" i="9"/>
  <c r="N48" i="3"/>
  <c r="M48" i="3"/>
  <c r="L48" i="3"/>
  <c r="K48" i="3"/>
  <c r="J48" i="3"/>
  <c r="E13" i="6" l="1"/>
  <c r="F13" i="6" s="1"/>
  <c r="G13" i="6" s="1"/>
  <c r="H13" i="6" s="1"/>
  <c r="H24" i="6"/>
  <c r="H25" i="6" s="1"/>
  <c r="C24" i="6"/>
  <c r="C25" i="6" s="1"/>
  <c r="C20" i="6"/>
  <c r="J13" i="4"/>
  <c r="K13" i="4" s="1"/>
  <c r="L13" i="4" s="1"/>
  <c r="M13" i="4" s="1"/>
  <c r="N13" i="4" s="1"/>
  <c r="C14" i="6" l="1"/>
  <c r="I6" i="10"/>
  <c r="I9" i="10" s="1"/>
  <c r="I10" i="10" l="1"/>
  <c r="I11" i="10" s="1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20" i="9"/>
  <c r="F20" i="9"/>
  <c r="G20" i="9"/>
  <c r="H20" i="9"/>
  <c r="D20" i="9"/>
  <c r="B24" i="4"/>
  <c r="C23" i="9" l="1"/>
  <c r="H16" i="9"/>
  <c r="H17" i="9" s="1"/>
  <c r="G16" i="9"/>
  <c r="G17" i="9" s="1"/>
  <c r="F16" i="9"/>
  <c r="F17" i="9" s="1"/>
  <c r="E16" i="9"/>
  <c r="E17" i="9" s="1"/>
  <c r="D16" i="9"/>
  <c r="D17" i="9" s="1"/>
  <c r="D11" i="4"/>
  <c r="F11" i="4" s="1"/>
  <c r="C10" i="4"/>
  <c r="D10" i="4" s="1"/>
  <c r="C22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J7" i="10" l="1"/>
  <c r="J18" i="5"/>
  <c r="K18" i="5"/>
  <c r="H18" i="5"/>
  <c r="I18" i="5"/>
  <c r="F10" i="4"/>
  <c r="E10" i="4"/>
  <c r="E12" i="4" s="1"/>
  <c r="G29" i="5"/>
  <c r="H29" i="5"/>
  <c r="J29" i="5"/>
  <c r="I29" i="5"/>
  <c r="F12" i="4" l="1"/>
  <c r="J7" i="4" s="1"/>
  <c r="J15" i="4" l="1"/>
  <c r="C10" i="10"/>
  <c r="D10" i="10" s="1"/>
  <c r="J16" i="4"/>
  <c r="J19" i="4" s="1"/>
  <c r="D6" i="7"/>
  <c r="K7" i="4"/>
  <c r="E7" i="6" s="1"/>
  <c r="D7" i="6"/>
  <c r="K15" i="4"/>
  <c r="K16" i="4"/>
  <c r="K19" i="4" s="1"/>
  <c r="L7" i="4"/>
  <c r="E8" i="8"/>
  <c r="E9" i="8" s="1"/>
  <c r="E6" i="7"/>
  <c r="D8" i="8"/>
  <c r="D9" i="8" s="1"/>
  <c r="M7" i="4"/>
  <c r="G7" i="6" s="1"/>
  <c r="G8" i="6" s="1"/>
  <c r="J18" i="4" l="1"/>
  <c r="E8" i="6"/>
  <c r="D8" i="6"/>
  <c r="F8" i="8"/>
  <c r="F9" i="8" s="1"/>
  <c r="F7" i="6"/>
  <c r="F8" i="6" s="1"/>
  <c r="K18" i="4"/>
  <c r="F6" i="7"/>
  <c r="M15" i="4"/>
  <c r="M16" i="4"/>
  <c r="M19" i="4" s="1"/>
  <c r="L15" i="4"/>
  <c r="L16" i="4"/>
  <c r="L19" i="4" s="1"/>
  <c r="G6" i="7"/>
  <c r="G8" i="8"/>
  <c r="G9" i="8" s="1"/>
  <c r="N7" i="4"/>
  <c r="H7" i="6" s="1"/>
  <c r="H8" i="6" s="1"/>
  <c r="C3" i="10" l="1"/>
  <c r="J24" i="4"/>
  <c r="J40" i="3" s="1"/>
  <c r="J21" i="4"/>
  <c r="J22" i="4" s="1"/>
  <c r="K21" i="4"/>
  <c r="K22" i="4" s="1"/>
  <c r="M18" i="4"/>
  <c r="M24" i="4" s="1"/>
  <c r="M40" i="3" s="1"/>
  <c r="M21" i="4"/>
  <c r="M22" i="4" s="1"/>
  <c r="L18" i="4"/>
  <c r="L21" i="4"/>
  <c r="L22" i="4" s="1"/>
  <c r="K24" i="4"/>
  <c r="K40" i="3" s="1"/>
  <c r="N16" i="4"/>
  <c r="N19" i="4" s="1"/>
  <c r="N15" i="4"/>
  <c r="L24" i="4"/>
  <c r="L40" i="3" s="1"/>
  <c r="H8" i="8"/>
  <c r="H9" i="8" s="1"/>
  <c r="H6" i="7"/>
  <c r="C4" i="10" l="1"/>
  <c r="C5" i="10"/>
  <c r="N18" i="4"/>
  <c r="N21" i="4"/>
  <c r="N22" i="4" s="1"/>
  <c r="O22" i="4"/>
  <c r="N24" i="4"/>
  <c r="N40" i="3" s="1"/>
  <c r="C6" i="3"/>
  <c r="B43" i="3"/>
  <c r="C23" i="3"/>
  <c r="D22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2" i="2"/>
  <c r="B8" i="2" s="1"/>
  <c r="B44" i="2"/>
  <c r="B37" i="2"/>
  <c r="B6" i="2" s="1"/>
  <c r="B31" i="2"/>
  <c r="B23" i="2"/>
  <c r="B3" i="2" s="1"/>
  <c r="D15" i="2"/>
  <c r="D14" i="2"/>
  <c r="D13" i="2"/>
  <c r="B7" i="2"/>
  <c r="O21" i="4" l="1"/>
  <c r="D16" i="2"/>
  <c r="B4" i="2"/>
  <c r="C26" i="3"/>
  <c r="D6" i="3"/>
  <c r="F4" i="3" s="1"/>
  <c r="G4" i="3" s="1"/>
  <c r="J4" i="3" s="1"/>
  <c r="D23" i="3"/>
  <c r="D17" i="3"/>
  <c r="F7" i="3" s="1"/>
  <c r="G7" i="3" s="1"/>
  <c r="J7" i="3" s="1"/>
  <c r="D7" i="7" l="1"/>
  <c r="D8" i="7" s="1"/>
  <c r="D18" i="8"/>
  <c r="D12" i="7"/>
  <c r="D17" i="8"/>
  <c r="J15" i="3"/>
  <c r="J29" i="3" s="1"/>
  <c r="D19" i="6"/>
  <c r="D20" i="6"/>
  <c r="K7" i="3"/>
  <c r="K10" i="3"/>
  <c r="K4" i="3"/>
  <c r="D26" i="3"/>
  <c r="D27" i="3" s="1"/>
  <c r="C27" i="3"/>
  <c r="E13" i="8" l="1"/>
  <c r="E7" i="7"/>
  <c r="E17" i="8"/>
  <c r="E11" i="7"/>
  <c r="K15" i="3"/>
  <c r="K29" i="3" s="1"/>
  <c r="K35" i="3" s="1"/>
  <c r="E18" i="8"/>
  <c r="E12" i="7"/>
  <c r="D15" i="7"/>
  <c r="J35" i="3"/>
  <c r="H5" i="10"/>
  <c r="E19" i="6"/>
  <c r="L4" i="3"/>
  <c r="M4" i="3" s="1"/>
  <c r="E20" i="6"/>
  <c r="J49" i="3"/>
  <c r="L10" i="3"/>
  <c r="E8" i="7"/>
  <c r="L7" i="3"/>
  <c r="G17" i="8" l="1"/>
  <c r="G11" i="7"/>
  <c r="K44" i="3"/>
  <c r="K45" i="3" s="1"/>
  <c r="K41" i="3"/>
  <c r="F18" i="8"/>
  <c r="F12" i="7"/>
  <c r="F13" i="8"/>
  <c r="F7" i="7"/>
  <c r="F8" i="7" s="1"/>
  <c r="F15" i="7" s="1"/>
  <c r="F17" i="8"/>
  <c r="F11" i="7"/>
  <c r="L15" i="3"/>
  <c r="L29" i="3" s="1"/>
  <c r="L35" i="3" s="1"/>
  <c r="J44" i="3"/>
  <c r="J41" i="3"/>
  <c r="E15" i="7"/>
  <c r="D6" i="12" s="1"/>
  <c r="J9" i="10"/>
  <c r="J10" i="10" s="1"/>
  <c r="J11" i="10" s="1"/>
  <c r="F19" i="6"/>
  <c r="K49" i="3"/>
  <c r="F20" i="6"/>
  <c r="M7" i="3"/>
  <c r="M10" i="3"/>
  <c r="N4" i="3"/>
  <c r="C9" i="10" l="1"/>
  <c r="L41" i="3"/>
  <c r="L44" i="3"/>
  <c r="L45" i="3" s="1"/>
  <c r="G20" i="6"/>
  <c r="G18" i="8"/>
  <c r="G12" i="7"/>
  <c r="H17" i="8"/>
  <c r="H11" i="7"/>
  <c r="N15" i="3"/>
  <c r="N29" i="3" s="1"/>
  <c r="N35" i="3" s="1"/>
  <c r="G13" i="8"/>
  <c r="G7" i="7"/>
  <c r="G8" i="7" s="1"/>
  <c r="G15" i="7" s="1"/>
  <c r="M15" i="3"/>
  <c r="M29" i="3" s="1"/>
  <c r="M35" i="3" s="1"/>
  <c r="J45" i="3"/>
  <c r="C6" i="12"/>
  <c r="G19" i="6"/>
  <c r="L49" i="3"/>
  <c r="E6" i="12"/>
  <c r="N10" i="3"/>
  <c r="N7" i="3"/>
  <c r="C13" i="10" l="1"/>
  <c r="D9" i="10"/>
  <c r="M41" i="3"/>
  <c r="M44" i="3"/>
  <c r="M45" i="3" s="1"/>
  <c r="H20" i="6"/>
  <c r="H18" i="8"/>
  <c r="H12" i="7"/>
  <c r="N41" i="3"/>
  <c r="N44" i="3"/>
  <c r="N45" i="3" s="1"/>
  <c r="H13" i="8"/>
  <c r="H7" i="7"/>
  <c r="O44" i="3"/>
  <c r="H19" i="6"/>
  <c r="M49" i="3"/>
  <c r="F6" i="12"/>
  <c r="H8" i="7"/>
  <c r="O45" i="3" l="1"/>
  <c r="H15" i="7"/>
  <c r="H19" i="7" s="1"/>
  <c r="N49" i="3"/>
  <c r="O49" i="3" s="1"/>
  <c r="H22" i="7" l="1"/>
  <c r="H20" i="8" s="1"/>
  <c r="H10" i="9" s="1"/>
  <c r="G6" i="12"/>
  <c r="H21" i="6"/>
  <c r="H27" i="6" s="1"/>
  <c r="H24" i="7" l="1"/>
  <c r="G7" i="12" s="1"/>
  <c r="H32" i="6" l="1"/>
  <c r="D16" i="8" l="1"/>
  <c r="D7" i="9" l="1"/>
  <c r="E16" i="8"/>
  <c r="D25" i="8"/>
  <c r="D12" i="6" s="1"/>
  <c r="D14" i="6" s="1"/>
  <c r="D16" i="6" s="1"/>
  <c r="F16" i="8" l="1"/>
  <c r="E7" i="9"/>
  <c r="E25" i="8"/>
  <c r="E12" i="6" s="1"/>
  <c r="E14" i="6" s="1"/>
  <c r="E16" i="6" s="1"/>
  <c r="G16" i="8" l="1"/>
  <c r="F7" i="9"/>
  <c r="F25" i="8"/>
  <c r="F12" i="6" s="1"/>
  <c r="F14" i="6" s="1"/>
  <c r="F16" i="6" s="1"/>
  <c r="G7" i="9" l="1"/>
  <c r="H16" i="8"/>
  <c r="G25" i="8"/>
  <c r="G12" i="6" s="1"/>
  <c r="G14" i="6" s="1"/>
  <c r="G16" i="6" s="1"/>
  <c r="D306" i="11" l="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650" i="11"/>
  <c r="D658" i="11"/>
  <c r="D666" i="11"/>
  <c r="D674" i="11"/>
  <c r="D682" i="11"/>
  <c r="D690" i="11"/>
  <c r="D698" i="11"/>
  <c r="D706" i="11"/>
  <c r="D714" i="11"/>
  <c r="D722" i="11"/>
  <c r="D730" i="11"/>
  <c r="D738" i="11"/>
  <c r="D746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403" i="11"/>
  <c r="D411" i="11"/>
  <c r="D419" i="11"/>
  <c r="D427" i="11"/>
  <c r="D435" i="11"/>
  <c r="D443" i="11"/>
  <c r="D451" i="11"/>
  <c r="D459" i="11"/>
  <c r="D467" i="11"/>
  <c r="D475" i="11"/>
  <c r="D483" i="11"/>
  <c r="D491" i="11"/>
  <c r="D499" i="11"/>
  <c r="D507" i="11"/>
  <c r="D515" i="11"/>
  <c r="D523" i="11"/>
  <c r="D531" i="11"/>
  <c r="D539" i="11"/>
  <c r="D547" i="11"/>
  <c r="D555" i="11"/>
  <c r="D563" i="11"/>
  <c r="D571" i="11"/>
  <c r="D579" i="11"/>
  <c r="D587" i="11"/>
  <c r="D595" i="11"/>
  <c r="D603" i="11"/>
  <c r="D611" i="11"/>
  <c r="D619" i="11"/>
  <c r="D627" i="11"/>
  <c r="D635" i="11"/>
  <c r="D643" i="11"/>
  <c r="D651" i="11"/>
  <c r="D659" i="11"/>
  <c r="D667" i="11"/>
  <c r="D675" i="11"/>
  <c r="D683" i="11"/>
  <c r="D691" i="11"/>
  <c r="D699" i="11"/>
  <c r="D707" i="11"/>
  <c r="D715" i="11"/>
  <c r="D723" i="11"/>
  <c r="D731" i="11"/>
  <c r="D308" i="11"/>
  <c r="D316" i="11"/>
  <c r="D324" i="11"/>
  <c r="D332" i="11"/>
  <c r="D340" i="11"/>
  <c r="D348" i="11"/>
  <c r="D356" i="11"/>
  <c r="D364" i="11"/>
  <c r="D372" i="11"/>
  <c r="D380" i="11"/>
  <c r="D388" i="11"/>
  <c r="D396" i="11"/>
  <c r="D404" i="11"/>
  <c r="D412" i="11"/>
  <c r="D420" i="11"/>
  <c r="D428" i="11"/>
  <c r="D436" i="11"/>
  <c r="D444" i="11"/>
  <c r="D452" i="11"/>
  <c r="D460" i="11"/>
  <c r="D468" i="11"/>
  <c r="D476" i="11"/>
  <c r="D484" i="11"/>
  <c r="D492" i="11"/>
  <c r="D500" i="11"/>
  <c r="D508" i="11"/>
  <c r="D516" i="11"/>
  <c r="D524" i="11"/>
  <c r="D532" i="11"/>
  <c r="D540" i="11"/>
  <c r="D548" i="11"/>
  <c r="D556" i="11"/>
  <c r="D564" i="11"/>
  <c r="D572" i="11"/>
  <c r="D580" i="11"/>
  <c r="D588" i="11"/>
  <c r="D596" i="11"/>
  <c r="D604" i="11"/>
  <c r="D612" i="11"/>
  <c r="D620" i="11"/>
  <c r="D628" i="11"/>
  <c r="D636" i="11"/>
  <c r="D644" i="11"/>
  <c r="D652" i="11"/>
  <c r="D660" i="11"/>
  <c r="D668" i="11"/>
  <c r="D676" i="11"/>
  <c r="D684" i="11"/>
  <c r="D692" i="11"/>
  <c r="D700" i="11"/>
  <c r="D708" i="11"/>
  <c r="D716" i="11"/>
  <c r="D724" i="11"/>
  <c r="D732" i="11"/>
  <c r="D740" i="11"/>
  <c r="D748" i="11"/>
  <c r="D756" i="11"/>
  <c r="D309" i="11"/>
  <c r="D317" i="11"/>
  <c r="D325" i="11"/>
  <c r="D333" i="11"/>
  <c r="D341" i="11"/>
  <c r="D349" i="11"/>
  <c r="D357" i="11"/>
  <c r="D365" i="11"/>
  <c r="D373" i="11"/>
  <c r="D381" i="11"/>
  <c r="D389" i="11"/>
  <c r="D397" i="11"/>
  <c r="D405" i="11"/>
  <c r="D413" i="11"/>
  <c r="D421" i="11"/>
  <c r="D429" i="11"/>
  <c r="D437" i="11"/>
  <c r="D445" i="11"/>
  <c r="D453" i="11"/>
  <c r="D461" i="11"/>
  <c r="D469" i="11"/>
  <c r="D477" i="11"/>
  <c r="D485" i="11"/>
  <c r="D493" i="11"/>
  <c r="D501" i="11"/>
  <c r="D509" i="11"/>
  <c r="D517" i="11"/>
  <c r="D525" i="11"/>
  <c r="D533" i="11"/>
  <c r="D541" i="11"/>
  <c r="D549" i="11"/>
  <c r="D557" i="11"/>
  <c r="D565" i="11"/>
  <c r="D573" i="11"/>
  <c r="D581" i="11"/>
  <c r="D589" i="11"/>
  <c r="D597" i="11"/>
  <c r="D605" i="11"/>
  <c r="D613" i="11"/>
  <c r="D621" i="11"/>
  <c r="D629" i="11"/>
  <c r="D637" i="11"/>
  <c r="D645" i="11"/>
  <c r="D653" i="11"/>
  <c r="D661" i="11"/>
  <c r="D669" i="11"/>
  <c r="D677" i="11"/>
  <c r="D685" i="11"/>
  <c r="D693" i="11"/>
  <c r="D701" i="11"/>
  <c r="D709" i="11"/>
  <c r="D717" i="11"/>
  <c r="D725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406" i="11"/>
  <c r="D414" i="11"/>
  <c r="D422" i="11"/>
  <c r="D430" i="11"/>
  <c r="D438" i="11"/>
  <c r="D446" i="11"/>
  <c r="D454" i="11"/>
  <c r="D462" i="11"/>
  <c r="D470" i="11"/>
  <c r="D478" i="11"/>
  <c r="D486" i="11"/>
  <c r="D494" i="11"/>
  <c r="D502" i="11"/>
  <c r="D510" i="11"/>
  <c r="D518" i="11"/>
  <c r="D526" i="11"/>
  <c r="D534" i="11"/>
  <c r="D542" i="11"/>
  <c r="D550" i="11"/>
  <c r="D558" i="11"/>
  <c r="D566" i="11"/>
  <c r="D574" i="11"/>
  <c r="D582" i="11"/>
  <c r="D590" i="11"/>
  <c r="D598" i="11"/>
  <c r="D311" i="11"/>
  <c r="D319" i="11"/>
  <c r="D327" i="11"/>
  <c r="D335" i="11"/>
  <c r="D343" i="11"/>
  <c r="D351" i="11"/>
  <c r="D359" i="11"/>
  <c r="D367" i="11"/>
  <c r="D375" i="11"/>
  <c r="D383" i="11"/>
  <c r="D391" i="11"/>
  <c r="D399" i="11"/>
  <c r="D407" i="11"/>
  <c r="D415" i="11"/>
  <c r="D423" i="11"/>
  <c r="D431" i="11"/>
  <c r="D439" i="11"/>
  <c r="D447" i="11"/>
  <c r="D455" i="11"/>
  <c r="D463" i="11"/>
  <c r="D471" i="11"/>
  <c r="D479" i="11"/>
  <c r="D487" i="11"/>
  <c r="D495" i="11"/>
  <c r="D503" i="11"/>
  <c r="D511" i="11"/>
  <c r="D312" i="11"/>
  <c r="D320" i="11"/>
  <c r="D328" i="11"/>
  <c r="D336" i="11"/>
  <c r="D344" i="11"/>
  <c r="D352" i="11"/>
  <c r="D360" i="11"/>
  <c r="D368" i="11"/>
  <c r="D376" i="11"/>
  <c r="D384" i="11"/>
  <c r="D392" i="11"/>
  <c r="D400" i="11"/>
  <c r="D408" i="11"/>
  <c r="D416" i="11"/>
  <c r="D424" i="11"/>
  <c r="D432" i="11"/>
  <c r="D440" i="11"/>
  <c r="D448" i="11"/>
  <c r="D456" i="11"/>
  <c r="D464" i="11"/>
  <c r="D472" i="11"/>
  <c r="D480" i="11"/>
  <c r="D488" i="11"/>
  <c r="D496" i="11"/>
  <c r="D504" i="11"/>
  <c r="D512" i="11"/>
  <c r="D520" i="11"/>
  <c r="D528" i="11"/>
  <c r="D536" i="11"/>
  <c r="D544" i="11"/>
  <c r="D345" i="11"/>
  <c r="D473" i="11"/>
  <c r="D551" i="11"/>
  <c r="D569" i="11"/>
  <c r="D592" i="11"/>
  <c r="D609" i="11"/>
  <c r="D625" i="11"/>
  <c r="D641" i="11"/>
  <c r="D657" i="11"/>
  <c r="D729" i="11"/>
  <c r="D753" i="11"/>
  <c r="D785" i="11"/>
  <c r="D796" i="11"/>
  <c r="D832" i="11"/>
  <c r="D849" i="11"/>
  <c r="D875" i="11"/>
  <c r="D892" i="11"/>
  <c r="D909" i="11"/>
  <c r="D926" i="11"/>
  <c r="D943" i="11"/>
  <c r="D960" i="11"/>
  <c r="D977" i="11"/>
  <c r="D353" i="11"/>
  <c r="D481" i="11"/>
  <c r="D527" i="11"/>
  <c r="D361" i="11"/>
  <c r="D489" i="11"/>
  <c r="D552" i="11"/>
  <c r="D575" i="11"/>
  <c r="D593" i="11"/>
  <c r="D614" i="11"/>
  <c r="D630" i="11"/>
  <c r="D646" i="11"/>
  <c r="D662" i="11"/>
  <c r="D733" i="11"/>
  <c r="D797" i="11"/>
  <c r="D833" i="11"/>
  <c r="D859" i="11"/>
  <c r="D876" i="11"/>
  <c r="D893" i="11"/>
  <c r="D910" i="11"/>
  <c r="D927" i="11"/>
  <c r="D944" i="11"/>
  <c r="D961" i="11"/>
  <c r="D369" i="11"/>
  <c r="D689" i="11"/>
  <c r="D704" i="11"/>
  <c r="D719" i="11"/>
  <c r="D744" i="11"/>
  <c r="D757" i="11"/>
  <c r="D767" i="11"/>
  <c r="D777" i="11"/>
  <c r="D788" i="11"/>
  <c r="D807" i="11"/>
  <c r="D816" i="11"/>
  <c r="D825" i="11"/>
  <c r="D851" i="11"/>
  <c r="D868" i="11"/>
  <c r="D885" i="11"/>
  <c r="D902" i="11"/>
  <c r="D919" i="11"/>
  <c r="D936" i="11"/>
  <c r="D953" i="11"/>
  <c r="D979" i="11"/>
  <c r="D987" i="11"/>
  <c r="D995" i="11"/>
  <c r="D377" i="11"/>
  <c r="D497" i="11"/>
  <c r="D529" i="11"/>
  <c r="D553" i="11"/>
  <c r="D576" i="11"/>
  <c r="D599" i="11"/>
  <c r="D615" i="11"/>
  <c r="D631" i="11"/>
  <c r="D647" i="11"/>
  <c r="D663" i="11"/>
  <c r="D678" i="11"/>
  <c r="D734" i="11"/>
  <c r="D779" i="11"/>
  <c r="D798" i="11"/>
  <c r="D843" i="11"/>
  <c r="D860" i="11"/>
  <c r="D877" i="11"/>
  <c r="D894" i="11"/>
  <c r="D911" i="11"/>
  <c r="D928" i="11"/>
  <c r="D945" i="11"/>
  <c r="D971" i="11"/>
  <c r="D385" i="11"/>
  <c r="D705" i="11"/>
  <c r="D720" i="11"/>
  <c r="D745" i="11"/>
  <c r="D758" i="11"/>
  <c r="D768" i="11"/>
  <c r="D789" i="11"/>
  <c r="D808" i="11"/>
  <c r="D817" i="11"/>
  <c r="D835" i="11"/>
  <c r="D852" i="11"/>
  <c r="D869" i="11"/>
  <c r="D886" i="11"/>
  <c r="D903" i="11"/>
  <c r="D920" i="11"/>
  <c r="D937" i="11"/>
  <c r="D393" i="11"/>
  <c r="D535" i="11"/>
  <c r="D559" i="11"/>
  <c r="D577" i="11"/>
  <c r="D600" i="11"/>
  <c r="D616" i="11"/>
  <c r="D632" i="11"/>
  <c r="D648" i="11"/>
  <c r="D664" i="11"/>
  <c r="D679" i="11"/>
  <c r="D694" i="11"/>
  <c r="D735" i="11"/>
  <c r="D747" i="11"/>
  <c r="D780" i="11"/>
  <c r="D799" i="11"/>
  <c r="D827" i="11"/>
  <c r="D844" i="11"/>
  <c r="D861" i="11"/>
  <c r="D878" i="11"/>
  <c r="D401" i="11"/>
  <c r="D505" i="11"/>
  <c r="D721" i="11"/>
  <c r="D759" i="11"/>
  <c r="D769" i="11"/>
  <c r="D790" i="11"/>
  <c r="D809" i="11"/>
  <c r="D819" i="11"/>
  <c r="D836" i="11"/>
  <c r="D853" i="11"/>
  <c r="D870" i="11"/>
  <c r="D887" i="11"/>
  <c r="D409" i="11"/>
  <c r="D560" i="11"/>
  <c r="D583" i="11"/>
  <c r="D601" i="11"/>
  <c r="D617" i="11"/>
  <c r="D633" i="11"/>
  <c r="D649" i="11"/>
  <c r="D665" i="11"/>
  <c r="D680" i="11"/>
  <c r="D695" i="11"/>
  <c r="D710" i="11"/>
  <c r="D736" i="11"/>
  <c r="D749" i="11"/>
  <c r="D771" i="11"/>
  <c r="D781" i="11"/>
  <c r="D800" i="11"/>
  <c r="D828" i="11"/>
  <c r="D845" i="11"/>
  <c r="D862" i="11"/>
  <c r="D879" i="11"/>
  <c r="D417" i="11"/>
  <c r="D537" i="11"/>
  <c r="D760" i="11"/>
  <c r="D772" i="11"/>
  <c r="D425" i="11"/>
  <c r="D513" i="11"/>
  <c r="D561" i="11"/>
  <c r="D584" i="11"/>
  <c r="D606" i="11"/>
  <c r="D622" i="11"/>
  <c r="D638" i="11"/>
  <c r="D654" i="11"/>
  <c r="D681" i="11"/>
  <c r="D696" i="11"/>
  <c r="D711" i="11"/>
  <c r="D726" i="11"/>
  <c r="D737" i="11"/>
  <c r="D750" i="11"/>
  <c r="D782" i="11"/>
  <c r="D801" i="11"/>
  <c r="D305" i="11"/>
  <c r="D433" i="11"/>
  <c r="D543" i="11"/>
  <c r="D670" i="11"/>
  <c r="D739" i="11"/>
  <c r="D761" i="11"/>
  <c r="D313" i="11"/>
  <c r="D441" i="11"/>
  <c r="D519" i="11"/>
  <c r="D567" i="11"/>
  <c r="D585" i="11"/>
  <c r="D607" i="11"/>
  <c r="D623" i="11"/>
  <c r="D639" i="11"/>
  <c r="D655" i="11"/>
  <c r="D321" i="11"/>
  <c r="D449" i="11"/>
  <c r="D671" i="11"/>
  <c r="D686" i="11"/>
  <c r="D329" i="11"/>
  <c r="D457" i="11"/>
  <c r="D545" i="11"/>
  <c r="D568" i="11"/>
  <c r="D591" i="11"/>
  <c r="D608" i="11"/>
  <c r="D624" i="11"/>
  <c r="D640" i="11"/>
  <c r="D773" i="11"/>
  <c r="D795" i="11"/>
  <c r="D814" i="11"/>
  <c r="D883" i="11"/>
  <c r="D923" i="11"/>
  <c r="D934" i="11"/>
  <c r="D958" i="11"/>
  <c r="D969" i="11"/>
  <c r="D1002" i="11"/>
  <c r="D1012" i="11"/>
  <c r="D1021" i="11"/>
  <c r="D1030" i="11"/>
  <c r="D1047" i="11"/>
  <c r="D1064" i="11"/>
  <c r="D1081" i="11"/>
  <c r="D1090" i="11"/>
  <c r="D1107" i="11"/>
  <c r="D1124" i="11"/>
  <c r="D1141" i="11"/>
  <c r="D1158" i="11"/>
  <c r="D1175" i="11"/>
  <c r="D1192" i="11"/>
  <c r="D1209" i="11"/>
  <c r="D1218" i="11"/>
  <c r="D1235" i="11"/>
  <c r="D1252" i="11"/>
  <c r="D1269" i="11"/>
  <c r="D1286" i="11"/>
  <c r="D1303" i="11"/>
  <c r="D1320" i="11"/>
  <c r="D687" i="11"/>
  <c r="D815" i="11"/>
  <c r="D867" i="11"/>
  <c r="D884" i="11"/>
  <c r="D912" i="11"/>
  <c r="D935" i="11"/>
  <c r="D948" i="11"/>
  <c r="D982" i="11"/>
  <c r="D992" i="11"/>
  <c r="D1003" i="11"/>
  <c r="D1039" i="11"/>
  <c r="D1056" i="11"/>
  <c r="D1073" i="11"/>
  <c r="D1082" i="11"/>
  <c r="D1099" i="11"/>
  <c r="D1116" i="11"/>
  <c r="D1133" i="11"/>
  <c r="D1150" i="11"/>
  <c r="D1167" i="11"/>
  <c r="D1184" i="11"/>
  <c r="D1201" i="11"/>
  <c r="D1210" i="11"/>
  <c r="D1227" i="11"/>
  <c r="D1244" i="11"/>
  <c r="D1261" i="11"/>
  <c r="D1278" i="11"/>
  <c r="D1295" i="11"/>
  <c r="D1312" i="11"/>
  <c r="D1329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688" i="11"/>
  <c r="D741" i="11"/>
  <c r="D774" i="11"/>
  <c r="D820" i="11"/>
  <c r="D837" i="11"/>
  <c r="D854" i="11"/>
  <c r="D871" i="11"/>
  <c r="D899" i="11"/>
  <c r="D924" i="11"/>
  <c r="D959" i="11"/>
  <c r="D972" i="11"/>
  <c r="D1004" i="11"/>
  <c r="D1013" i="11"/>
  <c r="D1022" i="11"/>
  <c r="D1031" i="11"/>
  <c r="D1048" i="11"/>
  <c r="D1065" i="11"/>
  <c r="D1074" i="11"/>
  <c r="D1091" i="11"/>
  <c r="D1108" i="11"/>
  <c r="D1125" i="11"/>
  <c r="D1142" i="11"/>
  <c r="D1159" i="11"/>
  <c r="D1176" i="11"/>
  <c r="D1193" i="11"/>
  <c r="D1202" i="11"/>
  <c r="D1219" i="11"/>
  <c r="D1236" i="11"/>
  <c r="D1253" i="11"/>
  <c r="D1270" i="11"/>
  <c r="D1287" i="11"/>
  <c r="D1304" i="11"/>
  <c r="D1321" i="11"/>
  <c r="D697" i="11"/>
  <c r="D888" i="11"/>
  <c r="D913" i="11"/>
  <c r="D949" i="11"/>
  <c r="D983" i="11"/>
  <c r="D993" i="11"/>
  <c r="D1040" i="11"/>
  <c r="D1057" i="11"/>
  <c r="D1066" i="11"/>
  <c r="D1083" i="11"/>
  <c r="D1100" i="11"/>
  <c r="D1117" i="11"/>
  <c r="D1134" i="11"/>
  <c r="D1151" i="11"/>
  <c r="D1168" i="11"/>
  <c r="D1185" i="11"/>
  <c r="D1194" i="11"/>
  <c r="D1211" i="11"/>
  <c r="D1228" i="11"/>
  <c r="D1245" i="11"/>
  <c r="D1262" i="11"/>
  <c r="D1279" i="11"/>
  <c r="D1296" i="11"/>
  <c r="D1313" i="11"/>
  <c r="D1322" i="11"/>
  <c r="D1330" i="11"/>
  <c r="D1338" i="11"/>
  <c r="D1346" i="11"/>
  <c r="D1354" i="11"/>
  <c r="D1362" i="11"/>
  <c r="D1370" i="11"/>
  <c r="D1378" i="11"/>
  <c r="D1386" i="11"/>
  <c r="D1394" i="11"/>
  <c r="D1402" i="11"/>
  <c r="D1410" i="11"/>
  <c r="D1418" i="11"/>
  <c r="D1426" i="11"/>
  <c r="D1434" i="11"/>
  <c r="D1442" i="11"/>
  <c r="D1450" i="11"/>
  <c r="D1458" i="11"/>
  <c r="D1466" i="11"/>
  <c r="D742" i="11"/>
  <c r="D775" i="11"/>
  <c r="D803" i="11"/>
  <c r="D821" i="11"/>
  <c r="D838" i="11"/>
  <c r="D855" i="11"/>
  <c r="D872" i="11"/>
  <c r="D900" i="11"/>
  <c r="D925" i="11"/>
  <c r="D939" i="11"/>
  <c r="D973" i="11"/>
  <c r="D994" i="11"/>
  <c r="D1005" i="11"/>
  <c r="D1014" i="11"/>
  <c r="D1023" i="11"/>
  <c r="D1032" i="11"/>
  <c r="D1049" i="11"/>
  <c r="D1058" i="11"/>
  <c r="D1075" i="11"/>
  <c r="D1092" i="11"/>
  <c r="D1109" i="11"/>
  <c r="D1126" i="11"/>
  <c r="D1143" i="11"/>
  <c r="D1160" i="11"/>
  <c r="D1177" i="11"/>
  <c r="D1186" i="11"/>
  <c r="D1203" i="11"/>
  <c r="D1220" i="11"/>
  <c r="D1237" i="11"/>
  <c r="D1254" i="11"/>
  <c r="D1271" i="11"/>
  <c r="D1288" i="11"/>
  <c r="D1305" i="11"/>
  <c r="D1314" i="11"/>
  <c r="D702" i="11"/>
  <c r="D743" i="11"/>
  <c r="D776" i="11"/>
  <c r="D889" i="11"/>
  <c r="D901" i="11"/>
  <c r="D950" i="11"/>
  <c r="D963" i="11"/>
  <c r="D984" i="11"/>
  <c r="D996" i="11"/>
  <c r="D1041" i="11"/>
  <c r="D1050" i="11"/>
  <c r="D1067" i="11"/>
  <c r="D1084" i="11"/>
  <c r="D1101" i="11"/>
  <c r="D1118" i="11"/>
  <c r="D1135" i="11"/>
  <c r="D1152" i="11"/>
  <c r="D1169" i="11"/>
  <c r="D1178" i="11"/>
  <c r="D1195" i="11"/>
  <c r="D1212" i="11"/>
  <c r="D1229" i="11"/>
  <c r="D1246" i="11"/>
  <c r="D1263" i="11"/>
  <c r="D1280" i="11"/>
  <c r="D1297" i="11"/>
  <c r="D1306" i="11"/>
  <c r="D1323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1419" i="11"/>
  <c r="D1427" i="11"/>
  <c r="D1435" i="11"/>
  <c r="D1443" i="11"/>
  <c r="D1451" i="11"/>
  <c r="D1459" i="11"/>
  <c r="D1467" i="11"/>
  <c r="D1475" i="11"/>
  <c r="D1483" i="11"/>
  <c r="D1491" i="11"/>
  <c r="D703" i="11"/>
  <c r="D751" i="11"/>
  <c r="D804" i="11"/>
  <c r="D822" i="11"/>
  <c r="D839" i="11"/>
  <c r="D856" i="11"/>
  <c r="D873" i="11"/>
  <c r="D915" i="11"/>
  <c r="D940" i="11"/>
  <c r="D974" i="11"/>
  <c r="D1006" i="11"/>
  <c r="D1015" i="11"/>
  <c r="D1024" i="11"/>
  <c r="D1033" i="11"/>
  <c r="D1042" i="11"/>
  <c r="D1059" i="11"/>
  <c r="D1076" i="11"/>
  <c r="D1093" i="11"/>
  <c r="D1110" i="11"/>
  <c r="D1127" i="11"/>
  <c r="D1144" i="11"/>
  <c r="D1161" i="11"/>
  <c r="D1170" i="11"/>
  <c r="D1187" i="11"/>
  <c r="D1204" i="11"/>
  <c r="D1221" i="11"/>
  <c r="D1238" i="11"/>
  <c r="D1255" i="11"/>
  <c r="D1272" i="11"/>
  <c r="D1289" i="11"/>
  <c r="D1298" i="11"/>
  <c r="D1315" i="11"/>
  <c r="D712" i="11"/>
  <c r="D783" i="11"/>
  <c r="D904" i="11"/>
  <c r="D929" i="11"/>
  <c r="D951" i="11"/>
  <c r="D964" i="11"/>
  <c r="D985" i="11"/>
  <c r="D997" i="11"/>
  <c r="D1034" i="11"/>
  <c r="D1051" i="11"/>
  <c r="D1068" i="11"/>
  <c r="D1085" i="11"/>
  <c r="D1102" i="11"/>
  <c r="D1119" i="11"/>
  <c r="D1136" i="11"/>
  <c r="D1153" i="11"/>
  <c r="D1162" i="11"/>
  <c r="D1179" i="11"/>
  <c r="D1196" i="11"/>
  <c r="D1213" i="11"/>
  <c r="D1230" i="11"/>
  <c r="D1247" i="11"/>
  <c r="D1264" i="11"/>
  <c r="D1281" i="11"/>
  <c r="D1290" i="11"/>
  <c r="D1307" i="11"/>
  <c r="D1324" i="11"/>
  <c r="D1332" i="11"/>
  <c r="D1340" i="11"/>
  <c r="D1348" i="11"/>
  <c r="D1356" i="11"/>
  <c r="D1364" i="11"/>
  <c r="D1372" i="11"/>
  <c r="D1380" i="11"/>
  <c r="D1388" i="11"/>
  <c r="D1396" i="11"/>
  <c r="D1404" i="11"/>
  <c r="D1412" i="11"/>
  <c r="D1420" i="11"/>
  <c r="D1428" i="11"/>
  <c r="D1436" i="11"/>
  <c r="D1444" i="11"/>
  <c r="D1452" i="11"/>
  <c r="D1460" i="11"/>
  <c r="D1468" i="11"/>
  <c r="D1476" i="11"/>
  <c r="D1484" i="11"/>
  <c r="D752" i="11"/>
  <c r="D805" i="11"/>
  <c r="D823" i="11"/>
  <c r="D840" i="11"/>
  <c r="D857" i="11"/>
  <c r="D891" i="11"/>
  <c r="D916" i="11"/>
  <c r="D941" i="11"/>
  <c r="D952" i="11"/>
  <c r="D975" i="11"/>
  <c r="D986" i="11"/>
  <c r="D1007" i="11"/>
  <c r="D1016" i="11"/>
  <c r="D1025" i="11"/>
  <c r="D1043" i="11"/>
  <c r="D1060" i="11"/>
  <c r="D1077" i="11"/>
  <c r="D1094" i="11"/>
  <c r="D1111" i="11"/>
  <c r="D1128" i="11"/>
  <c r="D1145" i="11"/>
  <c r="D1154" i="11"/>
  <c r="D1171" i="11"/>
  <c r="D1188" i="11"/>
  <c r="D1205" i="11"/>
  <c r="D1222" i="11"/>
  <c r="D1239" i="11"/>
  <c r="D1256" i="11"/>
  <c r="D1273" i="11"/>
  <c r="D1282" i="11"/>
  <c r="D1299" i="11"/>
  <c r="D1316" i="11"/>
  <c r="D656" i="11"/>
  <c r="D713" i="11"/>
  <c r="D784" i="11"/>
  <c r="D806" i="11"/>
  <c r="D824" i="11"/>
  <c r="D841" i="11"/>
  <c r="D905" i="11"/>
  <c r="D965" i="11"/>
  <c r="D988" i="11"/>
  <c r="D998" i="11"/>
  <c r="D1026" i="11"/>
  <c r="D1035" i="11"/>
  <c r="D1052" i="11"/>
  <c r="D1069" i="11"/>
  <c r="D1086" i="11"/>
  <c r="D1103" i="11"/>
  <c r="D1120" i="11"/>
  <c r="D1137" i="11"/>
  <c r="D1146" i="11"/>
  <c r="D1163" i="11"/>
  <c r="D1180" i="11"/>
  <c r="D1197" i="11"/>
  <c r="D1214" i="11"/>
  <c r="D1231" i="11"/>
  <c r="D1248" i="11"/>
  <c r="D1265" i="11"/>
  <c r="D1274" i="11"/>
  <c r="D1291" i="11"/>
  <c r="D755" i="11"/>
  <c r="D811" i="11"/>
  <c r="D917" i="11"/>
  <c r="D931" i="11"/>
  <c r="D942" i="11"/>
  <c r="D955" i="11"/>
  <c r="D976" i="11"/>
  <c r="D1008" i="11"/>
  <c r="D1017" i="11"/>
  <c r="D1044" i="11"/>
  <c r="D1061" i="11"/>
  <c r="D1078" i="11"/>
  <c r="D1095" i="11"/>
  <c r="D1112" i="11"/>
  <c r="D1129" i="11"/>
  <c r="D1138" i="11"/>
  <c r="D1155" i="11"/>
  <c r="D1172" i="11"/>
  <c r="D1189" i="11"/>
  <c r="D1206" i="11"/>
  <c r="D1223" i="11"/>
  <c r="D1240" i="11"/>
  <c r="D1257" i="11"/>
  <c r="D1266" i="11"/>
  <c r="D1283" i="11"/>
  <c r="D1300" i="11"/>
  <c r="D1317" i="11"/>
  <c r="D337" i="11"/>
  <c r="D718" i="11"/>
  <c r="D763" i="11"/>
  <c r="D787" i="11"/>
  <c r="D829" i="11"/>
  <c r="D846" i="11"/>
  <c r="D863" i="11"/>
  <c r="D880" i="11"/>
  <c r="D895" i="11"/>
  <c r="D918" i="11"/>
  <c r="D966" i="11"/>
  <c r="D989" i="11"/>
  <c r="D999" i="11"/>
  <c r="D1018" i="11"/>
  <c r="D1027" i="11"/>
  <c r="D1036" i="11"/>
  <c r="D1053" i="11"/>
  <c r="D1070" i="11"/>
  <c r="D1087" i="11"/>
  <c r="D1104" i="11"/>
  <c r="D1121" i="11"/>
  <c r="D1130" i="11"/>
  <c r="D1147" i="11"/>
  <c r="D1164" i="11"/>
  <c r="D1181" i="11"/>
  <c r="D1198" i="11"/>
  <c r="D1215" i="11"/>
  <c r="D1232" i="11"/>
  <c r="D1249" i="11"/>
  <c r="D1258" i="11"/>
  <c r="D465" i="11"/>
  <c r="D727" i="11"/>
  <c r="D764" i="11"/>
  <c r="D791" i="11"/>
  <c r="D812" i="11"/>
  <c r="D907" i="11"/>
  <c r="D932" i="11"/>
  <c r="D956" i="11"/>
  <c r="D1009" i="11"/>
  <c r="D1028" i="11"/>
  <c r="D1045" i="11"/>
  <c r="D1062" i="11"/>
  <c r="D1079" i="11"/>
  <c r="D1096" i="11"/>
  <c r="D1113" i="11"/>
  <c r="D1122" i="11"/>
  <c r="D1139" i="11"/>
  <c r="D1156" i="11"/>
  <c r="D1173" i="11"/>
  <c r="D1190" i="11"/>
  <c r="D1207" i="11"/>
  <c r="D1224" i="11"/>
  <c r="D521" i="11"/>
  <c r="D672" i="11"/>
  <c r="D792" i="11"/>
  <c r="D830" i="11"/>
  <c r="D847" i="11"/>
  <c r="D864" i="11"/>
  <c r="D881" i="11"/>
  <c r="D896" i="11"/>
  <c r="D921" i="11"/>
  <c r="D967" i="11"/>
  <c r="D980" i="11"/>
  <c r="D990" i="11"/>
  <c r="D1000" i="11"/>
  <c r="D1010" i="11"/>
  <c r="D1019" i="11"/>
  <c r="D1037" i="11"/>
  <c r="D1054" i="11"/>
  <c r="D1071" i="11"/>
  <c r="D1088" i="11"/>
  <c r="D1105" i="11"/>
  <c r="D1114" i="11"/>
  <c r="D1131" i="11"/>
  <c r="D1148" i="11"/>
  <c r="D1165" i="11"/>
  <c r="D1182" i="11"/>
  <c r="D1199" i="11"/>
  <c r="D1216" i="11"/>
  <c r="D897" i="11"/>
  <c r="D991" i="11"/>
  <c r="D1132" i="11"/>
  <c r="D1200" i="11"/>
  <c r="D1250" i="11"/>
  <c r="D1277" i="11"/>
  <c r="D1308" i="11"/>
  <c r="D1350" i="11"/>
  <c r="D1367" i="11"/>
  <c r="D1383" i="11"/>
  <c r="D1399" i="11"/>
  <c r="D1415" i="11"/>
  <c r="D1431" i="11"/>
  <c r="D1447" i="11"/>
  <c r="D1463" i="11"/>
  <c r="D1478" i="11"/>
  <c r="D1533" i="11"/>
  <c r="D1542" i="11"/>
  <c r="D1551" i="11"/>
  <c r="D1568" i="11"/>
  <c r="D1577" i="11"/>
  <c r="D1594" i="11"/>
  <c r="D1611" i="11"/>
  <c r="D1628" i="11"/>
  <c r="D1645" i="11"/>
  <c r="D1662" i="11"/>
  <c r="D1679" i="11"/>
  <c r="D1696" i="11"/>
  <c r="D1705" i="11"/>
  <c r="D1722" i="11"/>
  <c r="D1739" i="11"/>
  <c r="D1756" i="11"/>
  <c r="D1773" i="11"/>
  <c r="D1790" i="11"/>
  <c r="D1807" i="11"/>
  <c r="D1824" i="11"/>
  <c r="D1833" i="11"/>
  <c r="D1850" i="11"/>
  <c r="D1867" i="11"/>
  <c r="D1884" i="11"/>
  <c r="D1901" i="11"/>
  <c r="D1918" i="11"/>
  <c r="D1935" i="11"/>
  <c r="D1952" i="11"/>
  <c r="D1960" i="11"/>
  <c r="D1968" i="11"/>
  <c r="D1976" i="11"/>
  <c r="D1984" i="11"/>
  <c r="D1992" i="11"/>
  <c r="D2000" i="11"/>
  <c r="D2008" i="11"/>
  <c r="D2016" i="11"/>
  <c r="D2024" i="11"/>
  <c r="D2032" i="11"/>
  <c r="D2040" i="11"/>
  <c r="D2048" i="11"/>
  <c r="D2056" i="11"/>
  <c r="D2064" i="11"/>
  <c r="D2072" i="11"/>
  <c r="D2080" i="11"/>
  <c r="D2088" i="11"/>
  <c r="D2096" i="11"/>
  <c r="D2104" i="11"/>
  <c r="D2112" i="11"/>
  <c r="D2120" i="11"/>
  <c r="D2128" i="11"/>
  <c r="D2136" i="11"/>
  <c r="D2144" i="11"/>
  <c r="D2152" i="11"/>
  <c r="D2160" i="11"/>
  <c r="D2168" i="11"/>
  <c r="D2176" i="11"/>
  <c r="D2184" i="11"/>
  <c r="D2192" i="11"/>
  <c r="D2200" i="11"/>
  <c r="D2208" i="11"/>
  <c r="D2216" i="11"/>
  <c r="D2224" i="11"/>
  <c r="D2232" i="11"/>
  <c r="D2240" i="11"/>
  <c r="D2248" i="11"/>
  <c r="D2256" i="11"/>
  <c r="D2264" i="11"/>
  <c r="D2272" i="11"/>
  <c r="D2280" i="11"/>
  <c r="D2288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765" i="11"/>
  <c r="D908" i="11"/>
  <c r="D1140" i="11"/>
  <c r="D1208" i="11"/>
  <c r="D1309" i="11"/>
  <c r="D1328" i="11"/>
  <c r="D1492" i="11"/>
  <c r="D1502" i="11"/>
  <c r="D1512" i="11"/>
  <c r="D1524" i="11"/>
  <c r="D1560" i="11"/>
  <c r="D1569" i="11"/>
  <c r="D1586" i="11"/>
  <c r="D1603" i="11"/>
  <c r="D1620" i="11"/>
  <c r="D1637" i="11"/>
  <c r="D1654" i="11"/>
  <c r="D1671" i="11"/>
  <c r="D1688" i="11"/>
  <c r="D1697" i="11"/>
  <c r="D1714" i="11"/>
  <c r="D1731" i="11"/>
  <c r="D1748" i="11"/>
  <c r="D1765" i="11"/>
  <c r="D1782" i="11"/>
  <c r="D1799" i="11"/>
  <c r="D1816" i="11"/>
  <c r="D1825" i="11"/>
  <c r="D1842" i="11"/>
  <c r="D1859" i="11"/>
  <c r="D1876" i="11"/>
  <c r="D1893" i="11"/>
  <c r="D1910" i="11"/>
  <c r="D1927" i="11"/>
  <c r="D1944" i="11"/>
  <c r="D766" i="11"/>
  <c r="D1001" i="11"/>
  <c r="D1072" i="11"/>
  <c r="D1251" i="11"/>
  <c r="D1284" i="11"/>
  <c r="D1333" i="11"/>
  <c r="D1351" i="11"/>
  <c r="D1368" i="11"/>
  <c r="D1384" i="11"/>
  <c r="D1400" i="11"/>
  <c r="D1416" i="11"/>
  <c r="D1432" i="11"/>
  <c r="D1448" i="11"/>
  <c r="D1464" i="11"/>
  <c r="D1479" i="11"/>
  <c r="D1514" i="11"/>
  <c r="D1534" i="11"/>
  <c r="D1543" i="11"/>
  <c r="D1552" i="11"/>
  <c r="D1561" i="11"/>
  <c r="D1578" i="11"/>
  <c r="D1595" i="11"/>
  <c r="D1612" i="11"/>
  <c r="D1629" i="11"/>
  <c r="D1646" i="11"/>
  <c r="D1663" i="11"/>
  <c r="D1680" i="11"/>
  <c r="D1689" i="11"/>
  <c r="D1706" i="11"/>
  <c r="D1723" i="11"/>
  <c r="D1740" i="11"/>
  <c r="D1757" i="11"/>
  <c r="D1774" i="11"/>
  <c r="D1791" i="11"/>
  <c r="D1808" i="11"/>
  <c r="D1817" i="11"/>
  <c r="D1834" i="11"/>
  <c r="D1851" i="11"/>
  <c r="D1868" i="11"/>
  <c r="D1885" i="11"/>
  <c r="D1902" i="11"/>
  <c r="D1919" i="11"/>
  <c r="D1936" i="11"/>
  <c r="D1945" i="11"/>
  <c r="D1953" i="11"/>
  <c r="D1961" i="11"/>
  <c r="D1969" i="11"/>
  <c r="D1977" i="11"/>
  <c r="D1985" i="11"/>
  <c r="D1993" i="11"/>
  <c r="D2001" i="11"/>
  <c r="D2009" i="11"/>
  <c r="D2017" i="11"/>
  <c r="D2025" i="11"/>
  <c r="D2033" i="11"/>
  <c r="D2041" i="11"/>
  <c r="D1080" i="11"/>
  <c r="D1310" i="11"/>
  <c r="D1334" i="11"/>
  <c r="D1493" i="11"/>
  <c r="D1503" i="11"/>
  <c r="D1515" i="11"/>
  <c r="D1525" i="11"/>
  <c r="D1553" i="11"/>
  <c r="D1570" i="11"/>
  <c r="D1587" i="11"/>
  <c r="D1604" i="11"/>
  <c r="D1621" i="11"/>
  <c r="D1638" i="11"/>
  <c r="D1655" i="11"/>
  <c r="D1672" i="11"/>
  <c r="D1681" i="11"/>
  <c r="D1698" i="11"/>
  <c r="D1715" i="11"/>
  <c r="D1732" i="11"/>
  <c r="D1749" i="11"/>
  <c r="D1766" i="11"/>
  <c r="D1783" i="11"/>
  <c r="D1800" i="11"/>
  <c r="D1809" i="11"/>
  <c r="D1826" i="11"/>
  <c r="D1843" i="11"/>
  <c r="D1860" i="11"/>
  <c r="D1877" i="11"/>
  <c r="D1894" i="11"/>
  <c r="D1911" i="11"/>
  <c r="D1928" i="11"/>
  <c r="D1937" i="11"/>
  <c r="D793" i="11"/>
  <c r="D1011" i="11"/>
  <c r="D1149" i="11"/>
  <c r="D1217" i="11"/>
  <c r="D1285" i="11"/>
  <c r="D1352" i="11"/>
  <c r="D1373" i="11"/>
  <c r="D1389" i="11"/>
  <c r="D1405" i="11"/>
  <c r="D1421" i="11"/>
  <c r="D1437" i="11"/>
  <c r="D1453" i="11"/>
  <c r="D1469" i="11"/>
  <c r="D1480" i="11"/>
  <c r="D1535" i="11"/>
  <c r="D1544" i="11"/>
  <c r="D1562" i="11"/>
  <c r="D1579" i="11"/>
  <c r="D1596" i="11"/>
  <c r="D1613" i="11"/>
  <c r="D1630" i="11"/>
  <c r="D1647" i="11"/>
  <c r="D1664" i="11"/>
  <c r="D1673" i="11"/>
  <c r="D1690" i="11"/>
  <c r="D1707" i="11"/>
  <c r="D1724" i="11"/>
  <c r="D1741" i="11"/>
  <c r="D1758" i="11"/>
  <c r="D1775" i="11"/>
  <c r="D1792" i="11"/>
  <c r="D1801" i="11"/>
  <c r="D1818" i="11"/>
  <c r="D1835" i="11"/>
  <c r="D1852" i="11"/>
  <c r="D1869" i="11"/>
  <c r="D1886" i="11"/>
  <c r="D1903" i="11"/>
  <c r="D1920" i="11"/>
  <c r="D1929" i="11"/>
  <c r="D1946" i="11"/>
  <c r="D1954" i="11"/>
  <c r="D1962" i="11"/>
  <c r="D1970" i="11"/>
  <c r="D1978" i="11"/>
  <c r="D1986" i="11"/>
  <c r="D1994" i="11"/>
  <c r="D2002" i="11"/>
  <c r="D2010" i="11"/>
  <c r="D2018" i="11"/>
  <c r="D2026" i="11"/>
  <c r="D2034" i="11"/>
  <c r="D2042" i="11"/>
  <c r="D813" i="11"/>
  <c r="D933" i="11"/>
  <c r="D1020" i="11"/>
  <c r="D1157" i="11"/>
  <c r="D1259" i="11"/>
  <c r="D1311" i="11"/>
  <c r="D1335" i="11"/>
  <c r="D1357" i="11"/>
  <c r="D1482" i="11"/>
  <c r="D1494" i="11"/>
  <c r="D1504" i="11"/>
  <c r="D1516" i="11"/>
  <c r="D1526" i="11"/>
  <c r="D1545" i="11"/>
  <c r="D1554" i="11"/>
  <c r="D1571" i="11"/>
  <c r="D1588" i="11"/>
  <c r="D1605" i="11"/>
  <c r="D1622" i="11"/>
  <c r="D1639" i="11"/>
  <c r="D1656" i="11"/>
  <c r="D1665" i="11"/>
  <c r="D1682" i="11"/>
  <c r="D1699" i="11"/>
  <c r="D1716" i="11"/>
  <c r="D1733" i="11"/>
  <c r="D1750" i="11"/>
  <c r="D1767" i="11"/>
  <c r="D1784" i="11"/>
  <c r="D1793" i="11"/>
  <c r="D1810" i="11"/>
  <c r="D1827" i="11"/>
  <c r="D1844" i="11"/>
  <c r="D1861" i="11"/>
  <c r="D1878" i="11"/>
  <c r="D1895" i="11"/>
  <c r="D1912" i="11"/>
  <c r="D1921" i="11"/>
  <c r="D1938" i="11"/>
  <c r="D1089" i="11"/>
  <c r="D1225" i="11"/>
  <c r="D1292" i="11"/>
  <c r="D1374" i="11"/>
  <c r="D1390" i="11"/>
  <c r="D1406" i="11"/>
  <c r="D1422" i="11"/>
  <c r="D1438" i="11"/>
  <c r="D1454" i="11"/>
  <c r="D1470" i="11"/>
  <c r="D1506" i="11"/>
  <c r="D1536" i="11"/>
  <c r="D1546" i="11"/>
  <c r="D1563" i="11"/>
  <c r="D1580" i="11"/>
  <c r="D1597" i="11"/>
  <c r="D1614" i="11"/>
  <c r="D1631" i="11"/>
  <c r="D1648" i="11"/>
  <c r="D1657" i="11"/>
  <c r="D1674" i="11"/>
  <c r="D1691" i="11"/>
  <c r="D1708" i="11"/>
  <c r="D1725" i="11"/>
  <c r="D1742" i="11"/>
  <c r="D1759" i="11"/>
  <c r="D1776" i="11"/>
  <c r="D1785" i="11"/>
  <c r="D1802" i="11"/>
  <c r="D1819" i="11"/>
  <c r="D1836" i="11"/>
  <c r="D1853" i="11"/>
  <c r="D1870" i="11"/>
  <c r="D1887" i="11"/>
  <c r="D1904" i="11"/>
  <c r="D1913" i="11"/>
  <c r="D1930" i="11"/>
  <c r="D1947" i="11"/>
  <c r="D1955" i="11"/>
  <c r="D1963" i="11"/>
  <c r="D1971" i="11"/>
  <c r="D1979" i="11"/>
  <c r="D1029" i="11"/>
  <c r="D1097" i="11"/>
  <c r="D1226" i="11"/>
  <c r="D1260" i="11"/>
  <c r="D1336" i="11"/>
  <c r="D1358" i="11"/>
  <c r="D1495" i="11"/>
  <c r="D1507" i="11"/>
  <c r="D1517" i="11"/>
  <c r="D1527" i="11"/>
  <c r="D1537" i="11"/>
  <c r="D1555" i="11"/>
  <c r="D1572" i="11"/>
  <c r="D1589" i="11"/>
  <c r="D1606" i="11"/>
  <c r="D1623" i="11"/>
  <c r="D1640" i="11"/>
  <c r="D1649" i="11"/>
  <c r="D1666" i="11"/>
  <c r="D1683" i="11"/>
  <c r="D1700" i="11"/>
  <c r="D1717" i="11"/>
  <c r="D1734" i="11"/>
  <c r="D1751" i="11"/>
  <c r="D1768" i="11"/>
  <c r="D1777" i="11"/>
  <c r="D1794" i="11"/>
  <c r="D1811" i="11"/>
  <c r="D1828" i="11"/>
  <c r="D1845" i="11"/>
  <c r="D1862" i="11"/>
  <c r="D1879" i="11"/>
  <c r="D1896" i="11"/>
  <c r="D1905" i="11"/>
  <c r="D1922" i="11"/>
  <c r="D1939" i="11"/>
  <c r="D831" i="11"/>
  <c r="D947" i="11"/>
  <c r="D1098" i="11"/>
  <c r="D1166" i="11"/>
  <c r="D1267" i="11"/>
  <c r="D1293" i="11"/>
  <c r="D1318" i="11"/>
  <c r="D1341" i="11"/>
  <c r="D1375" i="11"/>
  <c r="D1391" i="11"/>
  <c r="D1407" i="11"/>
  <c r="D1423" i="11"/>
  <c r="D1439" i="11"/>
  <c r="D1455" i="11"/>
  <c r="D1471" i="11"/>
  <c r="D1485" i="11"/>
  <c r="D1538" i="11"/>
  <c r="D1547" i="11"/>
  <c r="D1564" i="11"/>
  <c r="D1581" i="11"/>
  <c r="D1598" i="11"/>
  <c r="D1615" i="11"/>
  <c r="D1632" i="11"/>
  <c r="D1641" i="11"/>
  <c r="D1658" i="11"/>
  <c r="D1675" i="11"/>
  <c r="D1692" i="11"/>
  <c r="D1709" i="11"/>
  <c r="D1726" i="11"/>
  <c r="D1743" i="11"/>
  <c r="D1760" i="11"/>
  <c r="D1769" i="11"/>
  <c r="D1786" i="11"/>
  <c r="D1803" i="11"/>
  <c r="D1820" i="11"/>
  <c r="D1837" i="11"/>
  <c r="D1854" i="11"/>
  <c r="D1871" i="11"/>
  <c r="D1888" i="11"/>
  <c r="D1897" i="11"/>
  <c r="D1914" i="11"/>
  <c r="D1931" i="11"/>
  <c r="D1948" i="11"/>
  <c r="D1956" i="11"/>
  <c r="D1964" i="11"/>
  <c r="D1972" i="11"/>
  <c r="D1980" i="11"/>
  <c r="D1988" i="11"/>
  <c r="D1996" i="11"/>
  <c r="D2004" i="11"/>
  <c r="D2012" i="11"/>
  <c r="D2020" i="11"/>
  <c r="D2028" i="11"/>
  <c r="D2036" i="11"/>
  <c r="D2044" i="11"/>
  <c r="D2052" i="11"/>
  <c r="D957" i="11"/>
  <c r="D1106" i="11"/>
  <c r="D1174" i="11"/>
  <c r="D1233" i="11"/>
  <c r="D1342" i="11"/>
  <c r="D1359" i="11"/>
  <c r="D1496" i="11"/>
  <c r="D1508" i="11"/>
  <c r="D1518" i="11"/>
  <c r="D1528" i="11"/>
  <c r="D1556" i="11"/>
  <c r="D1573" i="11"/>
  <c r="D1590" i="11"/>
  <c r="D1607" i="11"/>
  <c r="D1624" i="11"/>
  <c r="D1633" i="11"/>
  <c r="D1650" i="11"/>
  <c r="D1667" i="11"/>
  <c r="D1684" i="11"/>
  <c r="D1701" i="11"/>
  <c r="D1718" i="11"/>
  <c r="D1735" i="11"/>
  <c r="D1752" i="11"/>
  <c r="D1761" i="11"/>
  <c r="D1778" i="11"/>
  <c r="D1795" i="11"/>
  <c r="D1812" i="11"/>
  <c r="D1829" i="11"/>
  <c r="D1846" i="11"/>
  <c r="D848" i="11"/>
  <c r="D1038" i="11"/>
  <c r="D1234" i="11"/>
  <c r="D1268" i="11"/>
  <c r="D1294" i="11"/>
  <c r="D1319" i="11"/>
  <c r="D1376" i="11"/>
  <c r="D1392" i="11"/>
  <c r="D1408" i="11"/>
  <c r="D1424" i="11"/>
  <c r="D1440" i="11"/>
  <c r="D1456" i="11"/>
  <c r="D1472" i="11"/>
  <c r="D1486" i="11"/>
  <c r="D1498" i="11"/>
  <c r="D1530" i="11"/>
  <c r="D1539" i="11"/>
  <c r="D1548" i="11"/>
  <c r="D1565" i="11"/>
  <c r="D1582" i="11"/>
  <c r="D1599" i="11"/>
  <c r="D1616" i="11"/>
  <c r="D1625" i="11"/>
  <c r="D1642" i="11"/>
  <c r="D1659" i="11"/>
  <c r="D1676" i="11"/>
  <c r="D1693" i="11"/>
  <c r="D1710" i="11"/>
  <c r="D1727" i="11"/>
  <c r="D1744" i="11"/>
  <c r="D1753" i="11"/>
  <c r="D1770" i="11"/>
  <c r="D1787" i="11"/>
  <c r="D1804" i="11"/>
  <c r="D1821" i="11"/>
  <c r="D1838" i="11"/>
  <c r="D1855" i="11"/>
  <c r="D1872" i="11"/>
  <c r="D1881" i="11"/>
  <c r="D1046" i="11"/>
  <c r="D1343" i="11"/>
  <c r="D1360" i="11"/>
  <c r="D1474" i="11"/>
  <c r="D1499" i="11"/>
  <c r="D1509" i="11"/>
  <c r="D1519" i="11"/>
  <c r="D1557" i="11"/>
  <c r="D1574" i="11"/>
  <c r="D1591" i="11"/>
  <c r="D1608" i="11"/>
  <c r="D1617" i="11"/>
  <c r="D1634" i="11"/>
  <c r="D1651" i="11"/>
  <c r="D1668" i="11"/>
  <c r="D1685" i="11"/>
  <c r="D1702" i="11"/>
  <c r="D1719" i="11"/>
  <c r="D1736" i="11"/>
  <c r="D1745" i="11"/>
  <c r="D1762" i="11"/>
  <c r="D1779" i="11"/>
  <c r="D1796" i="11"/>
  <c r="D1813" i="11"/>
  <c r="D1830" i="11"/>
  <c r="D865" i="11"/>
  <c r="D968" i="11"/>
  <c r="D1115" i="11"/>
  <c r="D1183" i="11"/>
  <c r="D1241" i="11"/>
  <c r="D1275" i="11"/>
  <c r="D1301" i="11"/>
  <c r="D1325" i="11"/>
  <c r="D1365" i="11"/>
  <c r="D1381" i="11"/>
  <c r="D1397" i="11"/>
  <c r="D1413" i="11"/>
  <c r="D1429" i="11"/>
  <c r="D1445" i="11"/>
  <c r="D1461" i="11"/>
  <c r="D1487" i="11"/>
  <c r="D1531" i="11"/>
  <c r="D1540" i="11"/>
  <c r="D1549" i="11"/>
  <c r="D1566" i="11"/>
  <c r="D1583" i="11"/>
  <c r="D1600" i="11"/>
  <c r="D1609" i="11"/>
  <c r="D1626" i="11"/>
  <c r="D1643" i="11"/>
  <c r="D1660" i="11"/>
  <c r="D1677" i="11"/>
  <c r="D1694" i="11"/>
  <c r="D1711" i="11"/>
  <c r="D1728" i="11"/>
  <c r="D1737" i="11"/>
  <c r="D673" i="11"/>
  <c r="D1123" i="11"/>
  <c r="D1191" i="11"/>
  <c r="D1242" i="11"/>
  <c r="D1326" i="11"/>
  <c r="D1344" i="11"/>
  <c r="D1500" i="11"/>
  <c r="D1510" i="11"/>
  <c r="D1520" i="11"/>
  <c r="D1558" i="11"/>
  <c r="D1575" i="11"/>
  <c r="D1592" i="11"/>
  <c r="D1601" i="11"/>
  <c r="D1618" i="11"/>
  <c r="D1635" i="11"/>
  <c r="D1652" i="11"/>
  <c r="D1669" i="11"/>
  <c r="D1686" i="11"/>
  <c r="D1703" i="11"/>
  <c r="D1720" i="11"/>
  <c r="D1729" i="11"/>
  <c r="D1746" i="11"/>
  <c r="D1763" i="11"/>
  <c r="D981" i="11"/>
  <c r="D1055" i="11"/>
  <c r="D1276" i="11"/>
  <c r="D1302" i="11"/>
  <c r="D1349" i="11"/>
  <c r="D1366" i="11"/>
  <c r="D1382" i="11"/>
  <c r="D1398" i="11"/>
  <c r="D1414" i="11"/>
  <c r="D1430" i="11"/>
  <c r="D1446" i="11"/>
  <c r="D1462" i="11"/>
  <c r="D1477" i="11"/>
  <c r="D1488" i="11"/>
  <c r="D1522" i="11"/>
  <c r="D1532" i="11"/>
  <c r="D1541" i="11"/>
  <c r="D1550" i="11"/>
  <c r="D1567" i="11"/>
  <c r="D1584" i="11"/>
  <c r="D1593" i="11"/>
  <c r="D1610" i="11"/>
  <c r="D1627" i="11"/>
  <c r="D1644" i="11"/>
  <c r="D1661" i="11"/>
  <c r="D1678" i="11"/>
  <c r="D1695" i="11"/>
  <c r="D1712" i="11"/>
  <c r="D1721" i="11"/>
  <c r="D1738" i="11"/>
  <c r="D1755" i="11"/>
  <c r="D1772" i="11"/>
  <c r="D1511" i="11"/>
  <c r="D1653" i="11"/>
  <c r="D1771" i="11"/>
  <c r="D1806" i="11"/>
  <c r="D1840" i="11"/>
  <c r="D1890" i="11"/>
  <c r="D1908" i="11"/>
  <c r="D1926" i="11"/>
  <c r="D1949" i="11"/>
  <c r="D1965" i="11"/>
  <c r="D1981" i="11"/>
  <c r="D2031" i="11"/>
  <c r="D2043" i="11"/>
  <c r="D2061" i="11"/>
  <c r="D2078" i="11"/>
  <c r="D2095" i="11"/>
  <c r="D2121" i="11"/>
  <c r="D2138" i="11"/>
  <c r="D2155" i="11"/>
  <c r="D2172" i="11"/>
  <c r="D2189" i="11"/>
  <c r="D2206" i="11"/>
  <c r="D2223" i="11"/>
  <c r="D2249" i="11"/>
  <c r="D2266" i="11"/>
  <c r="D2283" i="11"/>
  <c r="D2300" i="11"/>
  <c r="D2317" i="11"/>
  <c r="D2334" i="11"/>
  <c r="D2351" i="11"/>
  <c r="D2377" i="11"/>
  <c r="D2394" i="11"/>
  <c r="D2411" i="11"/>
  <c r="D2428" i="11"/>
  <c r="D2445" i="11"/>
  <c r="D2462" i="11"/>
  <c r="D2479" i="11"/>
  <c r="D2505" i="11"/>
  <c r="D2522" i="11"/>
  <c r="D2539" i="11"/>
  <c r="D1243" i="11"/>
  <c r="D1523" i="11"/>
  <c r="D1841" i="11"/>
  <c r="D1866" i="11"/>
  <c r="D2021" i="11"/>
  <c r="D2053" i="11"/>
  <c r="D2070" i="11"/>
  <c r="D2087" i="11"/>
  <c r="D2113" i="11"/>
  <c r="D2130" i="11"/>
  <c r="D2147" i="11"/>
  <c r="D2164" i="11"/>
  <c r="D2181" i="11"/>
  <c r="D2198" i="11"/>
  <c r="D2215" i="11"/>
  <c r="D2241" i="11"/>
  <c r="D2258" i="11"/>
  <c r="D2275" i="11"/>
  <c r="D2292" i="11"/>
  <c r="D2309" i="11"/>
  <c r="D2326" i="11"/>
  <c r="D2343" i="11"/>
  <c r="D2369" i="11"/>
  <c r="D2386" i="11"/>
  <c r="D2403" i="11"/>
  <c r="D2420" i="11"/>
  <c r="D2437" i="11"/>
  <c r="D2454" i="11"/>
  <c r="D2471" i="11"/>
  <c r="D2497" i="11"/>
  <c r="D2514" i="11"/>
  <c r="D2531" i="11"/>
  <c r="D2548" i="11"/>
  <c r="D2556" i="11"/>
  <c r="D2564" i="11"/>
  <c r="D2572" i="11"/>
  <c r="D2580" i="11"/>
  <c r="D2588" i="11"/>
  <c r="D2596" i="11"/>
  <c r="D2604" i="11"/>
  <c r="D1670" i="11"/>
  <c r="D1847" i="11"/>
  <c r="D1891" i="11"/>
  <c r="D1909" i="11"/>
  <c r="D1932" i="11"/>
  <c r="D1950" i="11"/>
  <c r="D1966" i="11"/>
  <c r="D1982" i="11"/>
  <c r="D1997" i="11"/>
  <c r="D2062" i="11"/>
  <c r="D2079" i="11"/>
  <c r="D2105" i="11"/>
  <c r="D2122" i="11"/>
  <c r="D2139" i="11"/>
  <c r="D2156" i="11"/>
  <c r="D2173" i="11"/>
  <c r="D2190" i="11"/>
  <c r="D2207" i="11"/>
  <c r="D2233" i="11"/>
  <c r="D2250" i="11"/>
  <c r="D2267" i="11"/>
  <c r="D2284" i="11"/>
  <c r="D2301" i="11"/>
  <c r="D2318" i="11"/>
  <c r="D2335" i="11"/>
  <c r="D2361" i="11"/>
  <c r="D2378" i="11"/>
  <c r="D2395" i="11"/>
  <c r="D2412" i="11"/>
  <c r="D2429" i="11"/>
  <c r="D2446" i="11"/>
  <c r="D2463" i="11"/>
  <c r="D2489" i="11"/>
  <c r="D2506" i="11"/>
  <c r="D2523" i="11"/>
  <c r="D2540" i="11"/>
  <c r="D1780" i="11"/>
  <c r="D1814" i="11"/>
  <c r="D2011" i="11"/>
  <c r="D2022" i="11"/>
  <c r="D2045" i="11"/>
  <c r="D2054" i="11"/>
  <c r="D2071" i="11"/>
  <c r="D2097" i="11"/>
  <c r="D2114" i="11"/>
  <c r="D2131" i="11"/>
  <c r="D2148" i="11"/>
  <c r="D2165" i="11"/>
  <c r="D2182" i="11"/>
  <c r="D2199" i="11"/>
  <c r="D2225" i="11"/>
  <c r="D2242" i="11"/>
  <c r="D2259" i="11"/>
  <c r="D2276" i="11"/>
  <c r="D2293" i="11"/>
  <c r="D2310" i="11"/>
  <c r="D2327" i="11"/>
  <c r="D2353" i="11"/>
  <c r="D2370" i="11"/>
  <c r="D2387" i="11"/>
  <c r="D2404" i="11"/>
  <c r="D2421" i="11"/>
  <c r="D2438" i="11"/>
  <c r="D2455" i="11"/>
  <c r="D2481" i="11"/>
  <c r="D2498" i="11"/>
  <c r="D2515" i="11"/>
  <c r="D2532" i="11"/>
  <c r="D2549" i="11"/>
  <c r="D2557" i="11"/>
  <c r="D2565" i="11"/>
  <c r="D2573" i="11"/>
  <c r="D2581" i="11"/>
  <c r="D1327" i="11"/>
  <c r="D1687" i="11"/>
  <c r="D1848" i="11"/>
  <c r="D1873" i="11"/>
  <c r="D1892" i="11"/>
  <c r="D1915" i="11"/>
  <c r="D1933" i="11"/>
  <c r="D1951" i="11"/>
  <c r="D1967" i="11"/>
  <c r="D1983" i="11"/>
  <c r="D1998" i="11"/>
  <c r="D2035" i="11"/>
  <c r="D2063" i="11"/>
  <c r="D2089" i="11"/>
  <c r="D2106" i="11"/>
  <c r="D2123" i="11"/>
  <c r="D2140" i="11"/>
  <c r="D2157" i="11"/>
  <c r="D2174" i="11"/>
  <c r="D2191" i="11"/>
  <c r="D2217" i="11"/>
  <c r="D2234" i="11"/>
  <c r="D2251" i="11"/>
  <c r="D2268" i="11"/>
  <c r="D2285" i="11"/>
  <c r="D2302" i="11"/>
  <c r="D2319" i="11"/>
  <c r="D2345" i="11"/>
  <c r="D2362" i="11"/>
  <c r="D2379" i="11"/>
  <c r="D2396" i="11"/>
  <c r="D2413" i="11"/>
  <c r="D2430" i="11"/>
  <c r="D2447" i="11"/>
  <c r="D2473" i="11"/>
  <c r="D2490" i="11"/>
  <c r="D2507" i="11"/>
  <c r="D2524" i="11"/>
  <c r="D2541" i="11"/>
  <c r="D1559" i="11"/>
  <c r="D1781" i="11"/>
  <c r="D1815" i="11"/>
  <c r="D1849" i="11"/>
  <c r="D2023" i="11"/>
  <c r="D2046" i="11"/>
  <c r="D2055" i="11"/>
  <c r="D2081" i="11"/>
  <c r="D2098" i="11"/>
  <c r="D2115" i="11"/>
  <c r="D2132" i="11"/>
  <c r="D2149" i="11"/>
  <c r="D2166" i="11"/>
  <c r="D2183" i="11"/>
  <c r="D2209" i="11"/>
  <c r="D2226" i="11"/>
  <c r="D2243" i="11"/>
  <c r="D2260" i="11"/>
  <c r="D2277" i="11"/>
  <c r="D2294" i="11"/>
  <c r="D2311" i="11"/>
  <c r="D2337" i="11"/>
  <c r="D2354" i="11"/>
  <c r="D2371" i="11"/>
  <c r="D2388" i="11"/>
  <c r="D2405" i="11"/>
  <c r="D2422" i="11"/>
  <c r="D2439" i="11"/>
  <c r="D2465" i="11"/>
  <c r="D2482" i="11"/>
  <c r="D2499" i="11"/>
  <c r="D2516" i="11"/>
  <c r="D2533" i="11"/>
  <c r="D1704" i="11"/>
  <c r="D1788" i="11"/>
  <c r="D1822" i="11"/>
  <c r="D1874" i="11"/>
  <c r="D1898" i="11"/>
  <c r="D1916" i="11"/>
  <c r="D1934" i="11"/>
  <c r="D1987" i="11"/>
  <c r="D1999" i="11"/>
  <c r="D2013" i="11"/>
  <c r="D2073" i="11"/>
  <c r="D2090" i="11"/>
  <c r="D2107" i="11"/>
  <c r="D2124" i="11"/>
  <c r="D2141" i="11"/>
  <c r="D2158" i="11"/>
  <c r="D2175" i="11"/>
  <c r="D2201" i="11"/>
  <c r="D2218" i="11"/>
  <c r="D2235" i="11"/>
  <c r="D2252" i="11"/>
  <c r="D2269" i="11"/>
  <c r="D2286" i="11"/>
  <c r="D2303" i="11"/>
  <c r="D2329" i="11"/>
  <c r="D2346" i="11"/>
  <c r="D2363" i="11"/>
  <c r="D2380" i="11"/>
  <c r="D2397" i="11"/>
  <c r="D2414" i="11"/>
  <c r="D2431" i="11"/>
  <c r="D2457" i="11"/>
  <c r="D2474" i="11"/>
  <c r="D2491" i="11"/>
  <c r="D1576" i="11"/>
  <c r="D1713" i="11"/>
  <c r="D2037" i="11"/>
  <c r="D2047" i="11"/>
  <c r="D2065" i="11"/>
  <c r="D2082" i="11"/>
  <c r="D2099" i="11"/>
  <c r="D2116" i="11"/>
  <c r="D2133" i="11"/>
  <c r="D2150" i="11"/>
  <c r="D2167" i="11"/>
  <c r="D2193" i="11"/>
  <c r="D2210" i="11"/>
  <c r="D2227" i="11"/>
  <c r="D2244" i="11"/>
  <c r="D2261" i="11"/>
  <c r="D2278" i="11"/>
  <c r="D2295" i="11"/>
  <c r="D2321" i="11"/>
  <c r="D2338" i="11"/>
  <c r="D2355" i="11"/>
  <c r="D2372" i="11"/>
  <c r="D2389" i="11"/>
  <c r="D2406" i="11"/>
  <c r="D2423" i="11"/>
  <c r="D2449" i="11"/>
  <c r="D2466" i="11"/>
  <c r="D2483" i="11"/>
  <c r="D2500" i="11"/>
  <c r="D2517" i="11"/>
  <c r="D2534" i="11"/>
  <c r="D2551" i="11"/>
  <c r="D2559" i="11"/>
  <c r="D2567" i="11"/>
  <c r="D2575" i="11"/>
  <c r="D2583" i="11"/>
  <c r="D2591" i="11"/>
  <c r="D2599" i="11"/>
  <c r="D2607" i="11"/>
  <c r="D2615" i="11"/>
  <c r="D1585" i="11"/>
  <c r="D1789" i="11"/>
  <c r="D1823" i="11"/>
  <c r="D1875" i="11"/>
  <c r="D1899" i="11"/>
  <c r="D1917" i="11"/>
  <c r="D1940" i="11"/>
  <c r="D1957" i="11"/>
  <c r="D1973" i="11"/>
  <c r="D2003" i="11"/>
  <c r="D2014" i="11"/>
  <c r="D2057" i="11"/>
  <c r="D2074" i="11"/>
  <c r="D2091" i="11"/>
  <c r="D2108" i="11"/>
  <c r="D2125" i="11"/>
  <c r="D2142" i="11"/>
  <c r="D2159" i="11"/>
  <c r="D2185" i="11"/>
  <c r="D2202" i="11"/>
  <c r="D2219" i="11"/>
  <c r="D2236" i="11"/>
  <c r="D2253" i="11"/>
  <c r="D2270" i="11"/>
  <c r="D2287" i="11"/>
  <c r="D2313" i="11"/>
  <c r="D2330" i="11"/>
  <c r="D2347" i="11"/>
  <c r="D2364" i="11"/>
  <c r="D2381" i="11"/>
  <c r="D2398" i="11"/>
  <c r="D2415" i="11"/>
  <c r="D2441" i="11"/>
  <c r="D2458" i="11"/>
  <c r="D1730" i="11"/>
  <c r="D1856" i="11"/>
  <c r="D1880" i="11"/>
  <c r="D1989" i="11"/>
  <c r="D2027" i="11"/>
  <c r="D2038" i="11"/>
  <c r="D2066" i="11"/>
  <c r="D2083" i="11"/>
  <c r="D2100" i="11"/>
  <c r="D2117" i="11"/>
  <c r="D2134" i="11"/>
  <c r="D2151" i="11"/>
  <c r="D2177" i="11"/>
  <c r="D2194" i="11"/>
  <c r="D2211" i="11"/>
  <c r="D2228" i="11"/>
  <c r="D2245" i="11"/>
  <c r="D2262" i="11"/>
  <c r="D2279" i="11"/>
  <c r="D2305" i="11"/>
  <c r="D2322" i="11"/>
  <c r="D2339" i="11"/>
  <c r="D2356" i="11"/>
  <c r="D2373" i="11"/>
  <c r="D2390" i="11"/>
  <c r="D1602" i="11"/>
  <c r="D1857" i="11"/>
  <c r="D1900" i="11"/>
  <c r="D1923" i="11"/>
  <c r="D1941" i="11"/>
  <c r="D1958" i="11"/>
  <c r="D1974" i="11"/>
  <c r="D2015" i="11"/>
  <c r="D2049" i="11"/>
  <c r="D2058" i="11"/>
  <c r="D2075" i="11"/>
  <c r="D2092" i="11"/>
  <c r="D2109" i="11"/>
  <c r="D2126" i="11"/>
  <c r="D2143" i="11"/>
  <c r="D2169" i="11"/>
  <c r="D2186" i="11"/>
  <c r="D2203" i="11"/>
  <c r="D2220" i="11"/>
  <c r="D2237" i="11"/>
  <c r="D2254" i="11"/>
  <c r="D2271" i="11"/>
  <c r="D2297" i="11"/>
  <c r="D2314" i="11"/>
  <c r="D2331" i="11"/>
  <c r="D2348" i="11"/>
  <c r="D2365" i="11"/>
  <c r="D2382" i="11"/>
  <c r="D2399" i="11"/>
  <c r="D2425" i="11"/>
  <c r="D728" i="11"/>
  <c r="D1747" i="11"/>
  <c r="D1797" i="11"/>
  <c r="D1831" i="11"/>
  <c r="D1882" i="11"/>
  <c r="D1990" i="11"/>
  <c r="D2005" i="11"/>
  <c r="D2039" i="11"/>
  <c r="D2067" i="11"/>
  <c r="D2084" i="11"/>
  <c r="D2101" i="11"/>
  <c r="D2118" i="11"/>
  <c r="D2135" i="11"/>
  <c r="D2161" i="11"/>
  <c r="D2178" i="11"/>
  <c r="D2195" i="11"/>
  <c r="D2212" i="11"/>
  <c r="D2229" i="11"/>
  <c r="D2246" i="11"/>
  <c r="D2263" i="11"/>
  <c r="D2289" i="11"/>
  <c r="D2306" i="11"/>
  <c r="D2323" i="11"/>
  <c r="D2340" i="11"/>
  <c r="D2357" i="11"/>
  <c r="D1619" i="11"/>
  <c r="D1754" i="11"/>
  <c r="D1858" i="11"/>
  <c r="D1906" i="11"/>
  <c r="D1924" i="11"/>
  <c r="D1942" i="11"/>
  <c r="D1959" i="11"/>
  <c r="D1975" i="11"/>
  <c r="D2029" i="11"/>
  <c r="D2050" i="11"/>
  <c r="D2059" i="11"/>
  <c r="D2076" i="11"/>
  <c r="D2093" i="11"/>
  <c r="D2110" i="11"/>
  <c r="D2127" i="11"/>
  <c r="D2153" i="11"/>
  <c r="D2170" i="11"/>
  <c r="D2187" i="11"/>
  <c r="D2204" i="11"/>
  <c r="D2221" i="11"/>
  <c r="D2238" i="11"/>
  <c r="D2255" i="11"/>
  <c r="D2281" i="11"/>
  <c r="D2298" i="11"/>
  <c r="D2315" i="11"/>
  <c r="D2332" i="11"/>
  <c r="D2349" i="11"/>
  <c r="D1798" i="11"/>
  <c r="D1832" i="11"/>
  <c r="D1863" i="11"/>
  <c r="D1883" i="11"/>
  <c r="D1991" i="11"/>
  <c r="D2006" i="11"/>
  <c r="D2068" i="11"/>
  <c r="D2085" i="11"/>
  <c r="D2102" i="11"/>
  <c r="D2119" i="11"/>
  <c r="D2145" i="11"/>
  <c r="D2162" i="11"/>
  <c r="D2179" i="11"/>
  <c r="D2196" i="11"/>
  <c r="D2213" i="11"/>
  <c r="D2230" i="11"/>
  <c r="D2247" i="11"/>
  <c r="D2273" i="11"/>
  <c r="D2290" i="11"/>
  <c r="D2307" i="11"/>
  <c r="D1063" i="11"/>
  <c r="D1490" i="11"/>
  <c r="D1636" i="11"/>
  <c r="D1805" i="11"/>
  <c r="D1839" i="11"/>
  <c r="D1864" i="11"/>
  <c r="D1907" i="11"/>
  <c r="D1925" i="11"/>
  <c r="D1943" i="11"/>
  <c r="D2019" i="11"/>
  <c r="D2030" i="11"/>
  <c r="D2051" i="11"/>
  <c r="D2060" i="11"/>
  <c r="D2077" i="11"/>
  <c r="D2094" i="11"/>
  <c r="D2111" i="11"/>
  <c r="D2137" i="11"/>
  <c r="D2154" i="11"/>
  <c r="D2171" i="11"/>
  <c r="D2188" i="11"/>
  <c r="D2205" i="11"/>
  <c r="D2222" i="11"/>
  <c r="D2239" i="11"/>
  <c r="D2265" i="11"/>
  <c r="D2282" i="11"/>
  <c r="D2299" i="11"/>
  <c r="D1501" i="11"/>
  <c r="D1764" i="11"/>
  <c r="D1865" i="11"/>
  <c r="D1889" i="11"/>
  <c r="D1995" i="11"/>
  <c r="D2007" i="11"/>
  <c r="D2069" i="11"/>
  <c r="D2086" i="11"/>
  <c r="D2103" i="11"/>
  <c r="D2129" i="11"/>
  <c r="D2146" i="11"/>
  <c r="D2163" i="11"/>
  <c r="D2180" i="11"/>
  <c r="D2197" i="11"/>
  <c r="D2214" i="11"/>
  <c r="D2231" i="11"/>
  <c r="D2257" i="11"/>
  <c r="D2308" i="11"/>
  <c r="D2410" i="11"/>
  <c r="D2475" i="11"/>
  <c r="D2492" i="11"/>
  <c r="D2562" i="11"/>
  <c r="D2576" i="11"/>
  <c r="D2587" i="11"/>
  <c r="D2600" i="11"/>
  <c r="D2621" i="11"/>
  <c r="D2638" i="11"/>
  <c r="D2655" i="11"/>
  <c r="D2672" i="11"/>
  <c r="D2689" i="11"/>
  <c r="D2706" i="11"/>
  <c r="D2723" i="11"/>
  <c r="D2732" i="11"/>
  <c r="D2749" i="11"/>
  <c r="D2766" i="11"/>
  <c r="D2783" i="11"/>
  <c r="D2800" i="11"/>
  <c r="D2817" i="11"/>
  <c r="D2834" i="11"/>
  <c r="D2851" i="11"/>
  <c r="D2860" i="11"/>
  <c r="D2877" i="11"/>
  <c r="D2894" i="11"/>
  <c r="D2911" i="11"/>
  <c r="D2928" i="11"/>
  <c r="D2945" i="11"/>
  <c r="D2962" i="11"/>
  <c r="D2979" i="11"/>
  <c r="D2988" i="11"/>
  <c r="D3005" i="11"/>
  <c r="D3022" i="11"/>
  <c r="D3039" i="11"/>
  <c r="D3047" i="11"/>
  <c r="D3055" i="11"/>
  <c r="D3063" i="11"/>
  <c r="D3071" i="11"/>
  <c r="D3079" i="11"/>
  <c r="D3087" i="11"/>
  <c r="D3095" i="11"/>
  <c r="D3103" i="11"/>
  <c r="D3111" i="11"/>
  <c r="D3119" i="11"/>
  <c r="D3127" i="11"/>
  <c r="D3135" i="11"/>
  <c r="D3143" i="11"/>
  <c r="D3151" i="11"/>
  <c r="D3159" i="11"/>
  <c r="D3167" i="11"/>
  <c r="D3175" i="11"/>
  <c r="D3183" i="11"/>
  <c r="D3191" i="11"/>
  <c r="D3199" i="11"/>
  <c r="D3207" i="11"/>
  <c r="D3215" i="11"/>
  <c r="D3223" i="11"/>
  <c r="D3231" i="11"/>
  <c r="D3239" i="11"/>
  <c r="D3247" i="11"/>
  <c r="D3255" i="11"/>
  <c r="D3263" i="11"/>
  <c r="D3271" i="11"/>
  <c r="D3279" i="11"/>
  <c r="D3287" i="11"/>
  <c r="D3295" i="11"/>
  <c r="D3303" i="11"/>
  <c r="D3311" i="11"/>
  <c r="D3319" i="11"/>
  <c r="D3327" i="11"/>
  <c r="D3335" i="11"/>
  <c r="D3343" i="11"/>
  <c r="D3351" i="11"/>
  <c r="D3359" i="11"/>
  <c r="D3367" i="11"/>
  <c r="D3375" i="11"/>
  <c r="D3383" i="11"/>
  <c r="D3391" i="11"/>
  <c r="D3399" i="11"/>
  <c r="D3407" i="11"/>
  <c r="D3415" i="11"/>
  <c r="D3423" i="11"/>
  <c r="D3431" i="11"/>
  <c r="D3439" i="11"/>
  <c r="D3447" i="11"/>
  <c r="D3455" i="11"/>
  <c r="D3463" i="11"/>
  <c r="D3471" i="11"/>
  <c r="D3479" i="11"/>
  <c r="D3487" i="11"/>
  <c r="D3495" i="11"/>
  <c r="D3503" i="11"/>
  <c r="D3511" i="11"/>
  <c r="D3519" i="11"/>
  <c r="D3527" i="11"/>
  <c r="D3535" i="11"/>
  <c r="D3543" i="11"/>
  <c r="D3551" i="11"/>
  <c r="D3559" i="11"/>
  <c r="D3567" i="11"/>
  <c r="D2358" i="11"/>
  <c r="D2385" i="11"/>
  <c r="D2435" i="11"/>
  <c r="D2453" i="11"/>
  <c r="D2508" i="11"/>
  <c r="D2521" i="11"/>
  <c r="D2537" i="11"/>
  <c r="D2316" i="11"/>
  <c r="D2391" i="11"/>
  <c r="D2476" i="11"/>
  <c r="D2493" i="11"/>
  <c r="D2509" i="11"/>
  <c r="D2552" i="11"/>
  <c r="D2563" i="11"/>
  <c r="D2577" i="11"/>
  <c r="D2590" i="11"/>
  <c r="D2601" i="11"/>
  <c r="D2612" i="11"/>
  <c r="D2622" i="11"/>
  <c r="D2639" i="11"/>
  <c r="D2656" i="11"/>
  <c r="D2673" i="11"/>
  <c r="D2690" i="11"/>
  <c r="D2707" i="11"/>
  <c r="D2716" i="11"/>
  <c r="D2733" i="11"/>
  <c r="D2750" i="11"/>
  <c r="D2767" i="11"/>
  <c r="D2784" i="11"/>
  <c r="D2801" i="11"/>
  <c r="D2818" i="11"/>
  <c r="D2835" i="11"/>
  <c r="D2844" i="11"/>
  <c r="D2861" i="11"/>
  <c r="D2878" i="11"/>
  <c r="D2895" i="11"/>
  <c r="D2912" i="11"/>
  <c r="D2929" i="11"/>
  <c r="D2946" i="11"/>
  <c r="D2963" i="11"/>
  <c r="D2972" i="11"/>
  <c r="D2989" i="11"/>
  <c r="D3006" i="11"/>
  <c r="D3023" i="11"/>
  <c r="D3040" i="11"/>
  <c r="D3048" i="11"/>
  <c r="D3056" i="11"/>
  <c r="D3064" i="11"/>
  <c r="D3072" i="11"/>
  <c r="D3080" i="11"/>
  <c r="D3088" i="11"/>
  <c r="D3096" i="11"/>
  <c r="D3104" i="11"/>
  <c r="D3112" i="11"/>
  <c r="D3120" i="11"/>
  <c r="D3128" i="11"/>
  <c r="D3136" i="11"/>
  <c r="D3144" i="11"/>
  <c r="D3152" i="11"/>
  <c r="D3160" i="11"/>
  <c r="D3168" i="11"/>
  <c r="D3176" i="11"/>
  <c r="D3184" i="11"/>
  <c r="D3192" i="11"/>
  <c r="D3200" i="11"/>
  <c r="D3208" i="11"/>
  <c r="D3216" i="11"/>
  <c r="D3224" i="11"/>
  <c r="D3232" i="11"/>
  <c r="D3240" i="11"/>
  <c r="D3248" i="11"/>
  <c r="D3256" i="11"/>
  <c r="D3264" i="11"/>
  <c r="D3272" i="11"/>
  <c r="D3280" i="11"/>
  <c r="D3288" i="11"/>
  <c r="D3296" i="11"/>
  <c r="D3304" i="11"/>
  <c r="D3312" i="11"/>
  <c r="D3320" i="11"/>
  <c r="D3328" i="11"/>
  <c r="D3336" i="11"/>
  <c r="D3344" i="11"/>
  <c r="D3352" i="11"/>
  <c r="D3360" i="11"/>
  <c r="D3368" i="11"/>
  <c r="D3376" i="11"/>
  <c r="D3384" i="11"/>
  <c r="D3392" i="11"/>
  <c r="D3400" i="11"/>
  <c r="D2359" i="11"/>
  <c r="D2417" i="11"/>
  <c r="D2436" i="11"/>
  <c r="D2459" i="11"/>
  <c r="D2525" i="11"/>
  <c r="D2538" i="11"/>
  <c r="D2566" i="11"/>
  <c r="D2613" i="11"/>
  <c r="D2631" i="11"/>
  <c r="D2648" i="11"/>
  <c r="D2665" i="11"/>
  <c r="D2682" i="11"/>
  <c r="D2699" i="11"/>
  <c r="D2708" i="11"/>
  <c r="D2725" i="11"/>
  <c r="D2742" i="11"/>
  <c r="D2759" i="11"/>
  <c r="D2776" i="11"/>
  <c r="D2793" i="11"/>
  <c r="D2810" i="11"/>
  <c r="D2827" i="11"/>
  <c r="D2836" i="11"/>
  <c r="D2853" i="11"/>
  <c r="D2870" i="11"/>
  <c r="D2887" i="11"/>
  <c r="D2904" i="11"/>
  <c r="D2921" i="11"/>
  <c r="D2938" i="11"/>
  <c r="D2955" i="11"/>
  <c r="D2964" i="11"/>
  <c r="D2981" i="11"/>
  <c r="D2998" i="11"/>
  <c r="D3015" i="11"/>
  <c r="D3032" i="11"/>
  <c r="D2324" i="11"/>
  <c r="D2366" i="11"/>
  <c r="D2477" i="11"/>
  <c r="D2494" i="11"/>
  <c r="D2510" i="11"/>
  <c r="D2526" i="11"/>
  <c r="D2553" i="11"/>
  <c r="D2578" i="11"/>
  <c r="D2602" i="11"/>
  <c r="D2623" i="11"/>
  <c r="D2640" i="11"/>
  <c r="D2657" i="11"/>
  <c r="D2674" i="11"/>
  <c r="D2691" i="11"/>
  <c r="D2700" i="11"/>
  <c r="D2717" i="11"/>
  <c r="D2734" i="11"/>
  <c r="D2751" i="11"/>
  <c r="D2768" i="11"/>
  <c r="D2785" i="11"/>
  <c r="D2802" i="11"/>
  <c r="D2819" i="11"/>
  <c r="D2828" i="11"/>
  <c r="D2845" i="11"/>
  <c r="D2862" i="11"/>
  <c r="D2879" i="11"/>
  <c r="D2896" i="11"/>
  <c r="D2913" i="11"/>
  <c r="D2930" i="11"/>
  <c r="D2947" i="11"/>
  <c r="D2956" i="11"/>
  <c r="D2973" i="11"/>
  <c r="D2990" i="11"/>
  <c r="D3007" i="11"/>
  <c r="D3024" i="11"/>
  <c r="D3041" i="11"/>
  <c r="D3049" i="11"/>
  <c r="D3057" i="11"/>
  <c r="D3065" i="11"/>
  <c r="D3073" i="11"/>
  <c r="D3081" i="11"/>
  <c r="D3089" i="11"/>
  <c r="D3097" i="11"/>
  <c r="D3105" i="11"/>
  <c r="D3113" i="11"/>
  <c r="D3121" i="11"/>
  <c r="D3129" i="11"/>
  <c r="D3137" i="11"/>
  <c r="D3145" i="11"/>
  <c r="D3153" i="11"/>
  <c r="D3161" i="11"/>
  <c r="D3169" i="11"/>
  <c r="D3177" i="11"/>
  <c r="D2393" i="11"/>
  <c r="D2418" i="11"/>
  <c r="D2442" i="11"/>
  <c r="D2460" i="11"/>
  <c r="D2592" i="11"/>
  <c r="D2614" i="11"/>
  <c r="D2632" i="11"/>
  <c r="D2649" i="11"/>
  <c r="D2666" i="11"/>
  <c r="D2683" i="11"/>
  <c r="D2692" i="11"/>
  <c r="D2709" i="11"/>
  <c r="D2726" i="11"/>
  <c r="D2743" i="11"/>
  <c r="D2760" i="11"/>
  <c r="D2777" i="11"/>
  <c r="D2794" i="11"/>
  <c r="D2811" i="11"/>
  <c r="D2820" i="11"/>
  <c r="D2837" i="11"/>
  <c r="D2854" i="11"/>
  <c r="D2871" i="11"/>
  <c r="D2888" i="11"/>
  <c r="D2905" i="11"/>
  <c r="D2922" i="11"/>
  <c r="D2939" i="11"/>
  <c r="D2948" i="11"/>
  <c r="D2965" i="11"/>
  <c r="D2982" i="11"/>
  <c r="D2999" i="11"/>
  <c r="D3016" i="11"/>
  <c r="D3033" i="11"/>
  <c r="D2325" i="11"/>
  <c r="D2367" i="11"/>
  <c r="D2478" i="11"/>
  <c r="D2495" i="11"/>
  <c r="D2511" i="11"/>
  <c r="D2527" i="11"/>
  <c r="D2542" i="11"/>
  <c r="D2554" i="11"/>
  <c r="D2568" i="11"/>
  <c r="D2579" i="11"/>
  <c r="D2603" i="11"/>
  <c r="D2624" i="11"/>
  <c r="D2641" i="11"/>
  <c r="D2658" i="11"/>
  <c r="D2675" i="11"/>
  <c r="D2684" i="11"/>
  <c r="D2701" i="11"/>
  <c r="D2718" i="11"/>
  <c r="D2735" i="11"/>
  <c r="D2752" i="11"/>
  <c r="D2769" i="11"/>
  <c r="D2786" i="11"/>
  <c r="D2803" i="11"/>
  <c r="D2812" i="11"/>
  <c r="D2829" i="11"/>
  <c r="D2846" i="11"/>
  <c r="D2863" i="11"/>
  <c r="D2880" i="11"/>
  <c r="D2897" i="11"/>
  <c r="D2914" i="11"/>
  <c r="D2931" i="11"/>
  <c r="D2940" i="11"/>
  <c r="D2957" i="11"/>
  <c r="D2974" i="11"/>
  <c r="D2991" i="11"/>
  <c r="D2419" i="11"/>
  <c r="D2443" i="11"/>
  <c r="D2461" i="11"/>
  <c r="D2543" i="11"/>
  <c r="D2582" i="11"/>
  <c r="D2593" i="11"/>
  <c r="D2605" i="11"/>
  <c r="D2633" i="11"/>
  <c r="D2650" i="11"/>
  <c r="D2667" i="11"/>
  <c r="D2676" i="11"/>
  <c r="D2693" i="11"/>
  <c r="D2710" i="11"/>
  <c r="D2727" i="11"/>
  <c r="D2744" i="11"/>
  <c r="D2761" i="11"/>
  <c r="D2778" i="11"/>
  <c r="D2795" i="11"/>
  <c r="D2804" i="11"/>
  <c r="D2821" i="11"/>
  <c r="D2838" i="11"/>
  <c r="D2855" i="11"/>
  <c r="D2872" i="11"/>
  <c r="D2889" i="11"/>
  <c r="D2906" i="11"/>
  <c r="D2923" i="11"/>
  <c r="D2932" i="11"/>
  <c r="D2949" i="11"/>
  <c r="D2966" i="11"/>
  <c r="D2983" i="11"/>
  <c r="D3000" i="11"/>
  <c r="D3017" i="11"/>
  <c r="D3034" i="11"/>
  <c r="D2333" i="11"/>
  <c r="D2374" i="11"/>
  <c r="D2555" i="11"/>
  <c r="D2569" i="11"/>
  <c r="D2606" i="11"/>
  <c r="D2616" i="11"/>
  <c r="D2625" i="11"/>
  <c r="D2642" i="11"/>
  <c r="D2659" i="11"/>
  <c r="D2668" i="11"/>
  <c r="D2685" i="11"/>
  <c r="D2702" i="11"/>
  <c r="D2719" i="11"/>
  <c r="D2736" i="11"/>
  <c r="D2753" i="11"/>
  <c r="D2770" i="11"/>
  <c r="D2787" i="11"/>
  <c r="D2796" i="11"/>
  <c r="D2813" i="11"/>
  <c r="D2830" i="11"/>
  <c r="D2847" i="11"/>
  <c r="D2864" i="11"/>
  <c r="D2881" i="11"/>
  <c r="D2898" i="11"/>
  <c r="D2915" i="11"/>
  <c r="D2924" i="11"/>
  <c r="D2941" i="11"/>
  <c r="D2958" i="11"/>
  <c r="D2975" i="11"/>
  <c r="D2992" i="11"/>
  <c r="D3009" i="11"/>
  <c r="D3026" i="11"/>
  <c r="D3043" i="11"/>
  <c r="D3051" i="11"/>
  <c r="D3059" i="11"/>
  <c r="D3067" i="11"/>
  <c r="D3075" i="11"/>
  <c r="D2401" i="11"/>
  <c r="D2444" i="11"/>
  <c r="D2467" i="11"/>
  <c r="D2484" i="11"/>
  <c r="D2513" i="11"/>
  <c r="D2529" i="11"/>
  <c r="D2558" i="11"/>
  <c r="D2594" i="11"/>
  <c r="D2634" i="11"/>
  <c r="D2651" i="11"/>
  <c r="D2660" i="11"/>
  <c r="D2677" i="11"/>
  <c r="D2694" i="11"/>
  <c r="D2711" i="11"/>
  <c r="D2728" i="11"/>
  <c r="D2745" i="11"/>
  <c r="D2762" i="11"/>
  <c r="D2779" i="11"/>
  <c r="D2788" i="11"/>
  <c r="D2805" i="11"/>
  <c r="D2822" i="11"/>
  <c r="D2839" i="11"/>
  <c r="D2856" i="11"/>
  <c r="D2873" i="11"/>
  <c r="D2341" i="11"/>
  <c r="D2375" i="11"/>
  <c r="D2426" i="11"/>
  <c r="D2501" i="11"/>
  <c r="D2545" i="11"/>
  <c r="D2570" i="11"/>
  <c r="D2584" i="11"/>
  <c r="D2617" i="11"/>
  <c r="D2626" i="11"/>
  <c r="D2643" i="11"/>
  <c r="D2652" i="11"/>
  <c r="D2669" i="11"/>
  <c r="D2686" i="11"/>
  <c r="D2703" i="11"/>
  <c r="D2720" i="11"/>
  <c r="D2737" i="11"/>
  <c r="D2754" i="11"/>
  <c r="D2771" i="11"/>
  <c r="D2780" i="11"/>
  <c r="D2797" i="11"/>
  <c r="D2814" i="11"/>
  <c r="D2831" i="11"/>
  <c r="D2848" i="11"/>
  <c r="D2865" i="11"/>
  <c r="D2882" i="11"/>
  <c r="D2899" i="11"/>
  <c r="D2908" i="11"/>
  <c r="D2925" i="11"/>
  <c r="D2942" i="11"/>
  <c r="D2959" i="11"/>
  <c r="D2402" i="11"/>
  <c r="D2450" i="11"/>
  <c r="D2468" i="11"/>
  <c r="D2485" i="11"/>
  <c r="D2530" i="11"/>
  <c r="D2595" i="11"/>
  <c r="D2608" i="11"/>
  <c r="D2635" i="11"/>
  <c r="D2644" i="11"/>
  <c r="D2661" i="11"/>
  <c r="D2678" i="11"/>
  <c r="D2695" i="11"/>
  <c r="D2712" i="11"/>
  <c r="D2729" i="11"/>
  <c r="D2746" i="11"/>
  <c r="D2763" i="11"/>
  <c r="D2772" i="11"/>
  <c r="D2789" i="11"/>
  <c r="D2806" i="11"/>
  <c r="D2823" i="11"/>
  <c r="D2840" i="11"/>
  <c r="D2857" i="11"/>
  <c r="D2874" i="11"/>
  <c r="D2891" i="11"/>
  <c r="D2900" i="11"/>
  <c r="D2917" i="11"/>
  <c r="D2934" i="11"/>
  <c r="D2274" i="11"/>
  <c r="D2342" i="11"/>
  <c r="D2407" i="11"/>
  <c r="D2427" i="11"/>
  <c r="D2502" i="11"/>
  <c r="D2518" i="11"/>
  <c r="D2546" i="11"/>
  <c r="D2560" i="11"/>
  <c r="D2571" i="11"/>
  <c r="D2585" i="11"/>
  <c r="D2597" i="11"/>
  <c r="D2618" i="11"/>
  <c r="D2627" i="11"/>
  <c r="D2636" i="11"/>
  <c r="D2653" i="11"/>
  <c r="D2670" i="11"/>
  <c r="D2687" i="11"/>
  <c r="D2704" i="11"/>
  <c r="D2721" i="11"/>
  <c r="D2738" i="11"/>
  <c r="D2755" i="11"/>
  <c r="D2764" i="11"/>
  <c r="D2781" i="11"/>
  <c r="D2798" i="11"/>
  <c r="D2815" i="11"/>
  <c r="D2832" i="11"/>
  <c r="D2849" i="11"/>
  <c r="D2451" i="11"/>
  <c r="D2469" i="11"/>
  <c r="D2486" i="11"/>
  <c r="D2574" i="11"/>
  <c r="D2598" i="11"/>
  <c r="D2609" i="11"/>
  <c r="D2628" i="11"/>
  <c r="D2645" i="11"/>
  <c r="D2662" i="11"/>
  <c r="D2679" i="11"/>
  <c r="D2696" i="11"/>
  <c r="D2713" i="11"/>
  <c r="D2730" i="11"/>
  <c r="D2747" i="11"/>
  <c r="D2756" i="11"/>
  <c r="D2773" i="11"/>
  <c r="D2790" i="11"/>
  <c r="D2807" i="11"/>
  <c r="D2824" i="11"/>
  <c r="D2841" i="11"/>
  <c r="D2291" i="11"/>
  <c r="D2350" i="11"/>
  <c r="D2383" i="11"/>
  <c r="D2409" i="11"/>
  <c r="D2433" i="11"/>
  <c r="D2503" i="11"/>
  <c r="D2519" i="11"/>
  <c r="D2535" i="11"/>
  <c r="D2547" i="11"/>
  <c r="D2561" i="11"/>
  <c r="D2586" i="11"/>
  <c r="D2619" i="11"/>
  <c r="D2637" i="11"/>
  <c r="D2654" i="11"/>
  <c r="D2671" i="11"/>
  <c r="D2688" i="11"/>
  <c r="D2705" i="11"/>
  <c r="D2722" i="11"/>
  <c r="D2739" i="11"/>
  <c r="D2748" i="11"/>
  <c r="D2765" i="11"/>
  <c r="D2782" i="11"/>
  <c r="D2799" i="11"/>
  <c r="D2816" i="11"/>
  <c r="D2833" i="11"/>
  <c r="D2452" i="11"/>
  <c r="D2758" i="11"/>
  <c r="D2826" i="11"/>
  <c r="D2867" i="11"/>
  <c r="D2916" i="11"/>
  <c r="D2936" i="11"/>
  <c r="D3038" i="11"/>
  <c r="D3053" i="11"/>
  <c r="D3068" i="11"/>
  <c r="D3082" i="11"/>
  <c r="D3093" i="11"/>
  <c r="D3106" i="11"/>
  <c r="D3140" i="11"/>
  <c r="D3163" i="11"/>
  <c r="D3173" i="11"/>
  <c r="D3412" i="11"/>
  <c r="D3429" i="11"/>
  <c r="D3446" i="11"/>
  <c r="D3472" i="11"/>
  <c r="D3489" i="11"/>
  <c r="D3506" i="11"/>
  <c r="D3523" i="11"/>
  <c r="D3540" i="11"/>
  <c r="D3557" i="11"/>
  <c r="D3574" i="11"/>
  <c r="D3582" i="11"/>
  <c r="D3590" i="11"/>
  <c r="D3598" i="11"/>
  <c r="D3606" i="11"/>
  <c r="D3614" i="11"/>
  <c r="D3622" i="11"/>
  <c r="D3630" i="11"/>
  <c r="D3638" i="11"/>
  <c r="D3646" i="11"/>
  <c r="D3654" i="11"/>
  <c r="D3662" i="11"/>
  <c r="D3670" i="11"/>
  <c r="D3678" i="11"/>
  <c r="D3686" i="11"/>
  <c r="D3694" i="11"/>
  <c r="D3702" i="11"/>
  <c r="D3710" i="11"/>
  <c r="D3718" i="11"/>
  <c r="D3726" i="11"/>
  <c r="D3734" i="11"/>
  <c r="D3742" i="11"/>
  <c r="D3750" i="11"/>
  <c r="D3758" i="11"/>
  <c r="D3766" i="11"/>
  <c r="D3774" i="11"/>
  <c r="D3782" i="11"/>
  <c r="D3790" i="11"/>
  <c r="D3798" i="11"/>
  <c r="D3806" i="11"/>
  <c r="D3814" i="11"/>
  <c r="D3822" i="11"/>
  <c r="D3830" i="11"/>
  <c r="D3838" i="11"/>
  <c r="D3846" i="11"/>
  <c r="D3854" i="11"/>
  <c r="D3862" i="11"/>
  <c r="D3870" i="11"/>
  <c r="D3878" i="11"/>
  <c r="D3886" i="11"/>
  <c r="D3894" i="11"/>
  <c r="D3902" i="11"/>
  <c r="D3910" i="11"/>
  <c r="D3918" i="11"/>
  <c r="D3926" i="11"/>
  <c r="D3934" i="11"/>
  <c r="D3942" i="11"/>
  <c r="D3950" i="11"/>
  <c r="D3958" i="11"/>
  <c r="D3966" i="11"/>
  <c r="D3974" i="11"/>
  <c r="D3982" i="11"/>
  <c r="D3990" i="11"/>
  <c r="D3998" i="11"/>
  <c r="D4006" i="11"/>
  <c r="D4014" i="11"/>
  <c r="D4022" i="11"/>
  <c r="D4030" i="11"/>
  <c r="D4038" i="11"/>
  <c r="D4046" i="11"/>
  <c r="D4054" i="11"/>
  <c r="D4062" i="11"/>
  <c r="D4070" i="11"/>
  <c r="D4078" i="11"/>
  <c r="D4086" i="11"/>
  <c r="D4094" i="11"/>
  <c r="D4102" i="11"/>
  <c r="D4110" i="11"/>
  <c r="D4118" i="11"/>
  <c r="D4126" i="11"/>
  <c r="D2470" i="11"/>
  <c r="D2629" i="11"/>
  <c r="D2697" i="11"/>
  <c r="D2868" i="11"/>
  <c r="D2893" i="11"/>
  <c r="D2937" i="11"/>
  <c r="D2977" i="11"/>
  <c r="D2994" i="11"/>
  <c r="D3010" i="11"/>
  <c r="D3025" i="11"/>
  <c r="D3083" i="11"/>
  <c r="D3117" i="11"/>
  <c r="D3130" i="11"/>
  <c r="D3185" i="11"/>
  <c r="D3194" i="11"/>
  <c r="D3203" i="11"/>
  <c r="D3212" i="11"/>
  <c r="D3221" i="11"/>
  <c r="D3230" i="11"/>
  <c r="D3249" i="11"/>
  <c r="D3258" i="11"/>
  <c r="D3267" i="11"/>
  <c r="D3276" i="11"/>
  <c r="D3285" i="11"/>
  <c r="D3294" i="11"/>
  <c r="D3313" i="11"/>
  <c r="D3322" i="11"/>
  <c r="D3331" i="11"/>
  <c r="D3340" i="11"/>
  <c r="D3349" i="11"/>
  <c r="D3358" i="11"/>
  <c r="D3377" i="11"/>
  <c r="D3386" i="11"/>
  <c r="D3395" i="11"/>
  <c r="D3404" i="11"/>
  <c r="D3421" i="11"/>
  <c r="D3438" i="11"/>
  <c r="D3464" i="11"/>
  <c r="D3481" i="11"/>
  <c r="D3498" i="11"/>
  <c r="D3515" i="11"/>
  <c r="D3532" i="11"/>
  <c r="D3549" i="11"/>
  <c r="D3566" i="11"/>
  <c r="D2487" i="11"/>
  <c r="D2630" i="11"/>
  <c r="D2698" i="11"/>
  <c r="D2869" i="11"/>
  <c r="D2918" i="11"/>
  <c r="D2960" i="11"/>
  <c r="D3054" i="11"/>
  <c r="D3069" i="11"/>
  <c r="D3094" i="11"/>
  <c r="D3107" i="11"/>
  <c r="D3141" i="11"/>
  <c r="D3154" i="11"/>
  <c r="D3164" i="11"/>
  <c r="D3174" i="11"/>
  <c r="D3413" i="11"/>
  <c r="D3430" i="11"/>
  <c r="D3456" i="11"/>
  <c r="D3473" i="11"/>
  <c r="D3490" i="11"/>
  <c r="D3507" i="11"/>
  <c r="D3524" i="11"/>
  <c r="D3541" i="11"/>
  <c r="D3558" i="11"/>
  <c r="D3575" i="11"/>
  <c r="D3583" i="11"/>
  <c r="D3591" i="11"/>
  <c r="D3599" i="11"/>
  <c r="D3607" i="11"/>
  <c r="D3615" i="11"/>
  <c r="D3623" i="11"/>
  <c r="D3631" i="11"/>
  <c r="D3639" i="11"/>
  <c r="D3647" i="11"/>
  <c r="D3655" i="11"/>
  <c r="D2774" i="11"/>
  <c r="D2978" i="11"/>
  <c r="D2995" i="11"/>
  <c r="D3011" i="11"/>
  <c r="D3027" i="11"/>
  <c r="D3042" i="11"/>
  <c r="D3084" i="11"/>
  <c r="D3118" i="11"/>
  <c r="D3131" i="11"/>
  <c r="D3186" i="11"/>
  <c r="D3195" i="11"/>
  <c r="D3204" i="11"/>
  <c r="D3213" i="11"/>
  <c r="D3222" i="11"/>
  <c r="D3241" i="11"/>
  <c r="D3250" i="11"/>
  <c r="D3259" i="11"/>
  <c r="D3268" i="11"/>
  <c r="D3277" i="11"/>
  <c r="D3286" i="11"/>
  <c r="D3305" i="11"/>
  <c r="D3314" i="11"/>
  <c r="D3323" i="11"/>
  <c r="D3332" i="11"/>
  <c r="D3341" i="11"/>
  <c r="D3350" i="11"/>
  <c r="D3369" i="11"/>
  <c r="D3378" i="11"/>
  <c r="D3387" i="11"/>
  <c r="D3396" i="11"/>
  <c r="D3405" i="11"/>
  <c r="D3422" i="11"/>
  <c r="D3448" i="11"/>
  <c r="D3465" i="11"/>
  <c r="D3482" i="11"/>
  <c r="D3499" i="11"/>
  <c r="D3516" i="11"/>
  <c r="D3533" i="11"/>
  <c r="D3550" i="11"/>
  <c r="D2775" i="11"/>
  <c r="D2842" i="11"/>
  <c r="D2875" i="11"/>
  <c r="D2919" i="11"/>
  <c r="D2943" i="11"/>
  <c r="D2961" i="11"/>
  <c r="D2996" i="11"/>
  <c r="D3012" i="11"/>
  <c r="D3028" i="11"/>
  <c r="D3070" i="11"/>
  <c r="D3108" i="11"/>
  <c r="D3142" i="11"/>
  <c r="D3155" i="11"/>
  <c r="D3165" i="11"/>
  <c r="D3414" i="11"/>
  <c r="D3440" i="11"/>
  <c r="D3457" i="11"/>
  <c r="D3474" i="11"/>
  <c r="D3491" i="11"/>
  <c r="D3508" i="11"/>
  <c r="D3525" i="11"/>
  <c r="D3542" i="11"/>
  <c r="D3568" i="11"/>
  <c r="D3576" i="11"/>
  <c r="D3584" i="11"/>
  <c r="D2646" i="11"/>
  <c r="D2714" i="11"/>
  <c r="D2843" i="11"/>
  <c r="D2876" i="11"/>
  <c r="D2920" i="11"/>
  <c r="D2980" i="11"/>
  <c r="D2997" i="11"/>
  <c r="D3044" i="11"/>
  <c r="D3058" i="11"/>
  <c r="D3085" i="11"/>
  <c r="D3098" i="11"/>
  <c r="D3132" i="11"/>
  <c r="D3187" i="11"/>
  <c r="D3196" i="11"/>
  <c r="D3205" i="11"/>
  <c r="D3214" i="11"/>
  <c r="D3233" i="11"/>
  <c r="D3242" i="11"/>
  <c r="D3251" i="11"/>
  <c r="D3260" i="11"/>
  <c r="D3269" i="11"/>
  <c r="D3278" i="11"/>
  <c r="D3297" i="11"/>
  <c r="D3306" i="11"/>
  <c r="D3315" i="11"/>
  <c r="D3324" i="11"/>
  <c r="D3333" i="11"/>
  <c r="D3342" i="11"/>
  <c r="D3361" i="11"/>
  <c r="D3370" i="11"/>
  <c r="D3379" i="11"/>
  <c r="D3388" i="11"/>
  <c r="D3397" i="11"/>
  <c r="D3406" i="11"/>
  <c r="D3432" i="11"/>
  <c r="D3449" i="11"/>
  <c r="D3466" i="11"/>
  <c r="D3483" i="11"/>
  <c r="D3500" i="11"/>
  <c r="D3517" i="11"/>
  <c r="D3534" i="11"/>
  <c r="D3560" i="11"/>
  <c r="D2550" i="11"/>
  <c r="D2647" i="11"/>
  <c r="D2715" i="11"/>
  <c r="D2850" i="11"/>
  <c r="D2901" i="11"/>
  <c r="D2944" i="11"/>
  <c r="D2984" i="11"/>
  <c r="D3013" i="11"/>
  <c r="D3029" i="11"/>
  <c r="D3109" i="11"/>
  <c r="D3122" i="11"/>
  <c r="D3156" i="11"/>
  <c r="D3166" i="11"/>
  <c r="D3178" i="11"/>
  <c r="D3424" i="11"/>
  <c r="D3441" i="11"/>
  <c r="D3458" i="11"/>
  <c r="D3475" i="11"/>
  <c r="D3492" i="11"/>
  <c r="D3509" i="11"/>
  <c r="D3526" i="11"/>
  <c r="D3552" i="11"/>
  <c r="D3569" i="11"/>
  <c r="D3577" i="11"/>
  <c r="D3585" i="11"/>
  <c r="D3593" i="11"/>
  <c r="D3601" i="11"/>
  <c r="D2791" i="11"/>
  <c r="D2926" i="11"/>
  <c r="D2967" i="11"/>
  <c r="D3001" i="11"/>
  <c r="D3014" i="11"/>
  <c r="D3045" i="11"/>
  <c r="D3060" i="11"/>
  <c r="D3074" i="11"/>
  <c r="D3086" i="11"/>
  <c r="D3099" i="11"/>
  <c r="D3133" i="11"/>
  <c r="D3146" i="11"/>
  <c r="D3188" i="11"/>
  <c r="D3197" i="11"/>
  <c r="D3206" i="11"/>
  <c r="D3225" i="11"/>
  <c r="D3234" i="11"/>
  <c r="D3243" i="11"/>
  <c r="D3252" i="11"/>
  <c r="D3261" i="11"/>
  <c r="D3270" i="11"/>
  <c r="D3289" i="11"/>
  <c r="D3298" i="11"/>
  <c r="D3307" i="11"/>
  <c r="D3316" i="11"/>
  <c r="D3325" i="11"/>
  <c r="D3334" i="11"/>
  <c r="D3353" i="11"/>
  <c r="D3362" i="11"/>
  <c r="D3371" i="11"/>
  <c r="D3380" i="11"/>
  <c r="D3389" i="11"/>
  <c r="D3398" i="11"/>
  <c r="D3416" i="11"/>
  <c r="D3433" i="11"/>
  <c r="D3450" i="11"/>
  <c r="D3467" i="11"/>
  <c r="D3484" i="11"/>
  <c r="D3501" i="11"/>
  <c r="D3518" i="11"/>
  <c r="D2724" i="11"/>
  <c r="D2792" i="11"/>
  <c r="D2852" i="11"/>
  <c r="D2902" i="11"/>
  <c r="D2968" i="11"/>
  <c r="D2985" i="11"/>
  <c r="D3030" i="11"/>
  <c r="D3110" i="11"/>
  <c r="D3123" i="11"/>
  <c r="D3157" i="11"/>
  <c r="D3179" i="11"/>
  <c r="D3408" i="11"/>
  <c r="D3425" i="11"/>
  <c r="D3442" i="11"/>
  <c r="D3459" i="11"/>
  <c r="D2663" i="11"/>
  <c r="D2731" i="11"/>
  <c r="D2883" i="11"/>
  <c r="D2903" i="11"/>
  <c r="D2927" i="11"/>
  <c r="D2950" i="11"/>
  <c r="D3002" i="11"/>
  <c r="D3018" i="11"/>
  <c r="D3031" i="11"/>
  <c r="D3046" i="11"/>
  <c r="D3061" i="11"/>
  <c r="D3076" i="11"/>
  <c r="D3100" i="11"/>
  <c r="D3134" i="11"/>
  <c r="D3147" i="11"/>
  <c r="D3189" i="11"/>
  <c r="D3198" i="11"/>
  <c r="D3217" i="11"/>
  <c r="D3226" i="11"/>
  <c r="D3235" i="11"/>
  <c r="D3244" i="11"/>
  <c r="D3253" i="11"/>
  <c r="D3262" i="11"/>
  <c r="D3281" i="11"/>
  <c r="D3290" i="11"/>
  <c r="D3299" i="11"/>
  <c r="D3308" i="11"/>
  <c r="D3317" i="11"/>
  <c r="D3326" i="11"/>
  <c r="D3345" i="11"/>
  <c r="D3354" i="11"/>
  <c r="D2589" i="11"/>
  <c r="D2664" i="11"/>
  <c r="D2858" i="11"/>
  <c r="D2884" i="11"/>
  <c r="D2907" i="11"/>
  <c r="D2951" i="11"/>
  <c r="D2969" i="11"/>
  <c r="D2986" i="11"/>
  <c r="D3090" i="11"/>
  <c r="D3124" i="11"/>
  <c r="D3158" i="11"/>
  <c r="D3170" i="11"/>
  <c r="D3180" i="11"/>
  <c r="D3409" i="11"/>
  <c r="D3426" i="11"/>
  <c r="D3443" i="11"/>
  <c r="D3460" i="11"/>
  <c r="D3477" i="11"/>
  <c r="D2740" i="11"/>
  <c r="D2808" i="11"/>
  <c r="D2909" i="11"/>
  <c r="D3003" i="11"/>
  <c r="D3019" i="11"/>
  <c r="D3035" i="11"/>
  <c r="D3062" i="11"/>
  <c r="D3077" i="11"/>
  <c r="D3101" i="11"/>
  <c r="D3114" i="11"/>
  <c r="D3148" i="11"/>
  <c r="D3190" i="11"/>
  <c r="D3209" i="11"/>
  <c r="D3218" i="11"/>
  <c r="D3227" i="11"/>
  <c r="D3236" i="11"/>
  <c r="D3245" i="11"/>
  <c r="D3254" i="11"/>
  <c r="D3273" i="11"/>
  <c r="D3282" i="11"/>
  <c r="D3291" i="11"/>
  <c r="D3300" i="11"/>
  <c r="D3309" i="11"/>
  <c r="D3318" i="11"/>
  <c r="D3337" i="11"/>
  <c r="D3346" i="11"/>
  <c r="D3355" i="11"/>
  <c r="D3364" i="11"/>
  <c r="D3373" i="11"/>
  <c r="D3382" i="11"/>
  <c r="D3401" i="11"/>
  <c r="D3418" i="11"/>
  <c r="D3435" i="11"/>
  <c r="D3452" i="11"/>
  <c r="D3469" i="11"/>
  <c r="D3486" i="11"/>
  <c r="D2741" i="11"/>
  <c r="D2809" i="11"/>
  <c r="D2859" i="11"/>
  <c r="D2885" i="11"/>
  <c r="D2933" i="11"/>
  <c r="D2952" i="11"/>
  <c r="D2970" i="11"/>
  <c r="D2987" i="11"/>
  <c r="D3004" i="11"/>
  <c r="D3020" i="11"/>
  <c r="D3036" i="11"/>
  <c r="D3050" i="11"/>
  <c r="D3091" i="11"/>
  <c r="D3125" i="11"/>
  <c r="D3138" i="11"/>
  <c r="D3171" i="11"/>
  <c r="D3181" i="11"/>
  <c r="D2610" i="11"/>
  <c r="D2680" i="11"/>
  <c r="D2886" i="11"/>
  <c r="D2910" i="11"/>
  <c r="D2971" i="11"/>
  <c r="D3078" i="11"/>
  <c r="D3102" i="11"/>
  <c r="D3115" i="11"/>
  <c r="D3149" i="11"/>
  <c r="D3201" i="11"/>
  <c r="D3210" i="11"/>
  <c r="D3219" i="11"/>
  <c r="D3228" i="11"/>
  <c r="D3237" i="11"/>
  <c r="D3246" i="11"/>
  <c r="D3265" i="11"/>
  <c r="D3274" i="11"/>
  <c r="D3283" i="11"/>
  <c r="D3292" i="11"/>
  <c r="D3301" i="11"/>
  <c r="D3310" i="11"/>
  <c r="D3329" i="11"/>
  <c r="D3338" i="11"/>
  <c r="D3347" i="11"/>
  <c r="D3356" i="11"/>
  <c r="D3365" i="11"/>
  <c r="D3374" i="11"/>
  <c r="D2611" i="11"/>
  <c r="D2681" i="11"/>
  <c r="D2866" i="11"/>
  <c r="D2890" i="11"/>
  <c r="D2935" i="11"/>
  <c r="D2953" i="11"/>
  <c r="D3150" i="11"/>
  <c r="D3229" i="11"/>
  <c r="D3302" i="11"/>
  <c r="D3372" i="11"/>
  <c r="D3410" i="11"/>
  <c r="D3436" i="11"/>
  <c r="D3462" i="11"/>
  <c r="D3594" i="11"/>
  <c r="D3616" i="11"/>
  <c r="D3636" i="11"/>
  <c r="D3656" i="11"/>
  <c r="D3701" i="11"/>
  <c r="D3727" i="11"/>
  <c r="D3744" i="11"/>
  <c r="D3761" i="11"/>
  <c r="D3778" i="11"/>
  <c r="D3795" i="11"/>
  <c r="D3812" i="11"/>
  <c r="D3829" i="11"/>
  <c r="D3855" i="11"/>
  <c r="D3872" i="11"/>
  <c r="D3889" i="11"/>
  <c r="D3906" i="11"/>
  <c r="D3923" i="11"/>
  <c r="D3940" i="11"/>
  <c r="D3957" i="11"/>
  <c r="D3983" i="11"/>
  <c r="D4000" i="11"/>
  <c r="D4017" i="11"/>
  <c r="D4034" i="11"/>
  <c r="D4051" i="11"/>
  <c r="D4068" i="11"/>
  <c r="D4085" i="11"/>
  <c r="D4111" i="11"/>
  <c r="D4128" i="11"/>
  <c r="D4136" i="11"/>
  <c r="D4144" i="11"/>
  <c r="D4152" i="11"/>
  <c r="D4160" i="11"/>
  <c r="D4168" i="11"/>
  <c r="D4176" i="11"/>
  <c r="D4184" i="11"/>
  <c r="D4192" i="11"/>
  <c r="D4200" i="11"/>
  <c r="D4208" i="11"/>
  <c r="D4216" i="11"/>
  <c r="D4224" i="11"/>
  <c r="D4232" i="11"/>
  <c r="D4240" i="11"/>
  <c r="D4248" i="11"/>
  <c r="D4256" i="11"/>
  <c r="D4264" i="11"/>
  <c r="D4272" i="11"/>
  <c r="D4280" i="11"/>
  <c r="D4288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4456" i="11"/>
  <c r="D4464" i="11"/>
  <c r="D4472" i="11"/>
  <c r="D4480" i="11"/>
  <c r="D4488" i="11"/>
  <c r="D4496" i="11"/>
  <c r="D4504" i="11"/>
  <c r="D4512" i="11"/>
  <c r="D4520" i="11"/>
  <c r="D4528" i="11"/>
  <c r="D4536" i="11"/>
  <c r="D4544" i="11"/>
  <c r="D4552" i="11"/>
  <c r="D4560" i="11"/>
  <c r="D4568" i="11"/>
  <c r="D4576" i="11"/>
  <c r="D4584" i="11"/>
  <c r="D4592" i="11"/>
  <c r="D4600" i="11"/>
  <c r="D4608" i="11"/>
  <c r="D4616" i="11"/>
  <c r="D4624" i="11"/>
  <c r="D4632" i="11"/>
  <c r="D4640" i="11"/>
  <c r="D4648" i="11"/>
  <c r="D4656" i="11"/>
  <c r="D4664" i="11"/>
  <c r="D4672" i="11"/>
  <c r="D4680" i="11"/>
  <c r="D4688" i="11"/>
  <c r="D2892" i="11"/>
  <c r="D3066" i="11"/>
  <c r="D3162" i="11"/>
  <c r="D3488" i="11"/>
  <c r="D3505" i="11"/>
  <c r="D3522" i="11"/>
  <c r="D3539" i="11"/>
  <c r="D3555" i="11"/>
  <c r="D3570" i="11"/>
  <c r="D3581" i="11"/>
  <c r="D3605" i="11"/>
  <c r="D3617" i="11"/>
  <c r="D3627" i="11"/>
  <c r="D3657" i="11"/>
  <c r="D3666" i="11"/>
  <c r="D3675" i="11"/>
  <c r="D3684" i="11"/>
  <c r="D3693" i="11"/>
  <c r="D3719" i="11"/>
  <c r="D3736" i="11"/>
  <c r="D3753" i="11"/>
  <c r="D3770" i="11"/>
  <c r="D3787" i="11"/>
  <c r="D3804" i="11"/>
  <c r="D3821" i="11"/>
  <c r="D3847" i="11"/>
  <c r="D3864" i="11"/>
  <c r="D3881" i="11"/>
  <c r="D3898" i="11"/>
  <c r="D3915" i="11"/>
  <c r="D3932" i="11"/>
  <c r="D3949" i="11"/>
  <c r="D3975" i="11"/>
  <c r="D3992" i="11"/>
  <c r="D4009" i="11"/>
  <c r="D4026" i="11"/>
  <c r="D4043" i="11"/>
  <c r="D4060" i="11"/>
  <c r="D4077" i="11"/>
  <c r="D4103" i="11"/>
  <c r="D3238" i="11"/>
  <c r="D3411" i="11"/>
  <c r="D3437" i="11"/>
  <c r="D3468" i="11"/>
  <c r="D3595" i="11"/>
  <c r="D3637" i="11"/>
  <c r="D3711" i="11"/>
  <c r="D3728" i="11"/>
  <c r="D3745" i="11"/>
  <c r="D3762" i="11"/>
  <c r="D3779" i="11"/>
  <c r="D3796" i="11"/>
  <c r="D3813" i="11"/>
  <c r="D3839" i="11"/>
  <c r="D3856" i="11"/>
  <c r="D3873" i="11"/>
  <c r="D3890" i="11"/>
  <c r="D3907" i="11"/>
  <c r="D3924" i="11"/>
  <c r="D3941" i="11"/>
  <c r="D3967" i="11"/>
  <c r="D3984" i="11"/>
  <c r="D4001" i="11"/>
  <c r="D4018" i="11"/>
  <c r="D4035" i="11"/>
  <c r="D4052" i="11"/>
  <c r="D4069" i="11"/>
  <c r="D4095" i="11"/>
  <c r="D4112" i="11"/>
  <c r="D4129" i="11"/>
  <c r="D4137" i="11"/>
  <c r="D4145" i="11"/>
  <c r="D4153" i="11"/>
  <c r="D4161" i="11"/>
  <c r="D4169" i="11"/>
  <c r="D4177" i="11"/>
  <c r="D4185" i="11"/>
  <c r="D4193" i="11"/>
  <c r="D4201" i="11"/>
  <c r="D4209" i="11"/>
  <c r="D4217" i="11"/>
  <c r="D4225" i="11"/>
  <c r="D4233" i="11"/>
  <c r="D4241" i="11"/>
  <c r="D4249" i="11"/>
  <c r="D4257" i="11"/>
  <c r="D4265" i="11"/>
  <c r="D4273" i="11"/>
  <c r="D4281" i="11"/>
  <c r="D4289" i="11"/>
  <c r="D4297" i="11"/>
  <c r="D4305" i="11"/>
  <c r="D4313" i="11"/>
  <c r="D4321" i="11"/>
  <c r="D4329" i="11"/>
  <c r="D4337" i="11"/>
  <c r="D3172" i="11"/>
  <c r="D3381" i="11"/>
  <c r="D3493" i="11"/>
  <c r="D3510" i="11"/>
  <c r="D3544" i="11"/>
  <c r="D3556" i="11"/>
  <c r="D3571" i="11"/>
  <c r="D3618" i="11"/>
  <c r="D3628" i="11"/>
  <c r="D3648" i="11"/>
  <c r="D3658" i="11"/>
  <c r="D3667" i="11"/>
  <c r="D3676" i="11"/>
  <c r="D3685" i="11"/>
  <c r="D3703" i="11"/>
  <c r="D3720" i="11"/>
  <c r="D3737" i="11"/>
  <c r="D3754" i="11"/>
  <c r="D3771" i="11"/>
  <c r="D3788" i="11"/>
  <c r="D3805" i="11"/>
  <c r="D3831" i="11"/>
  <c r="D3848" i="11"/>
  <c r="D3865" i="11"/>
  <c r="D3882" i="11"/>
  <c r="D3899" i="11"/>
  <c r="D3916" i="11"/>
  <c r="D3933" i="11"/>
  <c r="D3959" i="11"/>
  <c r="D3976" i="11"/>
  <c r="D3993" i="11"/>
  <c r="D4010" i="11"/>
  <c r="D4027" i="11"/>
  <c r="D4044" i="11"/>
  <c r="D4061" i="11"/>
  <c r="D4087" i="11"/>
  <c r="D4104" i="11"/>
  <c r="D4121" i="11"/>
  <c r="D2954" i="11"/>
  <c r="D3321" i="11"/>
  <c r="D3417" i="11"/>
  <c r="D3444" i="11"/>
  <c r="D3470" i="11"/>
  <c r="D3528" i="11"/>
  <c r="D3596" i="11"/>
  <c r="D3608" i="11"/>
  <c r="D3649" i="11"/>
  <c r="D3695" i="11"/>
  <c r="D3712" i="11"/>
  <c r="D3729" i="11"/>
  <c r="D3746" i="11"/>
  <c r="D3763" i="11"/>
  <c r="D3780" i="11"/>
  <c r="D3797" i="11"/>
  <c r="D3823" i="11"/>
  <c r="D3840" i="11"/>
  <c r="D3857" i="11"/>
  <c r="D3874" i="11"/>
  <c r="D3891" i="11"/>
  <c r="D3908" i="11"/>
  <c r="D3925" i="11"/>
  <c r="D3951" i="11"/>
  <c r="D3968" i="11"/>
  <c r="D3985" i="11"/>
  <c r="D4002" i="11"/>
  <c r="D4019" i="11"/>
  <c r="D4036" i="11"/>
  <c r="D4053" i="11"/>
  <c r="D4079" i="11"/>
  <c r="D4096" i="11"/>
  <c r="D4113" i="11"/>
  <c r="D4130" i="11"/>
  <c r="D4138" i="11"/>
  <c r="D4146" i="11"/>
  <c r="D4154" i="11"/>
  <c r="D4162" i="11"/>
  <c r="D4170" i="11"/>
  <c r="D4178" i="11"/>
  <c r="D4186" i="11"/>
  <c r="D3092" i="11"/>
  <c r="D3182" i="11"/>
  <c r="D3494" i="11"/>
  <c r="D3545" i="11"/>
  <c r="D3572" i="11"/>
  <c r="D3586" i="11"/>
  <c r="D3609" i="11"/>
  <c r="D3619" i="11"/>
  <c r="D3629" i="11"/>
  <c r="D3659" i="11"/>
  <c r="D3668" i="11"/>
  <c r="D3677" i="11"/>
  <c r="D3704" i="11"/>
  <c r="D3721" i="11"/>
  <c r="D3738" i="11"/>
  <c r="D3755" i="11"/>
  <c r="D3772" i="11"/>
  <c r="D3789" i="11"/>
  <c r="D3815" i="11"/>
  <c r="D3832" i="11"/>
  <c r="D3849" i="11"/>
  <c r="D3866" i="11"/>
  <c r="D3883" i="11"/>
  <c r="D3900" i="11"/>
  <c r="D3917" i="11"/>
  <c r="D3943" i="11"/>
  <c r="D3960" i="11"/>
  <c r="D3977" i="11"/>
  <c r="D3994" i="11"/>
  <c r="D4011" i="11"/>
  <c r="D4028" i="11"/>
  <c r="D4045" i="11"/>
  <c r="D4071" i="11"/>
  <c r="D4088" i="11"/>
  <c r="D4105" i="11"/>
  <c r="D4122" i="11"/>
  <c r="D2976" i="11"/>
  <c r="D3257" i="11"/>
  <c r="D3330" i="11"/>
  <c r="D3385" i="11"/>
  <c r="D3419" i="11"/>
  <c r="D3445" i="11"/>
  <c r="D3512" i="11"/>
  <c r="D3529" i="11"/>
  <c r="D3561" i="11"/>
  <c r="D3597" i="11"/>
  <c r="D3640" i="11"/>
  <c r="D3650" i="11"/>
  <c r="D3687" i="11"/>
  <c r="D3696" i="11"/>
  <c r="D3713" i="11"/>
  <c r="D3730" i="11"/>
  <c r="D3747" i="11"/>
  <c r="D3764" i="11"/>
  <c r="D3781" i="11"/>
  <c r="D3807" i="11"/>
  <c r="D3824" i="11"/>
  <c r="D3841" i="11"/>
  <c r="D3858" i="11"/>
  <c r="D3875" i="11"/>
  <c r="D3892" i="11"/>
  <c r="D3909" i="11"/>
  <c r="D3935" i="11"/>
  <c r="D3952" i="11"/>
  <c r="D3969" i="11"/>
  <c r="D3986" i="11"/>
  <c r="D4003" i="11"/>
  <c r="D4020" i="11"/>
  <c r="D4037" i="11"/>
  <c r="D4063" i="11"/>
  <c r="D3390" i="11"/>
  <c r="D3476" i="11"/>
  <c r="D3546" i="11"/>
  <c r="D3573" i="11"/>
  <c r="D3587" i="11"/>
  <c r="D3610" i="11"/>
  <c r="D3620" i="11"/>
  <c r="D3641" i="11"/>
  <c r="D3660" i="11"/>
  <c r="D3669" i="11"/>
  <c r="D3705" i="11"/>
  <c r="D3722" i="11"/>
  <c r="D3739" i="11"/>
  <c r="D3756" i="11"/>
  <c r="D3773" i="11"/>
  <c r="D3799" i="11"/>
  <c r="D3816" i="11"/>
  <c r="D3833" i="11"/>
  <c r="D3850" i="11"/>
  <c r="D3867" i="11"/>
  <c r="D3884" i="11"/>
  <c r="D3901" i="11"/>
  <c r="D3927" i="11"/>
  <c r="D3944" i="11"/>
  <c r="D3961" i="11"/>
  <c r="D3978" i="11"/>
  <c r="D3995" i="11"/>
  <c r="D4012" i="11"/>
  <c r="D4029" i="11"/>
  <c r="D4055" i="11"/>
  <c r="D4072" i="11"/>
  <c r="D4089" i="11"/>
  <c r="D4106" i="11"/>
  <c r="D4123" i="11"/>
  <c r="D2993" i="11"/>
  <c r="D3193" i="11"/>
  <c r="D3266" i="11"/>
  <c r="D3339" i="11"/>
  <c r="D3393" i="11"/>
  <c r="D3420" i="11"/>
  <c r="D3451" i="11"/>
  <c r="D3496" i="11"/>
  <c r="D3513" i="11"/>
  <c r="D3530" i="11"/>
  <c r="D3562" i="11"/>
  <c r="D3651" i="11"/>
  <c r="D3679" i="11"/>
  <c r="D3688" i="11"/>
  <c r="D3697" i="11"/>
  <c r="D3714" i="11"/>
  <c r="D3731" i="11"/>
  <c r="D3748" i="11"/>
  <c r="D3765" i="11"/>
  <c r="D3791" i="11"/>
  <c r="D3808" i="11"/>
  <c r="D3825" i="11"/>
  <c r="D3842" i="11"/>
  <c r="D3859" i="11"/>
  <c r="D3876" i="11"/>
  <c r="D3893" i="11"/>
  <c r="D3919" i="11"/>
  <c r="D3936" i="11"/>
  <c r="D3953" i="11"/>
  <c r="D3970" i="11"/>
  <c r="D3987" i="11"/>
  <c r="D4004" i="11"/>
  <c r="D4021" i="11"/>
  <c r="D4047" i="11"/>
  <c r="D4064" i="11"/>
  <c r="D4081" i="11"/>
  <c r="D3478" i="11"/>
  <c r="D3547" i="11"/>
  <c r="D3588" i="11"/>
  <c r="D3600" i="11"/>
  <c r="D3611" i="11"/>
  <c r="D3621" i="11"/>
  <c r="D3632" i="11"/>
  <c r="D3642" i="11"/>
  <c r="D3661" i="11"/>
  <c r="D3689" i="11"/>
  <c r="D3706" i="11"/>
  <c r="D3723" i="11"/>
  <c r="D3740" i="11"/>
  <c r="D3757" i="11"/>
  <c r="D3783" i="11"/>
  <c r="D3800" i="11"/>
  <c r="D3817" i="11"/>
  <c r="D3834" i="11"/>
  <c r="D3851" i="11"/>
  <c r="D3868" i="11"/>
  <c r="D3885" i="11"/>
  <c r="D3911" i="11"/>
  <c r="D3928" i="11"/>
  <c r="D3008" i="11"/>
  <c r="D3116" i="11"/>
  <c r="D3202" i="11"/>
  <c r="D3275" i="11"/>
  <c r="D3348" i="11"/>
  <c r="D3394" i="11"/>
  <c r="D3427" i="11"/>
  <c r="D3453" i="11"/>
  <c r="D3497" i="11"/>
  <c r="D3514" i="11"/>
  <c r="D3531" i="11"/>
  <c r="D3563" i="11"/>
  <c r="D3633" i="11"/>
  <c r="D3652" i="11"/>
  <c r="D3671" i="11"/>
  <c r="D3680" i="11"/>
  <c r="D3698" i="11"/>
  <c r="D3715" i="11"/>
  <c r="D3732" i="11"/>
  <c r="D3749" i="11"/>
  <c r="D3775" i="11"/>
  <c r="D3792" i="11"/>
  <c r="D3809" i="11"/>
  <c r="D3826" i="11"/>
  <c r="D3843" i="11"/>
  <c r="D3860" i="11"/>
  <c r="D3877" i="11"/>
  <c r="D3903" i="11"/>
  <c r="D3920" i="11"/>
  <c r="D3937" i="11"/>
  <c r="D2434" i="11"/>
  <c r="D3021" i="11"/>
  <c r="D3126" i="11"/>
  <c r="D3536" i="11"/>
  <c r="D3548" i="11"/>
  <c r="D3578" i="11"/>
  <c r="D3589" i="11"/>
  <c r="D3602" i="11"/>
  <c r="D3612" i="11"/>
  <c r="D3643" i="11"/>
  <c r="D3681" i="11"/>
  <c r="D3690" i="11"/>
  <c r="D3707" i="11"/>
  <c r="D3724" i="11"/>
  <c r="D3741" i="11"/>
  <c r="D3767" i="11"/>
  <c r="D3784" i="11"/>
  <c r="D3801" i="11"/>
  <c r="D3818" i="11"/>
  <c r="D3835" i="11"/>
  <c r="D3852" i="11"/>
  <c r="D3869" i="11"/>
  <c r="D3895" i="11"/>
  <c r="D3912" i="11"/>
  <c r="D3929" i="11"/>
  <c r="D3946" i="11"/>
  <c r="D3963" i="11"/>
  <c r="D3980" i="11"/>
  <c r="D3997" i="11"/>
  <c r="D2620" i="11"/>
  <c r="D3211" i="11"/>
  <c r="D3284" i="11"/>
  <c r="D3357" i="11"/>
  <c r="D3402" i="11"/>
  <c r="D3428" i="11"/>
  <c r="D3454" i="11"/>
  <c r="D3480" i="11"/>
  <c r="D3502" i="11"/>
  <c r="D3564" i="11"/>
  <c r="D3624" i="11"/>
  <c r="D3634" i="11"/>
  <c r="D3653" i="11"/>
  <c r="D3663" i="11"/>
  <c r="D3672" i="11"/>
  <c r="D3699" i="11"/>
  <c r="D3716" i="11"/>
  <c r="D3733" i="11"/>
  <c r="D3759" i="11"/>
  <c r="D3776" i="11"/>
  <c r="D3793" i="11"/>
  <c r="D3810" i="11"/>
  <c r="D3827" i="11"/>
  <c r="D3844" i="11"/>
  <c r="D3861" i="11"/>
  <c r="D3887" i="11"/>
  <c r="D3904" i="11"/>
  <c r="D3921" i="11"/>
  <c r="D3938" i="11"/>
  <c r="D3955" i="11"/>
  <c r="D3972" i="11"/>
  <c r="D3989" i="11"/>
  <c r="D3037" i="11"/>
  <c r="D3139" i="11"/>
  <c r="D3363" i="11"/>
  <c r="D3520" i="11"/>
  <c r="D3537" i="11"/>
  <c r="D3553" i="11"/>
  <c r="D3579" i="11"/>
  <c r="D3603" i="11"/>
  <c r="D3613" i="11"/>
  <c r="D3625" i="11"/>
  <c r="D3644" i="11"/>
  <c r="D3673" i="11"/>
  <c r="D3682" i="11"/>
  <c r="D3691" i="11"/>
  <c r="D3708" i="11"/>
  <c r="D3725" i="11"/>
  <c r="D3751" i="11"/>
  <c r="D3768" i="11"/>
  <c r="D3785" i="11"/>
  <c r="D3802" i="11"/>
  <c r="D3819" i="11"/>
  <c r="D3836" i="11"/>
  <c r="D3853" i="11"/>
  <c r="D3879" i="11"/>
  <c r="D3896" i="11"/>
  <c r="D3913" i="11"/>
  <c r="D3504" i="11"/>
  <c r="D3692" i="11"/>
  <c r="D3897" i="11"/>
  <c r="D4082" i="11"/>
  <c r="D4114" i="11"/>
  <c r="D4175" i="11"/>
  <c r="D4188" i="11"/>
  <c r="D4198" i="11"/>
  <c r="D4218" i="11"/>
  <c r="D4228" i="11"/>
  <c r="D4237" i="11"/>
  <c r="D4246" i="11"/>
  <c r="D4255" i="11"/>
  <c r="D4274" i="11"/>
  <c r="D4283" i="11"/>
  <c r="D4292" i="11"/>
  <c r="D4301" i="11"/>
  <c r="D4310" i="11"/>
  <c r="D4319" i="11"/>
  <c r="D4338" i="11"/>
  <c r="D4355" i="11"/>
  <c r="D4372" i="11"/>
  <c r="D4389" i="11"/>
  <c r="D4406" i="11"/>
  <c r="D4423" i="11"/>
  <c r="D4449" i="11"/>
  <c r="D4466" i="11"/>
  <c r="D4483" i="11"/>
  <c r="D4500" i="11"/>
  <c r="D4517" i="11"/>
  <c r="D4534" i="11"/>
  <c r="D4551" i="11"/>
  <c r="D4577" i="11"/>
  <c r="D4594" i="11"/>
  <c r="D4611" i="11"/>
  <c r="D4628" i="11"/>
  <c r="D4645" i="11"/>
  <c r="D4662" i="11"/>
  <c r="D4679" i="11"/>
  <c r="D4696" i="11"/>
  <c r="D4704" i="11"/>
  <c r="D4712" i="11"/>
  <c r="D4720" i="11"/>
  <c r="D4728" i="11"/>
  <c r="D4736" i="11"/>
  <c r="D4744" i="11"/>
  <c r="D4752" i="11"/>
  <c r="D4760" i="11"/>
  <c r="D4768" i="11"/>
  <c r="D4776" i="11"/>
  <c r="D4784" i="11"/>
  <c r="D4792" i="11"/>
  <c r="D4800" i="11"/>
  <c r="D4808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4586" i="11"/>
  <c r="D4620" i="11"/>
  <c r="D4637" i="11"/>
  <c r="D4654" i="11"/>
  <c r="D4671" i="11"/>
  <c r="D3220" i="11"/>
  <c r="D3700" i="11"/>
  <c r="D3905" i="11"/>
  <c r="D3948" i="11"/>
  <c r="D3979" i="11"/>
  <c r="D4005" i="11"/>
  <c r="D4024" i="11"/>
  <c r="D4042" i="11"/>
  <c r="D4065" i="11"/>
  <c r="D4099" i="11"/>
  <c r="D4115" i="11"/>
  <c r="D4127" i="11"/>
  <c r="D4141" i="11"/>
  <c r="D4165" i="11"/>
  <c r="D4347" i="11"/>
  <c r="D4364" i="11"/>
  <c r="D4381" i="11"/>
  <c r="D4398" i="11"/>
  <c r="D4415" i="11"/>
  <c r="D4441" i="11"/>
  <c r="D4458" i="11"/>
  <c r="D4475" i="11"/>
  <c r="D4492" i="11"/>
  <c r="D4509" i="11"/>
  <c r="D4526" i="11"/>
  <c r="D4543" i="11"/>
  <c r="D4569" i="11"/>
  <c r="D4603" i="11"/>
  <c r="D3521" i="11"/>
  <c r="D3626" i="11"/>
  <c r="D3769" i="11"/>
  <c r="D3837" i="11"/>
  <c r="D4083" i="11"/>
  <c r="D4189" i="11"/>
  <c r="D4199" i="11"/>
  <c r="D4219" i="11"/>
  <c r="D4229" i="11"/>
  <c r="D4238" i="11"/>
  <c r="D4247" i="11"/>
  <c r="D4266" i="11"/>
  <c r="D4275" i="11"/>
  <c r="D4284" i="11"/>
  <c r="D4293" i="11"/>
  <c r="D4302" i="11"/>
  <c r="D4311" i="11"/>
  <c r="D4330" i="11"/>
  <c r="D4339" i="11"/>
  <c r="D4356" i="11"/>
  <c r="D4373" i="11"/>
  <c r="D4390" i="11"/>
  <c r="D4407" i="11"/>
  <c r="D4433" i="11"/>
  <c r="D4450" i="11"/>
  <c r="D4467" i="11"/>
  <c r="D4484" i="11"/>
  <c r="D4501" i="11"/>
  <c r="D4518" i="11"/>
  <c r="D4535" i="11"/>
  <c r="D4561" i="11"/>
  <c r="D4578" i="11"/>
  <c r="D4595" i="11"/>
  <c r="D4612" i="11"/>
  <c r="D4629" i="11"/>
  <c r="D4646" i="11"/>
  <c r="D4663" i="11"/>
  <c r="D3293" i="11"/>
  <c r="D3635" i="11"/>
  <c r="D3777" i="11"/>
  <c r="D3845" i="11"/>
  <c r="D3954" i="11"/>
  <c r="D3981" i="11"/>
  <c r="D4007" i="11"/>
  <c r="D4025" i="11"/>
  <c r="D4048" i="11"/>
  <c r="D4066" i="11"/>
  <c r="D4100" i="11"/>
  <c r="D4116" i="11"/>
  <c r="D4142" i="11"/>
  <c r="D4155" i="11"/>
  <c r="D4166" i="11"/>
  <c r="D4210" i="11"/>
  <c r="D4220" i="11"/>
  <c r="D4348" i="11"/>
  <c r="D4365" i="11"/>
  <c r="D4382" i="11"/>
  <c r="D4399" i="11"/>
  <c r="D4425" i="11"/>
  <c r="D4442" i="11"/>
  <c r="D4459" i="11"/>
  <c r="D4476" i="11"/>
  <c r="D4493" i="11"/>
  <c r="D4510" i="11"/>
  <c r="D4527" i="11"/>
  <c r="D4553" i="11"/>
  <c r="D4570" i="11"/>
  <c r="D4587" i="11"/>
  <c r="D4604" i="11"/>
  <c r="D3538" i="11"/>
  <c r="D3709" i="11"/>
  <c r="D3914" i="11"/>
  <c r="D4084" i="11"/>
  <c r="D4131" i="11"/>
  <c r="D4156" i="11"/>
  <c r="D4179" i="11"/>
  <c r="D4190" i="11"/>
  <c r="D4230" i="11"/>
  <c r="D4239" i="11"/>
  <c r="D4258" i="11"/>
  <c r="D4267" i="11"/>
  <c r="D4276" i="11"/>
  <c r="D4285" i="11"/>
  <c r="D4294" i="11"/>
  <c r="D4303" i="11"/>
  <c r="D4322" i="11"/>
  <c r="D4331" i="11"/>
  <c r="D4340" i="11"/>
  <c r="D4357" i="11"/>
  <c r="D4374" i="11"/>
  <c r="D4391" i="11"/>
  <c r="D4417" i="11"/>
  <c r="D4434" i="11"/>
  <c r="D4451" i="11"/>
  <c r="D4468" i="11"/>
  <c r="D4485" i="11"/>
  <c r="D4502" i="11"/>
  <c r="D4519" i="11"/>
  <c r="D4545" i="11"/>
  <c r="D4562" i="11"/>
  <c r="D4579" i="11"/>
  <c r="D4596" i="11"/>
  <c r="D4613" i="11"/>
  <c r="D4630" i="11"/>
  <c r="D4647" i="11"/>
  <c r="D4673" i="11"/>
  <c r="D3717" i="11"/>
  <c r="D3922" i="11"/>
  <c r="D3956" i="11"/>
  <c r="D4008" i="11"/>
  <c r="D4031" i="11"/>
  <c r="D4049" i="11"/>
  <c r="D4067" i="11"/>
  <c r="D4101" i="11"/>
  <c r="D4117" i="11"/>
  <c r="D4132" i="11"/>
  <c r="D4143" i="11"/>
  <c r="D4167" i="11"/>
  <c r="D4180" i="11"/>
  <c r="D4211" i="11"/>
  <c r="D4221" i="11"/>
  <c r="D4349" i="11"/>
  <c r="D4366" i="11"/>
  <c r="D4383" i="11"/>
  <c r="D4409" i="11"/>
  <c r="D4426" i="11"/>
  <c r="D4443" i="11"/>
  <c r="D4460" i="11"/>
  <c r="D4477" i="11"/>
  <c r="D4494" i="11"/>
  <c r="D4511" i="11"/>
  <c r="D4537" i="11"/>
  <c r="D4554" i="11"/>
  <c r="D4571" i="11"/>
  <c r="D4588" i="11"/>
  <c r="D4605" i="11"/>
  <c r="D4622" i="11"/>
  <c r="D4639" i="11"/>
  <c r="D4665" i="11"/>
  <c r="D4682" i="11"/>
  <c r="D3366" i="11"/>
  <c r="D3554" i="11"/>
  <c r="D3645" i="11"/>
  <c r="D3786" i="11"/>
  <c r="D4013" i="11"/>
  <c r="D4157" i="11"/>
  <c r="D4191" i="11"/>
  <c r="D4202" i="11"/>
  <c r="D4212" i="11"/>
  <c r="D4231" i="11"/>
  <c r="D4250" i="11"/>
  <c r="D4259" i="11"/>
  <c r="D4268" i="11"/>
  <c r="D4277" i="11"/>
  <c r="D4286" i="11"/>
  <c r="D4295" i="11"/>
  <c r="D4314" i="11"/>
  <c r="D4323" i="11"/>
  <c r="D4332" i="11"/>
  <c r="D4341" i="11"/>
  <c r="D4358" i="11"/>
  <c r="D4375" i="11"/>
  <c r="D4401" i="11"/>
  <c r="D4418" i="11"/>
  <c r="D4435" i="11"/>
  <c r="D4452" i="11"/>
  <c r="D4469" i="11"/>
  <c r="D4486" i="11"/>
  <c r="D4503" i="11"/>
  <c r="D4529" i="11"/>
  <c r="D4546" i="11"/>
  <c r="D4563" i="11"/>
  <c r="D4580" i="11"/>
  <c r="D4597" i="11"/>
  <c r="D4614" i="11"/>
  <c r="D4631" i="11"/>
  <c r="D4657" i="11"/>
  <c r="D4674" i="11"/>
  <c r="D4691" i="11"/>
  <c r="D4699" i="11"/>
  <c r="D4707" i="11"/>
  <c r="D4715" i="11"/>
  <c r="D4723" i="11"/>
  <c r="D4731" i="11"/>
  <c r="D4739" i="11"/>
  <c r="D3403" i="11"/>
  <c r="D3565" i="11"/>
  <c r="D3794" i="11"/>
  <c r="D3930" i="11"/>
  <c r="D3962" i="11"/>
  <c r="D3988" i="11"/>
  <c r="D4032" i="11"/>
  <c r="D4050" i="11"/>
  <c r="D4073" i="11"/>
  <c r="D4090" i="11"/>
  <c r="D4133" i="11"/>
  <c r="D4181" i="11"/>
  <c r="D4222" i="11"/>
  <c r="D4350" i="11"/>
  <c r="D4367" i="11"/>
  <c r="D4393" i="11"/>
  <c r="D4410" i="11"/>
  <c r="D4427" i="11"/>
  <c r="D4444" i="11"/>
  <c r="D4461" i="11"/>
  <c r="D4478" i="11"/>
  <c r="D4495" i="11"/>
  <c r="D4521" i="11"/>
  <c r="D4538" i="11"/>
  <c r="D4555" i="11"/>
  <c r="D4572" i="11"/>
  <c r="D4589" i="11"/>
  <c r="D4606" i="11"/>
  <c r="D4623" i="11"/>
  <c r="D4649" i="11"/>
  <c r="D3863" i="11"/>
  <c r="D4119" i="11"/>
  <c r="D4147" i="11"/>
  <c r="D4158" i="11"/>
  <c r="D4203" i="11"/>
  <c r="D4213" i="11"/>
  <c r="D4242" i="11"/>
  <c r="D4251" i="11"/>
  <c r="D4260" i="11"/>
  <c r="D4269" i="11"/>
  <c r="D4278" i="11"/>
  <c r="D4287" i="11"/>
  <c r="D4306" i="11"/>
  <c r="D4315" i="11"/>
  <c r="D4324" i="11"/>
  <c r="D4333" i="11"/>
  <c r="D4342" i="11"/>
  <c r="D4359" i="11"/>
  <c r="D4385" i="11"/>
  <c r="D4402" i="11"/>
  <c r="D4419" i="11"/>
  <c r="D4436" i="11"/>
  <c r="D4453" i="11"/>
  <c r="D4470" i="11"/>
  <c r="D4487" i="11"/>
  <c r="D4513" i="11"/>
  <c r="D4530" i="11"/>
  <c r="D4547" i="11"/>
  <c r="D4564" i="11"/>
  <c r="D3434" i="11"/>
  <c r="D3664" i="11"/>
  <c r="D3871" i="11"/>
  <c r="D3931" i="11"/>
  <c r="D3964" i="11"/>
  <c r="D4015" i="11"/>
  <c r="D4033" i="11"/>
  <c r="D4056" i="11"/>
  <c r="D4074" i="11"/>
  <c r="D4091" i="11"/>
  <c r="D4107" i="11"/>
  <c r="D4120" i="11"/>
  <c r="D4134" i="11"/>
  <c r="D4148" i="11"/>
  <c r="D4171" i="11"/>
  <c r="D4182" i="11"/>
  <c r="D4204" i="11"/>
  <c r="D4223" i="11"/>
  <c r="D4351" i="11"/>
  <c r="D4377" i="11"/>
  <c r="D4394" i="11"/>
  <c r="D4411" i="11"/>
  <c r="D4428" i="11"/>
  <c r="D4445" i="11"/>
  <c r="D4462" i="11"/>
  <c r="D4479" i="11"/>
  <c r="D4505" i="11"/>
  <c r="D4522" i="11"/>
  <c r="D4539" i="11"/>
  <c r="D4556" i="11"/>
  <c r="D4573" i="11"/>
  <c r="D3580" i="11"/>
  <c r="D3665" i="11"/>
  <c r="D3735" i="11"/>
  <c r="D3803" i="11"/>
  <c r="D3991" i="11"/>
  <c r="D4159" i="11"/>
  <c r="D4172" i="11"/>
  <c r="D4194" i="11"/>
  <c r="D4214" i="11"/>
  <c r="D4234" i="11"/>
  <c r="D4243" i="11"/>
  <c r="D4252" i="11"/>
  <c r="D4261" i="11"/>
  <c r="D4270" i="11"/>
  <c r="D4279" i="11"/>
  <c r="D4298" i="11"/>
  <c r="D4307" i="11"/>
  <c r="D4316" i="11"/>
  <c r="D4325" i="11"/>
  <c r="D4334" i="11"/>
  <c r="D4343" i="11"/>
  <c r="D4369" i="11"/>
  <c r="D4386" i="11"/>
  <c r="D4403" i="11"/>
  <c r="D4420" i="11"/>
  <c r="D4437" i="11"/>
  <c r="D4454" i="11"/>
  <c r="D4471" i="11"/>
  <c r="D4497" i="11"/>
  <c r="D4514" i="11"/>
  <c r="D2757" i="11"/>
  <c r="D3461" i="11"/>
  <c r="D3592" i="11"/>
  <c r="D3743" i="11"/>
  <c r="D3811" i="11"/>
  <c r="D3939" i="11"/>
  <c r="D3965" i="11"/>
  <c r="D3996" i="11"/>
  <c r="D4016" i="11"/>
  <c r="D4039" i="11"/>
  <c r="D4057" i="11"/>
  <c r="D4075" i="11"/>
  <c r="D4092" i="11"/>
  <c r="D4108" i="11"/>
  <c r="D4135" i="11"/>
  <c r="D4149" i="11"/>
  <c r="D4183" i="11"/>
  <c r="D4195" i="11"/>
  <c r="D4205" i="11"/>
  <c r="D4361" i="11"/>
  <c r="D4378" i="11"/>
  <c r="D4395" i="11"/>
  <c r="D4412" i="11"/>
  <c r="D4429" i="11"/>
  <c r="D4446" i="11"/>
  <c r="D4463" i="11"/>
  <c r="D4489" i="11"/>
  <c r="D4506" i="11"/>
  <c r="D4523" i="11"/>
  <c r="D2825" i="11"/>
  <c r="D3674" i="11"/>
  <c r="D3880" i="11"/>
  <c r="D4124" i="11"/>
  <c r="D4173" i="11"/>
  <c r="D4196" i="11"/>
  <c r="D4215" i="11"/>
  <c r="D4235" i="11"/>
  <c r="D4244" i="11"/>
  <c r="D4253" i="11"/>
  <c r="D4262" i="11"/>
  <c r="D4271" i="11"/>
  <c r="D4290" i="11"/>
  <c r="D4299" i="11"/>
  <c r="D4308" i="11"/>
  <c r="D4317" i="11"/>
  <c r="D4326" i="11"/>
  <c r="D4335" i="11"/>
  <c r="D4353" i="11"/>
  <c r="D4370" i="11"/>
  <c r="D4387" i="11"/>
  <c r="D3485" i="11"/>
  <c r="D3888" i="11"/>
  <c r="D3945" i="11"/>
  <c r="D3971" i="11"/>
  <c r="D4040" i="11"/>
  <c r="D4058" i="11"/>
  <c r="D4076" i="11"/>
  <c r="D4093" i="11"/>
  <c r="D4109" i="11"/>
  <c r="D4150" i="11"/>
  <c r="D4206" i="11"/>
  <c r="D4226" i="11"/>
  <c r="D4345" i="11"/>
  <c r="D4362" i="11"/>
  <c r="D4379" i="11"/>
  <c r="D4396" i="11"/>
  <c r="D4413" i="11"/>
  <c r="D4430" i="11"/>
  <c r="D4447" i="11"/>
  <c r="D4473" i="11"/>
  <c r="D4490" i="11"/>
  <c r="D4507" i="11"/>
  <c r="D3052" i="11"/>
  <c r="D3604" i="11"/>
  <c r="D3683" i="11"/>
  <c r="D3752" i="11"/>
  <c r="D3820" i="11"/>
  <c r="D3999" i="11"/>
  <c r="D4080" i="11"/>
  <c r="D4097" i="11"/>
  <c r="D4125" i="11"/>
  <c r="D4139" i="11"/>
  <c r="D4163" i="11"/>
  <c r="D4174" i="11"/>
  <c r="D4197" i="11"/>
  <c r="D4236" i="11"/>
  <c r="D4245" i="11"/>
  <c r="D4254" i="11"/>
  <c r="D4263" i="11"/>
  <c r="D4282" i="11"/>
  <c r="D4291" i="11"/>
  <c r="D4300" i="11"/>
  <c r="D4309" i="11"/>
  <c r="D4318" i="11"/>
  <c r="D4327" i="11"/>
  <c r="D4354" i="11"/>
  <c r="D4371" i="11"/>
  <c r="D4388" i="11"/>
  <c r="D4405" i="11"/>
  <c r="D4422" i="11"/>
  <c r="D4439" i="11"/>
  <c r="D4465" i="11"/>
  <c r="D4482" i="11"/>
  <c r="D4499" i="11"/>
  <c r="D4516" i="11"/>
  <c r="D3828" i="11"/>
  <c r="D4187" i="11"/>
  <c r="D4438" i="11"/>
  <c r="D4540" i="11"/>
  <c r="D4559" i="11"/>
  <c r="D4583" i="11"/>
  <c r="D4617" i="11"/>
  <c r="D4633" i="11"/>
  <c r="D4661" i="11"/>
  <c r="D4698" i="11"/>
  <c r="D4709" i="11"/>
  <c r="D4719" i="11"/>
  <c r="D4730" i="11"/>
  <c r="D4741" i="11"/>
  <c r="D4779" i="11"/>
  <c r="D4796" i="11"/>
  <c r="D4813" i="11"/>
  <c r="D4830" i="11"/>
  <c r="D4847" i="11"/>
  <c r="D4873" i="11"/>
  <c r="D4890" i="11"/>
  <c r="D4907" i="11"/>
  <c r="D4924" i="11"/>
  <c r="D4941" i="11"/>
  <c r="D4958" i="11"/>
  <c r="D4975" i="11"/>
  <c r="D5001" i="11"/>
  <c r="D4995" i="11"/>
  <c r="D4953" i="11"/>
  <c r="D4346" i="11"/>
  <c r="D4508" i="11"/>
  <c r="D4565" i="11"/>
  <c r="D4601" i="11"/>
  <c r="D4676" i="11"/>
  <c r="D4687" i="11"/>
  <c r="D4751" i="11"/>
  <c r="D4761" i="11"/>
  <c r="D4770" i="11"/>
  <c r="D4788" i="11"/>
  <c r="D4805" i="11"/>
  <c r="D4822" i="11"/>
  <c r="D4839" i="11"/>
  <c r="D4865" i="11"/>
  <c r="D4882" i="11"/>
  <c r="D4899" i="11"/>
  <c r="D4916" i="11"/>
  <c r="D4933" i="11"/>
  <c r="D4950" i="11"/>
  <c r="D4967" i="11"/>
  <c r="D4993" i="11"/>
  <c r="D4909" i="11"/>
  <c r="D4926" i="11"/>
  <c r="D4996" i="11"/>
  <c r="D4963" i="11"/>
  <c r="D4930" i="11"/>
  <c r="D4990" i="11"/>
  <c r="D4957" i="11"/>
  <c r="D4915" i="11"/>
  <c r="D3947" i="11"/>
  <c r="D4207" i="11"/>
  <c r="D4515" i="11"/>
  <c r="D4541" i="11"/>
  <c r="D4618" i="11"/>
  <c r="D4634" i="11"/>
  <c r="D4650" i="11"/>
  <c r="D4689" i="11"/>
  <c r="D4700" i="11"/>
  <c r="D4710" i="11"/>
  <c r="D4721" i="11"/>
  <c r="D4732" i="11"/>
  <c r="D4742" i="11"/>
  <c r="D4771" i="11"/>
  <c r="D4780" i="11"/>
  <c r="D4797" i="11"/>
  <c r="D4814" i="11"/>
  <c r="D4831" i="11"/>
  <c r="D4857" i="11"/>
  <c r="D4874" i="11"/>
  <c r="D4891" i="11"/>
  <c r="D4908" i="11"/>
  <c r="D4925" i="11"/>
  <c r="D4942" i="11"/>
  <c r="D4959" i="11"/>
  <c r="D4985" i="11"/>
  <c r="D5002" i="11"/>
  <c r="D4970" i="11"/>
  <c r="D4980" i="11"/>
  <c r="D4913" i="11"/>
  <c r="D4973" i="11"/>
  <c r="D4914" i="11"/>
  <c r="D4999" i="11"/>
  <c r="D4787" i="11"/>
  <c r="D3973" i="11"/>
  <c r="D4363" i="11"/>
  <c r="D4566" i="11"/>
  <c r="D4585" i="11"/>
  <c r="D4602" i="11"/>
  <c r="D4666" i="11"/>
  <c r="D4677" i="11"/>
  <c r="D4753" i="11"/>
  <c r="D4762" i="11"/>
  <c r="D4789" i="11"/>
  <c r="D4806" i="11"/>
  <c r="D4823" i="11"/>
  <c r="D4849" i="11"/>
  <c r="D4866" i="11"/>
  <c r="D4883" i="11"/>
  <c r="D4900" i="11"/>
  <c r="D4917" i="11"/>
  <c r="D4934" i="11"/>
  <c r="D4951" i="11"/>
  <c r="D4977" i="11"/>
  <c r="D4994" i="11"/>
  <c r="D4892" i="11"/>
  <c r="D4986" i="11"/>
  <c r="D4978" i="11"/>
  <c r="D4987" i="11"/>
  <c r="D4988" i="11"/>
  <c r="D4964" i="11"/>
  <c r="D4804" i="11"/>
  <c r="D4227" i="11"/>
  <c r="D4455" i="11"/>
  <c r="D4542" i="11"/>
  <c r="D4619" i="11"/>
  <c r="D4635" i="11"/>
  <c r="D4651" i="11"/>
  <c r="D4690" i="11"/>
  <c r="D4701" i="11"/>
  <c r="D4711" i="11"/>
  <c r="D4722" i="11"/>
  <c r="D4733" i="11"/>
  <c r="D4743" i="11"/>
  <c r="D4763" i="11"/>
  <c r="D4772" i="11"/>
  <c r="D4781" i="11"/>
  <c r="D4798" i="11"/>
  <c r="D4815" i="11"/>
  <c r="D4841" i="11"/>
  <c r="D4858" i="11"/>
  <c r="D4875" i="11"/>
  <c r="D4943" i="11"/>
  <c r="D4969" i="11"/>
  <c r="D5003" i="11"/>
  <c r="D4905" i="11"/>
  <c r="D4982" i="11"/>
  <c r="D4991" i="11"/>
  <c r="D4932" i="11"/>
  <c r="D4023" i="11"/>
  <c r="D4380" i="11"/>
  <c r="D4457" i="11"/>
  <c r="D4548" i="11"/>
  <c r="D4567" i="11"/>
  <c r="D4590" i="11"/>
  <c r="D4607" i="11"/>
  <c r="D4621" i="11"/>
  <c r="D4667" i="11"/>
  <c r="D4678" i="11"/>
  <c r="D4754" i="11"/>
  <c r="D4790" i="11"/>
  <c r="D4807" i="11"/>
  <c r="D4833" i="11"/>
  <c r="D4850" i="11"/>
  <c r="D4867" i="11"/>
  <c r="D4884" i="11"/>
  <c r="D4901" i="11"/>
  <c r="D4918" i="11"/>
  <c r="D4935" i="11"/>
  <c r="D4961" i="11"/>
  <c r="D5004" i="11"/>
  <c r="D4972" i="11"/>
  <c r="D4879" i="11"/>
  <c r="D4821" i="11"/>
  <c r="D4898" i="11"/>
  <c r="D4041" i="11"/>
  <c r="D4524" i="11"/>
  <c r="D4636" i="11"/>
  <c r="D4652" i="11"/>
  <c r="D4692" i="11"/>
  <c r="D4702" i="11"/>
  <c r="D4713" i="11"/>
  <c r="D4724" i="11"/>
  <c r="D4734" i="11"/>
  <c r="D4745" i="11"/>
  <c r="D4755" i="11"/>
  <c r="D4764" i="11"/>
  <c r="D4773" i="11"/>
  <c r="D4782" i="11"/>
  <c r="D4799" i="11"/>
  <c r="D4825" i="11"/>
  <c r="D4842" i="11"/>
  <c r="D4859" i="11"/>
  <c r="D4876" i="11"/>
  <c r="D4893" i="11"/>
  <c r="D4910" i="11"/>
  <c r="D4927" i="11"/>
  <c r="D4922" i="11"/>
  <c r="D4956" i="11"/>
  <c r="D4948" i="11"/>
  <c r="D4059" i="11"/>
  <c r="D4397" i="11"/>
  <c r="D4549" i="11"/>
  <c r="D4591" i="11"/>
  <c r="D4638" i="11"/>
  <c r="D4668" i="11"/>
  <c r="D4791" i="11"/>
  <c r="D4817" i="11"/>
  <c r="D4834" i="11"/>
  <c r="D4851" i="11"/>
  <c r="D4868" i="11"/>
  <c r="D4885" i="11"/>
  <c r="D4902" i="11"/>
  <c r="D4919" i="11"/>
  <c r="D4945" i="11"/>
  <c r="D4962" i="11"/>
  <c r="D4979" i="11"/>
  <c r="D4997" i="11"/>
  <c r="D4989" i="11"/>
  <c r="D4947" i="11"/>
  <c r="D4769" i="11"/>
  <c r="D4949" i="11"/>
  <c r="D4404" i="11"/>
  <c r="D4525" i="11"/>
  <c r="D4574" i="11"/>
  <c r="D4609" i="11"/>
  <c r="D4625" i="11"/>
  <c r="D4641" i="11"/>
  <c r="D4653" i="11"/>
  <c r="D4681" i="11"/>
  <c r="D4693" i="11"/>
  <c r="D4703" i="11"/>
  <c r="D4714" i="11"/>
  <c r="D4725" i="11"/>
  <c r="D4735" i="11"/>
  <c r="D4746" i="11"/>
  <c r="D4756" i="11"/>
  <c r="D4765" i="11"/>
  <c r="D4774" i="11"/>
  <c r="D4783" i="11"/>
  <c r="D4809" i="11"/>
  <c r="D4826" i="11"/>
  <c r="D4843" i="11"/>
  <c r="D4860" i="11"/>
  <c r="D4877" i="11"/>
  <c r="D4894" i="11"/>
  <c r="D4911" i="11"/>
  <c r="D4937" i="11"/>
  <c r="D4954" i="11"/>
  <c r="D4971" i="11"/>
  <c r="D4862" i="11"/>
  <c r="D4965" i="11"/>
  <c r="D4966" i="11"/>
  <c r="D4098" i="11"/>
  <c r="D4474" i="11"/>
  <c r="D4531" i="11"/>
  <c r="D4550" i="11"/>
  <c r="D4655" i="11"/>
  <c r="D4669" i="11"/>
  <c r="D4683" i="11"/>
  <c r="D4747" i="11"/>
  <c r="D4801" i="11"/>
  <c r="D4818" i="11"/>
  <c r="D4835" i="11"/>
  <c r="D4852" i="11"/>
  <c r="D4869" i="11"/>
  <c r="D4886" i="11"/>
  <c r="D4903" i="11"/>
  <c r="D4929" i="11"/>
  <c r="D4946" i="11"/>
  <c r="D4940" i="11"/>
  <c r="D4855" i="11"/>
  <c r="D4481" i="11"/>
  <c r="D4575" i="11"/>
  <c r="D4593" i="11"/>
  <c r="D4610" i="11"/>
  <c r="D4626" i="11"/>
  <c r="D4642" i="11"/>
  <c r="D4658" i="11"/>
  <c r="D4694" i="11"/>
  <c r="D4705" i="11"/>
  <c r="D4716" i="11"/>
  <c r="D4726" i="11"/>
  <c r="D4737" i="11"/>
  <c r="D4757" i="11"/>
  <c r="D4766" i="11"/>
  <c r="D4775" i="11"/>
  <c r="D4793" i="11"/>
  <c r="D4810" i="11"/>
  <c r="D4827" i="11"/>
  <c r="D4844" i="11"/>
  <c r="D4861" i="11"/>
  <c r="D4878" i="11"/>
  <c r="D4895" i="11"/>
  <c r="D4921" i="11"/>
  <c r="D4938" i="11"/>
  <c r="D4955" i="11"/>
  <c r="D4998" i="11"/>
  <c r="D4845" i="11"/>
  <c r="D4778" i="11"/>
  <c r="D4414" i="11"/>
  <c r="D4532" i="11"/>
  <c r="D4670" i="11"/>
  <c r="D4684" i="11"/>
  <c r="D4748" i="11"/>
  <c r="D4785" i="11"/>
  <c r="D4802" i="11"/>
  <c r="D4819" i="11"/>
  <c r="D4836" i="11"/>
  <c r="D4853" i="11"/>
  <c r="D4870" i="11"/>
  <c r="D4887" i="11"/>
  <c r="D4981" i="11"/>
  <c r="D4939" i="11"/>
  <c r="D4931" i="11"/>
  <c r="D4983" i="11"/>
  <c r="D4140" i="11"/>
  <c r="D4421" i="11"/>
  <c r="D4557" i="11"/>
  <c r="D4598" i="11"/>
  <c r="D4627" i="11"/>
  <c r="D4643" i="11"/>
  <c r="D4659" i="11"/>
  <c r="D4695" i="11"/>
  <c r="D4706" i="11"/>
  <c r="D4717" i="11"/>
  <c r="D4727" i="11"/>
  <c r="D4738" i="11"/>
  <c r="D4758" i="11"/>
  <c r="D4767" i="11"/>
  <c r="D4794" i="11"/>
  <c r="D4811" i="11"/>
  <c r="D4828" i="11"/>
  <c r="D4151" i="11"/>
  <c r="D4491" i="11"/>
  <c r="D4533" i="11"/>
  <c r="D4581" i="11"/>
  <c r="D4615" i="11"/>
  <c r="D4685" i="11"/>
  <c r="D4749" i="11"/>
  <c r="D4777" i="11"/>
  <c r="D4786" i="11"/>
  <c r="D4803" i="11"/>
  <c r="D4820" i="11"/>
  <c r="D4837" i="11"/>
  <c r="D4854" i="11"/>
  <c r="D4871" i="11"/>
  <c r="D4897" i="11"/>
  <c r="D4164" i="11"/>
  <c r="D4498" i="11"/>
  <c r="D4558" i="11"/>
  <c r="D4582" i="11"/>
  <c r="D4599" i="11"/>
  <c r="D4644" i="11"/>
  <c r="D4660" i="11"/>
  <c r="D4697" i="11"/>
  <c r="D4708" i="11"/>
  <c r="D4718" i="11"/>
  <c r="D4729" i="11"/>
  <c r="D4740" i="11"/>
  <c r="D4759" i="11"/>
  <c r="D4795" i="11"/>
  <c r="D4812" i="11"/>
  <c r="D4829" i="11"/>
  <c r="D4846" i="11"/>
  <c r="D4863" i="11"/>
  <c r="D4889" i="11"/>
  <c r="D4906" i="11"/>
  <c r="D4923" i="11"/>
  <c r="D4974" i="11"/>
  <c r="D3760" i="11"/>
  <c r="D4431" i="11"/>
  <c r="D4675" i="11"/>
  <c r="D4686" i="11"/>
  <c r="D4750" i="11"/>
  <c r="D4838" i="11"/>
  <c r="D4881" i="11"/>
  <c r="H21" i="8"/>
  <c r="H23" i="8" s="1"/>
  <c r="H7" i="9"/>
  <c r="H25" i="8"/>
  <c r="H12" i="6" s="1"/>
  <c r="H14" i="6" s="1"/>
  <c r="H16" i="6" s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7" i="8" l="1"/>
  <c r="B5" i="2"/>
  <c r="C12" i="8"/>
  <c r="C21" i="8" s="1"/>
  <c r="C23" i="8" s="1"/>
  <c r="C27" i="8" s="1"/>
  <c r="H6" i="9" l="1"/>
  <c r="J9" i="12"/>
  <c r="C6" i="9"/>
  <c r="C13" i="9" s="1"/>
  <c r="J4" i="12"/>
  <c r="B17" i="4"/>
  <c r="C22" i="4" s="1"/>
  <c r="C16" i="9"/>
  <c r="C17" i="9" s="1"/>
  <c r="C6" i="8" l="1"/>
  <c r="C20" i="9"/>
  <c r="B16" i="4"/>
  <c r="C21" i="9" s="1"/>
  <c r="C15" i="7"/>
  <c r="C19" i="7" s="1"/>
  <c r="C23" i="4"/>
  <c r="C24" i="4" s="1"/>
  <c r="C7" i="8"/>
  <c r="C9" i="8" s="1"/>
  <c r="B4" i="5"/>
  <c r="E3" i="5" s="1"/>
  <c r="I3" i="5" s="1"/>
  <c r="E4" i="5" s="1"/>
  <c r="F4" i="5" s="1"/>
  <c r="B18" i="4"/>
  <c r="C7" i="6" l="1"/>
  <c r="C30" i="6"/>
  <c r="C25" i="9"/>
  <c r="C8" i="6"/>
  <c r="C16" i="6" s="1"/>
  <c r="C21" i="6" s="1"/>
  <c r="C27" i="6" s="1"/>
  <c r="B8" i="5"/>
  <c r="C24" i="7"/>
  <c r="D9" i="9"/>
  <c r="D23" i="9" s="1"/>
  <c r="B9" i="5"/>
  <c r="G6" i="5"/>
  <c r="G7" i="5"/>
  <c r="G4" i="5"/>
  <c r="G5" i="5"/>
  <c r="D18" i="7" l="1"/>
  <c r="D19" i="7" s="1"/>
  <c r="D22" i="7" s="1"/>
  <c r="D19" i="8"/>
  <c r="E18" i="7"/>
  <c r="E19" i="8"/>
  <c r="G18" i="7"/>
  <c r="G19" i="7" s="1"/>
  <c r="G22" i="7" s="1"/>
  <c r="G20" i="8" s="1"/>
  <c r="G10" i="9" s="1"/>
  <c r="G19" i="8"/>
  <c r="F18" i="7"/>
  <c r="F24" i="6" s="1"/>
  <c r="F25" i="6" s="1"/>
  <c r="F19" i="8"/>
  <c r="D30" i="6"/>
  <c r="E30" i="6" s="1"/>
  <c r="F30" i="6" s="1"/>
  <c r="G30" i="6" s="1"/>
  <c r="H30" i="6" s="1"/>
  <c r="C34" i="6"/>
  <c r="C36" i="6" s="1"/>
  <c r="F19" i="7"/>
  <c r="F22" i="7" s="1"/>
  <c r="F20" i="8" s="1"/>
  <c r="F10" i="9" s="1"/>
  <c r="E24" i="6"/>
  <c r="E25" i="6" s="1"/>
  <c r="E19" i="7"/>
  <c r="G24" i="6"/>
  <c r="G25" i="6" s="1"/>
  <c r="D24" i="6"/>
  <c r="D25" i="6" s="1"/>
  <c r="H4" i="5"/>
  <c r="K8" i="5"/>
  <c r="E22" i="7" l="1"/>
  <c r="E20" i="8" s="1"/>
  <c r="E10" i="9" s="1"/>
  <c r="D24" i="7"/>
  <c r="F21" i="6"/>
  <c r="F24" i="7"/>
  <c r="F32" i="6" s="1"/>
  <c r="E21" i="6"/>
  <c r="G21" i="6"/>
  <c r="G27" i="6" s="1"/>
  <c r="D8" i="9"/>
  <c r="I4" i="5"/>
  <c r="E5" i="5" s="1"/>
  <c r="F5" i="5" s="1"/>
  <c r="G4" i="12"/>
  <c r="D32" i="6" l="1"/>
  <c r="C8" i="12"/>
  <c r="E7" i="12"/>
  <c r="C7" i="12"/>
  <c r="E21" i="8"/>
  <c r="E23" i="8" s="1"/>
  <c r="E27" i="8" s="1"/>
  <c r="F34" i="6"/>
  <c r="D21" i="6"/>
  <c r="D27" i="6" s="1"/>
  <c r="D20" i="8"/>
  <c r="G24" i="7"/>
  <c r="F4" i="12"/>
  <c r="E24" i="7"/>
  <c r="H5" i="5"/>
  <c r="I5" i="5" s="1"/>
  <c r="E6" i="5" s="1"/>
  <c r="E9" i="9"/>
  <c r="E23" i="9" s="1"/>
  <c r="E27" i="6"/>
  <c r="D4" i="12"/>
  <c r="H34" i="6"/>
  <c r="H36" i="6" s="1"/>
  <c r="F27" i="6"/>
  <c r="E4" i="12"/>
  <c r="D22" i="9"/>
  <c r="G5" i="12"/>
  <c r="F5" i="12"/>
  <c r="E6" i="9" l="1"/>
  <c r="J6" i="12"/>
  <c r="F7" i="12"/>
  <c r="D7" i="12"/>
  <c r="D21" i="8"/>
  <c r="D23" i="8" s="1"/>
  <c r="D27" i="8" s="1"/>
  <c r="D10" i="9"/>
  <c r="E8" i="9"/>
  <c r="E22" i="9" s="1"/>
  <c r="C4" i="12"/>
  <c r="E32" i="6"/>
  <c r="E34" i="6" s="1"/>
  <c r="E36" i="6" s="1"/>
  <c r="E8" i="12" s="1"/>
  <c r="G32" i="6"/>
  <c r="G34" i="6" s="1"/>
  <c r="G36" i="6" s="1"/>
  <c r="G8" i="12" s="1"/>
  <c r="F36" i="6"/>
  <c r="F8" i="12" s="1"/>
  <c r="E5" i="12"/>
  <c r="D5" i="12"/>
  <c r="F6" i="5"/>
  <c r="D6" i="9" l="1"/>
  <c r="D13" i="9" s="1"/>
  <c r="J5" i="12"/>
  <c r="E13" i="9"/>
  <c r="F9" i="9"/>
  <c r="F23" i="9" s="1"/>
  <c r="F21" i="8"/>
  <c r="F23" i="8" s="1"/>
  <c r="F27" i="8" s="1"/>
  <c r="H6" i="5"/>
  <c r="F6" i="9" l="1"/>
  <c r="J7" i="12"/>
  <c r="F8" i="9"/>
  <c r="I6" i="5"/>
  <c r="E7" i="5" s="1"/>
  <c r="F13" i="9" l="1"/>
  <c r="F7" i="5"/>
  <c r="F22" i="9"/>
  <c r="G9" i="9" l="1"/>
  <c r="G23" i="9" s="1"/>
  <c r="G21" i="8"/>
  <c r="G23" i="8" s="1"/>
  <c r="G27" i="8" s="1"/>
  <c r="H7" i="5"/>
  <c r="G6" i="9" l="1"/>
  <c r="J8" i="12"/>
  <c r="G8" i="9"/>
  <c r="G13" i="9" s="1"/>
  <c r="I7" i="5"/>
  <c r="E8" i="5" s="1"/>
  <c r="M6" i="12" l="1"/>
  <c r="M7" i="12"/>
  <c r="M5" i="12"/>
  <c r="F8" i="5"/>
  <c r="G22" i="9"/>
  <c r="H9" i="9" l="1"/>
  <c r="H23" i="9" s="1"/>
  <c r="H8" i="5"/>
  <c r="H8" i="9" l="1"/>
  <c r="H13" i="9" s="1"/>
  <c r="I8" i="5"/>
  <c r="H22" i="9" l="1"/>
  <c r="F24" i="9"/>
  <c r="F25" i="9" s="1"/>
  <c r="D24" i="9"/>
  <c r="D25" i="9" s="1"/>
  <c r="H24" i="9"/>
  <c r="H25" i="9" s="1"/>
  <c r="E24" i="9"/>
  <c r="E25" i="9" s="1"/>
  <c r="D34" i="6"/>
  <c r="D36" i="6" s="1"/>
  <c r="D8" i="12" s="1"/>
  <c r="G24" i="9"/>
  <c r="G25" i="9" s="1"/>
</calcChain>
</file>

<file path=xl/sharedStrings.xml><?xml version="1.0" encoding="utf-8"?>
<sst xmlns="http://schemas.openxmlformats.org/spreadsheetml/2006/main" count="530" uniqueCount="316">
  <si>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</si>
  <si>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</si>
  <si>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</si>
  <si>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</si>
  <si>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</si>
  <si>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</si>
  <si>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</si>
  <si>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</si>
  <si>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</si>
  <si>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</si>
  <si>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</si>
  <si>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</si>
  <si>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</si>
  <si>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</si>
  <si>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</si>
  <si>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</si>
  <si>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</si>
  <si>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</si>
  <si>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</si>
  <si>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</si>
  <si>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</si>
  <si>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</si>
  <si>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</si>
  <si>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</si>
  <si>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</si>
  <si>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</si>
  <si>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</si>
  <si>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</si>
  <si>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</si>
  <si>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</si>
  <si>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</si>
  <si>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</si>
  <si>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</si>
  <si>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</si>
  <si>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</si>
  <si>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</si>
  <si>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</si>
  <si>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</si>
  <si>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</si>
  <si>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</si>
  <si>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</si>
  <si>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</si>
  <si>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</si>
  <si>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</si>
  <si>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</si>
  <si>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</si>
  <si>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</si>
  <si>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</si>
  <si>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</si>
  <si>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</si>
  <si>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</si>
  <si>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</si>
  <si>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</si>
  <si>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</si>
  <si>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</si>
  <si>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</si>
  <si>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</si>
  <si>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</si>
  <si>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</si>
  <si>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</si>
  <si>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</si>
  <si>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</si>
  <si>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</si>
  <si>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</si>
  <si>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</si>
  <si>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</si>
  <si>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</si>
  <si>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</si>
  <si>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</si>
  <si>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</si>
  <si>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</si>
  <si>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</si>
  <si>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</si>
  <si>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</si>
  <si>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</si>
  <si>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</si>
  <si>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</si>
  <si>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</si>
  <si>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</si>
  <si>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</si>
  <si>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</si>
  <si>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</si>
  <si>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</si>
  <si>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</si>
  <si>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</si>
  <si>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</si>
  <si>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</si>
  <si>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</si>
  <si>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</si>
  <si>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</si>
  <si>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</si>
  <si>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</si>
  <si>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</si>
  <si>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Total Activos Corrientes</t>
  </si>
  <si>
    <t>ACTIVOS NO CORRIENTES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</si>
  <si>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</si>
  <si>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</si>
  <si>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</si>
  <si>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</si>
  <si>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</si>
  <si>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</si>
  <si>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</si>
  <si>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</si>
  <si>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</si>
  <si>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</si>
  <si>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</si>
  <si>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</si>
  <si>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</si>
  <si>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</si>
  <si>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</si>
  <si>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</si>
  <si>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</si>
  <si>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</si>
  <si>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</si>
  <si>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</si>
  <si>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</si>
  <si>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</si>
  <si>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</si>
  <si>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</si>
  <si>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</si>
  <si>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</si>
  <si>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</si>
  <si>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</si>
  <si>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</si>
  <si>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</si>
  <si>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</si>
  <si>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</si>
  <si>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</si>
  <si>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</si>
  <si>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</si>
  <si>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Costo de producción por unidad</t>
  </si>
  <si>
    <t>Depreciación de producción</t>
  </si>
  <si>
    <t>Depreciación de administración</t>
  </si>
  <si>
    <t>Costo por unidad</t>
  </si>
  <si>
    <t>Punto de Equilibrio</t>
  </si>
  <si>
    <t>Unidades mínimas vendidas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</si>
  <si>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</si>
  <si>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</si>
  <si>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</si>
  <si>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</si>
  <si>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</si>
  <si>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</si>
  <si>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</si>
  <si>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</si>
  <si>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</si>
  <si>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</si>
  <si>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</si>
  <si>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</si>
  <si>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</si>
  <si>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</si>
  <si>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</si>
  <si>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</si>
  <si>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</si>
  <si>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</si>
  <si>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</si>
  <si>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</si>
  <si>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</si>
  <si>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</si>
  <si>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</si>
  <si>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</si>
  <si>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</si>
  <si>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</si>
  <si>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Registros y Estatutos</t>
  </si>
  <si>
    <t>ENTRADAS</t>
  </si>
  <si>
    <t>Aportaciones de socios</t>
  </si>
  <si>
    <t>Servicios de Infraestructura de TI/Hosting del Sitio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</si>
  <si>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</si>
  <si>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</si>
  <si>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</si>
  <si>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</si>
  <si>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</si>
  <si>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</si>
  <si>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</si>
  <si>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</si>
  <si>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</si>
  <si>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</si>
  <si>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</si>
  <si>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</si>
  <si>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</si>
  <si>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</si>
  <si>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</si>
  <si>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</si>
  <si>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</si>
  <si>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</si>
  <si>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</si>
  <si>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</si>
  <si>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</si>
  <si>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</si>
  <si>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</si>
  <si>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</si>
  <si>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</si>
  <si>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</si>
  <si>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</si>
  <si>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</si>
  <si>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</si>
  <si>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</si>
  <si>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</si>
  <si>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</si>
  <si>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</si>
  <si>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</si>
  <si>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</si>
  <si>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</si>
  <si>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</si>
  <si>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</si>
  <si>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</si>
  <si>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</si>
  <si>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</si>
  <si>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</si>
  <si>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</si>
  <si>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</si>
  <si>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</si>
  <si>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</si>
  <si>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</si>
  <si>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</si>
  <si>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</si>
  <si>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ESTADO DE RESULTADOS PROYECTADOS</t>
  </si>
  <si>
    <t>UTILIDAD BRUTA</t>
  </si>
  <si>
    <t>Total de Utilidad Bruta</t>
  </si>
  <si>
    <t>Inversiones hacia activos fijos</t>
  </si>
  <si>
    <t>Depreciación anual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</si>
  <si>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</si>
  <si>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</si>
  <si>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</si>
  <si>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</si>
  <si>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</si>
  <si>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</si>
  <si>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</si>
  <si>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</si>
  <si>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</si>
  <si>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</si>
  <si>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</si>
  <si>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</si>
  <si>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</si>
  <si>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</si>
  <si>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</si>
  <si>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</si>
  <si>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</si>
  <si>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</si>
  <si>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</si>
  <si>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</si>
  <si>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</si>
  <si>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</si>
  <si>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</si>
  <si>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</si>
  <si>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</si>
  <si>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</si>
  <si>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</si>
  <si>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</si>
  <si>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</si>
  <si>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</si>
  <si>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</si>
  <si>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</si>
  <si>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</si>
  <si>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</si>
  <si>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</si>
  <si>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</si>
  <si>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</si>
  <si>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</si>
  <si>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</si>
  <si>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</si>
  <si>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</si>
  <si>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</si>
  <si>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</si>
  <si>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Total de Utilidad Operativa</t>
  </si>
  <si>
    <t>UTILIDAD OPERATIVA</t>
  </si>
  <si>
    <t>RESULTADO ANTES DE IMPUESTOS</t>
  </si>
  <si>
    <t>EDUFINANZAS S.A.S.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</si>
  <si>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</si>
  <si>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</si>
  <si>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</si>
  <si>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</si>
  <si>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</si>
  <si>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</si>
  <si>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AÑOS</t>
  </si>
  <si>
    <t>Resultados acumulados/dividendos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</si>
  <si>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</si>
  <si>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</si>
  <si>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</si>
  <si>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</si>
  <si>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</si>
  <si>
    <t>Depreciación (acumulada)</t>
  </si>
  <si>
    <t>Activos Intangibles</t>
  </si>
  <si>
    <t>Activos intangibles</t>
  </si>
  <si>
    <t>Activos fijos</t>
  </si>
  <si>
    <t>Activos diferidos</t>
  </si>
  <si>
    <t>Activos</t>
  </si>
  <si>
    <t>Gastos de mano obra fija</t>
  </si>
  <si>
    <t>Gastos de administración (papelería)</t>
  </si>
  <si>
    <t>Gastos financieros (cuotas de préstamo)</t>
  </si>
  <si>
    <t>Otros Gastos</t>
  </si>
  <si>
    <t>Gastos en beneficios (prestaciones y parafiscales)</t>
  </si>
  <si>
    <t>Costo de ventas (mantenimiento de infraestructura de TI)</t>
  </si>
  <si>
    <t>Gastos de marketing</t>
  </si>
  <si>
    <t>Propiedad, planta y Equipos</t>
  </si>
  <si>
    <t>Efectivo y equivalente de efectivo</t>
  </si>
  <si>
    <t>Gastos de utiles y papelería</t>
  </si>
  <si>
    <t>Gastos en marketing</t>
  </si>
  <si>
    <t>Salarios a empleados</t>
  </si>
  <si>
    <t>Prestaciones sociales y parafiscales</t>
  </si>
  <si>
    <t>Inversiones hacia servicios e infraestructura TI</t>
  </si>
  <si>
    <t>Papelería y accesorios</t>
  </si>
  <si>
    <t>Pago de cuotas de préstamo</t>
  </si>
  <si>
    <t>Abono al capital</t>
  </si>
  <si>
    <t>Servicio de Internet y Electricidad</t>
  </si>
  <si>
    <t>Valor de ParqueSoft</t>
  </si>
  <si>
    <t>Ventas Iniciales Planteadas (anual)</t>
  </si>
  <si>
    <t>Valores</t>
  </si>
  <si>
    <t>Precios netos COP</t>
  </si>
  <si>
    <t>Total Costos</t>
  </si>
  <si>
    <t>Total Ingresos</t>
  </si>
  <si>
    <t>Conversion</t>
  </si>
  <si>
    <t>Unidad de suscripcion (1 unidad = 33.027 COP por año)</t>
  </si>
  <si>
    <t>Costo por Unidad</t>
  </si>
  <si>
    <t>Personas que pertenecen a cada plan anualmente</t>
  </si>
  <si>
    <t>Total de personas dentro del aplicativo anualmente</t>
  </si>
  <si>
    <t>Total de personas que se encuentran dentro del aplicativo en total anualmente (sin importar su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</si>
</sst>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3" fontId="0" fillId="0" borderId="3" xfId="0" applyNumberForma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3" xfId="0" applyFont="1" applyBorder="1"/>
    <xf numFmtId="0" fontId="0" fillId="0" borderId="15" xfId="0" applyFont="1" applyBorder="1"/>
    <xf numFmtId="0" fontId="1" fillId="0" borderId="0" xfId="0" applyFont="1" applyBorder="1" applyAlignment="1">
      <alignment horizontal="left"/>
    </xf>
    <xf numFmtId="164" fontId="0" fillId="0" borderId="25" xfId="0" applyNumberFormat="1" applyBorder="1" applyAlignment="1">
      <alignment horizontal="center"/>
    </xf>
    <xf numFmtId="0" fontId="7" fillId="2" borderId="13" xfId="0" applyFont="1" applyFill="1" applyBorder="1"/>
    <xf numFmtId="164" fontId="1" fillId="2" borderId="26" xfId="0" applyNumberFormat="1" applyFont="1" applyFill="1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65" fontId="0" fillId="4" borderId="4" xfId="0" applyNumberFormat="1" applyFill="1" applyBorder="1" applyAlignment="1">
      <alignment horizont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Equilibrio'!$B$4:$B$6004</c:f>
              <c:numCache>
                <c:formatCode>General</c:formatCode>
                <c:ptCount val="6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</c:numCache>
            </c:numRef>
          </c:cat>
          <c:val>
            <c:numRef>
              <c:f>'Grafica Punto de Equilibrio'!$C$4:$C$6004</c:f>
              <c:numCache>
                <c:formatCode>"$"\ #,##0</c:formatCode>
                <c:ptCount val="6001"/>
                <c:pt idx="0">
                  <c:v>157992929.59999999</c:v>
                </c:pt>
                <c:pt idx="1">
                  <c:v>157992929.59999999</c:v>
                </c:pt>
                <c:pt idx="2">
                  <c:v>157992929.59999999</c:v>
                </c:pt>
                <c:pt idx="3">
                  <c:v>157992929.59999999</c:v>
                </c:pt>
                <c:pt idx="4">
                  <c:v>157992929.59999999</c:v>
                </c:pt>
                <c:pt idx="5">
                  <c:v>157992929.59999999</c:v>
                </c:pt>
                <c:pt idx="6">
                  <c:v>157992929.59999999</c:v>
                </c:pt>
                <c:pt idx="7">
                  <c:v>157992929.59999999</c:v>
                </c:pt>
                <c:pt idx="8">
                  <c:v>157992929.59999999</c:v>
                </c:pt>
                <c:pt idx="9">
                  <c:v>157992929.59999999</c:v>
                </c:pt>
                <c:pt idx="10">
                  <c:v>157992929.59999999</c:v>
                </c:pt>
                <c:pt idx="11">
                  <c:v>157992929.59999999</c:v>
                </c:pt>
                <c:pt idx="12">
                  <c:v>157992929.59999999</c:v>
                </c:pt>
                <c:pt idx="13">
                  <c:v>157992929.59999999</c:v>
                </c:pt>
                <c:pt idx="14">
                  <c:v>157992929.59999999</c:v>
                </c:pt>
                <c:pt idx="15">
                  <c:v>157992929.59999999</c:v>
                </c:pt>
                <c:pt idx="16">
                  <c:v>157992929.59999999</c:v>
                </c:pt>
                <c:pt idx="17">
                  <c:v>157992929.59999999</c:v>
                </c:pt>
                <c:pt idx="18">
                  <c:v>157992929.59999999</c:v>
                </c:pt>
                <c:pt idx="19">
                  <c:v>157992929.59999999</c:v>
                </c:pt>
                <c:pt idx="20">
                  <c:v>157992929.59999999</c:v>
                </c:pt>
                <c:pt idx="21">
                  <c:v>157992929.59999999</c:v>
                </c:pt>
                <c:pt idx="22">
                  <c:v>157992929.59999999</c:v>
                </c:pt>
                <c:pt idx="23">
                  <c:v>157992929.59999999</c:v>
                </c:pt>
                <c:pt idx="24">
                  <c:v>157992929.59999999</c:v>
                </c:pt>
                <c:pt idx="25">
                  <c:v>157992929.59999999</c:v>
                </c:pt>
                <c:pt idx="26">
                  <c:v>157992929.59999999</c:v>
                </c:pt>
                <c:pt idx="27">
                  <c:v>157992929.59999999</c:v>
                </c:pt>
                <c:pt idx="28">
                  <c:v>157992929.59999999</c:v>
                </c:pt>
                <c:pt idx="29">
                  <c:v>157992929.59999999</c:v>
                </c:pt>
                <c:pt idx="30">
                  <c:v>157992929.59999999</c:v>
                </c:pt>
                <c:pt idx="31">
                  <c:v>157992929.59999999</c:v>
                </c:pt>
                <c:pt idx="32">
                  <c:v>157992929.59999999</c:v>
                </c:pt>
                <c:pt idx="33">
                  <c:v>157992929.59999999</c:v>
                </c:pt>
                <c:pt idx="34">
                  <c:v>157992929.59999999</c:v>
                </c:pt>
                <c:pt idx="35">
                  <c:v>157992929.59999999</c:v>
                </c:pt>
                <c:pt idx="36">
                  <c:v>157992929.59999999</c:v>
                </c:pt>
                <c:pt idx="37">
                  <c:v>157992929.59999999</c:v>
                </c:pt>
                <c:pt idx="38">
                  <c:v>157992929.59999999</c:v>
                </c:pt>
                <c:pt idx="39">
                  <c:v>157992929.59999999</c:v>
                </c:pt>
                <c:pt idx="40">
                  <c:v>157992929.59999999</c:v>
                </c:pt>
                <c:pt idx="41">
                  <c:v>157992929.59999999</c:v>
                </c:pt>
                <c:pt idx="42">
                  <c:v>157992929.59999999</c:v>
                </c:pt>
                <c:pt idx="43">
                  <c:v>157992929.59999999</c:v>
                </c:pt>
                <c:pt idx="44">
                  <c:v>157992929.59999999</c:v>
                </c:pt>
                <c:pt idx="45">
                  <c:v>157992929.59999999</c:v>
                </c:pt>
                <c:pt idx="46">
                  <c:v>157992929.59999999</c:v>
                </c:pt>
                <c:pt idx="47">
                  <c:v>157992929.59999999</c:v>
                </c:pt>
                <c:pt idx="48">
                  <c:v>157992929.59999999</c:v>
                </c:pt>
                <c:pt idx="49">
                  <c:v>157992929.59999999</c:v>
                </c:pt>
                <c:pt idx="50">
                  <c:v>157992929.59999999</c:v>
                </c:pt>
                <c:pt idx="51">
                  <c:v>157992929.59999999</c:v>
                </c:pt>
                <c:pt idx="52">
                  <c:v>157992929.59999999</c:v>
                </c:pt>
                <c:pt idx="53">
                  <c:v>157992929.59999999</c:v>
                </c:pt>
                <c:pt idx="54">
                  <c:v>157992929.59999999</c:v>
                </c:pt>
                <c:pt idx="55">
                  <c:v>157992929.59999999</c:v>
                </c:pt>
                <c:pt idx="56">
                  <c:v>157992929.59999999</c:v>
                </c:pt>
                <c:pt idx="57">
                  <c:v>157992929.59999999</c:v>
                </c:pt>
                <c:pt idx="58">
                  <c:v>157992929.59999999</c:v>
                </c:pt>
                <c:pt idx="59">
                  <c:v>157992929.59999999</c:v>
                </c:pt>
                <c:pt idx="60">
                  <c:v>157992929.59999999</c:v>
                </c:pt>
                <c:pt idx="61">
                  <c:v>157992929.59999999</c:v>
                </c:pt>
                <c:pt idx="62">
                  <c:v>157992929.59999999</c:v>
                </c:pt>
                <c:pt idx="63">
                  <c:v>157992929.59999999</c:v>
                </c:pt>
                <c:pt idx="64">
                  <c:v>157992929.59999999</c:v>
                </c:pt>
                <c:pt idx="65">
                  <c:v>157992929.59999999</c:v>
                </c:pt>
                <c:pt idx="66">
                  <c:v>157992929.59999999</c:v>
                </c:pt>
                <c:pt idx="67">
                  <c:v>157992929.59999999</c:v>
                </c:pt>
                <c:pt idx="68">
                  <c:v>157992929.59999999</c:v>
                </c:pt>
                <c:pt idx="69">
                  <c:v>157992929.59999999</c:v>
                </c:pt>
                <c:pt idx="70">
                  <c:v>157992929.59999999</c:v>
                </c:pt>
                <c:pt idx="71">
                  <c:v>157992929.59999999</c:v>
                </c:pt>
                <c:pt idx="72">
                  <c:v>157992929.59999999</c:v>
                </c:pt>
                <c:pt idx="73">
                  <c:v>157992929.59999999</c:v>
                </c:pt>
                <c:pt idx="74">
                  <c:v>157992929.59999999</c:v>
                </c:pt>
                <c:pt idx="75">
                  <c:v>157992929.59999999</c:v>
                </c:pt>
                <c:pt idx="76">
                  <c:v>157992929.59999999</c:v>
                </c:pt>
                <c:pt idx="77">
                  <c:v>157992929.59999999</c:v>
                </c:pt>
                <c:pt idx="78">
                  <c:v>157992929.59999999</c:v>
                </c:pt>
                <c:pt idx="79">
                  <c:v>157992929.59999999</c:v>
                </c:pt>
                <c:pt idx="80">
                  <c:v>157992929.59999999</c:v>
                </c:pt>
                <c:pt idx="81">
                  <c:v>157992929.59999999</c:v>
                </c:pt>
                <c:pt idx="82">
                  <c:v>157992929.59999999</c:v>
                </c:pt>
                <c:pt idx="83">
                  <c:v>157992929.59999999</c:v>
                </c:pt>
                <c:pt idx="84">
                  <c:v>157992929.59999999</c:v>
                </c:pt>
                <c:pt idx="85">
                  <c:v>157992929.59999999</c:v>
                </c:pt>
                <c:pt idx="86">
                  <c:v>157992929.59999999</c:v>
                </c:pt>
                <c:pt idx="87">
                  <c:v>157992929.59999999</c:v>
                </c:pt>
                <c:pt idx="88">
                  <c:v>157992929.59999999</c:v>
                </c:pt>
                <c:pt idx="89">
                  <c:v>157992929.59999999</c:v>
                </c:pt>
                <c:pt idx="90">
                  <c:v>157992929.59999999</c:v>
                </c:pt>
                <c:pt idx="91">
                  <c:v>157992929.59999999</c:v>
                </c:pt>
                <c:pt idx="92">
                  <c:v>157992929.59999999</c:v>
                </c:pt>
                <c:pt idx="93">
                  <c:v>157992929.59999999</c:v>
                </c:pt>
                <c:pt idx="94">
                  <c:v>157992929.59999999</c:v>
                </c:pt>
                <c:pt idx="95">
                  <c:v>157992929.59999999</c:v>
                </c:pt>
                <c:pt idx="96">
                  <c:v>157992929.59999999</c:v>
                </c:pt>
                <c:pt idx="97">
                  <c:v>157992929.59999999</c:v>
                </c:pt>
                <c:pt idx="98">
                  <c:v>157992929.59999999</c:v>
                </c:pt>
                <c:pt idx="99">
                  <c:v>157992929.59999999</c:v>
                </c:pt>
                <c:pt idx="100">
                  <c:v>157992929.59999999</c:v>
                </c:pt>
                <c:pt idx="101">
                  <c:v>157992929.59999999</c:v>
                </c:pt>
                <c:pt idx="102">
                  <c:v>157992929.59999999</c:v>
                </c:pt>
                <c:pt idx="103">
                  <c:v>157992929.59999999</c:v>
                </c:pt>
                <c:pt idx="104">
                  <c:v>157992929.59999999</c:v>
                </c:pt>
                <c:pt idx="105">
                  <c:v>157992929.59999999</c:v>
                </c:pt>
                <c:pt idx="106">
                  <c:v>157992929.59999999</c:v>
                </c:pt>
                <c:pt idx="107">
                  <c:v>157992929.59999999</c:v>
                </c:pt>
                <c:pt idx="108">
                  <c:v>157992929.59999999</c:v>
                </c:pt>
                <c:pt idx="109">
                  <c:v>157992929.59999999</c:v>
                </c:pt>
                <c:pt idx="110">
                  <c:v>157992929.59999999</c:v>
                </c:pt>
                <c:pt idx="111">
                  <c:v>157992929.59999999</c:v>
                </c:pt>
                <c:pt idx="112">
                  <c:v>157992929.59999999</c:v>
                </c:pt>
                <c:pt idx="113">
                  <c:v>157992929.59999999</c:v>
                </c:pt>
                <c:pt idx="114">
                  <c:v>157992929.59999999</c:v>
                </c:pt>
                <c:pt idx="115">
                  <c:v>157992929.59999999</c:v>
                </c:pt>
                <c:pt idx="116">
                  <c:v>157992929.59999999</c:v>
                </c:pt>
                <c:pt idx="117">
                  <c:v>157992929.59999999</c:v>
                </c:pt>
                <c:pt idx="118">
                  <c:v>157992929.59999999</c:v>
                </c:pt>
                <c:pt idx="119">
                  <c:v>157992929.59999999</c:v>
                </c:pt>
                <c:pt idx="120">
                  <c:v>157992929.59999999</c:v>
                </c:pt>
                <c:pt idx="121">
                  <c:v>157992929.59999999</c:v>
                </c:pt>
                <c:pt idx="122">
                  <c:v>157992929.59999999</c:v>
                </c:pt>
                <c:pt idx="123">
                  <c:v>157992929.59999999</c:v>
                </c:pt>
                <c:pt idx="124">
                  <c:v>157992929.59999999</c:v>
                </c:pt>
                <c:pt idx="125">
                  <c:v>157992929.59999999</c:v>
                </c:pt>
                <c:pt idx="126">
                  <c:v>157992929.59999999</c:v>
                </c:pt>
                <c:pt idx="127">
                  <c:v>157992929.59999999</c:v>
                </c:pt>
                <c:pt idx="128">
                  <c:v>157992929.59999999</c:v>
                </c:pt>
                <c:pt idx="129">
                  <c:v>157992929.59999999</c:v>
                </c:pt>
                <c:pt idx="130">
                  <c:v>157992929.59999999</c:v>
                </c:pt>
                <c:pt idx="131">
                  <c:v>157992929.59999999</c:v>
                </c:pt>
                <c:pt idx="132">
                  <c:v>157992929.59999999</c:v>
                </c:pt>
                <c:pt idx="133">
                  <c:v>157992929.59999999</c:v>
                </c:pt>
                <c:pt idx="134">
                  <c:v>157992929.59999999</c:v>
                </c:pt>
                <c:pt idx="135">
                  <c:v>157992929.59999999</c:v>
                </c:pt>
                <c:pt idx="136">
                  <c:v>157992929.59999999</c:v>
                </c:pt>
                <c:pt idx="137">
                  <c:v>157992929.59999999</c:v>
                </c:pt>
                <c:pt idx="138">
                  <c:v>157992929.59999999</c:v>
                </c:pt>
                <c:pt idx="139">
                  <c:v>157992929.59999999</c:v>
                </c:pt>
                <c:pt idx="140">
                  <c:v>157992929.59999999</c:v>
                </c:pt>
                <c:pt idx="141">
                  <c:v>157992929.59999999</c:v>
                </c:pt>
                <c:pt idx="142">
                  <c:v>157992929.59999999</c:v>
                </c:pt>
                <c:pt idx="143">
                  <c:v>157992929.59999999</c:v>
                </c:pt>
                <c:pt idx="144">
                  <c:v>157992929.59999999</c:v>
                </c:pt>
                <c:pt idx="145">
                  <c:v>157992929.59999999</c:v>
                </c:pt>
                <c:pt idx="146">
                  <c:v>157992929.59999999</c:v>
                </c:pt>
                <c:pt idx="147">
                  <c:v>157992929.59999999</c:v>
                </c:pt>
                <c:pt idx="148">
                  <c:v>157992929.59999999</c:v>
                </c:pt>
                <c:pt idx="149">
                  <c:v>157992929.59999999</c:v>
                </c:pt>
                <c:pt idx="150">
                  <c:v>157992929.59999999</c:v>
                </c:pt>
                <c:pt idx="151">
                  <c:v>157992929.59999999</c:v>
                </c:pt>
                <c:pt idx="152">
                  <c:v>157992929.59999999</c:v>
                </c:pt>
                <c:pt idx="153">
                  <c:v>157992929.59999999</c:v>
                </c:pt>
                <c:pt idx="154">
                  <c:v>157992929.59999999</c:v>
                </c:pt>
                <c:pt idx="155">
                  <c:v>157992929.59999999</c:v>
                </c:pt>
                <c:pt idx="156">
                  <c:v>157992929.59999999</c:v>
                </c:pt>
                <c:pt idx="157">
                  <c:v>157992929.59999999</c:v>
                </c:pt>
                <c:pt idx="158">
                  <c:v>157992929.59999999</c:v>
                </c:pt>
                <c:pt idx="159">
                  <c:v>157992929.59999999</c:v>
                </c:pt>
                <c:pt idx="160">
                  <c:v>157992929.59999999</c:v>
                </c:pt>
                <c:pt idx="161">
                  <c:v>157992929.59999999</c:v>
                </c:pt>
                <c:pt idx="162">
                  <c:v>157992929.59999999</c:v>
                </c:pt>
                <c:pt idx="163">
                  <c:v>157992929.59999999</c:v>
                </c:pt>
                <c:pt idx="164">
                  <c:v>157992929.59999999</c:v>
                </c:pt>
                <c:pt idx="165">
                  <c:v>157992929.59999999</c:v>
                </c:pt>
                <c:pt idx="166">
                  <c:v>157992929.59999999</c:v>
                </c:pt>
                <c:pt idx="167">
                  <c:v>157992929.59999999</c:v>
                </c:pt>
                <c:pt idx="168">
                  <c:v>157992929.59999999</c:v>
                </c:pt>
                <c:pt idx="169">
                  <c:v>157992929.59999999</c:v>
                </c:pt>
                <c:pt idx="170">
                  <c:v>157992929.59999999</c:v>
                </c:pt>
                <c:pt idx="171">
                  <c:v>157992929.59999999</c:v>
                </c:pt>
                <c:pt idx="172">
                  <c:v>157992929.59999999</c:v>
                </c:pt>
                <c:pt idx="173">
                  <c:v>157992929.59999999</c:v>
                </c:pt>
                <c:pt idx="174">
                  <c:v>157992929.59999999</c:v>
                </c:pt>
                <c:pt idx="175">
                  <c:v>157992929.59999999</c:v>
                </c:pt>
                <c:pt idx="176">
                  <c:v>157992929.59999999</c:v>
                </c:pt>
                <c:pt idx="177">
                  <c:v>157992929.59999999</c:v>
                </c:pt>
                <c:pt idx="178">
                  <c:v>157992929.59999999</c:v>
                </c:pt>
                <c:pt idx="179">
                  <c:v>157992929.59999999</c:v>
                </c:pt>
                <c:pt idx="180">
                  <c:v>157992929.59999999</c:v>
                </c:pt>
                <c:pt idx="181">
                  <c:v>157992929.59999999</c:v>
                </c:pt>
                <c:pt idx="182">
                  <c:v>157992929.59999999</c:v>
                </c:pt>
                <c:pt idx="183">
                  <c:v>157992929.59999999</c:v>
                </c:pt>
                <c:pt idx="184">
                  <c:v>157992929.59999999</c:v>
                </c:pt>
                <c:pt idx="185">
                  <c:v>157992929.59999999</c:v>
                </c:pt>
                <c:pt idx="186">
                  <c:v>157992929.59999999</c:v>
                </c:pt>
                <c:pt idx="187">
                  <c:v>157992929.59999999</c:v>
                </c:pt>
                <c:pt idx="188">
                  <c:v>157992929.59999999</c:v>
                </c:pt>
                <c:pt idx="189">
                  <c:v>157992929.59999999</c:v>
                </c:pt>
                <c:pt idx="190">
                  <c:v>157992929.59999999</c:v>
                </c:pt>
                <c:pt idx="191">
                  <c:v>157992929.59999999</c:v>
                </c:pt>
                <c:pt idx="192">
                  <c:v>157992929.59999999</c:v>
                </c:pt>
                <c:pt idx="193">
                  <c:v>157992929.59999999</c:v>
                </c:pt>
                <c:pt idx="194">
                  <c:v>157992929.59999999</c:v>
                </c:pt>
                <c:pt idx="195">
                  <c:v>157992929.59999999</c:v>
                </c:pt>
                <c:pt idx="196">
                  <c:v>157992929.59999999</c:v>
                </c:pt>
                <c:pt idx="197">
                  <c:v>157992929.59999999</c:v>
                </c:pt>
                <c:pt idx="198">
                  <c:v>157992929.59999999</c:v>
                </c:pt>
                <c:pt idx="199">
                  <c:v>157992929.59999999</c:v>
                </c:pt>
                <c:pt idx="200">
                  <c:v>157992929.59999999</c:v>
                </c:pt>
                <c:pt idx="201">
                  <c:v>157992929.59999999</c:v>
                </c:pt>
                <c:pt idx="202">
                  <c:v>157992929.59999999</c:v>
                </c:pt>
                <c:pt idx="203">
                  <c:v>157992929.59999999</c:v>
                </c:pt>
                <c:pt idx="204">
                  <c:v>157992929.59999999</c:v>
                </c:pt>
                <c:pt idx="205">
                  <c:v>157992929.59999999</c:v>
                </c:pt>
                <c:pt idx="206">
                  <c:v>157992929.59999999</c:v>
                </c:pt>
                <c:pt idx="207">
                  <c:v>157992929.59999999</c:v>
                </c:pt>
                <c:pt idx="208">
                  <c:v>157992929.59999999</c:v>
                </c:pt>
                <c:pt idx="209">
                  <c:v>157992929.59999999</c:v>
                </c:pt>
                <c:pt idx="210">
                  <c:v>157992929.59999999</c:v>
                </c:pt>
                <c:pt idx="211">
                  <c:v>157992929.59999999</c:v>
                </c:pt>
                <c:pt idx="212">
                  <c:v>157992929.59999999</c:v>
                </c:pt>
                <c:pt idx="213">
                  <c:v>157992929.59999999</c:v>
                </c:pt>
                <c:pt idx="214">
                  <c:v>157992929.59999999</c:v>
                </c:pt>
                <c:pt idx="215">
                  <c:v>157992929.59999999</c:v>
                </c:pt>
                <c:pt idx="216">
                  <c:v>157992929.59999999</c:v>
                </c:pt>
                <c:pt idx="217">
                  <c:v>157992929.59999999</c:v>
                </c:pt>
                <c:pt idx="218">
                  <c:v>157992929.59999999</c:v>
                </c:pt>
                <c:pt idx="219">
                  <c:v>157992929.59999999</c:v>
                </c:pt>
                <c:pt idx="220">
                  <c:v>157992929.59999999</c:v>
                </c:pt>
                <c:pt idx="221">
                  <c:v>157992929.59999999</c:v>
                </c:pt>
                <c:pt idx="222">
                  <c:v>157992929.59999999</c:v>
                </c:pt>
                <c:pt idx="223">
                  <c:v>157992929.59999999</c:v>
                </c:pt>
                <c:pt idx="224">
                  <c:v>157992929.59999999</c:v>
                </c:pt>
                <c:pt idx="225">
                  <c:v>157992929.59999999</c:v>
                </c:pt>
                <c:pt idx="226">
                  <c:v>157992929.59999999</c:v>
                </c:pt>
                <c:pt idx="227">
                  <c:v>157992929.59999999</c:v>
                </c:pt>
                <c:pt idx="228">
                  <c:v>157992929.59999999</c:v>
                </c:pt>
                <c:pt idx="229">
                  <c:v>157992929.59999999</c:v>
                </c:pt>
                <c:pt idx="230">
                  <c:v>157992929.59999999</c:v>
                </c:pt>
                <c:pt idx="231">
                  <c:v>157992929.59999999</c:v>
                </c:pt>
                <c:pt idx="232">
                  <c:v>157992929.59999999</c:v>
                </c:pt>
                <c:pt idx="233">
                  <c:v>157992929.59999999</c:v>
                </c:pt>
                <c:pt idx="234">
                  <c:v>157992929.59999999</c:v>
                </c:pt>
                <c:pt idx="235">
                  <c:v>157992929.59999999</c:v>
                </c:pt>
                <c:pt idx="236">
                  <c:v>157992929.59999999</c:v>
                </c:pt>
                <c:pt idx="237">
                  <c:v>157992929.59999999</c:v>
                </c:pt>
                <c:pt idx="238">
                  <c:v>157992929.59999999</c:v>
                </c:pt>
                <c:pt idx="239">
                  <c:v>157992929.59999999</c:v>
                </c:pt>
                <c:pt idx="240">
                  <c:v>157992929.59999999</c:v>
                </c:pt>
                <c:pt idx="241">
                  <c:v>157992929.59999999</c:v>
                </c:pt>
                <c:pt idx="242">
                  <c:v>157992929.59999999</c:v>
                </c:pt>
                <c:pt idx="243">
                  <c:v>157992929.59999999</c:v>
                </c:pt>
                <c:pt idx="244">
                  <c:v>157992929.59999999</c:v>
                </c:pt>
                <c:pt idx="245">
                  <c:v>157992929.59999999</c:v>
                </c:pt>
                <c:pt idx="246">
                  <c:v>157992929.59999999</c:v>
                </c:pt>
                <c:pt idx="247">
                  <c:v>157992929.59999999</c:v>
                </c:pt>
                <c:pt idx="248">
                  <c:v>157992929.59999999</c:v>
                </c:pt>
                <c:pt idx="249">
                  <c:v>157992929.59999999</c:v>
                </c:pt>
                <c:pt idx="250">
                  <c:v>157992929.59999999</c:v>
                </c:pt>
                <c:pt idx="251">
                  <c:v>157992929.59999999</c:v>
                </c:pt>
                <c:pt idx="252">
                  <c:v>157992929.59999999</c:v>
                </c:pt>
                <c:pt idx="253">
                  <c:v>157992929.59999999</c:v>
                </c:pt>
                <c:pt idx="254">
                  <c:v>157992929.59999999</c:v>
                </c:pt>
                <c:pt idx="255">
                  <c:v>157992929.59999999</c:v>
                </c:pt>
                <c:pt idx="256">
                  <c:v>157992929.59999999</c:v>
                </c:pt>
                <c:pt idx="257">
                  <c:v>157992929.59999999</c:v>
                </c:pt>
                <c:pt idx="258">
                  <c:v>157992929.59999999</c:v>
                </c:pt>
                <c:pt idx="259">
                  <c:v>157992929.59999999</c:v>
                </c:pt>
                <c:pt idx="260">
                  <c:v>157992929.59999999</c:v>
                </c:pt>
                <c:pt idx="261">
                  <c:v>157992929.59999999</c:v>
                </c:pt>
                <c:pt idx="262">
                  <c:v>157992929.59999999</c:v>
                </c:pt>
                <c:pt idx="263">
                  <c:v>157992929.59999999</c:v>
                </c:pt>
                <c:pt idx="264">
                  <c:v>157992929.59999999</c:v>
                </c:pt>
                <c:pt idx="265">
                  <c:v>157992929.59999999</c:v>
                </c:pt>
                <c:pt idx="266">
                  <c:v>157992929.59999999</c:v>
                </c:pt>
                <c:pt idx="267">
                  <c:v>157992929.59999999</c:v>
                </c:pt>
                <c:pt idx="268">
                  <c:v>157992929.59999999</c:v>
                </c:pt>
                <c:pt idx="269">
                  <c:v>157992929.59999999</c:v>
                </c:pt>
                <c:pt idx="270">
                  <c:v>157992929.59999999</c:v>
                </c:pt>
                <c:pt idx="271">
                  <c:v>157992929.59999999</c:v>
                </c:pt>
                <c:pt idx="272">
                  <c:v>157992929.59999999</c:v>
                </c:pt>
                <c:pt idx="273">
                  <c:v>157992929.59999999</c:v>
                </c:pt>
                <c:pt idx="274">
                  <c:v>157992929.59999999</c:v>
                </c:pt>
                <c:pt idx="275">
                  <c:v>157992929.59999999</c:v>
                </c:pt>
                <c:pt idx="276">
                  <c:v>157992929.59999999</c:v>
                </c:pt>
                <c:pt idx="277">
                  <c:v>157992929.59999999</c:v>
                </c:pt>
                <c:pt idx="278">
                  <c:v>157992929.59999999</c:v>
                </c:pt>
                <c:pt idx="279">
                  <c:v>157992929.59999999</c:v>
                </c:pt>
                <c:pt idx="280">
                  <c:v>157992929.59999999</c:v>
                </c:pt>
                <c:pt idx="281">
                  <c:v>157992929.59999999</c:v>
                </c:pt>
                <c:pt idx="282">
                  <c:v>157992929.59999999</c:v>
                </c:pt>
                <c:pt idx="283">
                  <c:v>157992929.59999999</c:v>
                </c:pt>
                <c:pt idx="284">
                  <c:v>157992929.59999999</c:v>
                </c:pt>
                <c:pt idx="285">
                  <c:v>157992929.59999999</c:v>
                </c:pt>
                <c:pt idx="286">
                  <c:v>157992929.59999999</c:v>
                </c:pt>
                <c:pt idx="287">
                  <c:v>157992929.59999999</c:v>
                </c:pt>
                <c:pt idx="288">
                  <c:v>157992929.59999999</c:v>
                </c:pt>
                <c:pt idx="289">
                  <c:v>157992929.59999999</c:v>
                </c:pt>
                <c:pt idx="290">
                  <c:v>157992929.59999999</c:v>
                </c:pt>
                <c:pt idx="291">
                  <c:v>157992929.59999999</c:v>
                </c:pt>
                <c:pt idx="292">
                  <c:v>157992929.59999999</c:v>
                </c:pt>
                <c:pt idx="293">
                  <c:v>157992929.59999999</c:v>
                </c:pt>
                <c:pt idx="294">
                  <c:v>157992929.59999999</c:v>
                </c:pt>
                <c:pt idx="295">
                  <c:v>157992929.59999999</c:v>
                </c:pt>
                <c:pt idx="296">
                  <c:v>157992929.59999999</c:v>
                </c:pt>
                <c:pt idx="297">
                  <c:v>157992929.59999999</c:v>
                </c:pt>
                <c:pt idx="298">
                  <c:v>157992929.59999999</c:v>
                </c:pt>
                <c:pt idx="299">
                  <c:v>157992929.59999999</c:v>
                </c:pt>
                <c:pt idx="300">
                  <c:v>157992929.59999999</c:v>
                </c:pt>
                <c:pt idx="301">
                  <c:v>157992929.59999999</c:v>
                </c:pt>
                <c:pt idx="302">
                  <c:v>157992929.59999999</c:v>
                </c:pt>
                <c:pt idx="303">
                  <c:v>157992929.59999999</c:v>
                </c:pt>
                <c:pt idx="304">
                  <c:v>157992929.59999999</c:v>
                </c:pt>
                <c:pt idx="305">
                  <c:v>157992929.59999999</c:v>
                </c:pt>
                <c:pt idx="306">
                  <c:v>157992929.59999999</c:v>
                </c:pt>
                <c:pt idx="307">
                  <c:v>157992929.59999999</c:v>
                </c:pt>
                <c:pt idx="308">
                  <c:v>157992929.59999999</c:v>
                </c:pt>
                <c:pt idx="309">
                  <c:v>157992929.59999999</c:v>
                </c:pt>
                <c:pt idx="310">
                  <c:v>157992929.59999999</c:v>
                </c:pt>
                <c:pt idx="311">
                  <c:v>157992929.59999999</c:v>
                </c:pt>
                <c:pt idx="312">
                  <c:v>157992929.59999999</c:v>
                </c:pt>
                <c:pt idx="313">
                  <c:v>157992929.59999999</c:v>
                </c:pt>
                <c:pt idx="314">
                  <c:v>157992929.59999999</c:v>
                </c:pt>
                <c:pt idx="315">
                  <c:v>157992929.59999999</c:v>
                </c:pt>
                <c:pt idx="316">
                  <c:v>157992929.59999999</c:v>
                </c:pt>
                <c:pt idx="317">
                  <c:v>157992929.59999999</c:v>
                </c:pt>
                <c:pt idx="318">
                  <c:v>157992929.59999999</c:v>
                </c:pt>
                <c:pt idx="319">
                  <c:v>157992929.59999999</c:v>
                </c:pt>
                <c:pt idx="320">
                  <c:v>157992929.59999999</c:v>
                </c:pt>
                <c:pt idx="321">
                  <c:v>157992929.59999999</c:v>
                </c:pt>
                <c:pt idx="322">
                  <c:v>157992929.59999999</c:v>
                </c:pt>
                <c:pt idx="323">
                  <c:v>157992929.59999999</c:v>
                </c:pt>
                <c:pt idx="324">
                  <c:v>157992929.59999999</c:v>
                </c:pt>
                <c:pt idx="325">
                  <c:v>157992929.59999999</c:v>
                </c:pt>
                <c:pt idx="326">
                  <c:v>157992929.59999999</c:v>
                </c:pt>
                <c:pt idx="327">
                  <c:v>157992929.59999999</c:v>
                </c:pt>
                <c:pt idx="328">
                  <c:v>157992929.59999999</c:v>
                </c:pt>
                <c:pt idx="329">
                  <c:v>157992929.59999999</c:v>
                </c:pt>
                <c:pt idx="330">
                  <c:v>157992929.59999999</c:v>
                </c:pt>
                <c:pt idx="331">
                  <c:v>157992929.59999999</c:v>
                </c:pt>
                <c:pt idx="332">
                  <c:v>157992929.59999999</c:v>
                </c:pt>
                <c:pt idx="333">
                  <c:v>157992929.59999999</c:v>
                </c:pt>
                <c:pt idx="334">
                  <c:v>157992929.59999999</c:v>
                </c:pt>
                <c:pt idx="335">
                  <c:v>157992929.59999999</c:v>
                </c:pt>
                <c:pt idx="336">
                  <c:v>157992929.59999999</c:v>
                </c:pt>
                <c:pt idx="337">
                  <c:v>157992929.59999999</c:v>
                </c:pt>
                <c:pt idx="338">
                  <c:v>157992929.59999999</c:v>
                </c:pt>
                <c:pt idx="339">
                  <c:v>157992929.59999999</c:v>
                </c:pt>
                <c:pt idx="340">
                  <c:v>157992929.59999999</c:v>
                </c:pt>
                <c:pt idx="341">
                  <c:v>157992929.59999999</c:v>
                </c:pt>
                <c:pt idx="342">
                  <c:v>157992929.59999999</c:v>
                </c:pt>
                <c:pt idx="343">
                  <c:v>157992929.59999999</c:v>
                </c:pt>
                <c:pt idx="344">
                  <c:v>157992929.59999999</c:v>
                </c:pt>
                <c:pt idx="345">
                  <c:v>157992929.59999999</c:v>
                </c:pt>
                <c:pt idx="346">
                  <c:v>157992929.59999999</c:v>
                </c:pt>
                <c:pt idx="347">
                  <c:v>157992929.59999999</c:v>
                </c:pt>
                <c:pt idx="348">
                  <c:v>157992929.59999999</c:v>
                </c:pt>
                <c:pt idx="349">
                  <c:v>157992929.59999999</c:v>
                </c:pt>
                <c:pt idx="350">
                  <c:v>157992929.59999999</c:v>
                </c:pt>
                <c:pt idx="351">
                  <c:v>157992929.59999999</c:v>
                </c:pt>
                <c:pt idx="352">
                  <c:v>157992929.59999999</c:v>
                </c:pt>
                <c:pt idx="353">
                  <c:v>157992929.59999999</c:v>
                </c:pt>
                <c:pt idx="354">
                  <c:v>157992929.59999999</c:v>
                </c:pt>
                <c:pt idx="355">
                  <c:v>157992929.59999999</c:v>
                </c:pt>
                <c:pt idx="356">
                  <c:v>157992929.59999999</c:v>
                </c:pt>
                <c:pt idx="357">
                  <c:v>157992929.59999999</c:v>
                </c:pt>
                <c:pt idx="358">
                  <c:v>157992929.59999999</c:v>
                </c:pt>
                <c:pt idx="359">
                  <c:v>157992929.59999999</c:v>
                </c:pt>
                <c:pt idx="360">
                  <c:v>157992929.59999999</c:v>
                </c:pt>
                <c:pt idx="361">
                  <c:v>157992929.59999999</c:v>
                </c:pt>
                <c:pt idx="362">
                  <c:v>157992929.59999999</c:v>
                </c:pt>
                <c:pt idx="363">
                  <c:v>157992929.59999999</c:v>
                </c:pt>
                <c:pt idx="364">
                  <c:v>157992929.59999999</c:v>
                </c:pt>
                <c:pt idx="365">
                  <c:v>157992929.59999999</c:v>
                </c:pt>
                <c:pt idx="366">
                  <c:v>157992929.59999999</c:v>
                </c:pt>
                <c:pt idx="367">
                  <c:v>157992929.59999999</c:v>
                </c:pt>
                <c:pt idx="368">
                  <c:v>157992929.59999999</c:v>
                </c:pt>
                <c:pt idx="369">
                  <c:v>157992929.59999999</c:v>
                </c:pt>
                <c:pt idx="370">
                  <c:v>157992929.59999999</c:v>
                </c:pt>
                <c:pt idx="371">
                  <c:v>157992929.59999999</c:v>
                </c:pt>
                <c:pt idx="372">
                  <c:v>157992929.59999999</c:v>
                </c:pt>
                <c:pt idx="373">
                  <c:v>157992929.59999999</c:v>
                </c:pt>
                <c:pt idx="374">
                  <c:v>157992929.59999999</c:v>
                </c:pt>
                <c:pt idx="375">
                  <c:v>157992929.59999999</c:v>
                </c:pt>
                <c:pt idx="376">
                  <c:v>157992929.59999999</c:v>
                </c:pt>
                <c:pt idx="377">
                  <c:v>157992929.59999999</c:v>
                </c:pt>
                <c:pt idx="378">
                  <c:v>157992929.59999999</c:v>
                </c:pt>
                <c:pt idx="379">
                  <c:v>157992929.59999999</c:v>
                </c:pt>
                <c:pt idx="380">
                  <c:v>157992929.59999999</c:v>
                </c:pt>
                <c:pt idx="381">
                  <c:v>157992929.59999999</c:v>
                </c:pt>
                <c:pt idx="382">
                  <c:v>157992929.59999999</c:v>
                </c:pt>
                <c:pt idx="383">
                  <c:v>157992929.59999999</c:v>
                </c:pt>
                <c:pt idx="384">
                  <c:v>157992929.59999999</c:v>
                </c:pt>
                <c:pt idx="385">
                  <c:v>157992929.59999999</c:v>
                </c:pt>
                <c:pt idx="386">
                  <c:v>157992929.59999999</c:v>
                </c:pt>
                <c:pt idx="387">
                  <c:v>157992929.59999999</c:v>
                </c:pt>
                <c:pt idx="388">
                  <c:v>157992929.59999999</c:v>
                </c:pt>
                <c:pt idx="389">
                  <c:v>157992929.59999999</c:v>
                </c:pt>
                <c:pt idx="390">
                  <c:v>157992929.59999999</c:v>
                </c:pt>
                <c:pt idx="391">
                  <c:v>157992929.59999999</c:v>
                </c:pt>
                <c:pt idx="392">
                  <c:v>157992929.59999999</c:v>
                </c:pt>
                <c:pt idx="393">
                  <c:v>157992929.59999999</c:v>
                </c:pt>
                <c:pt idx="394">
                  <c:v>157992929.59999999</c:v>
                </c:pt>
                <c:pt idx="395">
                  <c:v>157992929.59999999</c:v>
                </c:pt>
                <c:pt idx="396">
                  <c:v>157992929.59999999</c:v>
                </c:pt>
                <c:pt idx="397">
                  <c:v>157992929.59999999</c:v>
                </c:pt>
                <c:pt idx="398">
                  <c:v>157992929.59999999</c:v>
                </c:pt>
                <c:pt idx="399">
                  <c:v>157992929.59999999</c:v>
                </c:pt>
                <c:pt idx="400">
                  <c:v>157992929.59999999</c:v>
                </c:pt>
                <c:pt idx="401">
                  <c:v>157992929.59999999</c:v>
                </c:pt>
                <c:pt idx="402">
                  <c:v>157992929.59999999</c:v>
                </c:pt>
                <c:pt idx="403">
                  <c:v>157992929.59999999</c:v>
                </c:pt>
                <c:pt idx="404">
                  <c:v>157992929.59999999</c:v>
                </c:pt>
                <c:pt idx="405">
                  <c:v>157992929.59999999</c:v>
                </c:pt>
                <c:pt idx="406">
                  <c:v>157992929.59999999</c:v>
                </c:pt>
                <c:pt idx="407">
                  <c:v>157992929.59999999</c:v>
                </c:pt>
                <c:pt idx="408">
                  <c:v>157992929.59999999</c:v>
                </c:pt>
                <c:pt idx="409">
                  <c:v>157992929.59999999</c:v>
                </c:pt>
                <c:pt idx="410">
                  <c:v>157992929.59999999</c:v>
                </c:pt>
                <c:pt idx="411">
                  <c:v>157992929.59999999</c:v>
                </c:pt>
                <c:pt idx="412">
                  <c:v>157992929.59999999</c:v>
                </c:pt>
                <c:pt idx="413">
                  <c:v>157992929.59999999</c:v>
                </c:pt>
                <c:pt idx="414">
                  <c:v>157992929.59999999</c:v>
                </c:pt>
                <c:pt idx="415">
                  <c:v>157992929.59999999</c:v>
                </c:pt>
                <c:pt idx="416">
                  <c:v>157992929.59999999</c:v>
                </c:pt>
                <c:pt idx="417">
                  <c:v>157992929.59999999</c:v>
                </c:pt>
                <c:pt idx="418">
                  <c:v>157992929.59999999</c:v>
                </c:pt>
                <c:pt idx="419">
                  <c:v>157992929.59999999</c:v>
                </c:pt>
                <c:pt idx="420">
                  <c:v>157992929.59999999</c:v>
                </c:pt>
                <c:pt idx="421">
                  <c:v>157992929.59999999</c:v>
                </c:pt>
                <c:pt idx="422">
                  <c:v>157992929.59999999</c:v>
                </c:pt>
                <c:pt idx="423">
                  <c:v>157992929.59999999</c:v>
                </c:pt>
                <c:pt idx="424">
                  <c:v>157992929.59999999</c:v>
                </c:pt>
                <c:pt idx="425">
                  <c:v>157992929.59999999</c:v>
                </c:pt>
                <c:pt idx="426">
                  <c:v>157992929.59999999</c:v>
                </c:pt>
                <c:pt idx="427">
                  <c:v>157992929.59999999</c:v>
                </c:pt>
                <c:pt idx="428">
                  <c:v>157992929.59999999</c:v>
                </c:pt>
                <c:pt idx="429">
                  <c:v>157992929.59999999</c:v>
                </c:pt>
                <c:pt idx="430">
                  <c:v>157992929.59999999</c:v>
                </c:pt>
                <c:pt idx="431">
                  <c:v>157992929.59999999</c:v>
                </c:pt>
                <c:pt idx="432">
                  <c:v>157992929.59999999</c:v>
                </c:pt>
                <c:pt idx="433">
                  <c:v>157992929.59999999</c:v>
                </c:pt>
                <c:pt idx="434">
                  <c:v>157992929.59999999</c:v>
                </c:pt>
                <c:pt idx="435">
                  <c:v>157992929.59999999</c:v>
                </c:pt>
                <c:pt idx="436">
                  <c:v>157992929.59999999</c:v>
                </c:pt>
                <c:pt idx="437">
                  <c:v>157992929.59999999</c:v>
                </c:pt>
                <c:pt idx="438">
                  <c:v>157992929.59999999</c:v>
                </c:pt>
                <c:pt idx="439">
                  <c:v>157992929.59999999</c:v>
                </c:pt>
                <c:pt idx="440">
                  <c:v>157992929.59999999</c:v>
                </c:pt>
                <c:pt idx="441">
                  <c:v>157992929.59999999</c:v>
                </c:pt>
                <c:pt idx="442">
                  <c:v>157992929.59999999</c:v>
                </c:pt>
                <c:pt idx="443">
                  <c:v>157992929.59999999</c:v>
                </c:pt>
                <c:pt idx="444">
                  <c:v>157992929.59999999</c:v>
                </c:pt>
                <c:pt idx="445">
                  <c:v>157992929.59999999</c:v>
                </c:pt>
                <c:pt idx="446">
                  <c:v>157992929.59999999</c:v>
                </c:pt>
                <c:pt idx="447">
                  <c:v>157992929.59999999</c:v>
                </c:pt>
                <c:pt idx="448">
                  <c:v>157992929.59999999</c:v>
                </c:pt>
                <c:pt idx="449">
                  <c:v>157992929.59999999</c:v>
                </c:pt>
                <c:pt idx="450">
                  <c:v>157992929.59999999</c:v>
                </c:pt>
                <c:pt idx="451">
                  <c:v>157992929.59999999</c:v>
                </c:pt>
                <c:pt idx="452">
                  <c:v>157992929.59999999</c:v>
                </c:pt>
                <c:pt idx="453">
                  <c:v>157992929.59999999</c:v>
                </c:pt>
                <c:pt idx="454">
                  <c:v>157992929.59999999</c:v>
                </c:pt>
                <c:pt idx="455">
                  <c:v>157992929.59999999</c:v>
                </c:pt>
                <c:pt idx="456">
                  <c:v>157992929.59999999</c:v>
                </c:pt>
                <c:pt idx="457">
                  <c:v>157992929.59999999</c:v>
                </c:pt>
                <c:pt idx="458">
                  <c:v>157992929.59999999</c:v>
                </c:pt>
                <c:pt idx="459">
                  <c:v>157992929.59999999</c:v>
                </c:pt>
                <c:pt idx="460">
                  <c:v>157992929.59999999</c:v>
                </c:pt>
                <c:pt idx="461">
                  <c:v>157992929.59999999</c:v>
                </c:pt>
                <c:pt idx="462">
                  <c:v>157992929.59999999</c:v>
                </c:pt>
                <c:pt idx="463">
                  <c:v>157992929.59999999</c:v>
                </c:pt>
                <c:pt idx="464">
                  <c:v>157992929.59999999</c:v>
                </c:pt>
                <c:pt idx="465">
                  <c:v>157992929.59999999</c:v>
                </c:pt>
                <c:pt idx="466">
                  <c:v>157992929.59999999</c:v>
                </c:pt>
                <c:pt idx="467">
                  <c:v>157992929.59999999</c:v>
                </c:pt>
                <c:pt idx="468">
                  <c:v>157992929.59999999</c:v>
                </c:pt>
                <c:pt idx="469">
                  <c:v>157992929.59999999</c:v>
                </c:pt>
                <c:pt idx="470">
                  <c:v>157992929.59999999</c:v>
                </c:pt>
                <c:pt idx="471">
                  <c:v>157992929.59999999</c:v>
                </c:pt>
                <c:pt idx="472">
                  <c:v>157992929.59999999</c:v>
                </c:pt>
                <c:pt idx="473">
                  <c:v>157992929.59999999</c:v>
                </c:pt>
                <c:pt idx="474">
                  <c:v>157992929.59999999</c:v>
                </c:pt>
                <c:pt idx="475">
                  <c:v>157992929.59999999</c:v>
                </c:pt>
                <c:pt idx="476">
                  <c:v>157992929.59999999</c:v>
                </c:pt>
                <c:pt idx="477">
                  <c:v>157992929.59999999</c:v>
                </c:pt>
                <c:pt idx="478">
                  <c:v>157992929.59999999</c:v>
                </c:pt>
                <c:pt idx="479">
                  <c:v>157992929.59999999</c:v>
                </c:pt>
                <c:pt idx="480">
                  <c:v>157992929.59999999</c:v>
                </c:pt>
                <c:pt idx="481">
                  <c:v>157992929.59999999</c:v>
                </c:pt>
                <c:pt idx="482">
                  <c:v>157992929.59999999</c:v>
                </c:pt>
                <c:pt idx="483">
                  <c:v>157992929.59999999</c:v>
                </c:pt>
                <c:pt idx="484">
                  <c:v>157992929.59999999</c:v>
                </c:pt>
                <c:pt idx="485">
                  <c:v>157992929.59999999</c:v>
                </c:pt>
                <c:pt idx="486">
                  <c:v>157992929.59999999</c:v>
                </c:pt>
                <c:pt idx="487">
                  <c:v>157992929.59999999</c:v>
                </c:pt>
                <c:pt idx="488">
                  <c:v>157992929.59999999</c:v>
                </c:pt>
                <c:pt idx="489">
                  <c:v>157992929.59999999</c:v>
                </c:pt>
                <c:pt idx="490">
                  <c:v>157992929.59999999</c:v>
                </c:pt>
                <c:pt idx="491">
                  <c:v>157992929.59999999</c:v>
                </c:pt>
                <c:pt idx="492">
                  <c:v>157992929.59999999</c:v>
                </c:pt>
                <c:pt idx="493">
                  <c:v>157992929.59999999</c:v>
                </c:pt>
                <c:pt idx="494">
                  <c:v>157992929.59999999</c:v>
                </c:pt>
                <c:pt idx="495">
                  <c:v>157992929.59999999</c:v>
                </c:pt>
                <c:pt idx="496">
                  <c:v>157992929.59999999</c:v>
                </c:pt>
                <c:pt idx="497">
                  <c:v>157992929.59999999</c:v>
                </c:pt>
                <c:pt idx="498">
                  <c:v>157992929.59999999</c:v>
                </c:pt>
                <c:pt idx="499">
                  <c:v>157992929.59999999</c:v>
                </c:pt>
                <c:pt idx="500">
                  <c:v>157992929.59999999</c:v>
                </c:pt>
                <c:pt idx="501">
                  <c:v>157992929.59999999</c:v>
                </c:pt>
                <c:pt idx="502">
                  <c:v>157992929.59999999</c:v>
                </c:pt>
                <c:pt idx="503">
                  <c:v>157992929.59999999</c:v>
                </c:pt>
                <c:pt idx="504">
                  <c:v>157992929.59999999</c:v>
                </c:pt>
                <c:pt idx="505">
                  <c:v>157992929.59999999</c:v>
                </c:pt>
                <c:pt idx="506">
                  <c:v>157992929.59999999</c:v>
                </c:pt>
                <c:pt idx="507">
                  <c:v>157992929.59999999</c:v>
                </c:pt>
                <c:pt idx="508">
                  <c:v>157992929.59999999</c:v>
                </c:pt>
                <c:pt idx="509">
                  <c:v>157992929.59999999</c:v>
                </c:pt>
                <c:pt idx="510">
                  <c:v>157992929.59999999</c:v>
                </c:pt>
                <c:pt idx="511">
                  <c:v>157992929.59999999</c:v>
                </c:pt>
                <c:pt idx="512">
                  <c:v>157992929.59999999</c:v>
                </c:pt>
                <c:pt idx="513">
                  <c:v>157992929.59999999</c:v>
                </c:pt>
                <c:pt idx="514">
                  <c:v>157992929.59999999</c:v>
                </c:pt>
                <c:pt idx="515">
                  <c:v>157992929.59999999</c:v>
                </c:pt>
                <c:pt idx="516">
                  <c:v>157992929.59999999</c:v>
                </c:pt>
                <c:pt idx="517">
                  <c:v>157992929.59999999</c:v>
                </c:pt>
                <c:pt idx="518">
                  <c:v>157992929.59999999</c:v>
                </c:pt>
                <c:pt idx="519">
                  <c:v>157992929.59999999</c:v>
                </c:pt>
                <c:pt idx="520">
                  <c:v>157992929.59999999</c:v>
                </c:pt>
                <c:pt idx="521">
                  <c:v>157992929.59999999</c:v>
                </c:pt>
                <c:pt idx="522">
                  <c:v>157992929.59999999</c:v>
                </c:pt>
                <c:pt idx="523">
                  <c:v>157992929.59999999</c:v>
                </c:pt>
                <c:pt idx="524">
                  <c:v>157992929.59999999</c:v>
                </c:pt>
                <c:pt idx="525">
                  <c:v>157992929.59999999</c:v>
                </c:pt>
                <c:pt idx="526">
                  <c:v>157992929.59999999</c:v>
                </c:pt>
                <c:pt idx="527">
                  <c:v>157992929.59999999</c:v>
                </c:pt>
                <c:pt idx="528">
                  <c:v>157992929.59999999</c:v>
                </c:pt>
                <c:pt idx="529">
                  <c:v>157992929.59999999</c:v>
                </c:pt>
                <c:pt idx="530">
                  <c:v>157992929.59999999</c:v>
                </c:pt>
                <c:pt idx="531">
                  <c:v>157992929.59999999</c:v>
                </c:pt>
                <c:pt idx="532">
                  <c:v>157992929.59999999</c:v>
                </c:pt>
                <c:pt idx="533">
                  <c:v>157992929.59999999</c:v>
                </c:pt>
                <c:pt idx="534">
                  <c:v>157992929.59999999</c:v>
                </c:pt>
                <c:pt idx="535">
                  <c:v>157992929.59999999</c:v>
                </c:pt>
                <c:pt idx="536">
                  <c:v>157992929.59999999</c:v>
                </c:pt>
                <c:pt idx="537">
                  <c:v>157992929.59999999</c:v>
                </c:pt>
                <c:pt idx="538">
                  <c:v>157992929.59999999</c:v>
                </c:pt>
                <c:pt idx="539">
                  <c:v>157992929.59999999</c:v>
                </c:pt>
                <c:pt idx="540">
                  <c:v>157992929.59999999</c:v>
                </c:pt>
                <c:pt idx="541">
                  <c:v>157992929.59999999</c:v>
                </c:pt>
                <c:pt idx="542">
                  <c:v>157992929.59999999</c:v>
                </c:pt>
                <c:pt idx="543">
                  <c:v>157992929.59999999</c:v>
                </c:pt>
                <c:pt idx="544">
                  <c:v>157992929.59999999</c:v>
                </c:pt>
                <c:pt idx="545">
                  <c:v>157992929.59999999</c:v>
                </c:pt>
                <c:pt idx="546">
                  <c:v>157992929.59999999</c:v>
                </c:pt>
                <c:pt idx="547">
                  <c:v>157992929.59999999</c:v>
                </c:pt>
                <c:pt idx="548">
                  <c:v>157992929.59999999</c:v>
                </c:pt>
                <c:pt idx="549">
                  <c:v>157992929.59999999</c:v>
                </c:pt>
                <c:pt idx="550">
                  <c:v>157992929.59999999</c:v>
                </c:pt>
                <c:pt idx="551">
                  <c:v>157992929.59999999</c:v>
                </c:pt>
                <c:pt idx="552">
                  <c:v>157992929.59999999</c:v>
                </c:pt>
                <c:pt idx="553">
                  <c:v>157992929.59999999</c:v>
                </c:pt>
                <c:pt idx="554">
                  <c:v>157992929.59999999</c:v>
                </c:pt>
                <c:pt idx="555">
                  <c:v>157992929.59999999</c:v>
                </c:pt>
                <c:pt idx="556">
                  <c:v>157992929.59999999</c:v>
                </c:pt>
                <c:pt idx="557">
                  <c:v>157992929.59999999</c:v>
                </c:pt>
                <c:pt idx="558">
                  <c:v>157992929.59999999</c:v>
                </c:pt>
                <c:pt idx="559">
                  <c:v>157992929.59999999</c:v>
                </c:pt>
                <c:pt idx="560">
                  <c:v>157992929.59999999</c:v>
                </c:pt>
                <c:pt idx="561">
                  <c:v>157992929.59999999</c:v>
                </c:pt>
                <c:pt idx="562">
                  <c:v>157992929.59999999</c:v>
                </c:pt>
                <c:pt idx="563">
                  <c:v>157992929.59999999</c:v>
                </c:pt>
                <c:pt idx="564">
                  <c:v>157992929.59999999</c:v>
                </c:pt>
                <c:pt idx="565">
                  <c:v>157992929.59999999</c:v>
                </c:pt>
                <c:pt idx="566">
                  <c:v>157992929.59999999</c:v>
                </c:pt>
                <c:pt idx="567">
                  <c:v>157992929.59999999</c:v>
                </c:pt>
                <c:pt idx="568">
                  <c:v>157992929.59999999</c:v>
                </c:pt>
                <c:pt idx="569">
                  <c:v>157992929.59999999</c:v>
                </c:pt>
                <c:pt idx="570">
                  <c:v>157992929.59999999</c:v>
                </c:pt>
                <c:pt idx="571">
                  <c:v>157992929.59999999</c:v>
                </c:pt>
                <c:pt idx="572">
                  <c:v>157992929.59999999</c:v>
                </c:pt>
                <c:pt idx="573">
                  <c:v>157992929.59999999</c:v>
                </c:pt>
                <c:pt idx="574">
                  <c:v>157992929.59999999</c:v>
                </c:pt>
                <c:pt idx="575">
                  <c:v>157992929.59999999</c:v>
                </c:pt>
                <c:pt idx="576">
                  <c:v>157992929.59999999</c:v>
                </c:pt>
                <c:pt idx="577">
                  <c:v>157992929.59999999</c:v>
                </c:pt>
                <c:pt idx="578">
                  <c:v>157992929.59999999</c:v>
                </c:pt>
                <c:pt idx="579">
                  <c:v>157992929.59999999</c:v>
                </c:pt>
                <c:pt idx="580">
                  <c:v>157992929.59999999</c:v>
                </c:pt>
                <c:pt idx="581">
                  <c:v>157992929.59999999</c:v>
                </c:pt>
                <c:pt idx="582">
                  <c:v>157992929.59999999</c:v>
                </c:pt>
                <c:pt idx="583">
                  <c:v>157992929.59999999</c:v>
                </c:pt>
                <c:pt idx="584">
                  <c:v>157992929.59999999</c:v>
                </c:pt>
                <c:pt idx="585">
                  <c:v>157992929.59999999</c:v>
                </c:pt>
                <c:pt idx="586">
                  <c:v>157992929.59999999</c:v>
                </c:pt>
                <c:pt idx="587">
                  <c:v>157992929.59999999</c:v>
                </c:pt>
                <c:pt idx="588">
                  <c:v>157992929.59999999</c:v>
                </c:pt>
                <c:pt idx="589">
                  <c:v>157992929.59999999</c:v>
                </c:pt>
                <c:pt idx="590">
                  <c:v>157992929.59999999</c:v>
                </c:pt>
                <c:pt idx="591">
                  <c:v>157992929.59999999</c:v>
                </c:pt>
                <c:pt idx="592">
                  <c:v>157992929.59999999</c:v>
                </c:pt>
                <c:pt idx="593">
                  <c:v>157992929.59999999</c:v>
                </c:pt>
                <c:pt idx="594">
                  <c:v>157992929.59999999</c:v>
                </c:pt>
                <c:pt idx="595">
                  <c:v>157992929.59999999</c:v>
                </c:pt>
                <c:pt idx="596">
                  <c:v>157992929.59999999</c:v>
                </c:pt>
                <c:pt idx="597">
                  <c:v>157992929.59999999</c:v>
                </c:pt>
                <c:pt idx="598">
                  <c:v>157992929.59999999</c:v>
                </c:pt>
                <c:pt idx="599">
                  <c:v>157992929.59999999</c:v>
                </c:pt>
                <c:pt idx="600">
                  <c:v>157992929.59999999</c:v>
                </c:pt>
                <c:pt idx="601">
                  <c:v>157992929.59999999</c:v>
                </c:pt>
                <c:pt idx="602">
                  <c:v>157992929.59999999</c:v>
                </c:pt>
                <c:pt idx="603">
                  <c:v>157992929.59999999</c:v>
                </c:pt>
                <c:pt idx="604">
                  <c:v>157992929.59999999</c:v>
                </c:pt>
                <c:pt idx="605">
                  <c:v>157992929.59999999</c:v>
                </c:pt>
                <c:pt idx="606">
                  <c:v>157992929.59999999</c:v>
                </c:pt>
                <c:pt idx="607">
                  <c:v>157992929.59999999</c:v>
                </c:pt>
                <c:pt idx="608">
                  <c:v>157992929.59999999</c:v>
                </c:pt>
                <c:pt idx="609">
                  <c:v>157992929.59999999</c:v>
                </c:pt>
                <c:pt idx="610">
                  <c:v>157992929.59999999</c:v>
                </c:pt>
                <c:pt idx="611">
                  <c:v>157992929.59999999</c:v>
                </c:pt>
                <c:pt idx="612">
                  <c:v>157992929.59999999</c:v>
                </c:pt>
                <c:pt idx="613">
                  <c:v>157992929.59999999</c:v>
                </c:pt>
                <c:pt idx="614">
                  <c:v>157992929.59999999</c:v>
                </c:pt>
                <c:pt idx="615">
                  <c:v>157992929.59999999</c:v>
                </c:pt>
                <c:pt idx="616">
                  <c:v>157992929.59999999</c:v>
                </c:pt>
                <c:pt idx="617">
                  <c:v>157992929.59999999</c:v>
                </c:pt>
                <c:pt idx="618">
                  <c:v>157992929.59999999</c:v>
                </c:pt>
                <c:pt idx="619">
                  <c:v>157992929.59999999</c:v>
                </c:pt>
                <c:pt idx="620">
                  <c:v>157992929.59999999</c:v>
                </c:pt>
                <c:pt idx="621">
                  <c:v>157992929.59999999</c:v>
                </c:pt>
                <c:pt idx="622">
                  <c:v>157992929.59999999</c:v>
                </c:pt>
                <c:pt idx="623">
                  <c:v>157992929.59999999</c:v>
                </c:pt>
                <c:pt idx="624">
                  <c:v>157992929.59999999</c:v>
                </c:pt>
                <c:pt idx="625">
                  <c:v>157992929.59999999</c:v>
                </c:pt>
                <c:pt idx="626">
                  <c:v>157992929.59999999</c:v>
                </c:pt>
                <c:pt idx="627">
                  <c:v>157992929.59999999</c:v>
                </c:pt>
                <c:pt idx="628">
                  <c:v>157992929.59999999</c:v>
                </c:pt>
                <c:pt idx="629">
                  <c:v>157992929.59999999</c:v>
                </c:pt>
                <c:pt idx="630">
                  <c:v>157992929.59999999</c:v>
                </c:pt>
                <c:pt idx="631">
                  <c:v>157992929.59999999</c:v>
                </c:pt>
                <c:pt idx="632">
                  <c:v>157992929.59999999</c:v>
                </c:pt>
                <c:pt idx="633">
                  <c:v>157992929.59999999</c:v>
                </c:pt>
                <c:pt idx="634">
                  <c:v>157992929.59999999</c:v>
                </c:pt>
                <c:pt idx="635">
                  <c:v>157992929.59999999</c:v>
                </c:pt>
                <c:pt idx="636">
                  <c:v>157992929.59999999</c:v>
                </c:pt>
                <c:pt idx="637">
                  <c:v>157992929.59999999</c:v>
                </c:pt>
                <c:pt idx="638">
                  <c:v>157992929.59999999</c:v>
                </c:pt>
                <c:pt idx="639">
                  <c:v>157992929.59999999</c:v>
                </c:pt>
                <c:pt idx="640">
                  <c:v>157992929.59999999</c:v>
                </c:pt>
                <c:pt idx="641">
                  <c:v>157992929.59999999</c:v>
                </c:pt>
                <c:pt idx="642">
                  <c:v>157992929.59999999</c:v>
                </c:pt>
                <c:pt idx="643">
                  <c:v>157992929.59999999</c:v>
                </c:pt>
                <c:pt idx="644">
                  <c:v>157992929.59999999</c:v>
                </c:pt>
                <c:pt idx="645">
                  <c:v>157992929.59999999</c:v>
                </c:pt>
                <c:pt idx="646">
                  <c:v>157992929.59999999</c:v>
                </c:pt>
                <c:pt idx="647">
                  <c:v>157992929.59999999</c:v>
                </c:pt>
                <c:pt idx="648">
                  <c:v>157992929.59999999</c:v>
                </c:pt>
                <c:pt idx="649">
                  <c:v>157992929.59999999</c:v>
                </c:pt>
                <c:pt idx="650">
                  <c:v>157992929.59999999</c:v>
                </c:pt>
                <c:pt idx="651">
                  <c:v>157992929.59999999</c:v>
                </c:pt>
                <c:pt idx="652">
                  <c:v>157992929.59999999</c:v>
                </c:pt>
                <c:pt idx="653">
                  <c:v>157992929.59999999</c:v>
                </c:pt>
                <c:pt idx="654">
                  <c:v>157992929.59999999</c:v>
                </c:pt>
                <c:pt idx="655">
                  <c:v>157992929.59999999</c:v>
                </c:pt>
                <c:pt idx="656">
                  <c:v>157992929.59999999</c:v>
                </c:pt>
                <c:pt idx="657">
                  <c:v>157992929.59999999</c:v>
                </c:pt>
                <c:pt idx="658">
                  <c:v>157992929.59999999</c:v>
                </c:pt>
                <c:pt idx="659">
                  <c:v>157992929.59999999</c:v>
                </c:pt>
                <c:pt idx="660">
                  <c:v>157992929.59999999</c:v>
                </c:pt>
                <c:pt idx="661">
                  <c:v>157992929.59999999</c:v>
                </c:pt>
                <c:pt idx="662">
                  <c:v>157992929.59999999</c:v>
                </c:pt>
                <c:pt idx="663">
                  <c:v>157992929.59999999</c:v>
                </c:pt>
                <c:pt idx="664">
                  <c:v>157992929.59999999</c:v>
                </c:pt>
                <c:pt idx="665">
                  <c:v>157992929.59999999</c:v>
                </c:pt>
                <c:pt idx="666">
                  <c:v>157992929.59999999</c:v>
                </c:pt>
                <c:pt idx="667">
                  <c:v>157992929.59999999</c:v>
                </c:pt>
                <c:pt idx="668">
                  <c:v>157992929.59999999</c:v>
                </c:pt>
                <c:pt idx="669">
                  <c:v>157992929.59999999</c:v>
                </c:pt>
                <c:pt idx="670">
                  <c:v>157992929.59999999</c:v>
                </c:pt>
                <c:pt idx="671">
                  <c:v>157992929.59999999</c:v>
                </c:pt>
                <c:pt idx="672">
                  <c:v>157992929.59999999</c:v>
                </c:pt>
                <c:pt idx="673">
                  <c:v>157992929.59999999</c:v>
                </c:pt>
                <c:pt idx="674">
                  <c:v>157992929.59999999</c:v>
                </c:pt>
                <c:pt idx="675">
                  <c:v>157992929.59999999</c:v>
                </c:pt>
                <c:pt idx="676">
                  <c:v>157992929.59999999</c:v>
                </c:pt>
                <c:pt idx="677">
                  <c:v>157992929.59999999</c:v>
                </c:pt>
                <c:pt idx="678">
                  <c:v>157992929.59999999</c:v>
                </c:pt>
                <c:pt idx="679">
                  <c:v>157992929.59999999</c:v>
                </c:pt>
                <c:pt idx="680">
                  <c:v>157992929.59999999</c:v>
                </c:pt>
                <c:pt idx="681">
                  <c:v>157992929.59999999</c:v>
                </c:pt>
                <c:pt idx="682">
                  <c:v>157992929.59999999</c:v>
                </c:pt>
                <c:pt idx="683">
                  <c:v>157992929.59999999</c:v>
                </c:pt>
                <c:pt idx="684">
                  <c:v>157992929.59999999</c:v>
                </c:pt>
                <c:pt idx="685">
                  <c:v>157992929.59999999</c:v>
                </c:pt>
                <c:pt idx="686">
                  <c:v>157992929.59999999</c:v>
                </c:pt>
                <c:pt idx="687">
                  <c:v>157992929.59999999</c:v>
                </c:pt>
                <c:pt idx="688">
                  <c:v>157992929.59999999</c:v>
                </c:pt>
                <c:pt idx="689">
                  <c:v>157992929.59999999</c:v>
                </c:pt>
                <c:pt idx="690">
                  <c:v>157992929.59999999</c:v>
                </c:pt>
                <c:pt idx="691">
                  <c:v>157992929.59999999</c:v>
                </c:pt>
                <c:pt idx="692">
                  <c:v>157992929.59999999</c:v>
                </c:pt>
                <c:pt idx="693">
                  <c:v>157992929.59999999</c:v>
                </c:pt>
                <c:pt idx="694">
                  <c:v>157992929.59999999</c:v>
                </c:pt>
                <c:pt idx="695">
                  <c:v>157992929.59999999</c:v>
                </c:pt>
                <c:pt idx="696">
                  <c:v>157992929.59999999</c:v>
                </c:pt>
                <c:pt idx="697">
                  <c:v>157992929.59999999</c:v>
                </c:pt>
                <c:pt idx="698">
                  <c:v>157992929.59999999</c:v>
                </c:pt>
                <c:pt idx="699">
                  <c:v>157992929.59999999</c:v>
                </c:pt>
                <c:pt idx="700">
                  <c:v>157992929.59999999</c:v>
                </c:pt>
                <c:pt idx="701">
                  <c:v>157992929.59999999</c:v>
                </c:pt>
                <c:pt idx="702">
                  <c:v>157992929.59999999</c:v>
                </c:pt>
                <c:pt idx="703">
                  <c:v>157992929.59999999</c:v>
                </c:pt>
                <c:pt idx="704">
                  <c:v>157992929.59999999</c:v>
                </c:pt>
                <c:pt idx="705">
                  <c:v>157992929.59999999</c:v>
                </c:pt>
                <c:pt idx="706">
                  <c:v>157992929.59999999</c:v>
                </c:pt>
                <c:pt idx="707">
                  <c:v>157992929.59999999</c:v>
                </c:pt>
                <c:pt idx="708">
                  <c:v>157992929.59999999</c:v>
                </c:pt>
                <c:pt idx="709">
                  <c:v>157992929.59999999</c:v>
                </c:pt>
                <c:pt idx="710">
                  <c:v>157992929.59999999</c:v>
                </c:pt>
                <c:pt idx="711">
                  <c:v>157992929.59999999</c:v>
                </c:pt>
                <c:pt idx="712">
                  <c:v>157992929.59999999</c:v>
                </c:pt>
                <c:pt idx="713">
                  <c:v>157992929.59999999</c:v>
                </c:pt>
                <c:pt idx="714">
                  <c:v>157992929.59999999</c:v>
                </c:pt>
                <c:pt idx="715">
                  <c:v>157992929.59999999</c:v>
                </c:pt>
                <c:pt idx="716">
                  <c:v>157992929.59999999</c:v>
                </c:pt>
                <c:pt idx="717">
                  <c:v>157992929.59999999</c:v>
                </c:pt>
                <c:pt idx="718">
                  <c:v>157992929.59999999</c:v>
                </c:pt>
                <c:pt idx="719">
                  <c:v>157992929.59999999</c:v>
                </c:pt>
                <c:pt idx="720">
                  <c:v>157992929.59999999</c:v>
                </c:pt>
                <c:pt idx="721">
                  <c:v>157992929.59999999</c:v>
                </c:pt>
                <c:pt idx="722">
                  <c:v>157992929.59999999</c:v>
                </c:pt>
                <c:pt idx="723">
                  <c:v>157992929.59999999</c:v>
                </c:pt>
                <c:pt idx="724">
                  <c:v>157992929.59999999</c:v>
                </c:pt>
                <c:pt idx="725">
                  <c:v>157992929.59999999</c:v>
                </c:pt>
                <c:pt idx="726">
                  <c:v>157992929.59999999</c:v>
                </c:pt>
                <c:pt idx="727">
                  <c:v>157992929.59999999</c:v>
                </c:pt>
                <c:pt idx="728">
                  <c:v>157992929.59999999</c:v>
                </c:pt>
                <c:pt idx="729">
                  <c:v>157992929.59999999</c:v>
                </c:pt>
                <c:pt idx="730">
                  <c:v>157992929.59999999</c:v>
                </c:pt>
                <c:pt idx="731">
                  <c:v>157992929.59999999</c:v>
                </c:pt>
                <c:pt idx="732">
                  <c:v>157992929.59999999</c:v>
                </c:pt>
                <c:pt idx="733">
                  <c:v>157992929.59999999</c:v>
                </c:pt>
                <c:pt idx="734">
                  <c:v>157992929.59999999</c:v>
                </c:pt>
                <c:pt idx="735">
                  <c:v>157992929.59999999</c:v>
                </c:pt>
                <c:pt idx="736">
                  <c:v>157992929.59999999</c:v>
                </c:pt>
                <c:pt idx="737">
                  <c:v>157992929.59999999</c:v>
                </c:pt>
                <c:pt idx="738">
                  <c:v>157992929.59999999</c:v>
                </c:pt>
                <c:pt idx="739">
                  <c:v>157992929.59999999</c:v>
                </c:pt>
                <c:pt idx="740">
                  <c:v>157992929.59999999</c:v>
                </c:pt>
                <c:pt idx="741">
                  <c:v>157992929.59999999</c:v>
                </c:pt>
                <c:pt idx="742">
                  <c:v>157992929.59999999</c:v>
                </c:pt>
                <c:pt idx="743">
                  <c:v>157992929.59999999</c:v>
                </c:pt>
                <c:pt idx="744">
                  <c:v>157992929.59999999</c:v>
                </c:pt>
                <c:pt idx="745">
                  <c:v>157992929.59999999</c:v>
                </c:pt>
                <c:pt idx="746">
                  <c:v>157992929.59999999</c:v>
                </c:pt>
                <c:pt idx="747">
                  <c:v>157992929.59999999</c:v>
                </c:pt>
                <c:pt idx="748">
                  <c:v>157992929.59999999</c:v>
                </c:pt>
                <c:pt idx="749">
                  <c:v>157992929.59999999</c:v>
                </c:pt>
                <c:pt idx="750">
                  <c:v>157992929.59999999</c:v>
                </c:pt>
                <c:pt idx="751">
                  <c:v>157992929.59999999</c:v>
                </c:pt>
                <c:pt idx="752">
                  <c:v>157992929.59999999</c:v>
                </c:pt>
                <c:pt idx="753">
                  <c:v>157992929.59999999</c:v>
                </c:pt>
                <c:pt idx="754">
                  <c:v>157992929.59999999</c:v>
                </c:pt>
                <c:pt idx="755">
                  <c:v>157992929.59999999</c:v>
                </c:pt>
                <c:pt idx="756">
                  <c:v>157992929.59999999</c:v>
                </c:pt>
                <c:pt idx="757">
                  <c:v>157992929.59999999</c:v>
                </c:pt>
                <c:pt idx="758">
                  <c:v>157992929.59999999</c:v>
                </c:pt>
                <c:pt idx="759">
                  <c:v>157992929.59999999</c:v>
                </c:pt>
                <c:pt idx="760">
                  <c:v>157992929.59999999</c:v>
                </c:pt>
                <c:pt idx="761">
                  <c:v>157992929.59999999</c:v>
                </c:pt>
                <c:pt idx="762">
                  <c:v>157992929.59999999</c:v>
                </c:pt>
                <c:pt idx="763">
                  <c:v>157992929.59999999</c:v>
                </c:pt>
                <c:pt idx="764">
                  <c:v>157992929.59999999</c:v>
                </c:pt>
                <c:pt idx="765">
                  <c:v>157992929.59999999</c:v>
                </c:pt>
                <c:pt idx="766">
                  <c:v>157992929.59999999</c:v>
                </c:pt>
                <c:pt idx="767">
                  <c:v>157992929.59999999</c:v>
                </c:pt>
                <c:pt idx="768">
                  <c:v>157992929.59999999</c:v>
                </c:pt>
                <c:pt idx="769">
                  <c:v>157992929.59999999</c:v>
                </c:pt>
                <c:pt idx="770">
                  <c:v>157992929.59999999</c:v>
                </c:pt>
                <c:pt idx="771">
                  <c:v>157992929.59999999</c:v>
                </c:pt>
                <c:pt idx="772">
                  <c:v>157992929.59999999</c:v>
                </c:pt>
                <c:pt idx="773">
                  <c:v>157992929.59999999</c:v>
                </c:pt>
                <c:pt idx="774">
                  <c:v>157992929.59999999</c:v>
                </c:pt>
                <c:pt idx="775">
                  <c:v>157992929.59999999</c:v>
                </c:pt>
                <c:pt idx="776">
                  <c:v>157992929.59999999</c:v>
                </c:pt>
                <c:pt idx="777">
                  <c:v>157992929.59999999</c:v>
                </c:pt>
                <c:pt idx="778">
                  <c:v>157992929.59999999</c:v>
                </c:pt>
                <c:pt idx="779">
                  <c:v>157992929.59999999</c:v>
                </c:pt>
                <c:pt idx="780">
                  <c:v>157992929.59999999</c:v>
                </c:pt>
                <c:pt idx="781">
                  <c:v>157992929.59999999</c:v>
                </c:pt>
                <c:pt idx="782">
                  <c:v>157992929.59999999</c:v>
                </c:pt>
                <c:pt idx="783">
                  <c:v>157992929.59999999</c:v>
                </c:pt>
                <c:pt idx="784">
                  <c:v>157992929.59999999</c:v>
                </c:pt>
                <c:pt idx="785">
                  <c:v>157992929.59999999</c:v>
                </c:pt>
                <c:pt idx="786">
                  <c:v>157992929.59999999</c:v>
                </c:pt>
                <c:pt idx="787">
                  <c:v>157992929.59999999</c:v>
                </c:pt>
                <c:pt idx="788">
                  <c:v>157992929.59999999</c:v>
                </c:pt>
                <c:pt idx="789">
                  <c:v>157992929.59999999</c:v>
                </c:pt>
                <c:pt idx="790">
                  <c:v>157992929.59999999</c:v>
                </c:pt>
                <c:pt idx="791">
                  <c:v>157992929.59999999</c:v>
                </c:pt>
                <c:pt idx="792">
                  <c:v>157992929.59999999</c:v>
                </c:pt>
                <c:pt idx="793">
                  <c:v>157992929.59999999</c:v>
                </c:pt>
                <c:pt idx="794">
                  <c:v>157992929.59999999</c:v>
                </c:pt>
                <c:pt idx="795">
                  <c:v>157992929.59999999</c:v>
                </c:pt>
                <c:pt idx="796">
                  <c:v>157992929.59999999</c:v>
                </c:pt>
                <c:pt idx="797">
                  <c:v>157992929.59999999</c:v>
                </c:pt>
                <c:pt idx="798">
                  <c:v>157992929.59999999</c:v>
                </c:pt>
                <c:pt idx="799">
                  <c:v>157992929.59999999</c:v>
                </c:pt>
                <c:pt idx="800">
                  <c:v>157992929.59999999</c:v>
                </c:pt>
                <c:pt idx="801">
                  <c:v>157992929.59999999</c:v>
                </c:pt>
                <c:pt idx="802">
                  <c:v>157992929.59999999</c:v>
                </c:pt>
                <c:pt idx="803">
                  <c:v>157992929.59999999</c:v>
                </c:pt>
                <c:pt idx="804">
                  <c:v>157992929.59999999</c:v>
                </c:pt>
                <c:pt idx="805">
                  <c:v>157992929.59999999</c:v>
                </c:pt>
                <c:pt idx="806">
                  <c:v>157992929.59999999</c:v>
                </c:pt>
                <c:pt idx="807">
                  <c:v>157992929.59999999</c:v>
                </c:pt>
                <c:pt idx="808">
                  <c:v>157992929.59999999</c:v>
                </c:pt>
                <c:pt idx="809">
                  <c:v>157992929.59999999</c:v>
                </c:pt>
                <c:pt idx="810">
                  <c:v>157992929.59999999</c:v>
                </c:pt>
                <c:pt idx="811">
                  <c:v>157992929.59999999</c:v>
                </c:pt>
                <c:pt idx="812">
                  <c:v>157992929.59999999</c:v>
                </c:pt>
                <c:pt idx="813">
                  <c:v>157992929.59999999</c:v>
                </c:pt>
                <c:pt idx="814">
                  <c:v>157992929.59999999</c:v>
                </c:pt>
                <c:pt idx="815">
                  <c:v>157992929.59999999</c:v>
                </c:pt>
                <c:pt idx="816">
                  <c:v>157992929.59999999</c:v>
                </c:pt>
                <c:pt idx="817">
                  <c:v>157992929.59999999</c:v>
                </c:pt>
                <c:pt idx="818">
                  <c:v>157992929.59999999</c:v>
                </c:pt>
                <c:pt idx="819">
                  <c:v>157992929.59999999</c:v>
                </c:pt>
                <c:pt idx="820">
                  <c:v>157992929.59999999</c:v>
                </c:pt>
                <c:pt idx="821">
                  <c:v>157992929.59999999</c:v>
                </c:pt>
                <c:pt idx="822">
                  <c:v>157992929.59999999</c:v>
                </c:pt>
                <c:pt idx="823">
                  <c:v>157992929.59999999</c:v>
                </c:pt>
                <c:pt idx="824">
                  <c:v>157992929.59999999</c:v>
                </c:pt>
                <c:pt idx="825">
                  <c:v>157992929.59999999</c:v>
                </c:pt>
                <c:pt idx="826">
                  <c:v>157992929.59999999</c:v>
                </c:pt>
                <c:pt idx="827">
                  <c:v>157992929.59999999</c:v>
                </c:pt>
                <c:pt idx="828">
                  <c:v>157992929.59999999</c:v>
                </c:pt>
                <c:pt idx="829">
                  <c:v>157992929.59999999</c:v>
                </c:pt>
                <c:pt idx="830">
                  <c:v>157992929.59999999</c:v>
                </c:pt>
                <c:pt idx="831">
                  <c:v>157992929.59999999</c:v>
                </c:pt>
                <c:pt idx="832">
                  <c:v>157992929.59999999</c:v>
                </c:pt>
                <c:pt idx="833">
                  <c:v>157992929.59999999</c:v>
                </c:pt>
                <c:pt idx="834">
                  <c:v>157992929.59999999</c:v>
                </c:pt>
                <c:pt idx="835">
                  <c:v>157992929.59999999</c:v>
                </c:pt>
                <c:pt idx="836">
                  <c:v>157992929.59999999</c:v>
                </c:pt>
                <c:pt idx="837">
                  <c:v>157992929.59999999</c:v>
                </c:pt>
                <c:pt idx="838">
                  <c:v>157992929.59999999</c:v>
                </c:pt>
                <c:pt idx="839">
                  <c:v>157992929.59999999</c:v>
                </c:pt>
                <c:pt idx="840">
                  <c:v>157992929.59999999</c:v>
                </c:pt>
                <c:pt idx="841">
                  <c:v>157992929.59999999</c:v>
                </c:pt>
                <c:pt idx="842">
                  <c:v>157992929.59999999</c:v>
                </c:pt>
                <c:pt idx="843">
                  <c:v>157992929.59999999</c:v>
                </c:pt>
                <c:pt idx="844">
                  <c:v>157992929.59999999</c:v>
                </c:pt>
                <c:pt idx="845">
                  <c:v>157992929.59999999</c:v>
                </c:pt>
                <c:pt idx="846">
                  <c:v>157992929.59999999</c:v>
                </c:pt>
                <c:pt idx="847">
                  <c:v>157992929.59999999</c:v>
                </c:pt>
                <c:pt idx="848">
                  <c:v>157992929.59999999</c:v>
                </c:pt>
                <c:pt idx="849">
                  <c:v>157992929.59999999</c:v>
                </c:pt>
                <c:pt idx="850">
                  <c:v>157992929.59999999</c:v>
                </c:pt>
                <c:pt idx="851">
                  <c:v>157992929.59999999</c:v>
                </c:pt>
                <c:pt idx="852">
                  <c:v>157992929.59999999</c:v>
                </c:pt>
                <c:pt idx="853">
                  <c:v>157992929.59999999</c:v>
                </c:pt>
                <c:pt idx="854">
                  <c:v>157992929.59999999</c:v>
                </c:pt>
                <c:pt idx="855">
                  <c:v>157992929.59999999</c:v>
                </c:pt>
                <c:pt idx="856">
                  <c:v>157992929.59999999</c:v>
                </c:pt>
                <c:pt idx="857">
                  <c:v>157992929.59999999</c:v>
                </c:pt>
                <c:pt idx="858">
                  <c:v>157992929.59999999</c:v>
                </c:pt>
                <c:pt idx="859">
                  <c:v>157992929.59999999</c:v>
                </c:pt>
                <c:pt idx="860">
                  <c:v>157992929.59999999</c:v>
                </c:pt>
                <c:pt idx="861">
                  <c:v>157992929.59999999</c:v>
                </c:pt>
                <c:pt idx="862">
                  <c:v>157992929.59999999</c:v>
                </c:pt>
                <c:pt idx="863">
                  <c:v>157992929.59999999</c:v>
                </c:pt>
                <c:pt idx="864">
                  <c:v>157992929.59999999</c:v>
                </c:pt>
                <c:pt idx="865">
                  <c:v>157992929.59999999</c:v>
                </c:pt>
                <c:pt idx="866">
                  <c:v>157992929.59999999</c:v>
                </c:pt>
                <c:pt idx="867">
                  <c:v>157992929.59999999</c:v>
                </c:pt>
                <c:pt idx="868">
                  <c:v>157992929.59999999</c:v>
                </c:pt>
                <c:pt idx="869">
                  <c:v>157992929.59999999</c:v>
                </c:pt>
                <c:pt idx="870">
                  <c:v>157992929.59999999</c:v>
                </c:pt>
                <c:pt idx="871">
                  <c:v>157992929.59999999</c:v>
                </c:pt>
                <c:pt idx="872">
                  <c:v>157992929.59999999</c:v>
                </c:pt>
                <c:pt idx="873">
                  <c:v>157992929.59999999</c:v>
                </c:pt>
                <c:pt idx="874">
                  <c:v>157992929.59999999</c:v>
                </c:pt>
                <c:pt idx="875">
                  <c:v>157992929.59999999</c:v>
                </c:pt>
                <c:pt idx="876">
                  <c:v>157992929.59999999</c:v>
                </c:pt>
                <c:pt idx="877">
                  <c:v>157992929.59999999</c:v>
                </c:pt>
                <c:pt idx="878">
                  <c:v>157992929.59999999</c:v>
                </c:pt>
                <c:pt idx="879">
                  <c:v>157992929.59999999</c:v>
                </c:pt>
                <c:pt idx="880">
                  <c:v>157992929.59999999</c:v>
                </c:pt>
                <c:pt idx="881">
                  <c:v>157992929.59999999</c:v>
                </c:pt>
                <c:pt idx="882">
                  <c:v>157992929.59999999</c:v>
                </c:pt>
                <c:pt idx="883">
                  <c:v>157992929.59999999</c:v>
                </c:pt>
                <c:pt idx="884">
                  <c:v>157992929.59999999</c:v>
                </c:pt>
                <c:pt idx="885">
                  <c:v>157992929.59999999</c:v>
                </c:pt>
                <c:pt idx="886">
                  <c:v>157992929.59999999</c:v>
                </c:pt>
                <c:pt idx="887">
                  <c:v>157992929.59999999</c:v>
                </c:pt>
                <c:pt idx="888">
                  <c:v>157992929.59999999</c:v>
                </c:pt>
                <c:pt idx="889">
                  <c:v>157992929.59999999</c:v>
                </c:pt>
                <c:pt idx="890">
                  <c:v>157992929.59999999</c:v>
                </c:pt>
                <c:pt idx="891">
                  <c:v>157992929.59999999</c:v>
                </c:pt>
                <c:pt idx="892">
                  <c:v>157992929.59999999</c:v>
                </c:pt>
                <c:pt idx="893">
                  <c:v>157992929.59999999</c:v>
                </c:pt>
                <c:pt idx="894">
                  <c:v>157992929.59999999</c:v>
                </c:pt>
                <c:pt idx="895">
                  <c:v>157992929.59999999</c:v>
                </c:pt>
                <c:pt idx="896">
                  <c:v>157992929.59999999</c:v>
                </c:pt>
                <c:pt idx="897">
                  <c:v>157992929.59999999</c:v>
                </c:pt>
                <c:pt idx="898">
                  <c:v>157992929.59999999</c:v>
                </c:pt>
                <c:pt idx="899">
                  <c:v>157992929.59999999</c:v>
                </c:pt>
                <c:pt idx="900">
                  <c:v>157992929.59999999</c:v>
                </c:pt>
                <c:pt idx="901">
                  <c:v>157992929.59999999</c:v>
                </c:pt>
                <c:pt idx="902">
                  <c:v>157992929.59999999</c:v>
                </c:pt>
                <c:pt idx="903">
                  <c:v>157992929.59999999</c:v>
                </c:pt>
                <c:pt idx="904">
                  <c:v>157992929.59999999</c:v>
                </c:pt>
                <c:pt idx="905">
                  <c:v>157992929.59999999</c:v>
                </c:pt>
                <c:pt idx="906">
                  <c:v>157992929.59999999</c:v>
                </c:pt>
                <c:pt idx="907">
                  <c:v>157992929.59999999</c:v>
                </c:pt>
                <c:pt idx="908">
                  <c:v>157992929.59999999</c:v>
                </c:pt>
                <c:pt idx="909">
                  <c:v>157992929.59999999</c:v>
                </c:pt>
                <c:pt idx="910">
                  <c:v>157992929.59999999</c:v>
                </c:pt>
                <c:pt idx="911">
                  <c:v>157992929.59999999</c:v>
                </c:pt>
                <c:pt idx="912">
                  <c:v>157992929.59999999</c:v>
                </c:pt>
                <c:pt idx="913">
                  <c:v>157992929.59999999</c:v>
                </c:pt>
                <c:pt idx="914">
                  <c:v>157992929.59999999</c:v>
                </c:pt>
                <c:pt idx="915">
                  <c:v>157992929.59999999</c:v>
                </c:pt>
                <c:pt idx="916">
                  <c:v>157992929.59999999</c:v>
                </c:pt>
                <c:pt idx="917">
                  <c:v>157992929.59999999</c:v>
                </c:pt>
                <c:pt idx="918">
                  <c:v>157992929.59999999</c:v>
                </c:pt>
                <c:pt idx="919">
                  <c:v>157992929.59999999</c:v>
                </c:pt>
                <c:pt idx="920">
                  <c:v>157992929.59999999</c:v>
                </c:pt>
                <c:pt idx="921">
                  <c:v>157992929.59999999</c:v>
                </c:pt>
                <c:pt idx="922">
                  <c:v>157992929.59999999</c:v>
                </c:pt>
                <c:pt idx="923">
                  <c:v>157992929.59999999</c:v>
                </c:pt>
                <c:pt idx="924">
                  <c:v>157992929.59999999</c:v>
                </c:pt>
                <c:pt idx="925">
                  <c:v>157992929.59999999</c:v>
                </c:pt>
                <c:pt idx="926">
                  <c:v>157992929.59999999</c:v>
                </c:pt>
                <c:pt idx="927">
                  <c:v>157992929.59999999</c:v>
                </c:pt>
                <c:pt idx="928">
                  <c:v>157992929.59999999</c:v>
                </c:pt>
                <c:pt idx="929">
                  <c:v>157992929.59999999</c:v>
                </c:pt>
                <c:pt idx="930">
                  <c:v>157992929.59999999</c:v>
                </c:pt>
                <c:pt idx="931">
                  <c:v>157992929.59999999</c:v>
                </c:pt>
                <c:pt idx="932">
                  <c:v>157992929.59999999</c:v>
                </c:pt>
                <c:pt idx="933">
                  <c:v>157992929.59999999</c:v>
                </c:pt>
                <c:pt idx="934">
                  <c:v>157992929.59999999</c:v>
                </c:pt>
                <c:pt idx="935">
                  <c:v>157992929.59999999</c:v>
                </c:pt>
                <c:pt idx="936">
                  <c:v>157992929.59999999</c:v>
                </c:pt>
                <c:pt idx="937">
                  <c:v>157992929.59999999</c:v>
                </c:pt>
                <c:pt idx="938">
                  <c:v>157992929.59999999</c:v>
                </c:pt>
                <c:pt idx="939">
                  <c:v>157992929.59999999</c:v>
                </c:pt>
                <c:pt idx="940">
                  <c:v>157992929.59999999</c:v>
                </c:pt>
                <c:pt idx="941">
                  <c:v>157992929.59999999</c:v>
                </c:pt>
                <c:pt idx="942">
                  <c:v>157992929.59999999</c:v>
                </c:pt>
                <c:pt idx="943">
                  <c:v>157992929.59999999</c:v>
                </c:pt>
                <c:pt idx="944">
                  <c:v>157992929.59999999</c:v>
                </c:pt>
                <c:pt idx="945">
                  <c:v>157992929.59999999</c:v>
                </c:pt>
                <c:pt idx="946">
                  <c:v>157992929.59999999</c:v>
                </c:pt>
                <c:pt idx="947">
                  <c:v>157992929.59999999</c:v>
                </c:pt>
                <c:pt idx="948">
                  <c:v>157992929.59999999</c:v>
                </c:pt>
                <c:pt idx="949">
                  <c:v>157992929.59999999</c:v>
                </c:pt>
                <c:pt idx="950">
                  <c:v>157992929.59999999</c:v>
                </c:pt>
                <c:pt idx="951">
                  <c:v>157992929.59999999</c:v>
                </c:pt>
                <c:pt idx="952">
                  <c:v>157992929.59999999</c:v>
                </c:pt>
                <c:pt idx="953">
                  <c:v>157992929.59999999</c:v>
                </c:pt>
                <c:pt idx="954">
                  <c:v>157992929.59999999</c:v>
                </c:pt>
                <c:pt idx="955">
                  <c:v>157992929.59999999</c:v>
                </c:pt>
                <c:pt idx="956">
                  <c:v>157992929.59999999</c:v>
                </c:pt>
                <c:pt idx="957">
                  <c:v>157992929.59999999</c:v>
                </c:pt>
                <c:pt idx="958">
                  <c:v>157992929.59999999</c:v>
                </c:pt>
                <c:pt idx="959">
                  <c:v>157992929.59999999</c:v>
                </c:pt>
                <c:pt idx="960">
                  <c:v>157992929.59999999</c:v>
                </c:pt>
                <c:pt idx="961">
                  <c:v>157992929.59999999</c:v>
                </c:pt>
                <c:pt idx="962">
                  <c:v>157992929.59999999</c:v>
                </c:pt>
                <c:pt idx="963">
                  <c:v>157992929.59999999</c:v>
                </c:pt>
                <c:pt idx="964">
                  <c:v>157992929.59999999</c:v>
                </c:pt>
                <c:pt idx="965">
                  <c:v>157992929.59999999</c:v>
                </c:pt>
                <c:pt idx="966">
                  <c:v>157992929.59999999</c:v>
                </c:pt>
                <c:pt idx="967">
                  <c:v>157992929.59999999</c:v>
                </c:pt>
                <c:pt idx="968">
                  <c:v>157992929.59999999</c:v>
                </c:pt>
                <c:pt idx="969">
                  <c:v>157992929.59999999</c:v>
                </c:pt>
                <c:pt idx="970">
                  <c:v>157992929.59999999</c:v>
                </c:pt>
                <c:pt idx="971">
                  <c:v>157992929.59999999</c:v>
                </c:pt>
                <c:pt idx="972">
                  <c:v>157992929.59999999</c:v>
                </c:pt>
                <c:pt idx="973">
                  <c:v>157992929.59999999</c:v>
                </c:pt>
                <c:pt idx="974">
                  <c:v>157992929.59999999</c:v>
                </c:pt>
                <c:pt idx="975">
                  <c:v>157992929.59999999</c:v>
                </c:pt>
                <c:pt idx="976">
                  <c:v>157992929.59999999</c:v>
                </c:pt>
                <c:pt idx="977">
                  <c:v>157992929.59999999</c:v>
                </c:pt>
                <c:pt idx="978">
                  <c:v>157992929.59999999</c:v>
                </c:pt>
                <c:pt idx="979">
                  <c:v>157992929.59999999</c:v>
                </c:pt>
                <c:pt idx="980">
                  <c:v>157992929.59999999</c:v>
                </c:pt>
                <c:pt idx="981">
                  <c:v>157992929.59999999</c:v>
                </c:pt>
                <c:pt idx="982">
                  <c:v>157992929.59999999</c:v>
                </c:pt>
                <c:pt idx="983">
                  <c:v>157992929.59999999</c:v>
                </c:pt>
                <c:pt idx="984">
                  <c:v>157992929.59999999</c:v>
                </c:pt>
                <c:pt idx="985">
                  <c:v>157992929.59999999</c:v>
                </c:pt>
                <c:pt idx="986">
                  <c:v>157992929.59999999</c:v>
                </c:pt>
                <c:pt idx="987">
                  <c:v>157992929.59999999</c:v>
                </c:pt>
                <c:pt idx="988">
                  <c:v>157992929.59999999</c:v>
                </c:pt>
                <c:pt idx="989">
                  <c:v>157992929.59999999</c:v>
                </c:pt>
                <c:pt idx="990">
                  <c:v>157992929.59999999</c:v>
                </c:pt>
                <c:pt idx="991">
                  <c:v>157992929.59999999</c:v>
                </c:pt>
                <c:pt idx="992">
                  <c:v>157992929.59999999</c:v>
                </c:pt>
                <c:pt idx="993">
                  <c:v>157992929.59999999</c:v>
                </c:pt>
                <c:pt idx="994">
                  <c:v>157992929.59999999</c:v>
                </c:pt>
                <c:pt idx="995">
                  <c:v>157992929.59999999</c:v>
                </c:pt>
                <c:pt idx="996">
                  <c:v>157992929.59999999</c:v>
                </c:pt>
                <c:pt idx="997">
                  <c:v>157992929.59999999</c:v>
                </c:pt>
                <c:pt idx="998">
                  <c:v>157992929.59999999</c:v>
                </c:pt>
                <c:pt idx="999">
                  <c:v>157992929.59999999</c:v>
                </c:pt>
                <c:pt idx="1000">
                  <c:v>157992929.59999999</c:v>
                </c:pt>
                <c:pt idx="1001">
                  <c:v>157992929.59999999</c:v>
                </c:pt>
                <c:pt idx="1002">
                  <c:v>157992929.59999999</c:v>
                </c:pt>
                <c:pt idx="1003">
                  <c:v>157992929.59999999</c:v>
                </c:pt>
                <c:pt idx="1004">
                  <c:v>157992929.59999999</c:v>
                </c:pt>
                <c:pt idx="1005">
                  <c:v>157992929.59999999</c:v>
                </c:pt>
                <c:pt idx="1006">
                  <c:v>157992929.59999999</c:v>
                </c:pt>
                <c:pt idx="1007">
                  <c:v>157992929.59999999</c:v>
                </c:pt>
                <c:pt idx="1008">
                  <c:v>157992929.59999999</c:v>
                </c:pt>
                <c:pt idx="1009">
                  <c:v>157992929.59999999</c:v>
                </c:pt>
                <c:pt idx="1010">
                  <c:v>157992929.59999999</c:v>
                </c:pt>
                <c:pt idx="1011">
                  <c:v>157992929.59999999</c:v>
                </c:pt>
                <c:pt idx="1012">
                  <c:v>157992929.59999999</c:v>
                </c:pt>
                <c:pt idx="1013">
                  <c:v>157992929.59999999</c:v>
                </c:pt>
                <c:pt idx="1014">
                  <c:v>157992929.59999999</c:v>
                </c:pt>
                <c:pt idx="1015">
                  <c:v>157992929.59999999</c:v>
                </c:pt>
                <c:pt idx="1016">
                  <c:v>157992929.59999999</c:v>
                </c:pt>
                <c:pt idx="1017">
                  <c:v>157992929.59999999</c:v>
                </c:pt>
                <c:pt idx="1018">
                  <c:v>157992929.59999999</c:v>
                </c:pt>
                <c:pt idx="1019">
                  <c:v>157992929.59999999</c:v>
                </c:pt>
                <c:pt idx="1020">
                  <c:v>157992929.59999999</c:v>
                </c:pt>
                <c:pt idx="1021">
                  <c:v>157992929.59999999</c:v>
                </c:pt>
                <c:pt idx="1022">
                  <c:v>157992929.59999999</c:v>
                </c:pt>
                <c:pt idx="1023">
                  <c:v>157992929.59999999</c:v>
                </c:pt>
                <c:pt idx="1024">
                  <c:v>157992929.59999999</c:v>
                </c:pt>
                <c:pt idx="1025">
                  <c:v>157992929.59999999</c:v>
                </c:pt>
                <c:pt idx="1026">
                  <c:v>157992929.59999999</c:v>
                </c:pt>
                <c:pt idx="1027">
                  <c:v>157992929.59999999</c:v>
                </c:pt>
                <c:pt idx="1028">
                  <c:v>157992929.59999999</c:v>
                </c:pt>
                <c:pt idx="1029">
                  <c:v>157992929.59999999</c:v>
                </c:pt>
                <c:pt idx="1030">
                  <c:v>157992929.59999999</c:v>
                </c:pt>
                <c:pt idx="1031">
                  <c:v>157992929.59999999</c:v>
                </c:pt>
                <c:pt idx="1032">
                  <c:v>157992929.59999999</c:v>
                </c:pt>
                <c:pt idx="1033">
                  <c:v>157992929.59999999</c:v>
                </c:pt>
                <c:pt idx="1034">
                  <c:v>157992929.59999999</c:v>
                </c:pt>
                <c:pt idx="1035">
                  <c:v>157992929.59999999</c:v>
                </c:pt>
                <c:pt idx="1036">
                  <c:v>157992929.59999999</c:v>
                </c:pt>
                <c:pt idx="1037">
                  <c:v>157992929.59999999</c:v>
                </c:pt>
                <c:pt idx="1038">
                  <c:v>157992929.59999999</c:v>
                </c:pt>
                <c:pt idx="1039">
                  <c:v>157992929.59999999</c:v>
                </c:pt>
                <c:pt idx="1040">
                  <c:v>157992929.59999999</c:v>
                </c:pt>
                <c:pt idx="1041">
                  <c:v>157992929.59999999</c:v>
                </c:pt>
                <c:pt idx="1042">
                  <c:v>157992929.59999999</c:v>
                </c:pt>
                <c:pt idx="1043">
                  <c:v>157992929.59999999</c:v>
                </c:pt>
                <c:pt idx="1044">
                  <c:v>157992929.59999999</c:v>
                </c:pt>
                <c:pt idx="1045">
                  <c:v>157992929.59999999</c:v>
                </c:pt>
                <c:pt idx="1046">
                  <c:v>157992929.59999999</c:v>
                </c:pt>
                <c:pt idx="1047">
                  <c:v>157992929.59999999</c:v>
                </c:pt>
                <c:pt idx="1048">
                  <c:v>157992929.59999999</c:v>
                </c:pt>
                <c:pt idx="1049">
                  <c:v>157992929.59999999</c:v>
                </c:pt>
                <c:pt idx="1050">
                  <c:v>157992929.59999999</c:v>
                </c:pt>
                <c:pt idx="1051">
                  <c:v>157992929.59999999</c:v>
                </c:pt>
                <c:pt idx="1052">
                  <c:v>157992929.59999999</c:v>
                </c:pt>
                <c:pt idx="1053">
                  <c:v>157992929.59999999</c:v>
                </c:pt>
                <c:pt idx="1054">
                  <c:v>157992929.59999999</c:v>
                </c:pt>
                <c:pt idx="1055">
                  <c:v>157992929.59999999</c:v>
                </c:pt>
                <c:pt idx="1056">
                  <c:v>157992929.59999999</c:v>
                </c:pt>
                <c:pt idx="1057">
                  <c:v>157992929.59999999</c:v>
                </c:pt>
                <c:pt idx="1058">
                  <c:v>157992929.59999999</c:v>
                </c:pt>
                <c:pt idx="1059">
                  <c:v>157992929.59999999</c:v>
                </c:pt>
                <c:pt idx="1060">
                  <c:v>157992929.59999999</c:v>
                </c:pt>
                <c:pt idx="1061">
                  <c:v>157992929.59999999</c:v>
                </c:pt>
                <c:pt idx="1062">
                  <c:v>157992929.59999999</c:v>
                </c:pt>
                <c:pt idx="1063">
                  <c:v>157992929.59999999</c:v>
                </c:pt>
                <c:pt idx="1064">
                  <c:v>157992929.59999999</c:v>
                </c:pt>
                <c:pt idx="1065">
                  <c:v>157992929.59999999</c:v>
                </c:pt>
                <c:pt idx="1066">
                  <c:v>157992929.59999999</c:v>
                </c:pt>
                <c:pt idx="1067">
                  <c:v>157992929.59999999</c:v>
                </c:pt>
                <c:pt idx="1068">
                  <c:v>157992929.59999999</c:v>
                </c:pt>
                <c:pt idx="1069">
                  <c:v>157992929.59999999</c:v>
                </c:pt>
                <c:pt idx="1070">
                  <c:v>157992929.59999999</c:v>
                </c:pt>
                <c:pt idx="1071">
                  <c:v>157992929.59999999</c:v>
                </c:pt>
                <c:pt idx="1072">
                  <c:v>157992929.59999999</c:v>
                </c:pt>
                <c:pt idx="1073">
                  <c:v>157992929.59999999</c:v>
                </c:pt>
                <c:pt idx="1074">
                  <c:v>157992929.59999999</c:v>
                </c:pt>
                <c:pt idx="1075">
                  <c:v>157992929.59999999</c:v>
                </c:pt>
                <c:pt idx="1076">
                  <c:v>157992929.59999999</c:v>
                </c:pt>
                <c:pt idx="1077">
                  <c:v>157992929.59999999</c:v>
                </c:pt>
                <c:pt idx="1078">
                  <c:v>157992929.59999999</c:v>
                </c:pt>
                <c:pt idx="1079">
                  <c:v>157992929.59999999</c:v>
                </c:pt>
                <c:pt idx="1080">
                  <c:v>157992929.59999999</c:v>
                </c:pt>
                <c:pt idx="1081">
                  <c:v>157992929.59999999</c:v>
                </c:pt>
                <c:pt idx="1082">
                  <c:v>157992929.59999999</c:v>
                </c:pt>
                <c:pt idx="1083">
                  <c:v>157992929.59999999</c:v>
                </c:pt>
                <c:pt idx="1084">
                  <c:v>157992929.59999999</c:v>
                </c:pt>
                <c:pt idx="1085">
                  <c:v>157992929.59999999</c:v>
                </c:pt>
                <c:pt idx="1086">
                  <c:v>157992929.59999999</c:v>
                </c:pt>
                <c:pt idx="1087">
                  <c:v>157992929.59999999</c:v>
                </c:pt>
                <c:pt idx="1088">
                  <c:v>157992929.59999999</c:v>
                </c:pt>
                <c:pt idx="1089">
                  <c:v>157992929.59999999</c:v>
                </c:pt>
                <c:pt idx="1090">
                  <c:v>157992929.59999999</c:v>
                </c:pt>
                <c:pt idx="1091">
                  <c:v>157992929.59999999</c:v>
                </c:pt>
                <c:pt idx="1092">
                  <c:v>157992929.59999999</c:v>
                </c:pt>
                <c:pt idx="1093">
                  <c:v>157992929.59999999</c:v>
                </c:pt>
                <c:pt idx="1094">
                  <c:v>157992929.59999999</c:v>
                </c:pt>
                <c:pt idx="1095">
                  <c:v>157992929.59999999</c:v>
                </c:pt>
                <c:pt idx="1096">
                  <c:v>157992929.59999999</c:v>
                </c:pt>
                <c:pt idx="1097">
                  <c:v>157992929.59999999</c:v>
                </c:pt>
                <c:pt idx="1098">
                  <c:v>157992929.59999999</c:v>
                </c:pt>
                <c:pt idx="1099">
                  <c:v>157992929.59999999</c:v>
                </c:pt>
                <c:pt idx="1100">
                  <c:v>157992929.59999999</c:v>
                </c:pt>
                <c:pt idx="1101">
                  <c:v>157992929.59999999</c:v>
                </c:pt>
                <c:pt idx="1102">
                  <c:v>157992929.59999999</c:v>
                </c:pt>
                <c:pt idx="1103">
                  <c:v>157992929.59999999</c:v>
                </c:pt>
                <c:pt idx="1104">
                  <c:v>157992929.59999999</c:v>
                </c:pt>
                <c:pt idx="1105">
                  <c:v>157992929.59999999</c:v>
                </c:pt>
                <c:pt idx="1106">
                  <c:v>157992929.59999999</c:v>
                </c:pt>
                <c:pt idx="1107">
                  <c:v>157992929.59999999</c:v>
                </c:pt>
                <c:pt idx="1108">
                  <c:v>157992929.59999999</c:v>
                </c:pt>
                <c:pt idx="1109">
                  <c:v>157992929.59999999</c:v>
                </c:pt>
                <c:pt idx="1110">
                  <c:v>157992929.59999999</c:v>
                </c:pt>
                <c:pt idx="1111">
                  <c:v>157992929.59999999</c:v>
                </c:pt>
                <c:pt idx="1112">
                  <c:v>157992929.59999999</c:v>
                </c:pt>
                <c:pt idx="1113">
                  <c:v>157992929.59999999</c:v>
                </c:pt>
                <c:pt idx="1114">
                  <c:v>157992929.59999999</c:v>
                </c:pt>
                <c:pt idx="1115">
                  <c:v>157992929.59999999</c:v>
                </c:pt>
                <c:pt idx="1116">
                  <c:v>157992929.59999999</c:v>
                </c:pt>
                <c:pt idx="1117">
                  <c:v>157992929.59999999</c:v>
                </c:pt>
                <c:pt idx="1118">
                  <c:v>157992929.59999999</c:v>
                </c:pt>
                <c:pt idx="1119">
                  <c:v>157992929.59999999</c:v>
                </c:pt>
                <c:pt idx="1120">
                  <c:v>157992929.59999999</c:v>
                </c:pt>
                <c:pt idx="1121">
                  <c:v>157992929.59999999</c:v>
                </c:pt>
                <c:pt idx="1122">
                  <c:v>157992929.59999999</c:v>
                </c:pt>
                <c:pt idx="1123">
                  <c:v>157992929.59999999</c:v>
                </c:pt>
                <c:pt idx="1124">
                  <c:v>157992929.59999999</c:v>
                </c:pt>
                <c:pt idx="1125">
                  <c:v>157992929.59999999</c:v>
                </c:pt>
                <c:pt idx="1126">
                  <c:v>157992929.59999999</c:v>
                </c:pt>
                <c:pt idx="1127">
                  <c:v>157992929.59999999</c:v>
                </c:pt>
                <c:pt idx="1128">
                  <c:v>157992929.59999999</c:v>
                </c:pt>
                <c:pt idx="1129">
                  <c:v>157992929.59999999</c:v>
                </c:pt>
                <c:pt idx="1130">
                  <c:v>157992929.59999999</c:v>
                </c:pt>
                <c:pt idx="1131">
                  <c:v>157992929.59999999</c:v>
                </c:pt>
                <c:pt idx="1132">
                  <c:v>157992929.59999999</c:v>
                </c:pt>
                <c:pt idx="1133">
                  <c:v>157992929.59999999</c:v>
                </c:pt>
                <c:pt idx="1134">
                  <c:v>157992929.59999999</c:v>
                </c:pt>
                <c:pt idx="1135">
                  <c:v>157992929.59999999</c:v>
                </c:pt>
                <c:pt idx="1136">
                  <c:v>157992929.59999999</c:v>
                </c:pt>
                <c:pt idx="1137">
                  <c:v>157992929.59999999</c:v>
                </c:pt>
                <c:pt idx="1138">
                  <c:v>157992929.59999999</c:v>
                </c:pt>
                <c:pt idx="1139">
                  <c:v>157992929.59999999</c:v>
                </c:pt>
                <c:pt idx="1140">
                  <c:v>157992929.59999999</c:v>
                </c:pt>
                <c:pt idx="1141">
                  <c:v>157992929.59999999</c:v>
                </c:pt>
                <c:pt idx="1142">
                  <c:v>157992929.59999999</c:v>
                </c:pt>
                <c:pt idx="1143">
                  <c:v>157992929.59999999</c:v>
                </c:pt>
                <c:pt idx="1144">
                  <c:v>157992929.59999999</c:v>
                </c:pt>
                <c:pt idx="1145">
                  <c:v>157992929.59999999</c:v>
                </c:pt>
                <c:pt idx="1146">
                  <c:v>157992929.59999999</c:v>
                </c:pt>
                <c:pt idx="1147">
                  <c:v>157992929.59999999</c:v>
                </c:pt>
                <c:pt idx="1148">
                  <c:v>157992929.59999999</c:v>
                </c:pt>
                <c:pt idx="1149">
                  <c:v>157992929.59999999</c:v>
                </c:pt>
                <c:pt idx="1150">
                  <c:v>157992929.59999999</c:v>
                </c:pt>
                <c:pt idx="1151">
                  <c:v>157992929.59999999</c:v>
                </c:pt>
                <c:pt idx="1152">
                  <c:v>157992929.59999999</c:v>
                </c:pt>
                <c:pt idx="1153">
                  <c:v>157992929.59999999</c:v>
                </c:pt>
                <c:pt idx="1154">
                  <c:v>157992929.59999999</c:v>
                </c:pt>
                <c:pt idx="1155">
                  <c:v>157992929.59999999</c:v>
                </c:pt>
                <c:pt idx="1156">
                  <c:v>157992929.59999999</c:v>
                </c:pt>
                <c:pt idx="1157">
                  <c:v>157992929.59999999</c:v>
                </c:pt>
                <c:pt idx="1158">
                  <c:v>157992929.59999999</c:v>
                </c:pt>
                <c:pt idx="1159">
                  <c:v>157992929.59999999</c:v>
                </c:pt>
                <c:pt idx="1160">
                  <c:v>157992929.59999999</c:v>
                </c:pt>
                <c:pt idx="1161">
                  <c:v>157992929.59999999</c:v>
                </c:pt>
                <c:pt idx="1162">
                  <c:v>157992929.59999999</c:v>
                </c:pt>
                <c:pt idx="1163">
                  <c:v>157992929.59999999</c:v>
                </c:pt>
                <c:pt idx="1164">
                  <c:v>157992929.59999999</c:v>
                </c:pt>
                <c:pt idx="1165">
                  <c:v>157992929.59999999</c:v>
                </c:pt>
                <c:pt idx="1166">
                  <c:v>157992929.59999999</c:v>
                </c:pt>
                <c:pt idx="1167">
                  <c:v>157992929.59999999</c:v>
                </c:pt>
                <c:pt idx="1168">
                  <c:v>157992929.59999999</c:v>
                </c:pt>
                <c:pt idx="1169">
                  <c:v>157992929.59999999</c:v>
                </c:pt>
                <c:pt idx="1170">
                  <c:v>157992929.59999999</c:v>
                </c:pt>
                <c:pt idx="1171">
                  <c:v>157992929.59999999</c:v>
                </c:pt>
                <c:pt idx="1172">
                  <c:v>157992929.59999999</c:v>
                </c:pt>
                <c:pt idx="1173">
                  <c:v>157992929.59999999</c:v>
                </c:pt>
                <c:pt idx="1174">
                  <c:v>157992929.59999999</c:v>
                </c:pt>
                <c:pt idx="1175">
                  <c:v>157992929.59999999</c:v>
                </c:pt>
                <c:pt idx="1176">
                  <c:v>157992929.59999999</c:v>
                </c:pt>
                <c:pt idx="1177">
                  <c:v>157992929.59999999</c:v>
                </c:pt>
                <c:pt idx="1178">
                  <c:v>157992929.59999999</c:v>
                </c:pt>
                <c:pt idx="1179">
                  <c:v>157992929.59999999</c:v>
                </c:pt>
                <c:pt idx="1180">
                  <c:v>157992929.59999999</c:v>
                </c:pt>
                <c:pt idx="1181">
                  <c:v>157992929.59999999</c:v>
                </c:pt>
                <c:pt idx="1182">
                  <c:v>157992929.59999999</c:v>
                </c:pt>
                <c:pt idx="1183">
                  <c:v>157992929.59999999</c:v>
                </c:pt>
                <c:pt idx="1184">
                  <c:v>157992929.59999999</c:v>
                </c:pt>
                <c:pt idx="1185">
                  <c:v>157992929.59999999</c:v>
                </c:pt>
                <c:pt idx="1186">
                  <c:v>157992929.59999999</c:v>
                </c:pt>
                <c:pt idx="1187">
                  <c:v>157992929.59999999</c:v>
                </c:pt>
                <c:pt idx="1188">
                  <c:v>157992929.59999999</c:v>
                </c:pt>
                <c:pt idx="1189">
                  <c:v>157992929.59999999</c:v>
                </c:pt>
                <c:pt idx="1190">
                  <c:v>157992929.59999999</c:v>
                </c:pt>
                <c:pt idx="1191">
                  <c:v>157992929.59999999</c:v>
                </c:pt>
                <c:pt idx="1192">
                  <c:v>157992929.59999999</c:v>
                </c:pt>
                <c:pt idx="1193">
                  <c:v>157992929.59999999</c:v>
                </c:pt>
                <c:pt idx="1194">
                  <c:v>157992929.59999999</c:v>
                </c:pt>
                <c:pt idx="1195">
                  <c:v>157992929.59999999</c:v>
                </c:pt>
                <c:pt idx="1196">
                  <c:v>157992929.59999999</c:v>
                </c:pt>
                <c:pt idx="1197">
                  <c:v>157992929.59999999</c:v>
                </c:pt>
                <c:pt idx="1198">
                  <c:v>157992929.59999999</c:v>
                </c:pt>
                <c:pt idx="1199">
                  <c:v>157992929.59999999</c:v>
                </c:pt>
                <c:pt idx="1200">
                  <c:v>157992929.59999999</c:v>
                </c:pt>
                <c:pt idx="1201">
                  <c:v>157992929.59999999</c:v>
                </c:pt>
                <c:pt idx="1202">
                  <c:v>157992929.59999999</c:v>
                </c:pt>
                <c:pt idx="1203">
                  <c:v>157992929.59999999</c:v>
                </c:pt>
                <c:pt idx="1204">
                  <c:v>157992929.59999999</c:v>
                </c:pt>
                <c:pt idx="1205">
                  <c:v>157992929.59999999</c:v>
                </c:pt>
                <c:pt idx="1206">
                  <c:v>157992929.59999999</c:v>
                </c:pt>
                <c:pt idx="1207">
                  <c:v>157992929.59999999</c:v>
                </c:pt>
                <c:pt idx="1208">
                  <c:v>157992929.59999999</c:v>
                </c:pt>
                <c:pt idx="1209">
                  <c:v>157992929.59999999</c:v>
                </c:pt>
                <c:pt idx="1210">
                  <c:v>157992929.59999999</c:v>
                </c:pt>
                <c:pt idx="1211">
                  <c:v>157992929.59999999</c:v>
                </c:pt>
                <c:pt idx="1212">
                  <c:v>157992929.59999999</c:v>
                </c:pt>
                <c:pt idx="1213">
                  <c:v>157992929.59999999</c:v>
                </c:pt>
                <c:pt idx="1214">
                  <c:v>157992929.59999999</c:v>
                </c:pt>
                <c:pt idx="1215">
                  <c:v>157992929.59999999</c:v>
                </c:pt>
                <c:pt idx="1216">
                  <c:v>157992929.59999999</c:v>
                </c:pt>
                <c:pt idx="1217">
                  <c:v>157992929.59999999</c:v>
                </c:pt>
                <c:pt idx="1218">
                  <c:v>157992929.59999999</c:v>
                </c:pt>
                <c:pt idx="1219">
                  <c:v>157992929.59999999</c:v>
                </c:pt>
                <c:pt idx="1220">
                  <c:v>157992929.59999999</c:v>
                </c:pt>
                <c:pt idx="1221">
                  <c:v>157992929.59999999</c:v>
                </c:pt>
                <c:pt idx="1222">
                  <c:v>157992929.59999999</c:v>
                </c:pt>
                <c:pt idx="1223">
                  <c:v>157992929.59999999</c:v>
                </c:pt>
                <c:pt idx="1224">
                  <c:v>157992929.59999999</c:v>
                </c:pt>
                <c:pt idx="1225">
                  <c:v>157992929.59999999</c:v>
                </c:pt>
                <c:pt idx="1226">
                  <c:v>157992929.59999999</c:v>
                </c:pt>
                <c:pt idx="1227">
                  <c:v>157992929.59999999</c:v>
                </c:pt>
                <c:pt idx="1228">
                  <c:v>157992929.59999999</c:v>
                </c:pt>
                <c:pt idx="1229">
                  <c:v>157992929.59999999</c:v>
                </c:pt>
                <c:pt idx="1230">
                  <c:v>157992929.59999999</c:v>
                </c:pt>
                <c:pt idx="1231">
                  <c:v>157992929.59999999</c:v>
                </c:pt>
                <c:pt idx="1232">
                  <c:v>157992929.59999999</c:v>
                </c:pt>
                <c:pt idx="1233">
                  <c:v>157992929.59999999</c:v>
                </c:pt>
                <c:pt idx="1234">
                  <c:v>157992929.59999999</c:v>
                </c:pt>
                <c:pt idx="1235">
                  <c:v>157992929.59999999</c:v>
                </c:pt>
                <c:pt idx="1236">
                  <c:v>157992929.59999999</c:v>
                </c:pt>
                <c:pt idx="1237">
                  <c:v>157992929.59999999</c:v>
                </c:pt>
                <c:pt idx="1238">
                  <c:v>157992929.59999999</c:v>
                </c:pt>
                <c:pt idx="1239">
                  <c:v>157992929.59999999</c:v>
                </c:pt>
                <c:pt idx="1240">
                  <c:v>157992929.59999999</c:v>
                </c:pt>
                <c:pt idx="1241">
                  <c:v>157992929.59999999</c:v>
                </c:pt>
                <c:pt idx="1242">
                  <c:v>157992929.59999999</c:v>
                </c:pt>
                <c:pt idx="1243">
                  <c:v>157992929.59999999</c:v>
                </c:pt>
                <c:pt idx="1244">
                  <c:v>157992929.59999999</c:v>
                </c:pt>
                <c:pt idx="1245">
                  <c:v>157992929.59999999</c:v>
                </c:pt>
                <c:pt idx="1246">
                  <c:v>157992929.59999999</c:v>
                </c:pt>
                <c:pt idx="1247">
                  <c:v>157992929.59999999</c:v>
                </c:pt>
                <c:pt idx="1248">
                  <c:v>157992929.59999999</c:v>
                </c:pt>
                <c:pt idx="1249">
                  <c:v>157992929.59999999</c:v>
                </c:pt>
                <c:pt idx="1250">
                  <c:v>157992929.59999999</c:v>
                </c:pt>
                <c:pt idx="1251">
                  <c:v>157992929.59999999</c:v>
                </c:pt>
                <c:pt idx="1252">
                  <c:v>157992929.59999999</c:v>
                </c:pt>
                <c:pt idx="1253">
                  <c:v>157992929.59999999</c:v>
                </c:pt>
                <c:pt idx="1254">
                  <c:v>157992929.59999999</c:v>
                </c:pt>
                <c:pt idx="1255">
                  <c:v>157992929.59999999</c:v>
                </c:pt>
                <c:pt idx="1256">
                  <c:v>157992929.59999999</c:v>
                </c:pt>
                <c:pt idx="1257">
                  <c:v>157992929.59999999</c:v>
                </c:pt>
                <c:pt idx="1258">
                  <c:v>157992929.59999999</c:v>
                </c:pt>
                <c:pt idx="1259">
                  <c:v>157992929.59999999</c:v>
                </c:pt>
                <c:pt idx="1260">
                  <c:v>157992929.59999999</c:v>
                </c:pt>
                <c:pt idx="1261">
                  <c:v>157992929.59999999</c:v>
                </c:pt>
                <c:pt idx="1262">
                  <c:v>157992929.59999999</c:v>
                </c:pt>
                <c:pt idx="1263">
                  <c:v>157992929.59999999</c:v>
                </c:pt>
                <c:pt idx="1264">
                  <c:v>157992929.59999999</c:v>
                </c:pt>
                <c:pt idx="1265">
                  <c:v>157992929.59999999</c:v>
                </c:pt>
                <c:pt idx="1266">
                  <c:v>157992929.59999999</c:v>
                </c:pt>
                <c:pt idx="1267">
                  <c:v>157992929.59999999</c:v>
                </c:pt>
                <c:pt idx="1268">
                  <c:v>157992929.59999999</c:v>
                </c:pt>
                <c:pt idx="1269">
                  <c:v>157992929.59999999</c:v>
                </c:pt>
                <c:pt idx="1270">
                  <c:v>157992929.59999999</c:v>
                </c:pt>
                <c:pt idx="1271">
                  <c:v>157992929.59999999</c:v>
                </c:pt>
                <c:pt idx="1272">
                  <c:v>157992929.59999999</c:v>
                </c:pt>
                <c:pt idx="1273">
                  <c:v>157992929.59999999</c:v>
                </c:pt>
                <c:pt idx="1274">
                  <c:v>157992929.59999999</c:v>
                </c:pt>
                <c:pt idx="1275">
                  <c:v>157992929.59999999</c:v>
                </c:pt>
                <c:pt idx="1276">
                  <c:v>157992929.59999999</c:v>
                </c:pt>
                <c:pt idx="1277">
                  <c:v>157992929.59999999</c:v>
                </c:pt>
                <c:pt idx="1278">
                  <c:v>157992929.59999999</c:v>
                </c:pt>
                <c:pt idx="1279">
                  <c:v>157992929.59999999</c:v>
                </c:pt>
                <c:pt idx="1280">
                  <c:v>157992929.59999999</c:v>
                </c:pt>
                <c:pt idx="1281">
                  <c:v>157992929.59999999</c:v>
                </c:pt>
                <c:pt idx="1282">
                  <c:v>157992929.59999999</c:v>
                </c:pt>
                <c:pt idx="1283">
                  <c:v>157992929.59999999</c:v>
                </c:pt>
                <c:pt idx="1284">
                  <c:v>157992929.59999999</c:v>
                </c:pt>
                <c:pt idx="1285">
                  <c:v>157992929.59999999</c:v>
                </c:pt>
                <c:pt idx="1286">
                  <c:v>157992929.59999999</c:v>
                </c:pt>
                <c:pt idx="1287">
                  <c:v>157992929.59999999</c:v>
                </c:pt>
                <c:pt idx="1288">
                  <c:v>157992929.59999999</c:v>
                </c:pt>
                <c:pt idx="1289">
                  <c:v>157992929.59999999</c:v>
                </c:pt>
                <c:pt idx="1290">
                  <c:v>157992929.59999999</c:v>
                </c:pt>
                <c:pt idx="1291">
                  <c:v>157992929.59999999</c:v>
                </c:pt>
                <c:pt idx="1292">
                  <c:v>157992929.59999999</c:v>
                </c:pt>
                <c:pt idx="1293">
                  <c:v>157992929.59999999</c:v>
                </c:pt>
                <c:pt idx="1294">
                  <c:v>157992929.59999999</c:v>
                </c:pt>
                <c:pt idx="1295">
                  <c:v>157992929.59999999</c:v>
                </c:pt>
                <c:pt idx="1296">
                  <c:v>157992929.59999999</c:v>
                </c:pt>
                <c:pt idx="1297">
                  <c:v>157992929.59999999</c:v>
                </c:pt>
                <c:pt idx="1298">
                  <c:v>157992929.59999999</c:v>
                </c:pt>
                <c:pt idx="1299">
                  <c:v>157992929.59999999</c:v>
                </c:pt>
                <c:pt idx="1300">
                  <c:v>157992929.59999999</c:v>
                </c:pt>
                <c:pt idx="1301">
                  <c:v>157992929.59999999</c:v>
                </c:pt>
                <c:pt idx="1302">
                  <c:v>157992929.59999999</c:v>
                </c:pt>
                <c:pt idx="1303">
                  <c:v>157992929.59999999</c:v>
                </c:pt>
                <c:pt idx="1304">
                  <c:v>157992929.59999999</c:v>
                </c:pt>
                <c:pt idx="1305">
                  <c:v>157992929.59999999</c:v>
                </c:pt>
                <c:pt idx="1306">
                  <c:v>157992929.59999999</c:v>
                </c:pt>
                <c:pt idx="1307">
                  <c:v>157992929.59999999</c:v>
                </c:pt>
                <c:pt idx="1308">
                  <c:v>157992929.59999999</c:v>
                </c:pt>
                <c:pt idx="1309">
                  <c:v>157992929.59999999</c:v>
                </c:pt>
                <c:pt idx="1310">
                  <c:v>157992929.59999999</c:v>
                </c:pt>
                <c:pt idx="1311">
                  <c:v>157992929.59999999</c:v>
                </c:pt>
                <c:pt idx="1312">
                  <c:v>157992929.59999999</c:v>
                </c:pt>
                <c:pt idx="1313">
                  <c:v>157992929.59999999</c:v>
                </c:pt>
                <c:pt idx="1314">
                  <c:v>157992929.59999999</c:v>
                </c:pt>
                <c:pt idx="1315">
                  <c:v>157992929.59999999</c:v>
                </c:pt>
                <c:pt idx="1316">
                  <c:v>157992929.59999999</c:v>
                </c:pt>
                <c:pt idx="1317">
                  <c:v>157992929.59999999</c:v>
                </c:pt>
                <c:pt idx="1318">
                  <c:v>157992929.59999999</c:v>
                </c:pt>
                <c:pt idx="1319">
                  <c:v>157992929.59999999</c:v>
                </c:pt>
                <c:pt idx="1320">
                  <c:v>157992929.59999999</c:v>
                </c:pt>
                <c:pt idx="1321">
                  <c:v>157992929.59999999</c:v>
                </c:pt>
                <c:pt idx="1322">
                  <c:v>157992929.59999999</c:v>
                </c:pt>
                <c:pt idx="1323">
                  <c:v>157992929.59999999</c:v>
                </c:pt>
                <c:pt idx="1324">
                  <c:v>157992929.59999999</c:v>
                </c:pt>
                <c:pt idx="1325">
                  <c:v>157992929.59999999</c:v>
                </c:pt>
                <c:pt idx="1326">
                  <c:v>157992929.59999999</c:v>
                </c:pt>
                <c:pt idx="1327">
                  <c:v>157992929.59999999</c:v>
                </c:pt>
                <c:pt idx="1328">
                  <c:v>157992929.59999999</c:v>
                </c:pt>
                <c:pt idx="1329">
                  <c:v>157992929.59999999</c:v>
                </c:pt>
                <c:pt idx="1330">
                  <c:v>157992929.59999999</c:v>
                </c:pt>
                <c:pt idx="1331">
                  <c:v>157992929.59999999</c:v>
                </c:pt>
                <c:pt idx="1332">
                  <c:v>157992929.59999999</c:v>
                </c:pt>
                <c:pt idx="1333">
                  <c:v>157992929.59999999</c:v>
                </c:pt>
                <c:pt idx="1334">
                  <c:v>157992929.59999999</c:v>
                </c:pt>
                <c:pt idx="1335">
                  <c:v>157992929.59999999</c:v>
                </c:pt>
                <c:pt idx="1336">
                  <c:v>157992929.59999999</c:v>
                </c:pt>
                <c:pt idx="1337">
                  <c:v>157992929.59999999</c:v>
                </c:pt>
                <c:pt idx="1338">
                  <c:v>157992929.59999999</c:v>
                </c:pt>
                <c:pt idx="1339">
                  <c:v>157992929.59999999</c:v>
                </c:pt>
                <c:pt idx="1340">
                  <c:v>157992929.59999999</c:v>
                </c:pt>
                <c:pt idx="1341">
                  <c:v>157992929.59999999</c:v>
                </c:pt>
                <c:pt idx="1342">
                  <c:v>157992929.59999999</c:v>
                </c:pt>
                <c:pt idx="1343">
                  <c:v>157992929.59999999</c:v>
                </c:pt>
                <c:pt idx="1344">
                  <c:v>157992929.59999999</c:v>
                </c:pt>
                <c:pt idx="1345">
                  <c:v>157992929.59999999</c:v>
                </c:pt>
                <c:pt idx="1346">
                  <c:v>157992929.59999999</c:v>
                </c:pt>
                <c:pt idx="1347">
                  <c:v>157992929.59999999</c:v>
                </c:pt>
                <c:pt idx="1348">
                  <c:v>157992929.59999999</c:v>
                </c:pt>
                <c:pt idx="1349">
                  <c:v>157992929.59999999</c:v>
                </c:pt>
                <c:pt idx="1350">
                  <c:v>157992929.59999999</c:v>
                </c:pt>
                <c:pt idx="1351">
                  <c:v>157992929.59999999</c:v>
                </c:pt>
                <c:pt idx="1352">
                  <c:v>157992929.59999999</c:v>
                </c:pt>
                <c:pt idx="1353">
                  <c:v>157992929.59999999</c:v>
                </c:pt>
                <c:pt idx="1354">
                  <c:v>157992929.59999999</c:v>
                </c:pt>
                <c:pt idx="1355">
                  <c:v>157992929.59999999</c:v>
                </c:pt>
                <c:pt idx="1356">
                  <c:v>157992929.59999999</c:v>
                </c:pt>
                <c:pt idx="1357">
                  <c:v>157992929.59999999</c:v>
                </c:pt>
                <c:pt idx="1358">
                  <c:v>157992929.59999999</c:v>
                </c:pt>
                <c:pt idx="1359">
                  <c:v>157992929.59999999</c:v>
                </c:pt>
                <c:pt idx="1360">
                  <c:v>157992929.59999999</c:v>
                </c:pt>
                <c:pt idx="1361">
                  <c:v>157992929.59999999</c:v>
                </c:pt>
                <c:pt idx="1362">
                  <c:v>157992929.59999999</c:v>
                </c:pt>
                <c:pt idx="1363">
                  <c:v>157992929.59999999</c:v>
                </c:pt>
                <c:pt idx="1364">
                  <c:v>157992929.59999999</c:v>
                </c:pt>
                <c:pt idx="1365">
                  <c:v>157992929.59999999</c:v>
                </c:pt>
                <c:pt idx="1366">
                  <c:v>157992929.59999999</c:v>
                </c:pt>
                <c:pt idx="1367">
                  <c:v>157992929.59999999</c:v>
                </c:pt>
                <c:pt idx="1368">
                  <c:v>157992929.59999999</c:v>
                </c:pt>
                <c:pt idx="1369">
                  <c:v>157992929.59999999</c:v>
                </c:pt>
                <c:pt idx="1370">
                  <c:v>157992929.59999999</c:v>
                </c:pt>
                <c:pt idx="1371">
                  <c:v>157992929.59999999</c:v>
                </c:pt>
                <c:pt idx="1372">
                  <c:v>157992929.59999999</c:v>
                </c:pt>
                <c:pt idx="1373">
                  <c:v>157992929.59999999</c:v>
                </c:pt>
                <c:pt idx="1374">
                  <c:v>157992929.59999999</c:v>
                </c:pt>
                <c:pt idx="1375">
                  <c:v>157992929.59999999</c:v>
                </c:pt>
                <c:pt idx="1376">
                  <c:v>157992929.59999999</c:v>
                </c:pt>
                <c:pt idx="1377">
                  <c:v>157992929.59999999</c:v>
                </c:pt>
                <c:pt idx="1378">
                  <c:v>157992929.59999999</c:v>
                </c:pt>
                <c:pt idx="1379">
                  <c:v>157992929.59999999</c:v>
                </c:pt>
                <c:pt idx="1380">
                  <c:v>157992929.59999999</c:v>
                </c:pt>
                <c:pt idx="1381">
                  <c:v>157992929.59999999</c:v>
                </c:pt>
                <c:pt idx="1382">
                  <c:v>157992929.59999999</c:v>
                </c:pt>
                <c:pt idx="1383">
                  <c:v>157992929.59999999</c:v>
                </c:pt>
                <c:pt idx="1384">
                  <c:v>157992929.59999999</c:v>
                </c:pt>
                <c:pt idx="1385">
                  <c:v>157992929.59999999</c:v>
                </c:pt>
                <c:pt idx="1386">
                  <c:v>157992929.59999999</c:v>
                </c:pt>
                <c:pt idx="1387">
                  <c:v>157992929.59999999</c:v>
                </c:pt>
                <c:pt idx="1388">
                  <c:v>157992929.59999999</c:v>
                </c:pt>
                <c:pt idx="1389">
                  <c:v>157992929.59999999</c:v>
                </c:pt>
                <c:pt idx="1390">
                  <c:v>157992929.59999999</c:v>
                </c:pt>
                <c:pt idx="1391">
                  <c:v>157992929.59999999</c:v>
                </c:pt>
                <c:pt idx="1392">
                  <c:v>157992929.59999999</c:v>
                </c:pt>
                <c:pt idx="1393">
                  <c:v>157992929.59999999</c:v>
                </c:pt>
                <c:pt idx="1394">
                  <c:v>157992929.59999999</c:v>
                </c:pt>
                <c:pt idx="1395">
                  <c:v>157992929.59999999</c:v>
                </c:pt>
                <c:pt idx="1396">
                  <c:v>157992929.59999999</c:v>
                </c:pt>
                <c:pt idx="1397">
                  <c:v>157992929.59999999</c:v>
                </c:pt>
                <c:pt idx="1398">
                  <c:v>157992929.59999999</c:v>
                </c:pt>
                <c:pt idx="1399">
                  <c:v>157992929.59999999</c:v>
                </c:pt>
                <c:pt idx="1400">
                  <c:v>157992929.59999999</c:v>
                </c:pt>
                <c:pt idx="1401">
                  <c:v>157992929.59999999</c:v>
                </c:pt>
                <c:pt idx="1402">
                  <c:v>157992929.59999999</c:v>
                </c:pt>
                <c:pt idx="1403">
                  <c:v>157992929.59999999</c:v>
                </c:pt>
                <c:pt idx="1404">
                  <c:v>157992929.59999999</c:v>
                </c:pt>
                <c:pt idx="1405">
                  <c:v>157992929.59999999</c:v>
                </c:pt>
                <c:pt idx="1406">
                  <c:v>157992929.59999999</c:v>
                </c:pt>
                <c:pt idx="1407">
                  <c:v>157992929.59999999</c:v>
                </c:pt>
                <c:pt idx="1408">
                  <c:v>157992929.59999999</c:v>
                </c:pt>
                <c:pt idx="1409">
                  <c:v>157992929.59999999</c:v>
                </c:pt>
                <c:pt idx="1410">
                  <c:v>157992929.59999999</c:v>
                </c:pt>
                <c:pt idx="1411">
                  <c:v>157992929.59999999</c:v>
                </c:pt>
                <c:pt idx="1412">
                  <c:v>157992929.59999999</c:v>
                </c:pt>
                <c:pt idx="1413">
                  <c:v>157992929.59999999</c:v>
                </c:pt>
                <c:pt idx="1414">
                  <c:v>157992929.59999999</c:v>
                </c:pt>
                <c:pt idx="1415">
                  <c:v>157992929.59999999</c:v>
                </c:pt>
                <c:pt idx="1416">
                  <c:v>157992929.59999999</c:v>
                </c:pt>
                <c:pt idx="1417">
                  <c:v>157992929.59999999</c:v>
                </c:pt>
                <c:pt idx="1418">
                  <c:v>157992929.59999999</c:v>
                </c:pt>
                <c:pt idx="1419">
                  <c:v>157992929.59999999</c:v>
                </c:pt>
                <c:pt idx="1420">
                  <c:v>157992929.59999999</c:v>
                </c:pt>
                <c:pt idx="1421">
                  <c:v>157992929.59999999</c:v>
                </c:pt>
                <c:pt idx="1422">
                  <c:v>157992929.59999999</c:v>
                </c:pt>
                <c:pt idx="1423">
                  <c:v>157992929.59999999</c:v>
                </c:pt>
                <c:pt idx="1424">
                  <c:v>157992929.59999999</c:v>
                </c:pt>
                <c:pt idx="1425">
                  <c:v>157992929.59999999</c:v>
                </c:pt>
                <c:pt idx="1426">
                  <c:v>157992929.59999999</c:v>
                </c:pt>
                <c:pt idx="1427">
                  <c:v>157992929.59999999</c:v>
                </c:pt>
                <c:pt idx="1428">
                  <c:v>157992929.59999999</c:v>
                </c:pt>
                <c:pt idx="1429">
                  <c:v>157992929.59999999</c:v>
                </c:pt>
                <c:pt idx="1430">
                  <c:v>157992929.59999999</c:v>
                </c:pt>
                <c:pt idx="1431">
                  <c:v>157992929.59999999</c:v>
                </c:pt>
                <c:pt idx="1432">
                  <c:v>157992929.59999999</c:v>
                </c:pt>
                <c:pt idx="1433">
                  <c:v>157992929.59999999</c:v>
                </c:pt>
                <c:pt idx="1434">
                  <c:v>157992929.59999999</c:v>
                </c:pt>
                <c:pt idx="1435">
                  <c:v>157992929.59999999</c:v>
                </c:pt>
                <c:pt idx="1436">
                  <c:v>157992929.59999999</c:v>
                </c:pt>
                <c:pt idx="1437">
                  <c:v>157992929.59999999</c:v>
                </c:pt>
                <c:pt idx="1438">
                  <c:v>157992929.59999999</c:v>
                </c:pt>
                <c:pt idx="1439">
                  <c:v>157992929.59999999</c:v>
                </c:pt>
                <c:pt idx="1440">
                  <c:v>157992929.59999999</c:v>
                </c:pt>
                <c:pt idx="1441">
                  <c:v>157992929.59999999</c:v>
                </c:pt>
                <c:pt idx="1442">
                  <c:v>157992929.59999999</c:v>
                </c:pt>
                <c:pt idx="1443">
                  <c:v>157992929.59999999</c:v>
                </c:pt>
                <c:pt idx="1444">
                  <c:v>157992929.59999999</c:v>
                </c:pt>
                <c:pt idx="1445">
                  <c:v>157992929.59999999</c:v>
                </c:pt>
                <c:pt idx="1446">
                  <c:v>157992929.59999999</c:v>
                </c:pt>
                <c:pt idx="1447">
                  <c:v>157992929.59999999</c:v>
                </c:pt>
                <c:pt idx="1448">
                  <c:v>157992929.59999999</c:v>
                </c:pt>
                <c:pt idx="1449">
                  <c:v>157992929.59999999</c:v>
                </c:pt>
                <c:pt idx="1450">
                  <c:v>157992929.59999999</c:v>
                </c:pt>
                <c:pt idx="1451">
                  <c:v>157992929.59999999</c:v>
                </c:pt>
                <c:pt idx="1452">
                  <c:v>157992929.59999999</c:v>
                </c:pt>
                <c:pt idx="1453">
                  <c:v>157992929.59999999</c:v>
                </c:pt>
                <c:pt idx="1454">
                  <c:v>157992929.59999999</c:v>
                </c:pt>
                <c:pt idx="1455">
                  <c:v>157992929.59999999</c:v>
                </c:pt>
                <c:pt idx="1456">
                  <c:v>157992929.59999999</c:v>
                </c:pt>
                <c:pt idx="1457">
                  <c:v>157992929.59999999</c:v>
                </c:pt>
                <c:pt idx="1458">
                  <c:v>157992929.59999999</c:v>
                </c:pt>
                <c:pt idx="1459">
                  <c:v>157992929.59999999</c:v>
                </c:pt>
                <c:pt idx="1460">
                  <c:v>157992929.59999999</c:v>
                </c:pt>
                <c:pt idx="1461">
                  <c:v>157992929.59999999</c:v>
                </c:pt>
                <c:pt idx="1462">
                  <c:v>157992929.59999999</c:v>
                </c:pt>
                <c:pt idx="1463">
                  <c:v>157992929.59999999</c:v>
                </c:pt>
                <c:pt idx="1464">
                  <c:v>157992929.59999999</c:v>
                </c:pt>
                <c:pt idx="1465">
                  <c:v>157992929.59999999</c:v>
                </c:pt>
                <c:pt idx="1466">
                  <c:v>157992929.59999999</c:v>
                </c:pt>
                <c:pt idx="1467">
                  <c:v>157992929.59999999</c:v>
                </c:pt>
                <c:pt idx="1468">
                  <c:v>157992929.59999999</c:v>
                </c:pt>
                <c:pt idx="1469">
                  <c:v>157992929.59999999</c:v>
                </c:pt>
                <c:pt idx="1470">
                  <c:v>157992929.59999999</c:v>
                </c:pt>
                <c:pt idx="1471">
                  <c:v>157992929.59999999</c:v>
                </c:pt>
                <c:pt idx="1472">
                  <c:v>157992929.59999999</c:v>
                </c:pt>
                <c:pt idx="1473">
                  <c:v>157992929.59999999</c:v>
                </c:pt>
                <c:pt idx="1474">
                  <c:v>157992929.59999999</c:v>
                </c:pt>
                <c:pt idx="1475">
                  <c:v>157992929.59999999</c:v>
                </c:pt>
                <c:pt idx="1476">
                  <c:v>157992929.59999999</c:v>
                </c:pt>
                <c:pt idx="1477">
                  <c:v>157992929.59999999</c:v>
                </c:pt>
                <c:pt idx="1478">
                  <c:v>157992929.59999999</c:v>
                </c:pt>
                <c:pt idx="1479">
                  <c:v>157992929.59999999</c:v>
                </c:pt>
                <c:pt idx="1480">
                  <c:v>157992929.59999999</c:v>
                </c:pt>
                <c:pt idx="1481">
                  <c:v>157992929.59999999</c:v>
                </c:pt>
                <c:pt idx="1482">
                  <c:v>157992929.59999999</c:v>
                </c:pt>
                <c:pt idx="1483">
                  <c:v>157992929.59999999</c:v>
                </c:pt>
                <c:pt idx="1484">
                  <c:v>157992929.59999999</c:v>
                </c:pt>
                <c:pt idx="1485">
                  <c:v>157992929.59999999</c:v>
                </c:pt>
                <c:pt idx="1486">
                  <c:v>157992929.59999999</c:v>
                </c:pt>
                <c:pt idx="1487">
                  <c:v>157992929.59999999</c:v>
                </c:pt>
                <c:pt idx="1488">
                  <c:v>157992929.59999999</c:v>
                </c:pt>
                <c:pt idx="1489">
                  <c:v>157992929.59999999</c:v>
                </c:pt>
                <c:pt idx="1490">
                  <c:v>157992929.59999999</c:v>
                </c:pt>
                <c:pt idx="1491">
                  <c:v>157992929.59999999</c:v>
                </c:pt>
                <c:pt idx="1492">
                  <c:v>157992929.59999999</c:v>
                </c:pt>
                <c:pt idx="1493">
                  <c:v>157992929.59999999</c:v>
                </c:pt>
                <c:pt idx="1494">
                  <c:v>157992929.59999999</c:v>
                </c:pt>
                <c:pt idx="1495">
                  <c:v>157992929.59999999</c:v>
                </c:pt>
                <c:pt idx="1496">
                  <c:v>157992929.59999999</c:v>
                </c:pt>
                <c:pt idx="1497">
                  <c:v>157992929.59999999</c:v>
                </c:pt>
                <c:pt idx="1498">
                  <c:v>157992929.59999999</c:v>
                </c:pt>
                <c:pt idx="1499">
                  <c:v>157992929.59999999</c:v>
                </c:pt>
                <c:pt idx="1500">
                  <c:v>157992929.59999999</c:v>
                </c:pt>
                <c:pt idx="1501">
                  <c:v>157992929.59999999</c:v>
                </c:pt>
                <c:pt idx="1502">
                  <c:v>157992929.59999999</c:v>
                </c:pt>
                <c:pt idx="1503">
                  <c:v>157992929.59999999</c:v>
                </c:pt>
                <c:pt idx="1504">
                  <c:v>157992929.59999999</c:v>
                </c:pt>
                <c:pt idx="1505">
                  <c:v>157992929.59999999</c:v>
                </c:pt>
                <c:pt idx="1506">
                  <c:v>157992929.59999999</c:v>
                </c:pt>
                <c:pt idx="1507">
                  <c:v>157992929.59999999</c:v>
                </c:pt>
                <c:pt idx="1508">
                  <c:v>157992929.59999999</c:v>
                </c:pt>
                <c:pt idx="1509">
                  <c:v>157992929.59999999</c:v>
                </c:pt>
                <c:pt idx="1510">
                  <c:v>157992929.59999999</c:v>
                </c:pt>
                <c:pt idx="1511">
                  <c:v>157992929.59999999</c:v>
                </c:pt>
                <c:pt idx="1512">
                  <c:v>157992929.59999999</c:v>
                </c:pt>
                <c:pt idx="1513">
                  <c:v>157992929.59999999</c:v>
                </c:pt>
                <c:pt idx="1514">
                  <c:v>157992929.59999999</c:v>
                </c:pt>
                <c:pt idx="1515">
                  <c:v>157992929.59999999</c:v>
                </c:pt>
                <c:pt idx="1516">
                  <c:v>157992929.59999999</c:v>
                </c:pt>
                <c:pt idx="1517">
                  <c:v>157992929.59999999</c:v>
                </c:pt>
                <c:pt idx="1518">
                  <c:v>157992929.59999999</c:v>
                </c:pt>
                <c:pt idx="1519">
                  <c:v>157992929.59999999</c:v>
                </c:pt>
                <c:pt idx="1520">
                  <c:v>157992929.59999999</c:v>
                </c:pt>
                <c:pt idx="1521">
                  <c:v>157992929.59999999</c:v>
                </c:pt>
                <c:pt idx="1522">
                  <c:v>157992929.59999999</c:v>
                </c:pt>
                <c:pt idx="1523">
                  <c:v>157992929.59999999</c:v>
                </c:pt>
                <c:pt idx="1524">
                  <c:v>157992929.59999999</c:v>
                </c:pt>
                <c:pt idx="1525">
                  <c:v>157992929.59999999</c:v>
                </c:pt>
                <c:pt idx="1526">
                  <c:v>157992929.59999999</c:v>
                </c:pt>
                <c:pt idx="1527">
                  <c:v>157992929.59999999</c:v>
                </c:pt>
                <c:pt idx="1528">
                  <c:v>157992929.59999999</c:v>
                </c:pt>
                <c:pt idx="1529">
                  <c:v>157992929.59999999</c:v>
                </c:pt>
                <c:pt idx="1530">
                  <c:v>157992929.59999999</c:v>
                </c:pt>
                <c:pt idx="1531">
                  <c:v>157992929.59999999</c:v>
                </c:pt>
                <c:pt idx="1532">
                  <c:v>157992929.59999999</c:v>
                </c:pt>
                <c:pt idx="1533">
                  <c:v>157992929.59999999</c:v>
                </c:pt>
                <c:pt idx="1534">
                  <c:v>157992929.59999999</c:v>
                </c:pt>
                <c:pt idx="1535">
                  <c:v>157992929.59999999</c:v>
                </c:pt>
                <c:pt idx="1536">
                  <c:v>157992929.59999999</c:v>
                </c:pt>
                <c:pt idx="1537">
                  <c:v>157992929.59999999</c:v>
                </c:pt>
                <c:pt idx="1538">
                  <c:v>157992929.59999999</c:v>
                </c:pt>
                <c:pt idx="1539">
                  <c:v>157992929.59999999</c:v>
                </c:pt>
                <c:pt idx="1540">
                  <c:v>157992929.59999999</c:v>
                </c:pt>
                <c:pt idx="1541">
                  <c:v>157992929.59999999</c:v>
                </c:pt>
                <c:pt idx="1542">
                  <c:v>157992929.59999999</c:v>
                </c:pt>
                <c:pt idx="1543">
                  <c:v>157992929.59999999</c:v>
                </c:pt>
                <c:pt idx="1544">
                  <c:v>157992929.59999999</c:v>
                </c:pt>
                <c:pt idx="1545">
                  <c:v>157992929.59999999</c:v>
                </c:pt>
                <c:pt idx="1546">
                  <c:v>157992929.59999999</c:v>
                </c:pt>
                <c:pt idx="1547">
                  <c:v>157992929.59999999</c:v>
                </c:pt>
                <c:pt idx="1548">
                  <c:v>157992929.59999999</c:v>
                </c:pt>
                <c:pt idx="1549">
                  <c:v>157992929.59999999</c:v>
                </c:pt>
                <c:pt idx="1550">
                  <c:v>157992929.59999999</c:v>
                </c:pt>
                <c:pt idx="1551">
                  <c:v>157992929.59999999</c:v>
                </c:pt>
                <c:pt idx="1552">
                  <c:v>157992929.59999999</c:v>
                </c:pt>
                <c:pt idx="1553">
                  <c:v>157992929.59999999</c:v>
                </c:pt>
                <c:pt idx="1554">
                  <c:v>157992929.59999999</c:v>
                </c:pt>
                <c:pt idx="1555">
                  <c:v>157992929.59999999</c:v>
                </c:pt>
                <c:pt idx="1556">
                  <c:v>157992929.59999999</c:v>
                </c:pt>
                <c:pt idx="1557">
                  <c:v>157992929.59999999</c:v>
                </c:pt>
                <c:pt idx="1558">
                  <c:v>157992929.59999999</c:v>
                </c:pt>
                <c:pt idx="1559">
                  <c:v>157992929.59999999</c:v>
                </c:pt>
                <c:pt idx="1560">
                  <c:v>157992929.59999999</c:v>
                </c:pt>
                <c:pt idx="1561">
                  <c:v>157992929.59999999</c:v>
                </c:pt>
                <c:pt idx="1562">
                  <c:v>157992929.59999999</c:v>
                </c:pt>
                <c:pt idx="1563">
                  <c:v>157992929.59999999</c:v>
                </c:pt>
                <c:pt idx="1564">
                  <c:v>157992929.59999999</c:v>
                </c:pt>
                <c:pt idx="1565">
                  <c:v>157992929.59999999</c:v>
                </c:pt>
                <c:pt idx="1566">
                  <c:v>157992929.59999999</c:v>
                </c:pt>
                <c:pt idx="1567">
                  <c:v>157992929.59999999</c:v>
                </c:pt>
                <c:pt idx="1568">
                  <c:v>157992929.59999999</c:v>
                </c:pt>
                <c:pt idx="1569">
                  <c:v>157992929.59999999</c:v>
                </c:pt>
                <c:pt idx="1570">
                  <c:v>157992929.59999999</c:v>
                </c:pt>
                <c:pt idx="1571">
                  <c:v>157992929.59999999</c:v>
                </c:pt>
                <c:pt idx="1572">
                  <c:v>157992929.59999999</c:v>
                </c:pt>
                <c:pt idx="1573">
                  <c:v>157992929.59999999</c:v>
                </c:pt>
                <c:pt idx="1574">
                  <c:v>157992929.59999999</c:v>
                </c:pt>
                <c:pt idx="1575">
                  <c:v>157992929.59999999</c:v>
                </c:pt>
                <c:pt idx="1576">
                  <c:v>157992929.59999999</c:v>
                </c:pt>
                <c:pt idx="1577">
                  <c:v>157992929.59999999</c:v>
                </c:pt>
                <c:pt idx="1578">
                  <c:v>157992929.59999999</c:v>
                </c:pt>
                <c:pt idx="1579">
                  <c:v>157992929.59999999</c:v>
                </c:pt>
                <c:pt idx="1580">
                  <c:v>157992929.59999999</c:v>
                </c:pt>
                <c:pt idx="1581">
                  <c:v>157992929.59999999</c:v>
                </c:pt>
                <c:pt idx="1582">
                  <c:v>157992929.59999999</c:v>
                </c:pt>
                <c:pt idx="1583">
                  <c:v>157992929.59999999</c:v>
                </c:pt>
                <c:pt idx="1584">
                  <c:v>157992929.59999999</c:v>
                </c:pt>
                <c:pt idx="1585">
                  <c:v>157992929.59999999</c:v>
                </c:pt>
                <c:pt idx="1586">
                  <c:v>157992929.59999999</c:v>
                </c:pt>
                <c:pt idx="1587">
                  <c:v>157992929.59999999</c:v>
                </c:pt>
                <c:pt idx="1588">
                  <c:v>157992929.59999999</c:v>
                </c:pt>
                <c:pt idx="1589">
                  <c:v>157992929.59999999</c:v>
                </c:pt>
                <c:pt idx="1590">
                  <c:v>157992929.59999999</c:v>
                </c:pt>
                <c:pt idx="1591">
                  <c:v>157992929.59999999</c:v>
                </c:pt>
                <c:pt idx="1592">
                  <c:v>157992929.59999999</c:v>
                </c:pt>
                <c:pt idx="1593">
                  <c:v>157992929.59999999</c:v>
                </c:pt>
                <c:pt idx="1594">
                  <c:v>157992929.59999999</c:v>
                </c:pt>
                <c:pt idx="1595">
                  <c:v>157992929.59999999</c:v>
                </c:pt>
                <c:pt idx="1596">
                  <c:v>157992929.59999999</c:v>
                </c:pt>
                <c:pt idx="1597">
                  <c:v>157992929.59999999</c:v>
                </c:pt>
                <c:pt idx="1598">
                  <c:v>157992929.59999999</c:v>
                </c:pt>
                <c:pt idx="1599">
                  <c:v>157992929.59999999</c:v>
                </c:pt>
                <c:pt idx="1600">
                  <c:v>157992929.59999999</c:v>
                </c:pt>
                <c:pt idx="1601">
                  <c:v>157992929.59999999</c:v>
                </c:pt>
                <c:pt idx="1602">
                  <c:v>157992929.59999999</c:v>
                </c:pt>
                <c:pt idx="1603">
                  <c:v>157992929.59999999</c:v>
                </c:pt>
                <c:pt idx="1604">
                  <c:v>157992929.59999999</c:v>
                </c:pt>
                <c:pt idx="1605">
                  <c:v>157992929.59999999</c:v>
                </c:pt>
                <c:pt idx="1606">
                  <c:v>157992929.59999999</c:v>
                </c:pt>
                <c:pt idx="1607">
                  <c:v>157992929.59999999</c:v>
                </c:pt>
                <c:pt idx="1608">
                  <c:v>157992929.59999999</c:v>
                </c:pt>
                <c:pt idx="1609">
                  <c:v>157992929.59999999</c:v>
                </c:pt>
                <c:pt idx="1610">
                  <c:v>157992929.59999999</c:v>
                </c:pt>
                <c:pt idx="1611">
                  <c:v>157992929.59999999</c:v>
                </c:pt>
                <c:pt idx="1612">
                  <c:v>157992929.59999999</c:v>
                </c:pt>
                <c:pt idx="1613">
                  <c:v>157992929.59999999</c:v>
                </c:pt>
                <c:pt idx="1614">
                  <c:v>157992929.59999999</c:v>
                </c:pt>
                <c:pt idx="1615">
                  <c:v>157992929.59999999</c:v>
                </c:pt>
                <c:pt idx="1616">
                  <c:v>157992929.59999999</c:v>
                </c:pt>
                <c:pt idx="1617">
                  <c:v>157992929.59999999</c:v>
                </c:pt>
                <c:pt idx="1618">
                  <c:v>157992929.59999999</c:v>
                </c:pt>
                <c:pt idx="1619">
                  <c:v>157992929.59999999</c:v>
                </c:pt>
                <c:pt idx="1620">
                  <c:v>157992929.59999999</c:v>
                </c:pt>
                <c:pt idx="1621">
                  <c:v>157992929.59999999</c:v>
                </c:pt>
                <c:pt idx="1622">
                  <c:v>157992929.59999999</c:v>
                </c:pt>
                <c:pt idx="1623">
                  <c:v>157992929.59999999</c:v>
                </c:pt>
                <c:pt idx="1624">
                  <c:v>157992929.59999999</c:v>
                </c:pt>
                <c:pt idx="1625">
                  <c:v>157992929.59999999</c:v>
                </c:pt>
                <c:pt idx="1626">
                  <c:v>157992929.59999999</c:v>
                </c:pt>
                <c:pt idx="1627">
                  <c:v>157992929.59999999</c:v>
                </c:pt>
                <c:pt idx="1628">
                  <c:v>157992929.59999999</c:v>
                </c:pt>
                <c:pt idx="1629">
                  <c:v>157992929.59999999</c:v>
                </c:pt>
                <c:pt idx="1630">
                  <c:v>157992929.59999999</c:v>
                </c:pt>
                <c:pt idx="1631">
                  <c:v>157992929.59999999</c:v>
                </c:pt>
                <c:pt idx="1632">
                  <c:v>157992929.59999999</c:v>
                </c:pt>
                <c:pt idx="1633">
                  <c:v>157992929.59999999</c:v>
                </c:pt>
                <c:pt idx="1634">
                  <c:v>157992929.59999999</c:v>
                </c:pt>
                <c:pt idx="1635">
                  <c:v>157992929.59999999</c:v>
                </c:pt>
                <c:pt idx="1636">
                  <c:v>157992929.59999999</c:v>
                </c:pt>
                <c:pt idx="1637">
                  <c:v>157992929.59999999</c:v>
                </c:pt>
                <c:pt idx="1638">
                  <c:v>157992929.59999999</c:v>
                </c:pt>
                <c:pt idx="1639">
                  <c:v>157992929.59999999</c:v>
                </c:pt>
                <c:pt idx="1640">
                  <c:v>157992929.59999999</c:v>
                </c:pt>
                <c:pt idx="1641">
                  <c:v>157992929.59999999</c:v>
                </c:pt>
                <c:pt idx="1642">
                  <c:v>157992929.59999999</c:v>
                </c:pt>
                <c:pt idx="1643">
                  <c:v>157992929.59999999</c:v>
                </c:pt>
                <c:pt idx="1644">
                  <c:v>157992929.59999999</c:v>
                </c:pt>
                <c:pt idx="1645">
                  <c:v>157992929.59999999</c:v>
                </c:pt>
                <c:pt idx="1646">
                  <c:v>157992929.59999999</c:v>
                </c:pt>
                <c:pt idx="1647">
                  <c:v>157992929.59999999</c:v>
                </c:pt>
                <c:pt idx="1648">
                  <c:v>157992929.59999999</c:v>
                </c:pt>
                <c:pt idx="1649">
                  <c:v>157992929.59999999</c:v>
                </c:pt>
                <c:pt idx="1650">
                  <c:v>157992929.59999999</c:v>
                </c:pt>
                <c:pt idx="1651">
                  <c:v>157992929.59999999</c:v>
                </c:pt>
                <c:pt idx="1652">
                  <c:v>157992929.59999999</c:v>
                </c:pt>
                <c:pt idx="1653">
                  <c:v>157992929.59999999</c:v>
                </c:pt>
                <c:pt idx="1654">
                  <c:v>157992929.59999999</c:v>
                </c:pt>
                <c:pt idx="1655">
                  <c:v>157992929.59999999</c:v>
                </c:pt>
                <c:pt idx="1656">
                  <c:v>157992929.59999999</c:v>
                </c:pt>
                <c:pt idx="1657">
                  <c:v>157992929.59999999</c:v>
                </c:pt>
                <c:pt idx="1658">
                  <c:v>157992929.59999999</c:v>
                </c:pt>
                <c:pt idx="1659">
                  <c:v>157992929.59999999</c:v>
                </c:pt>
                <c:pt idx="1660">
                  <c:v>157992929.59999999</c:v>
                </c:pt>
                <c:pt idx="1661">
                  <c:v>157992929.59999999</c:v>
                </c:pt>
                <c:pt idx="1662">
                  <c:v>157992929.59999999</c:v>
                </c:pt>
                <c:pt idx="1663">
                  <c:v>157992929.59999999</c:v>
                </c:pt>
                <c:pt idx="1664">
                  <c:v>157992929.59999999</c:v>
                </c:pt>
                <c:pt idx="1665">
                  <c:v>157992929.59999999</c:v>
                </c:pt>
                <c:pt idx="1666">
                  <c:v>157992929.59999999</c:v>
                </c:pt>
                <c:pt idx="1667">
                  <c:v>157992929.59999999</c:v>
                </c:pt>
                <c:pt idx="1668">
                  <c:v>157992929.59999999</c:v>
                </c:pt>
                <c:pt idx="1669">
                  <c:v>157992929.59999999</c:v>
                </c:pt>
                <c:pt idx="1670">
                  <c:v>157992929.59999999</c:v>
                </c:pt>
                <c:pt idx="1671">
                  <c:v>157992929.59999999</c:v>
                </c:pt>
                <c:pt idx="1672">
                  <c:v>157992929.59999999</c:v>
                </c:pt>
                <c:pt idx="1673">
                  <c:v>157992929.59999999</c:v>
                </c:pt>
                <c:pt idx="1674">
                  <c:v>157992929.59999999</c:v>
                </c:pt>
                <c:pt idx="1675">
                  <c:v>157992929.59999999</c:v>
                </c:pt>
                <c:pt idx="1676">
                  <c:v>157992929.59999999</c:v>
                </c:pt>
                <c:pt idx="1677">
                  <c:v>157992929.59999999</c:v>
                </c:pt>
                <c:pt idx="1678">
                  <c:v>157992929.59999999</c:v>
                </c:pt>
                <c:pt idx="1679">
                  <c:v>157992929.59999999</c:v>
                </c:pt>
                <c:pt idx="1680">
                  <c:v>157992929.59999999</c:v>
                </c:pt>
                <c:pt idx="1681">
                  <c:v>157992929.59999999</c:v>
                </c:pt>
                <c:pt idx="1682">
                  <c:v>157992929.59999999</c:v>
                </c:pt>
                <c:pt idx="1683">
                  <c:v>157992929.59999999</c:v>
                </c:pt>
                <c:pt idx="1684">
                  <c:v>157992929.59999999</c:v>
                </c:pt>
                <c:pt idx="1685">
                  <c:v>157992929.59999999</c:v>
                </c:pt>
                <c:pt idx="1686">
                  <c:v>157992929.59999999</c:v>
                </c:pt>
                <c:pt idx="1687">
                  <c:v>157992929.59999999</c:v>
                </c:pt>
                <c:pt idx="1688">
                  <c:v>157992929.59999999</c:v>
                </c:pt>
                <c:pt idx="1689">
                  <c:v>157992929.59999999</c:v>
                </c:pt>
                <c:pt idx="1690">
                  <c:v>157992929.59999999</c:v>
                </c:pt>
                <c:pt idx="1691">
                  <c:v>157992929.59999999</c:v>
                </c:pt>
                <c:pt idx="1692">
                  <c:v>157992929.59999999</c:v>
                </c:pt>
                <c:pt idx="1693">
                  <c:v>157992929.59999999</c:v>
                </c:pt>
                <c:pt idx="1694">
                  <c:v>157992929.59999999</c:v>
                </c:pt>
                <c:pt idx="1695">
                  <c:v>157992929.59999999</c:v>
                </c:pt>
                <c:pt idx="1696">
                  <c:v>157992929.59999999</c:v>
                </c:pt>
                <c:pt idx="1697">
                  <c:v>157992929.59999999</c:v>
                </c:pt>
                <c:pt idx="1698">
                  <c:v>157992929.59999999</c:v>
                </c:pt>
                <c:pt idx="1699">
                  <c:v>157992929.59999999</c:v>
                </c:pt>
                <c:pt idx="1700">
                  <c:v>157992929.59999999</c:v>
                </c:pt>
                <c:pt idx="1701">
                  <c:v>157992929.59999999</c:v>
                </c:pt>
                <c:pt idx="1702">
                  <c:v>157992929.59999999</c:v>
                </c:pt>
                <c:pt idx="1703">
                  <c:v>157992929.59999999</c:v>
                </c:pt>
                <c:pt idx="1704">
                  <c:v>157992929.59999999</c:v>
                </c:pt>
                <c:pt idx="1705">
                  <c:v>157992929.59999999</c:v>
                </c:pt>
                <c:pt idx="1706">
                  <c:v>157992929.59999999</c:v>
                </c:pt>
                <c:pt idx="1707">
                  <c:v>157992929.59999999</c:v>
                </c:pt>
                <c:pt idx="1708">
                  <c:v>157992929.59999999</c:v>
                </c:pt>
                <c:pt idx="1709">
                  <c:v>157992929.59999999</c:v>
                </c:pt>
                <c:pt idx="1710">
                  <c:v>157992929.59999999</c:v>
                </c:pt>
                <c:pt idx="1711">
                  <c:v>157992929.59999999</c:v>
                </c:pt>
                <c:pt idx="1712">
                  <c:v>157992929.59999999</c:v>
                </c:pt>
                <c:pt idx="1713">
                  <c:v>157992929.59999999</c:v>
                </c:pt>
                <c:pt idx="1714">
                  <c:v>157992929.59999999</c:v>
                </c:pt>
                <c:pt idx="1715">
                  <c:v>157992929.59999999</c:v>
                </c:pt>
                <c:pt idx="1716">
                  <c:v>157992929.59999999</c:v>
                </c:pt>
                <c:pt idx="1717">
                  <c:v>157992929.59999999</c:v>
                </c:pt>
                <c:pt idx="1718">
                  <c:v>157992929.59999999</c:v>
                </c:pt>
                <c:pt idx="1719">
                  <c:v>157992929.59999999</c:v>
                </c:pt>
                <c:pt idx="1720">
                  <c:v>157992929.59999999</c:v>
                </c:pt>
                <c:pt idx="1721">
                  <c:v>157992929.59999999</c:v>
                </c:pt>
                <c:pt idx="1722">
                  <c:v>157992929.59999999</c:v>
                </c:pt>
                <c:pt idx="1723">
                  <c:v>157992929.59999999</c:v>
                </c:pt>
                <c:pt idx="1724">
                  <c:v>157992929.59999999</c:v>
                </c:pt>
                <c:pt idx="1725">
                  <c:v>157992929.59999999</c:v>
                </c:pt>
                <c:pt idx="1726">
                  <c:v>157992929.59999999</c:v>
                </c:pt>
                <c:pt idx="1727">
                  <c:v>157992929.59999999</c:v>
                </c:pt>
                <c:pt idx="1728">
                  <c:v>157992929.59999999</c:v>
                </c:pt>
                <c:pt idx="1729">
                  <c:v>157992929.59999999</c:v>
                </c:pt>
                <c:pt idx="1730">
                  <c:v>157992929.59999999</c:v>
                </c:pt>
                <c:pt idx="1731">
                  <c:v>157992929.59999999</c:v>
                </c:pt>
                <c:pt idx="1732">
                  <c:v>157992929.59999999</c:v>
                </c:pt>
                <c:pt idx="1733">
                  <c:v>157992929.59999999</c:v>
                </c:pt>
                <c:pt idx="1734">
                  <c:v>157992929.59999999</c:v>
                </c:pt>
                <c:pt idx="1735">
                  <c:v>157992929.59999999</c:v>
                </c:pt>
                <c:pt idx="1736">
                  <c:v>157992929.59999999</c:v>
                </c:pt>
                <c:pt idx="1737">
                  <c:v>157992929.59999999</c:v>
                </c:pt>
                <c:pt idx="1738">
                  <c:v>157992929.59999999</c:v>
                </c:pt>
                <c:pt idx="1739">
                  <c:v>157992929.59999999</c:v>
                </c:pt>
                <c:pt idx="1740">
                  <c:v>157992929.59999999</c:v>
                </c:pt>
                <c:pt idx="1741">
                  <c:v>157992929.59999999</c:v>
                </c:pt>
                <c:pt idx="1742">
                  <c:v>157992929.59999999</c:v>
                </c:pt>
                <c:pt idx="1743">
                  <c:v>157992929.59999999</c:v>
                </c:pt>
                <c:pt idx="1744">
                  <c:v>157992929.59999999</c:v>
                </c:pt>
                <c:pt idx="1745">
                  <c:v>157992929.59999999</c:v>
                </c:pt>
                <c:pt idx="1746">
                  <c:v>157992929.59999999</c:v>
                </c:pt>
                <c:pt idx="1747">
                  <c:v>157992929.59999999</c:v>
                </c:pt>
                <c:pt idx="1748">
                  <c:v>157992929.59999999</c:v>
                </c:pt>
                <c:pt idx="1749">
                  <c:v>157992929.59999999</c:v>
                </c:pt>
                <c:pt idx="1750">
                  <c:v>157992929.59999999</c:v>
                </c:pt>
                <c:pt idx="1751">
                  <c:v>157992929.59999999</c:v>
                </c:pt>
                <c:pt idx="1752">
                  <c:v>157992929.59999999</c:v>
                </c:pt>
                <c:pt idx="1753">
                  <c:v>157992929.59999999</c:v>
                </c:pt>
                <c:pt idx="1754">
                  <c:v>157992929.59999999</c:v>
                </c:pt>
                <c:pt idx="1755">
                  <c:v>157992929.59999999</c:v>
                </c:pt>
                <c:pt idx="1756">
                  <c:v>157992929.59999999</c:v>
                </c:pt>
                <c:pt idx="1757">
                  <c:v>157992929.59999999</c:v>
                </c:pt>
                <c:pt idx="1758">
                  <c:v>157992929.59999999</c:v>
                </c:pt>
                <c:pt idx="1759">
                  <c:v>157992929.59999999</c:v>
                </c:pt>
                <c:pt idx="1760">
                  <c:v>157992929.59999999</c:v>
                </c:pt>
                <c:pt idx="1761">
                  <c:v>157992929.59999999</c:v>
                </c:pt>
                <c:pt idx="1762">
                  <c:v>157992929.59999999</c:v>
                </c:pt>
                <c:pt idx="1763">
                  <c:v>157992929.59999999</c:v>
                </c:pt>
                <c:pt idx="1764">
                  <c:v>157992929.59999999</c:v>
                </c:pt>
                <c:pt idx="1765">
                  <c:v>157992929.59999999</c:v>
                </c:pt>
                <c:pt idx="1766">
                  <c:v>157992929.59999999</c:v>
                </c:pt>
                <c:pt idx="1767">
                  <c:v>157992929.59999999</c:v>
                </c:pt>
                <c:pt idx="1768">
                  <c:v>157992929.59999999</c:v>
                </c:pt>
                <c:pt idx="1769">
                  <c:v>157992929.59999999</c:v>
                </c:pt>
                <c:pt idx="1770">
                  <c:v>157992929.59999999</c:v>
                </c:pt>
                <c:pt idx="1771">
                  <c:v>157992929.59999999</c:v>
                </c:pt>
                <c:pt idx="1772">
                  <c:v>157992929.59999999</c:v>
                </c:pt>
                <c:pt idx="1773">
                  <c:v>157992929.59999999</c:v>
                </c:pt>
                <c:pt idx="1774">
                  <c:v>157992929.59999999</c:v>
                </c:pt>
                <c:pt idx="1775">
                  <c:v>157992929.59999999</c:v>
                </c:pt>
                <c:pt idx="1776">
                  <c:v>157992929.59999999</c:v>
                </c:pt>
                <c:pt idx="1777">
                  <c:v>157992929.59999999</c:v>
                </c:pt>
                <c:pt idx="1778">
                  <c:v>157992929.59999999</c:v>
                </c:pt>
                <c:pt idx="1779">
                  <c:v>157992929.59999999</c:v>
                </c:pt>
                <c:pt idx="1780">
                  <c:v>157992929.59999999</c:v>
                </c:pt>
                <c:pt idx="1781">
                  <c:v>157992929.59999999</c:v>
                </c:pt>
                <c:pt idx="1782">
                  <c:v>157992929.59999999</c:v>
                </c:pt>
                <c:pt idx="1783">
                  <c:v>157992929.59999999</c:v>
                </c:pt>
                <c:pt idx="1784">
                  <c:v>157992929.59999999</c:v>
                </c:pt>
                <c:pt idx="1785">
                  <c:v>157992929.59999999</c:v>
                </c:pt>
                <c:pt idx="1786">
                  <c:v>157992929.59999999</c:v>
                </c:pt>
                <c:pt idx="1787">
                  <c:v>157992929.59999999</c:v>
                </c:pt>
                <c:pt idx="1788">
                  <c:v>157992929.59999999</c:v>
                </c:pt>
                <c:pt idx="1789">
                  <c:v>157992929.59999999</c:v>
                </c:pt>
                <c:pt idx="1790">
                  <c:v>157992929.59999999</c:v>
                </c:pt>
                <c:pt idx="1791">
                  <c:v>157992929.59999999</c:v>
                </c:pt>
                <c:pt idx="1792">
                  <c:v>157992929.59999999</c:v>
                </c:pt>
                <c:pt idx="1793">
                  <c:v>157992929.59999999</c:v>
                </c:pt>
                <c:pt idx="1794">
                  <c:v>157992929.59999999</c:v>
                </c:pt>
                <c:pt idx="1795">
                  <c:v>157992929.59999999</c:v>
                </c:pt>
                <c:pt idx="1796">
                  <c:v>157992929.59999999</c:v>
                </c:pt>
                <c:pt idx="1797">
                  <c:v>157992929.59999999</c:v>
                </c:pt>
                <c:pt idx="1798">
                  <c:v>157992929.59999999</c:v>
                </c:pt>
                <c:pt idx="1799">
                  <c:v>157992929.59999999</c:v>
                </c:pt>
                <c:pt idx="1800">
                  <c:v>157992929.59999999</c:v>
                </c:pt>
                <c:pt idx="1801">
                  <c:v>157992929.59999999</c:v>
                </c:pt>
                <c:pt idx="1802">
                  <c:v>157992929.59999999</c:v>
                </c:pt>
                <c:pt idx="1803">
                  <c:v>157992929.59999999</c:v>
                </c:pt>
                <c:pt idx="1804">
                  <c:v>157992929.59999999</c:v>
                </c:pt>
                <c:pt idx="1805">
                  <c:v>157992929.59999999</c:v>
                </c:pt>
                <c:pt idx="1806">
                  <c:v>157992929.59999999</c:v>
                </c:pt>
                <c:pt idx="1807">
                  <c:v>157992929.59999999</c:v>
                </c:pt>
                <c:pt idx="1808">
                  <c:v>157992929.59999999</c:v>
                </c:pt>
                <c:pt idx="1809">
                  <c:v>157992929.59999999</c:v>
                </c:pt>
                <c:pt idx="1810">
                  <c:v>157992929.59999999</c:v>
                </c:pt>
                <c:pt idx="1811">
                  <c:v>157992929.59999999</c:v>
                </c:pt>
                <c:pt idx="1812">
                  <c:v>157992929.59999999</c:v>
                </c:pt>
                <c:pt idx="1813">
                  <c:v>157992929.59999999</c:v>
                </c:pt>
                <c:pt idx="1814">
                  <c:v>157992929.59999999</c:v>
                </c:pt>
                <c:pt idx="1815">
                  <c:v>157992929.59999999</c:v>
                </c:pt>
                <c:pt idx="1816">
                  <c:v>157992929.59999999</c:v>
                </c:pt>
                <c:pt idx="1817">
                  <c:v>157992929.59999999</c:v>
                </c:pt>
                <c:pt idx="1818">
                  <c:v>157992929.59999999</c:v>
                </c:pt>
                <c:pt idx="1819">
                  <c:v>157992929.59999999</c:v>
                </c:pt>
                <c:pt idx="1820">
                  <c:v>157992929.59999999</c:v>
                </c:pt>
                <c:pt idx="1821">
                  <c:v>157992929.59999999</c:v>
                </c:pt>
                <c:pt idx="1822">
                  <c:v>157992929.59999999</c:v>
                </c:pt>
                <c:pt idx="1823">
                  <c:v>157992929.59999999</c:v>
                </c:pt>
                <c:pt idx="1824">
                  <c:v>157992929.59999999</c:v>
                </c:pt>
                <c:pt idx="1825">
                  <c:v>157992929.59999999</c:v>
                </c:pt>
                <c:pt idx="1826">
                  <c:v>157992929.59999999</c:v>
                </c:pt>
                <c:pt idx="1827">
                  <c:v>157992929.59999999</c:v>
                </c:pt>
                <c:pt idx="1828">
                  <c:v>157992929.59999999</c:v>
                </c:pt>
                <c:pt idx="1829">
                  <c:v>157992929.59999999</c:v>
                </c:pt>
                <c:pt idx="1830">
                  <c:v>157992929.59999999</c:v>
                </c:pt>
                <c:pt idx="1831">
                  <c:v>157992929.59999999</c:v>
                </c:pt>
                <c:pt idx="1832">
                  <c:v>157992929.59999999</c:v>
                </c:pt>
                <c:pt idx="1833">
                  <c:v>157992929.59999999</c:v>
                </c:pt>
                <c:pt idx="1834">
                  <c:v>157992929.59999999</c:v>
                </c:pt>
                <c:pt idx="1835">
                  <c:v>157992929.59999999</c:v>
                </c:pt>
                <c:pt idx="1836">
                  <c:v>157992929.59999999</c:v>
                </c:pt>
                <c:pt idx="1837">
                  <c:v>157992929.59999999</c:v>
                </c:pt>
                <c:pt idx="1838">
                  <c:v>157992929.59999999</c:v>
                </c:pt>
                <c:pt idx="1839">
                  <c:v>157992929.59999999</c:v>
                </c:pt>
                <c:pt idx="1840">
                  <c:v>157992929.59999999</c:v>
                </c:pt>
                <c:pt idx="1841">
                  <c:v>157992929.59999999</c:v>
                </c:pt>
                <c:pt idx="1842">
                  <c:v>157992929.59999999</c:v>
                </c:pt>
                <c:pt idx="1843">
                  <c:v>157992929.59999999</c:v>
                </c:pt>
                <c:pt idx="1844">
                  <c:v>157992929.59999999</c:v>
                </c:pt>
                <c:pt idx="1845">
                  <c:v>157992929.59999999</c:v>
                </c:pt>
                <c:pt idx="1846">
                  <c:v>157992929.59999999</c:v>
                </c:pt>
                <c:pt idx="1847">
                  <c:v>157992929.59999999</c:v>
                </c:pt>
                <c:pt idx="1848">
                  <c:v>157992929.59999999</c:v>
                </c:pt>
                <c:pt idx="1849">
                  <c:v>157992929.59999999</c:v>
                </c:pt>
                <c:pt idx="1850">
                  <c:v>157992929.59999999</c:v>
                </c:pt>
                <c:pt idx="1851">
                  <c:v>157992929.59999999</c:v>
                </c:pt>
                <c:pt idx="1852">
                  <c:v>157992929.59999999</c:v>
                </c:pt>
                <c:pt idx="1853">
                  <c:v>157992929.59999999</c:v>
                </c:pt>
                <c:pt idx="1854">
                  <c:v>157992929.59999999</c:v>
                </c:pt>
                <c:pt idx="1855">
                  <c:v>157992929.59999999</c:v>
                </c:pt>
                <c:pt idx="1856">
                  <c:v>157992929.59999999</c:v>
                </c:pt>
                <c:pt idx="1857">
                  <c:v>157992929.59999999</c:v>
                </c:pt>
                <c:pt idx="1858">
                  <c:v>157992929.59999999</c:v>
                </c:pt>
                <c:pt idx="1859">
                  <c:v>157992929.59999999</c:v>
                </c:pt>
                <c:pt idx="1860">
                  <c:v>157992929.59999999</c:v>
                </c:pt>
                <c:pt idx="1861">
                  <c:v>157992929.59999999</c:v>
                </c:pt>
                <c:pt idx="1862">
                  <c:v>157992929.59999999</c:v>
                </c:pt>
                <c:pt idx="1863">
                  <c:v>157992929.59999999</c:v>
                </c:pt>
                <c:pt idx="1864">
                  <c:v>157992929.59999999</c:v>
                </c:pt>
                <c:pt idx="1865">
                  <c:v>157992929.59999999</c:v>
                </c:pt>
                <c:pt idx="1866">
                  <c:v>157992929.59999999</c:v>
                </c:pt>
                <c:pt idx="1867">
                  <c:v>157992929.59999999</c:v>
                </c:pt>
                <c:pt idx="1868">
                  <c:v>157992929.59999999</c:v>
                </c:pt>
                <c:pt idx="1869">
                  <c:v>157992929.59999999</c:v>
                </c:pt>
                <c:pt idx="1870">
                  <c:v>157992929.59999999</c:v>
                </c:pt>
                <c:pt idx="1871">
                  <c:v>157992929.59999999</c:v>
                </c:pt>
                <c:pt idx="1872">
                  <c:v>157992929.59999999</c:v>
                </c:pt>
                <c:pt idx="1873">
                  <c:v>157992929.59999999</c:v>
                </c:pt>
                <c:pt idx="1874">
                  <c:v>157992929.59999999</c:v>
                </c:pt>
                <c:pt idx="1875">
                  <c:v>157992929.59999999</c:v>
                </c:pt>
                <c:pt idx="1876">
                  <c:v>157992929.59999999</c:v>
                </c:pt>
                <c:pt idx="1877">
                  <c:v>157992929.59999999</c:v>
                </c:pt>
                <c:pt idx="1878">
                  <c:v>157992929.59999999</c:v>
                </c:pt>
                <c:pt idx="1879">
                  <c:v>157992929.59999999</c:v>
                </c:pt>
                <c:pt idx="1880">
                  <c:v>157992929.59999999</c:v>
                </c:pt>
                <c:pt idx="1881">
                  <c:v>157992929.59999999</c:v>
                </c:pt>
                <c:pt idx="1882">
                  <c:v>157992929.59999999</c:v>
                </c:pt>
                <c:pt idx="1883">
                  <c:v>157992929.59999999</c:v>
                </c:pt>
                <c:pt idx="1884">
                  <c:v>157992929.59999999</c:v>
                </c:pt>
                <c:pt idx="1885">
                  <c:v>157992929.59999999</c:v>
                </c:pt>
                <c:pt idx="1886">
                  <c:v>157992929.59999999</c:v>
                </c:pt>
                <c:pt idx="1887">
                  <c:v>157992929.59999999</c:v>
                </c:pt>
                <c:pt idx="1888">
                  <c:v>157992929.59999999</c:v>
                </c:pt>
                <c:pt idx="1889">
                  <c:v>157992929.59999999</c:v>
                </c:pt>
                <c:pt idx="1890">
                  <c:v>157992929.59999999</c:v>
                </c:pt>
                <c:pt idx="1891">
                  <c:v>157992929.59999999</c:v>
                </c:pt>
                <c:pt idx="1892">
                  <c:v>157992929.59999999</c:v>
                </c:pt>
                <c:pt idx="1893">
                  <c:v>157992929.59999999</c:v>
                </c:pt>
                <c:pt idx="1894">
                  <c:v>157992929.59999999</c:v>
                </c:pt>
                <c:pt idx="1895">
                  <c:v>157992929.59999999</c:v>
                </c:pt>
                <c:pt idx="1896">
                  <c:v>157992929.59999999</c:v>
                </c:pt>
                <c:pt idx="1897">
                  <c:v>157992929.59999999</c:v>
                </c:pt>
                <c:pt idx="1898">
                  <c:v>157992929.59999999</c:v>
                </c:pt>
                <c:pt idx="1899">
                  <c:v>157992929.59999999</c:v>
                </c:pt>
                <c:pt idx="1900">
                  <c:v>157992929.59999999</c:v>
                </c:pt>
                <c:pt idx="1901">
                  <c:v>157992929.59999999</c:v>
                </c:pt>
                <c:pt idx="1902">
                  <c:v>157992929.59999999</c:v>
                </c:pt>
                <c:pt idx="1903">
                  <c:v>157992929.59999999</c:v>
                </c:pt>
                <c:pt idx="1904">
                  <c:v>157992929.59999999</c:v>
                </c:pt>
                <c:pt idx="1905">
                  <c:v>157992929.59999999</c:v>
                </c:pt>
                <c:pt idx="1906">
                  <c:v>157992929.59999999</c:v>
                </c:pt>
                <c:pt idx="1907">
                  <c:v>157992929.59999999</c:v>
                </c:pt>
                <c:pt idx="1908">
                  <c:v>157992929.59999999</c:v>
                </c:pt>
                <c:pt idx="1909">
                  <c:v>157992929.59999999</c:v>
                </c:pt>
                <c:pt idx="1910">
                  <c:v>157992929.59999999</c:v>
                </c:pt>
                <c:pt idx="1911">
                  <c:v>157992929.59999999</c:v>
                </c:pt>
                <c:pt idx="1912">
                  <c:v>157992929.59999999</c:v>
                </c:pt>
                <c:pt idx="1913">
                  <c:v>157992929.59999999</c:v>
                </c:pt>
                <c:pt idx="1914">
                  <c:v>157992929.59999999</c:v>
                </c:pt>
                <c:pt idx="1915">
                  <c:v>157992929.59999999</c:v>
                </c:pt>
                <c:pt idx="1916">
                  <c:v>157992929.59999999</c:v>
                </c:pt>
                <c:pt idx="1917">
                  <c:v>157992929.59999999</c:v>
                </c:pt>
                <c:pt idx="1918">
                  <c:v>157992929.59999999</c:v>
                </c:pt>
                <c:pt idx="1919">
                  <c:v>157992929.59999999</c:v>
                </c:pt>
                <c:pt idx="1920">
                  <c:v>157992929.59999999</c:v>
                </c:pt>
                <c:pt idx="1921">
                  <c:v>157992929.59999999</c:v>
                </c:pt>
                <c:pt idx="1922">
                  <c:v>157992929.59999999</c:v>
                </c:pt>
                <c:pt idx="1923">
                  <c:v>157992929.59999999</c:v>
                </c:pt>
                <c:pt idx="1924">
                  <c:v>157992929.59999999</c:v>
                </c:pt>
                <c:pt idx="1925">
                  <c:v>157992929.59999999</c:v>
                </c:pt>
                <c:pt idx="1926">
                  <c:v>157992929.59999999</c:v>
                </c:pt>
                <c:pt idx="1927">
                  <c:v>157992929.59999999</c:v>
                </c:pt>
                <c:pt idx="1928">
                  <c:v>157992929.59999999</c:v>
                </c:pt>
                <c:pt idx="1929">
                  <c:v>157992929.59999999</c:v>
                </c:pt>
                <c:pt idx="1930">
                  <c:v>157992929.59999999</c:v>
                </c:pt>
                <c:pt idx="1931">
                  <c:v>157992929.59999999</c:v>
                </c:pt>
                <c:pt idx="1932">
                  <c:v>157992929.59999999</c:v>
                </c:pt>
                <c:pt idx="1933">
                  <c:v>157992929.59999999</c:v>
                </c:pt>
                <c:pt idx="1934">
                  <c:v>157992929.59999999</c:v>
                </c:pt>
                <c:pt idx="1935">
                  <c:v>157992929.59999999</c:v>
                </c:pt>
                <c:pt idx="1936">
                  <c:v>157992929.59999999</c:v>
                </c:pt>
                <c:pt idx="1937">
                  <c:v>157992929.59999999</c:v>
                </c:pt>
                <c:pt idx="1938">
                  <c:v>157992929.59999999</c:v>
                </c:pt>
                <c:pt idx="1939">
                  <c:v>157992929.59999999</c:v>
                </c:pt>
                <c:pt idx="1940">
                  <c:v>157992929.59999999</c:v>
                </c:pt>
                <c:pt idx="1941">
                  <c:v>157992929.59999999</c:v>
                </c:pt>
                <c:pt idx="1942">
                  <c:v>157992929.59999999</c:v>
                </c:pt>
                <c:pt idx="1943">
                  <c:v>157992929.59999999</c:v>
                </c:pt>
                <c:pt idx="1944">
                  <c:v>157992929.59999999</c:v>
                </c:pt>
                <c:pt idx="1945">
                  <c:v>157992929.59999999</c:v>
                </c:pt>
                <c:pt idx="1946">
                  <c:v>157992929.59999999</c:v>
                </c:pt>
                <c:pt idx="1947">
                  <c:v>157992929.59999999</c:v>
                </c:pt>
                <c:pt idx="1948">
                  <c:v>157992929.59999999</c:v>
                </c:pt>
                <c:pt idx="1949">
                  <c:v>157992929.59999999</c:v>
                </c:pt>
                <c:pt idx="1950">
                  <c:v>157992929.59999999</c:v>
                </c:pt>
                <c:pt idx="1951">
                  <c:v>157992929.59999999</c:v>
                </c:pt>
                <c:pt idx="1952">
                  <c:v>157992929.59999999</c:v>
                </c:pt>
                <c:pt idx="1953">
                  <c:v>157992929.59999999</c:v>
                </c:pt>
                <c:pt idx="1954">
                  <c:v>157992929.59999999</c:v>
                </c:pt>
                <c:pt idx="1955">
                  <c:v>157992929.59999999</c:v>
                </c:pt>
                <c:pt idx="1956">
                  <c:v>157992929.59999999</c:v>
                </c:pt>
                <c:pt idx="1957">
                  <c:v>157992929.59999999</c:v>
                </c:pt>
                <c:pt idx="1958">
                  <c:v>157992929.59999999</c:v>
                </c:pt>
                <c:pt idx="1959">
                  <c:v>157992929.59999999</c:v>
                </c:pt>
                <c:pt idx="1960">
                  <c:v>157992929.59999999</c:v>
                </c:pt>
                <c:pt idx="1961">
                  <c:v>157992929.59999999</c:v>
                </c:pt>
                <c:pt idx="1962">
                  <c:v>157992929.59999999</c:v>
                </c:pt>
                <c:pt idx="1963">
                  <c:v>157992929.59999999</c:v>
                </c:pt>
                <c:pt idx="1964">
                  <c:v>157992929.59999999</c:v>
                </c:pt>
                <c:pt idx="1965">
                  <c:v>157992929.59999999</c:v>
                </c:pt>
                <c:pt idx="1966">
                  <c:v>157992929.59999999</c:v>
                </c:pt>
                <c:pt idx="1967">
                  <c:v>157992929.59999999</c:v>
                </c:pt>
                <c:pt idx="1968">
                  <c:v>157992929.59999999</c:v>
                </c:pt>
                <c:pt idx="1969">
                  <c:v>157992929.59999999</c:v>
                </c:pt>
                <c:pt idx="1970">
                  <c:v>157992929.59999999</c:v>
                </c:pt>
                <c:pt idx="1971">
                  <c:v>157992929.59999999</c:v>
                </c:pt>
                <c:pt idx="1972">
                  <c:v>157992929.59999999</c:v>
                </c:pt>
                <c:pt idx="1973">
                  <c:v>157992929.59999999</c:v>
                </c:pt>
                <c:pt idx="1974">
                  <c:v>157992929.59999999</c:v>
                </c:pt>
                <c:pt idx="1975">
                  <c:v>157992929.59999999</c:v>
                </c:pt>
                <c:pt idx="1976">
                  <c:v>157992929.59999999</c:v>
                </c:pt>
                <c:pt idx="1977">
                  <c:v>157992929.59999999</c:v>
                </c:pt>
                <c:pt idx="1978">
                  <c:v>157992929.59999999</c:v>
                </c:pt>
                <c:pt idx="1979">
                  <c:v>157992929.59999999</c:v>
                </c:pt>
                <c:pt idx="1980">
                  <c:v>157992929.59999999</c:v>
                </c:pt>
                <c:pt idx="1981">
                  <c:v>157992929.59999999</c:v>
                </c:pt>
                <c:pt idx="1982">
                  <c:v>157992929.59999999</c:v>
                </c:pt>
                <c:pt idx="1983">
                  <c:v>157992929.59999999</c:v>
                </c:pt>
                <c:pt idx="1984">
                  <c:v>157992929.59999999</c:v>
                </c:pt>
                <c:pt idx="1985">
                  <c:v>157992929.59999999</c:v>
                </c:pt>
                <c:pt idx="1986">
                  <c:v>157992929.59999999</c:v>
                </c:pt>
                <c:pt idx="1987">
                  <c:v>157992929.59999999</c:v>
                </c:pt>
                <c:pt idx="1988">
                  <c:v>157992929.59999999</c:v>
                </c:pt>
                <c:pt idx="1989">
                  <c:v>157992929.59999999</c:v>
                </c:pt>
                <c:pt idx="1990">
                  <c:v>157992929.59999999</c:v>
                </c:pt>
                <c:pt idx="1991">
                  <c:v>157992929.59999999</c:v>
                </c:pt>
                <c:pt idx="1992">
                  <c:v>157992929.59999999</c:v>
                </c:pt>
                <c:pt idx="1993">
                  <c:v>157992929.59999999</c:v>
                </c:pt>
                <c:pt idx="1994">
                  <c:v>157992929.59999999</c:v>
                </c:pt>
                <c:pt idx="1995">
                  <c:v>157992929.59999999</c:v>
                </c:pt>
                <c:pt idx="1996">
                  <c:v>157992929.59999999</c:v>
                </c:pt>
                <c:pt idx="1997">
                  <c:v>157992929.59999999</c:v>
                </c:pt>
                <c:pt idx="1998">
                  <c:v>157992929.59999999</c:v>
                </c:pt>
                <c:pt idx="1999">
                  <c:v>157992929.59999999</c:v>
                </c:pt>
                <c:pt idx="2000">
                  <c:v>157992929.59999999</c:v>
                </c:pt>
                <c:pt idx="2001">
                  <c:v>157992929.59999999</c:v>
                </c:pt>
                <c:pt idx="2002">
                  <c:v>157992929.59999999</c:v>
                </c:pt>
                <c:pt idx="2003">
                  <c:v>157992929.59999999</c:v>
                </c:pt>
                <c:pt idx="2004">
                  <c:v>157992929.59999999</c:v>
                </c:pt>
                <c:pt idx="2005">
                  <c:v>157992929.59999999</c:v>
                </c:pt>
                <c:pt idx="2006">
                  <c:v>157992929.59999999</c:v>
                </c:pt>
                <c:pt idx="2007">
                  <c:v>157992929.59999999</c:v>
                </c:pt>
                <c:pt idx="2008">
                  <c:v>157992929.59999999</c:v>
                </c:pt>
                <c:pt idx="2009">
                  <c:v>157992929.59999999</c:v>
                </c:pt>
                <c:pt idx="2010">
                  <c:v>157992929.59999999</c:v>
                </c:pt>
                <c:pt idx="2011">
                  <c:v>157992929.59999999</c:v>
                </c:pt>
                <c:pt idx="2012">
                  <c:v>157992929.59999999</c:v>
                </c:pt>
                <c:pt idx="2013">
                  <c:v>157992929.59999999</c:v>
                </c:pt>
                <c:pt idx="2014">
                  <c:v>157992929.59999999</c:v>
                </c:pt>
                <c:pt idx="2015">
                  <c:v>157992929.59999999</c:v>
                </c:pt>
                <c:pt idx="2016">
                  <c:v>157992929.59999999</c:v>
                </c:pt>
                <c:pt idx="2017">
                  <c:v>157992929.59999999</c:v>
                </c:pt>
                <c:pt idx="2018">
                  <c:v>157992929.59999999</c:v>
                </c:pt>
                <c:pt idx="2019">
                  <c:v>157992929.59999999</c:v>
                </c:pt>
                <c:pt idx="2020">
                  <c:v>157992929.59999999</c:v>
                </c:pt>
                <c:pt idx="2021">
                  <c:v>157992929.59999999</c:v>
                </c:pt>
                <c:pt idx="2022">
                  <c:v>157992929.59999999</c:v>
                </c:pt>
                <c:pt idx="2023">
                  <c:v>157992929.59999999</c:v>
                </c:pt>
                <c:pt idx="2024">
                  <c:v>157992929.59999999</c:v>
                </c:pt>
                <c:pt idx="2025">
                  <c:v>157992929.59999999</c:v>
                </c:pt>
                <c:pt idx="2026">
                  <c:v>157992929.59999999</c:v>
                </c:pt>
                <c:pt idx="2027">
                  <c:v>157992929.59999999</c:v>
                </c:pt>
                <c:pt idx="2028">
                  <c:v>157992929.59999999</c:v>
                </c:pt>
                <c:pt idx="2029">
                  <c:v>157992929.59999999</c:v>
                </c:pt>
                <c:pt idx="2030">
                  <c:v>157992929.59999999</c:v>
                </c:pt>
                <c:pt idx="2031">
                  <c:v>157992929.59999999</c:v>
                </c:pt>
                <c:pt idx="2032">
                  <c:v>157992929.59999999</c:v>
                </c:pt>
                <c:pt idx="2033">
                  <c:v>157992929.59999999</c:v>
                </c:pt>
                <c:pt idx="2034">
                  <c:v>157992929.59999999</c:v>
                </c:pt>
                <c:pt idx="2035">
                  <c:v>157992929.59999999</c:v>
                </c:pt>
                <c:pt idx="2036">
                  <c:v>157992929.59999999</c:v>
                </c:pt>
                <c:pt idx="2037">
                  <c:v>157992929.59999999</c:v>
                </c:pt>
                <c:pt idx="2038">
                  <c:v>157992929.59999999</c:v>
                </c:pt>
                <c:pt idx="2039">
                  <c:v>157992929.59999999</c:v>
                </c:pt>
                <c:pt idx="2040">
                  <c:v>157992929.59999999</c:v>
                </c:pt>
                <c:pt idx="2041">
                  <c:v>157992929.59999999</c:v>
                </c:pt>
                <c:pt idx="2042">
                  <c:v>157992929.59999999</c:v>
                </c:pt>
                <c:pt idx="2043">
                  <c:v>157992929.59999999</c:v>
                </c:pt>
                <c:pt idx="2044">
                  <c:v>157992929.59999999</c:v>
                </c:pt>
                <c:pt idx="2045">
                  <c:v>157992929.59999999</c:v>
                </c:pt>
                <c:pt idx="2046">
                  <c:v>157992929.59999999</c:v>
                </c:pt>
                <c:pt idx="2047">
                  <c:v>157992929.59999999</c:v>
                </c:pt>
                <c:pt idx="2048">
                  <c:v>157992929.59999999</c:v>
                </c:pt>
                <c:pt idx="2049">
                  <c:v>157992929.59999999</c:v>
                </c:pt>
                <c:pt idx="2050">
                  <c:v>157992929.59999999</c:v>
                </c:pt>
                <c:pt idx="2051">
                  <c:v>157992929.59999999</c:v>
                </c:pt>
                <c:pt idx="2052">
                  <c:v>157992929.59999999</c:v>
                </c:pt>
                <c:pt idx="2053">
                  <c:v>157992929.59999999</c:v>
                </c:pt>
                <c:pt idx="2054">
                  <c:v>157992929.59999999</c:v>
                </c:pt>
                <c:pt idx="2055">
                  <c:v>157992929.59999999</c:v>
                </c:pt>
                <c:pt idx="2056">
                  <c:v>157992929.59999999</c:v>
                </c:pt>
                <c:pt idx="2057">
                  <c:v>157992929.59999999</c:v>
                </c:pt>
                <c:pt idx="2058">
                  <c:v>157992929.59999999</c:v>
                </c:pt>
                <c:pt idx="2059">
                  <c:v>157992929.59999999</c:v>
                </c:pt>
                <c:pt idx="2060">
                  <c:v>157992929.59999999</c:v>
                </c:pt>
                <c:pt idx="2061">
                  <c:v>157992929.59999999</c:v>
                </c:pt>
                <c:pt idx="2062">
                  <c:v>157992929.59999999</c:v>
                </c:pt>
                <c:pt idx="2063">
                  <c:v>157992929.59999999</c:v>
                </c:pt>
                <c:pt idx="2064">
                  <c:v>157992929.59999999</c:v>
                </c:pt>
                <c:pt idx="2065">
                  <c:v>157992929.59999999</c:v>
                </c:pt>
                <c:pt idx="2066">
                  <c:v>157992929.59999999</c:v>
                </c:pt>
                <c:pt idx="2067">
                  <c:v>157992929.59999999</c:v>
                </c:pt>
                <c:pt idx="2068">
                  <c:v>157992929.59999999</c:v>
                </c:pt>
                <c:pt idx="2069">
                  <c:v>157992929.59999999</c:v>
                </c:pt>
                <c:pt idx="2070">
                  <c:v>157992929.59999999</c:v>
                </c:pt>
                <c:pt idx="2071">
                  <c:v>157992929.59999999</c:v>
                </c:pt>
                <c:pt idx="2072">
                  <c:v>157992929.59999999</c:v>
                </c:pt>
                <c:pt idx="2073">
                  <c:v>157992929.59999999</c:v>
                </c:pt>
                <c:pt idx="2074">
                  <c:v>157992929.59999999</c:v>
                </c:pt>
                <c:pt idx="2075">
                  <c:v>157992929.59999999</c:v>
                </c:pt>
                <c:pt idx="2076">
                  <c:v>157992929.59999999</c:v>
                </c:pt>
                <c:pt idx="2077">
                  <c:v>157992929.59999999</c:v>
                </c:pt>
                <c:pt idx="2078">
                  <c:v>157992929.59999999</c:v>
                </c:pt>
                <c:pt idx="2079">
                  <c:v>157992929.59999999</c:v>
                </c:pt>
                <c:pt idx="2080">
                  <c:v>157992929.59999999</c:v>
                </c:pt>
                <c:pt idx="2081">
                  <c:v>157992929.59999999</c:v>
                </c:pt>
                <c:pt idx="2082">
                  <c:v>157992929.59999999</c:v>
                </c:pt>
                <c:pt idx="2083">
                  <c:v>157992929.59999999</c:v>
                </c:pt>
                <c:pt idx="2084">
                  <c:v>157992929.59999999</c:v>
                </c:pt>
                <c:pt idx="2085">
                  <c:v>157992929.59999999</c:v>
                </c:pt>
                <c:pt idx="2086">
                  <c:v>157992929.59999999</c:v>
                </c:pt>
                <c:pt idx="2087">
                  <c:v>157992929.59999999</c:v>
                </c:pt>
                <c:pt idx="2088">
                  <c:v>157992929.59999999</c:v>
                </c:pt>
                <c:pt idx="2089">
                  <c:v>157992929.59999999</c:v>
                </c:pt>
                <c:pt idx="2090">
                  <c:v>157992929.59999999</c:v>
                </c:pt>
                <c:pt idx="2091">
                  <c:v>157992929.59999999</c:v>
                </c:pt>
                <c:pt idx="2092">
                  <c:v>157992929.59999999</c:v>
                </c:pt>
                <c:pt idx="2093">
                  <c:v>157992929.59999999</c:v>
                </c:pt>
                <c:pt idx="2094">
                  <c:v>157992929.59999999</c:v>
                </c:pt>
                <c:pt idx="2095">
                  <c:v>157992929.59999999</c:v>
                </c:pt>
                <c:pt idx="2096">
                  <c:v>157992929.59999999</c:v>
                </c:pt>
                <c:pt idx="2097">
                  <c:v>157992929.59999999</c:v>
                </c:pt>
                <c:pt idx="2098">
                  <c:v>157992929.59999999</c:v>
                </c:pt>
                <c:pt idx="2099">
                  <c:v>157992929.59999999</c:v>
                </c:pt>
                <c:pt idx="2100">
                  <c:v>157992929.59999999</c:v>
                </c:pt>
                <c:pt idx="2101">
                  <c:v>157992929.59999999</c:v>
                </c:pt>
                <c:pt idx="2102">
                  <c:v>157992929.59999999</c:v>
                </c:pt>
                <c:pt idx="2103">
                  <c:v>157992929.59999999</c:v>
                </c:pt>
                <c:pt idx="2104">
                  <c:v>157992929.59999999</c:v>
                </c:pt>
                <c:pt idx="2105">
                  <c:v>157992929.59999999</c:v>
                </c:pt>
                <c:pt idx="2106">
                  <c:v>157992929.59999999</c:v>
                </c:pt>
                <c:pt idx="2107">
                  <c:v>157992929.59999999</c:v>
                </c:pt>
                <c:pt idx="2108">
                  <c:v>157992929.59999999</c:v>
                </c:pt>
                <c:pt idx="2109">
                  <c:v>157992929.59999999</c:v>
                </c:pt>
                <c:pt idx="2110">
                  <c:v>157992929.59999999</c:v>
                </c:pt>
                <c:pt idx="2111">
                  <c:v>157992929.59999999</c:v>
                </c:pt>
                <c:pt idx="2112">
                  <c:v>157992929.59999999</c:v>
                </c:pt>
                <c:pt idx="2113">
                  <c:v>157992929.59999999</c:v>
                </c:pt>
                <c:pt idx="2114">
                  <c:v>157992929.59999999</c:v>
                </c:pt>
                <c:pt idx="2115">
                  <c:v>157992929.59999999</c:v>
                </c:pt>
                <c:pt idx="2116">
                  <c:v>157992929.59999999</c:v>
                </c:pt>
                <c:pt idx="2117">
                  <c:v>157992929.59999999</c:v>
                </c:pt>
                <c:pt idx="2118">
                  <c:v>157992929.59999999</c:v>
                </c:pt>
                <c:pt idx="2119">
                  <c:v>157992929.59999999</c:v>
                </c:pt>
                <c:pt idx="2120">
                  <c:v>157992929.59999999</c:v>
                </c:pt>
                <c:pt idx="2121">
                  <c:v>157992929.59999999</c:v>
                </c:pt>
                <c:pt idx="2122">
                  <c:v>157992929.59999999</c:v>
                </c:pt>
                <c:pt idx="2123">
                  <c:v>157992929.59999999</c:v>
                </c:pt>
                <c:pt idx="2124">
                  <c:v>157992929.59999999</c:v>
                </c:pt>
                <c:pt idx="2125">
                  <c:v>157992929.59999999</c:v>
                </c:pt>
                <c:pt idx="2126">
                  <c:v>157992929.59999999</c:v>
                </c:pt>
                <c:pt idx="2127">
                  <c:v>157992929.59999999</c:v>
                </c:pt>
                <c:pt idx="2128">
                  <c:v>157992929.59999999</c:v>
                </c:pt>
                <c:pt idx="2129">
                  <c:v>157992929.59999999</c:v>
                </c:pt>
                <c:pt idx="2130">
                  <c:v>157992929.59999999</c:v>
                </c:pt>
                <c:pt idx="2131">
                  <c:v>157992929.59999999</c:v>
                </c:pt>
                <c:pt idx="2132">
                  <c:v>157992929.59999999</c:v>
                </c:pt>
                <c:pt idx="2133">
                  <c:v>157992929.59999999</c:v>
                </c:pt>
                <c:pt idx="2134">
                  <c:v>157992929.59999999</c:v>
                </c:pt>
                <c:pt idx="2135">
                  <c:v>157992929.59999999</c:v>
                </c:pt>
                <c:pt idx="2136">
                  <c:v>157992929.59999999</c:v>
                </c:pt>
                <c:pt idx="2137">
                  <c:v>157992929.59999999</c:v>
                </c:pt>
                <c:pt idx="2138">
                  <c:v>157992929.59999999</c:v>
                </c:pt>
                <c:pt idx="2139">
                  <c:v>157992929.59999999</c:v>
                </c:pt>
                <c:pt idx="2140">
                  <c:v>157992929.59999999</c:v>
                </c:pt>
                <c:pt idx="2141">
                  <c:v>157992929.59999999</c:v>
                </c:pt>
                <c:pt idx="2142">
                  <c:v>157992929.59999999</c:v>
                </c:pt>
                <c:pt idx="2143">
                  <c:v>157992929.59999999</c:v>
                </c:pt>
                <c:pt idx="2144">
                  <c:v>157992929.59999999</c:v>
                </c:pt>
                <c:pt idx="2145">
                  <c:v>157992929.59999999</c:v>
                </c:pt>
                <c:pt idx="2146">
                  <c:v>157992929.59999999</c:v>
                </c:pt>
                <c:pt idx="2147">
                  <c:v>157992929.59999999</c:v>
                </c:pt>
                <c:pt idx="2148">
                  <c:v>157992929.59999999</c:v>
                </c:pt>
                <c:pt idx="2149">
                  <c:v>157992929.59999999</c:v>
                </c:pt>
                <c:pt idx="2150">
                  <c:v>157992929.59999999</c:v>
                </c:pt>
                <c:pt idx="2151">
                  <c:v>157992929.59999999</c:v>
                </c:pt>
                <c:pt idx="2152">
                  <c:v>157992929.59999999</c:v>
                </c:pt>
                <c:pt idx="2153">
                  <c:v>157992929.59999999</c:v>
                </c:pt>
                <c:pt idx="2154">
                  <c:v>157992929.59999999</c:v>
                </c:pt>
                <c:pt idx="2155">
                  <c:v>157992929.59999999</c:v>
                </c:pt>
                <c:pt idx="2156">
                  <c:v>157992929.59999999</c:v>
                </c:pt>
                <c:pt idx="2157">
                  <c:v>157992929.59999999</c:v>
                </c:pt>
                <c:pt idx="2158">
                  <c:v>157992929.59999999</c:v>
                </c:pt>
                <c:pt idx="2159">
                  <c:v>157992929.59999999</c:v>
                </c:pt>
                <c:pt idx="2160">
                  <c:v>157992929.59999999</c:v>
                </c:pt>
                <c:pt idx="2161">
                  <c:v>157992929.59999999</c:v>
                </c:pt>
                <c:pt idx="2162">
                  <c:v>157992929.59999999</c:v>
                </c:pt>
                <c:pt idx="2163">
                  <c:v>157992929.59999999</c:v>
                </c:pt>
                <c:pt idx="2164">
                  <c:v>157992929.59999999</c:v>
                </c:pt>
                <c:pt idx="2165">
                  <c:v>157992929.59999999</c:v>
                </c:pt>
                <c:pt idx="2166">
                  <c:v>157992929.59999999</c:v>
                </c:pt>
                <c:pt idx="2167">
                  <c:v>157992929.59999999</c:v>
                </c:pt>
                <c:pt idx="2168">
                  <c:v>157992929.59999999</c:v>
                </c:pt>
                <c:pt idx="2169">
                  <c:v>157992929.59999999</c:v>
                </c:pt>
                <c:pt idx="2170">
                  <c:v>157992929.59999999</c:v>
                </c:pt>
                <c:pt idx="2171">
                  <c:v>157992929.59999999</c:v>
                </c:pt>
                <c:pt idx="2172">
                  <c:v>157992929.59999999</c:v>
                </c:pt>
                <c:pt idx="2173">
                  <c:v>157992929.59999999</c:v>
                </c:pt>
                <c:pt idx="2174">
                  <c:v>157992929.59999999</c:v>
                </c:pt>
                <c:pt idx="2175">
                  <c:v>157992929.59999999</c:v>
                </c:pt>
                <c:pt idx="2176">
                  <c:v>157992929.59999999</c:v>
                </c:pt>
                <c:pt idx="2177">
                  <c:v>157992929.59999999</c:v>
                </c:pt>
                <c:pt idx="2178">
                  <c:v>157992929.59999999</c:v>
                </c:pt>
                <c:pt idx="2179">
                  <c:v>157992929.59999999</c:v>
                </c:pt>
                <c:pt idx="2180">
                  <c:v>157992929.59999999</c:v>
                </c:pt>
                <c:pt idx="2181">
                  <c:v>157992929.59999999</c:v>
                </c:pt>
                <c:pt idx="2182">
                  <c:v>157992929.59999999</c:v>
                </c:pt>
                <c:pt idx="2183">
                  <c:v>157992929.59999999</c:v>
                </c:pt>
                <c:pt idx="2184">
                  <c:v>157992929.59999999</c:v>
                </c:pt>
                <c:pt idx="2185">
                  <c:v>157992929.59999999</c:v>
                </c:pt>
                <c:pt idx="2186">
                  <c:v>157992929.59999999</c:v>
                </c:pt>
                <c:pt idx="2187">
                  <c:v>157992929.59999999</c:v>
                </c:pt>
                <c:pt idx="2188">
                  <c:v>157992929.59999999</c:v>
                </c:pt>
                <c:pt idx="2189">
                  <c:v>157992929.59999999</c:v>
                </c:pt>
                <c:pt idx="2190">
                  <c:v>157992929.59999999</c:v>
                </c:pt>
                <c:pt idx="2191">
                  <c:v>157992929.59999999</c:v>
                </c:pt>
                <c:pt idx="2192">
                  <c:v>157992929.59999999</c:v>
                </c:pt>
                <c:pt idx="2193">
                  <c:v>157992929.59999999</c:v>
                </c:pt>
                <c:pt idx="2194">
                  <c:v>157992929.59999999</c:v>
                </c:pt>
                <c:pt idx="2195">
                  <c:v>157992929.59999999</c:v>
                </c:pt>
                <c:pt idx="2196">
                  <c:v>157992929.59999999</c:v>
                </c:pt>
                <c:pt idx="2197">
                  <c:v>157992929.59999999</c:v>
                </c:pt>
                <c:pt idx="2198">
                  <c:v>157992929.59999999</c:v>
                </c:pt>
                <c:pt idx="2199">
                  <c:v>157992929.59999999</c:v>
                </c:pt>
                <c:pt idx="2200">
                  <c:v>157992929.59999999</c:v>
                </c:pt>
                <c:pt idx="2201">
                  <c:v>157992929.59999999</c:v>
                </c:pt>
                <c:pt idx="2202">
                  <c:v>157992929.59999999</c:v>
                </c:pt>
                <c:pt idx="2203">
                  <c:v>157992929.59999999</c:v>
                </c:pt>
                <c:pt idx="2204">
                  <c:v>157992929.59999999</c:v>
                </c:pt>
                <c:pt idx="2205">
                  <c:v>157992929.59999999</c:v>
                </c:pt>
                <c:pt idx="2206">
                  <c:v>157992929.59999999</c:v>
                </c:pt>
                <c:pt idx="2207">
                  <c:v>157992929.59999999</c:v>
                </c:pt>
                <c:pt idx="2208">
                  <c:v>157992929.59999999</c:v>
                </c:pt>
                <c:pt idx="2209">
                  <c:v>157992929.59999999</c:v>
                </c:pt>
                <c:pt idx="2210">
                  <c:v>157992929.59999999</c:v>
                </c:pt>
                <c:pt idx="2211">
                  <c:v>157992929.59999999</c:v>
                </c:pt>
                <c:pt idx="2212">
                  <c:v>157992929.59999999</c:v>
                </c:pt>
                <c:pt idx="2213">
                  <c:v>157992929.59999999</c:v>
                </c:pt>
                <c:pt idx="2214">
                  <c:v>157992929.59999999</c:v>
                </c:pt>
                <c:pt idx="2215">
                  <c:v>157992929.59999999</c:v>
                </c:pt>
                <c:pt idx="2216">
                  <c:v>157992929.59999999</c:v>
                </c:pt>
                <c:pt idx="2217">
                  <c:v>157992929.59999999</c:v>
                </c:pt>
                <c:pt idx="2218">
                  <c:v>157992929.59999999</c:v>
                </c:pt>
                <c:pt idx="2219">
                  <c:v>157992929.59999999</c:v>
                </c:pt>
                <c:pt idx="2220">
                  <c:v>157992929.59999999</c:v>
                </c:pt>
                <c:pt idx="2221">
                  <c:v>157992929.59999999</c:v>
                </c:pt>
                <c:pt idx="2222">
                  <c:v>157992929.59999999</c:v>
                </c:pt>
                <c:pt idx="2223">
                  <c:v>157992929.59999999</c:v>
                </c:pt>
                <c:pt idx="2224">
                  <c:v>157992929.59999999</c:v>
                </c:pt>
                <c:pt idx="2225">
                  <c:v>157992929.59999999</c:v>
                </c:pt>
                <c:pt idx="2226">
                  <c:v>157992929.59999999</c:v>
                </c:pt>
                <c:pt idx="2227">
                  <c:v>157992929.59999999</c:v>
                </c:pt>
                <c:pt idx="2228">
                  <c:v>157992929.59999999</c:v>
                </c:pt>
                <c:pt idx="2229">
                  <c:v>157992929.59999999</c:v>
                </c:pt>
                <c:pt idx="2230">
                  <c:v>157992929.59999999</c:v>
                </c:pt>
                <c:pt idx="2231">
                  <c:v>157992929.59999999</c:v>
                </c:pt>
                <c:pt idx="2232">
                  <c:v>157992929.59999999</c:v>
                </c:pt>
                <c:pt idx="2233">
                  <c:v>157992929.59999999</c:v>
                </c:pt>
                <c:pt idx="2234">
                  <c:v>157992929.59999999</c:v>
                </c:pt>
                <c:pt idx="2235">
                  <c:v>157992929.59999999</c:v>
                </c:pt>
                <c:pt idx="2236">
                  <c:v>157992929.59999999</c:v>
                </c:pt>
                <c:pt idx="2237">
                  <c:v>157992929.59999999</c:v>
                </c:pt>
                <c:pt idx="2238">
                  <c:v>157992929.59999999</c:v>
                </c:pt>
                <c:pt idx="2239">
                  <c:v>157992929.59999999</c:v>
                </c:pt>
                <c:pt idx="2240">
                  <c:v>157992929.59999999</c:v>
                </c:pt>
                <c:pt idx="2241">
                  <c:v>157992929.59999999</c:v>
                </c:pt>
                <c:pt idx="2242">
                  <c:v>157992929.59999999</c:v>
                </c:pt>
                <c:pt idx="2243">
                  <c:v>157992929.59999999</c:v>
                </c:pt>
                <c:pt idx="2244">
                  <c:v>157992929.59999999</c:v>
                </c:pt>
                <c:pt idx="2245">
                  <c:v>157992929.59999999</c:v>
                </c:pt>
                <c:pt idx="2246">
                  <c:v>157992929.59999999</c:v>
                </c:pt>
                <c:pt idx="2247">
                  <c:v>157992929.59999999</c:v>
                </c:pt>
                <c:pt idx="2248">
                  <c:v>157992929.59999999</c:v>
                </c:pt>
                <c:pt idx="2249">
                  <c:v>157992929.59999999</c:v>
                </c:pt>
                <c:pt idx="2250">
                  <c:v>157992929.59999999</c:v>
                </c:pt>
                <c:pt idx="2251">
                  <c:v>157992929.59999999</c:v>
                </c:pt>
                <c:pt idx="2252">
                  <c:v>157992929.59999999</c:v>
                </c:pt>
                <c:pt idx="2253">
                  <c:v>157992929.59999999</c:v>
                </c:pt>
                <c:pt idx="2254">
                  <c:v>157992929.59999999</c:v>
                </c:pt>
                <c:pt idx="2255">
                  <c:v>157992929.59999999</c:v>
                </c:pt>
                <c:pt idx="2256">
                  <c:v>157992929.59999999</c:v>
                </c:pt>
                <c:pt idx="2257">
                  <c:v>157992929.59999999</c:v>
                </c:pt>
                <c:pt idx="2258">
                  <c:v>157992929.59999999</c:v>
                </c:pt>
                <c:pt idx="2259">
                  <c:v>157992929.59999999</c:v>
                </c:pt>
                <c:pt idx="2260">
                  <c:v>157992929.59999999</c:v>
                </c:pt>
                <c:pt idx="2261">
                  <c:v>157992929.59999999</c:v>
                </c:pt>
                <c:pt idx="2262">
                  <c:v>157992929.59999999</c:v>
                </c:pt>
                <c:pt idx="2263">
                  <c:v>157992929.59999999</c:v>
                </c:pt>
                <c:pt idx="2264">
                  <c:v>157992929.59999999</c:v>
                </c:pt>
                <c:pt idx="2265">
                  <c:v>157992929.59999999</c:v>
                </c:pt>
                <c:pt idx="2266">
                  <c:v>157992929.59999999</c:v>
                </c:pt>
                <c:pt idx="2267">
                  <c:v>157992929.59999999</c:v>
                </c:pt>
                <c:pt idx="2268">
                  <c:v>157992929.59999999</c:v>
                </c:pt>
                <c:pt idx="2269">
                  <c:v>157992929.59999999</c:v>
                </c:pt>
                <c:pt idx="2270">
                  <c:v>157992929.59999999</c:v>
                </c:pt>
                <c:pt idx="2271">
                  <c:v>157992929.59999999</c:v>
                </c:pt>
                <c:pt idx="2272">
                  <c:v>157992929.59999999</c:v>
                </c:pt>
                <c:pt idx="2273">
                  <c:v>157992929.59999999</c:v>
                </c:pt>
                <c:pt idx="2274">
                  <c:v>157992929.59999999</c:v>
                </c:pt>
                <c:pt idx="2275">
                  <c:v>157992929.59999999</c:v>
                </c:pt>
                <c:pt idx="2276">
                  <c:v>157992929.59999999</c:v>
                </c:pt>
                <c:pt idx="2277">
                  <c:v>157992929.59999999</c:v>
                </c:pt>
                <c:pt idx="2278">
                  <c:v>157992929.59999999</c:v>
                </c:pt>
                <c:pt idx="2279">
                  <c:v>157992929.59999999</c:v>
                </c:pt>
                <c:pt idx="2280">
                  <c:v>157992929.59999999</c:v>
                </c:pt>
                <c:pt idx="2281">
                  <c:v>157992929.59999999</c:v>
                </c:pt>
                <c:pt idx="2282">
                  <c:v>157992929.59999999</c:v>
                </c:pt>
                <c:pt idx="2283">
                  <c:v>157992929.59999999</c:v>
                </c:pt>
                <c:pt idx="2284">
                  <c:v>157992929.59999999</c:v>
                </c:pt>
                <c:pt idx="2285">
                  <c:v>157992929.59999999</c:v>
                </c:pt>
                <c:pt idx="2286">
                  <c:v>157992929.59999999</c:v>
                </c:pt>
                <c:pt idx="2287">
                  <c:v>157992929.59999999</c:v>
                </c:pt>
                <c:pt idx="2288">
                  <c:v>157992929.59999999</c:v>
                </c:pt>
                <c:pt idx="2289">
                  <c:v>157992929.59999999</c:v>
                </c:pt>
                <c:pt idx="2290">
                  <c:v>157992929.59999999</c:v>
                </c:pt>
                <c:pt idx="2291">
                  <c:v>157992929.59999999</c:v>
                </c:pt>
                <c:pt idx="2292">
                  <c:v>157992929.59999999</c:v>
                </c:pt>
                <c:pt idx="2293">
                  <c:v>157992929.59999999</c:v>
                </c:pt>
                <c:pt idx="2294">
                  <c:v>157992929.59999999</c:v>
                </c:pt>
                <c:pt idx="2295">
                  <c:v>157992929.59999999</c:v>
                </c:pt>
                <c:pt idx="2296">
                  <c:v>157992929.59999999</c:v>
                </c:pt>
                <c:pt idx="2297">
                  <c:v>157992929.59999999</c:v>
                </c:pt>
                <c:pt idx="2298">
                  <c:v>157992929.59999999</c:v>
                </c:pt>
                <c:pt idx="2299">
                  <c:v>157992929.59999999</c:v>
                </c:pt>
                <c:pt idx="2300">
                  <c:v>157992929.59999999</c:v>
                </c:pt>
                <c:pt idx="2301">
                  <c:v>157992929.59999999</c:v>
                </c:pt>
                <c:pt idx="2302">
                  <c:v>157992929.59999999</c:v>
                </c:pt>
                <c:pt idx="2303">
                  <c:v>157992929.59999999</c:v>
                </c:pt>
                <c:pt idx="2304">
                  <c:v>157992929.59999999</c:v>
                </c:pt>
                <c:pt idx="2305">
                  <c:v>157992929.59999999</c:v>
                </c:pt>
                <c:pt idx="2306">
                  <c:v>157992929.59999999</c:v>
                </c:pt>
                <c:pt idx="2307">
                  <c:v>157992929.59999999</c:v>
                </c:pt>
                <c:pt idx="2308">
                  <c:v>157992929.59999999</c:v>
                </c:pt>
                <c:pt idx="2309">
                  <c:v>157992929.59999999</c:v>
                </c:pt>
                <c:pt idx="2310">
                  <c:v>157992929.59999999</c:v>
                </c:pt>
                <c:pt idx="2311">
                  <c:v>157992929.59999999</c:v>
                </c:pt>
                <c:pt idx="2312">
                  <c:v>157992929.59999999</c:v>
                </c:pt>
                <c:pt idx="2313">
                  <c:v>157992929.59999999</c:v>
                </c:pt>
                <c:pt idx="2314">
                  <c:v>157992929.59999999</c:v>
                </c:pt>
                <c:pt idx="2315">
                  <c:v>157992929.59999999</c:v>
                </c:pt>
                <c:pt idx="2316">
                  <c:v>157992929.59999999</c:v>
                </c:pt>
                <c:pt idx="2317">
                  <c:v>157992929.59999999</c:v>
                </c:pt>
                <c:pt idx="2318">
                  <c:v>157992929.59999999</c:v>
                </c:pt>
                <c:pt idx="2319">
                  <c:v>157992929.59999999</c:v>
                </c:pt>
                <c:pt idx="2320">
                  <c:v>157992929.59999999</c:v>
                </c:pt>
                <c:pt idx="2321">
                  <c:v>157992929.59999999</c:v>
                </c:pt>
                <c:pt idx="2322">
                  <c:v>157992929.59999999</c:v>
                </c:pt>
                <c:pt idx="2323">
                  <c:v>157992929.59999999</c:v>
                </c:pt>
                <c:pt idx="2324">
                  <c:v>157992929.59999999</c:v>
                </c:pt>
                <c:pt idx="2325">
                  <c:v>157992929.59999999</c:v>
                </c:pt>
                <c:pt idx="2326">
                  <c:v>157992929.59999999</c:v>
                </c:pt>
                <c:pt idx="2327">
                  <c:v>157992929.59999999</c:v>
                </c:pt>
                <c:pt idx="2328">
                  <c:v>157992929.59999999</c:v>
                </c:pt>
                <c:pt idx="2329">
                  <c:v>157992929.59999999</c:v>
                </c:pt>
                <c:pt idx="2330">
                  <c:v>157992929.59999999</c:v>
                </c:pt>
                <c:pt idx="2331">
                  <c:v>157992929.59999999</c:v>
                </c:pt>
                <c:pt idx="2332">
                  <c:v>157992929.59999999</c:v>
                </c:pt>
                <c:pt idx="2333">
                  <c:v>157992929.59999999</c:v>
                </c:pt>
                <c:pt idx="2334">
                  <c:v>157992929.59999999</c:v>
                </c:pt>
                <c:pt idx="2335">
                  <c:v>157992929.59999999</c:v>
                </c:pt>
                <c:pt idx="2336">
                  <c:v>157992929.59999999</c:v>
                </c:pt>
                <c:pt idx="2337">
                  <c:v>157992929.59999999</c:v>
                </c:pt>
                <c:pt idx="2338">
                  <c:v>157992929.59999999</c:v>
                </c:pt>
                <c:pt idx="2339">
                  <c:v>157992929.59999999</c:v>
                </c:pt>
                <c:pt idx="2340">
                  <c:v>157992929.59999999</c:v>
                </c:pt>
                <c:pt idx="2341">
                  <c:v>157992929.59999999</c:v>
                </c:pt>
                <c:pt idx="2342">
                  <c:v>157992929.59999999</c:v>
                </c:pt>
                <c:pt idx="2343">
                  <c:v>157992929.59999999</c:v>
                </c:pt>
                <c:pt idx="2344">
                  <c:v>157992929.59999999</c:v>
                </c:pt>
                <c:pt idx="2345">
                  <c:v>157992929.59999999</c:v>
                </c:pt>
                <c:pt idx="2346">
                  <c:v>157992929.59999999</c:v>
                </c:pt>
                <c:pt idx="2347">
                  <c:v>157992929.59999999</c:v>
                </c:pt>
                <c:pt idx="2348">
                  <c:v>157992929.59999999</c:v>
                </c:pt>
                <c:pt idx="2349">
                  <c:v>157992929.59999999</c:v>
                </c:pt>
                <c:pt idx="2350">
                  <c:v>157992929.59999999</c:v>
                </c:pt>
                <c:pt idx="2351">
                  <c:v>157992929.59999999</c:v>
                </c:pt>
                <c:pt idx="2352">
                  <c:v>157992929.59999999</c:v>
                </c:pt>
                <c:pt idx="2353">
                  <c:v>157992929.59999999</c:v>
                </c:pt>
                <c:pt idx="2354">
                  <c:v>157992929.59999999</c:v>
                </c:pt>
                <c:pt idx="2355">
                  <c:v>157992929.59999999</c:v>
                </c:pt>
                <c:pt idx="2356">
                  <c:v>157992929.59999999</c:v>
                </c:pt>
                <c:pt idx="2357">
                  <c:v>157992929.59999999</c:v>
                </c:pt>
                <c:pt idx="2358">
                  <c:v>157992929.59999999</c:v>
                </c:pt>
                <c:pt idx="2359">
                  <c:v>157992929.59999999</c:v>
                </c:pt>
                <c:pt idx="2360">
                  <c:v>157992929.59999999</c:v>
                </c:pt>
                <c:pt idx="2361">
                  <c:v>157992929.59999999</c:v>
                </c:pt>
                <c:pt idx="2362">
                  <c:v>157992929.59999999</c:v>
                </c:pt>
                <c:pt idx="2363">
                  <c:v>157992929.59999999</c:v>
                </c:pt>
                <c:pt idx="2364">
                  <c:v>157992929.59999999</c:v>
                </c:pt>
                <c:pt idx="2365">
                  <c:v>157992929.59999999</c:v>
                </c:pt>
                <c:pt idx="2366">
                  <c:v>157992929.59999999</c:v>
                </c:pt>
                <c:pt idx="2367">
                  <c:v>157992929.59999999</c:v>
                </c:pt>
                <c:pt idx="2368">
                  <c:v>157992929.59999999</c:v>
                </c:pt>
                <c:pt idx="2369">
                  <c:v>157992929.59999999</c:v>
                </c:pt>
                <c:pt idx="2370">
                  <c:v>157992929.59999999</c:v>
                </c:pt>
                <c:pt idx="2371">
                  <c:v>157992929.59999999</c:v>
                </c:pt>
                <c:pt idx="2372">
                  <c:v>157992929.59999999</c:v>
                </c:pt>
                <c:pt idx="2373">
                  <c:v>157992929.59999999</c:v>
                </c:pt>
                <c:pt idx="2374">
                  <c:v>157992929.59999999</c:v>
                </c:pt>
                <c:pt idx="2375">
                  <c:v>157992929.59999999</c:v>
                </c:pt>
                <c:pt idx="2376">
                  <c:v>157992929.59999999</c:v>
                </c:pt>
                <c:pt idx="2377">
                  <c:v>157992929.59999999</c:v>
                </c:pt>
                <c:pt idx="2378">
                  <c:v>157992929.59999999</c:v>
                </c:pt>
                <c:pt idx="2379">
                  <c:v>157992929.59999999</c:v>
                </c:pt>
                <c:pt idx="2380">
                  <c:v>157992929.59999999</c:v>
                </c:pt>
                <c:pt idx="2381">
                  <c:v>157992929.59999999</c:v>
                </c:pt>
                <c:pt idx="2382">
                  <c:v>157992929.59999999</c:v>
                </c:pt>
                <c:pt idx="2383">
                  <c:v>157992929.59999999</c:v>
                </c:pt>
                <c:pt idx="2384">
                  <c:v>157992929.59999999</c:v>
                </c:pt>
                <c:pt idx="2385">
                  <c:v>157992929.59999999</c:v>
                </c:pt>
                <c:pt idx="2386">
                  <c:v>157992929.59999999</c:v>
                </c:pt>
                <c:pt idx="2387">
                  <c:v>157992929.59999999</c:v>
                </c:pt>
                <c:pt idx="2388">
                  <c:v>157992929.59999999</c:v>
                </c:pt>
                <c:pt idx="2389">
                  <c:v>157992929.59999999</c:v>
                </c:pt>
                <c:pt idx="2390">
                  <c:v>157992929.59999999</c:v>
                </c:pt>
                <c:pt idx="2391">
                  <c:v>157992929.59999999</c:v>
                </c:pt>
                <c:pt idx="2392">
                  <c:v>157992929.59999999</c:v>
                </c:pt>
                <c:pt idx="2393">
                  <c:v>157992929.59999999</c:v>
                </c:pt>
                <c:pt idx="2394">
                  <c:v>157992929.59999999</c:v>
                </c:pt>
                <c:pt idx="2395">
                  <c:v>157992929.59999999</c:v>
                </c:pt>
                <c:pt idx="2396">
                  <c:v>157992929.59999999</c:v>
                </c:pt>
                <c:pt idx="2397">
                  <c:v>157992929.59999999</c:v>
                </c:pt>
                <c:pt idx="2398">
                  <c:v>157992929.59999999</c:v>
                </c:pt>
                <c:pt idx="2399">
                  <c:v>157992929.59999999</c:v>
                </c:pt>
                <c:pt idx="2400">
                  <c:v>157992929.59999999</c:v>
                </c:pt>
                <c:pt idx="2401">
                  <c:v>157992929.59999999</c:v>
                </c:pt>
                <c:pt idx="2402">
                  <c:v>157992929.59999999</c:v>
                </c:pt>
                <c:pt idx="2403">
                  <c:v>157992929.59999999</c:v>
                </c:pt>
                <c:pt idx="2404">
                  <c:v>157992929.59999999</c:v>
                </c:pt>
                <c:pt idx="2405">
                  <c:v>157992929.59999999</c:v>
                </c:pt>
                <c:pt idx="2406">
                  <c:v>157992929.59999999</c:v>
                </c:pt>
                <c:pt idx="2407">
                  <c:v>157992929.59999999</c:v>
                </c:pt>
                <c:pt idx="2408">
                  <c:v>157992929.59999999</c:v>
                </c:pt>
                <c:pt idx="2409">
                  <c:v>157992929.59999999</c:v>
                </c:pt>
                <c:pt idx="2410">
                  <c:v>157992929.59999999</c:v>
                </c:pt>
                <c:pt idx="2411">
                  <c:v>157992929.59999999</c:v>
                </c:pt>
                <c:pt idx="2412">
                  <c:v>157992929.59999999</c:v>
                </c:pt>
                <c:pt idx="2413">
                  <c:v>157992929.59999999</c:v>
                </c:pt>
                <c:pt idx="2414">
                  <c:v>157992929.59999999</c:v>
                </c:pt>
                <c:pt idx="2415">
                  <c:v>157992929.59999999</c:v>
                </c:pt>
                <c:pt idx="2416">
                  <c:v>157992929.59999999</c:v>
                </c:pt>
                <c:pt idx="2417">
                  <c:v>157992929.59999999</c:v>
                </c:pt>
                <c:pt idx="2418">
                  <c:v>157992929.59999999</c:v>
                </c:pt>
                <c:pt idx="2419">
                  <c:v>157992929.59999999</c:v>
                </c:pt>
                <c:pt idx="2420">
                  <c:v>157992929.59999999</c:v>
                </c:pt>
                <c:pt idx="2421">
                  <c:v>157992929.59999999</c:v>
                </c:pt>
                <c:pt idx="2422">
                  <c:v>157992929.59999999</c:v>
                </c:pt>
                <c:pt idx="2423">
                  <c:v>157992929.59999999</c:v>
                </c:pt>
                <c:pt idx="2424">
                  <c:v>157992929.59999999</c:v>
                </c:pt>
                <c:pt idx="2425">
                  <c:v>157992929.59999999</c:v>
                </c:pt>
                <c:pt idx="2426">
                  <c:v>157992929.59999999</c:v>
                </c:pt>
                <c:pt idx="2427">
                  <c:v>157992929.59999999</c:v>
                </c:pt>
                <c:pt idx="2428">
                  <c:v>157992929.59999999</c:v>
                </c:pt>
                <c:pt idx="2429">
                  <c:v>157992929.59999999</c:v>
                </c:pt>
                <c:pt idx="2430">
                  <c:v>157992929.59999999</c:v>
                </c:pt>
                <c:pt idx="2431">
                  <c:v>157992929.59999999</c:v>
                </c:pt>
                <c:pt idx="2432">
                  <c:v>157992929.59999999</c:v>
                </c:pt>
                <c:pt idx="2433">
                  <c:v>157992929.59999999</c:v>
                </c:pt>
                <c:pt idx="2434">
                  <c:v>157992929.59999999</c:v>
                </c:pt>
                <c:pt idx="2435">
                  <c:v>157992929.59999999</c:v>
                </c:pt>
                <c:pt idx="2436">
                  <c:v>157992929.59999999</c:v>
                </c:pt>
                <c:pt idx="2437">
                  <c:v>157992929.59999999</c:v>
                </c:pt>
                <c:pt idx="2438">
                  <c:v>157992929.59999999</c:v>
                </c:pt>
                <c:pt idx="2439">
                  <c:v>157992929.59999999</c:v>
                </c:pt>
                <c:pt idx="2440">
                  <c:v>157992929.59999999</c:v>
                </c:pt>
                <c:pt idx="2441">
                  <c:v>157992929.59999999</c:v>
                </c:pt>
                <c:pt idx="2442">
                  <c:v>157992929.59999999</c:v>
                </c:pt>
                <c:pt idx="2443">
                  <c:v>157992929.59999999</c:v>
                </c:pt>
                <c:pt idx="2444">
                  <c:v>157992929.59999999</c:v>
                </c:pt>
                <c:pt idx="2445">
                  <c:v>157992929.59999999</c:v>
                </c:pt>
                <c:pt idx="2446">
                  <c:v>157992929.59999999</c:v>
                </c:pt>
                <c:pt idx="2447">
                  <c:v>157992929.59999999</c:v>
                </c:pt>
                <c:pt idx="2448">
                  <c:v>157992929.59999999</c:v>
                </c:pt>
                <c:pt idx="2449">
                  <c:v>157992929.59999999</c:v>
                </c:pt>
                <c:pt idx="2450">
                  <c:v>157992929.59999999</c:v>
                </c:pt>
                <c:pt idx="2451">
                  <c:v>157992929.59999999</c:v>
                </c:pt>
                <c:pt idx="2452">
                  <c:v>157992929.59999999</c:v>
                </c:pt>
                <c:pt idx="2453">
                  <c:v>157992929.59999999</c:v>
                </c:pt>
                <c:pt idx="2454">
                  <c:v>157992929.59999999</c:v>
                </c:pt>
                <c:pt idx="2455">
                  <c:v>157992929.59999999</c:v>
                </c:pt>
                <c:pt idx="2456">
                  <c:v>157992929.59999999</c:v>
                </c:pt>
                <c:pt idx="2457">
                  <c:v>157992929.59999999</c:v>
                </c:pt>
                <c:pt idx="2458">
                  <c:v>157992929.59999999</c:v>
                </c:pt>
                <c:pt idx="2459">
                  <c:v>157992929.59999999</c:v>
                </c:pt>
                <c:pt idx="2460">
                  <c:v>157992929.59999999</c:v>
                </c:pt>
                <c:pt idx="2461">
                  <c:v>157992929.59999999</c:v>
                </c:pt>
                <c:pt idx="2462">
                  <c:v>157992929.59999999</c:v>
                </c:pt>
                <c:pt idx="2463">
                  <c:v>157992929.59999999</c:v>
                </c:pt>
                <c:pt idx="2464">
                  <c:v>157992929.59999999</c:v>
                </c:pt>
                <c:pt idx="2465">
                  <c:v>157992929.59999999</c:v>
                </c:pt>
                <c:pt idx="2466">
                  <c:v>157992929.59999999</c:v>
                </c:pt>
                <c:pt idx="2467">
                  <c:v>157992929.59999999</c:v>
                </c:pt>
                <c:pt idx="2468">
                  <c:v>157992929.59999999</c:v>
                </c:pt>
                <c:pt idx="2469">
                  <c:v>157992929.59999999</c:v>
                </c:pt>
                <c:pt idx="2470">
                  <c:v>157992929.59999999</c:v>
                </c:pt>
                <c:pt idx="2471">
                  <c:v>157992929.59999999</c:v>
                </c:pt>
                <c:pt idx="2472">
                  <c:v>157992929.59999999</c:v>
                </c:pt>
                <c:pt idx="2473">
                  <c:v>157992929.59999999</c:v>
                </c:pt>
                <c:pt idx="2474">
                  <c:v>157992929.59999999</c:v>
                </c:pt>
                <c:pt idx="2475">
                  <c:v>157992929.59999999</c:v>
                </c:pt>
                <c:pt idx="2476">
                  <c:v>157992929.59999999</c:v>
                </c:pt>
                <c:pt idx="2477">
                  <c:v>157992929.59999999</c:v>
                </c:pt>
                <c:pt idx="2478">
                  <c:v>157992929.59999999</c:v>
                </c:pt>
                <c:pt idx="2479">
                  <c:v>157992929.59999999</c:v>
                </c:pt>
                <c:pt idx="2480">
                  <c:v>157992929.59999999</c:v>
                </c:pt>
                <c:pt idx="2481">
                  <c:v>157992929.59999999</c:v>
                </c:pt>
                <c:pt idx="2482">
                  <c:v>157992929.59999999</c:v>
                </c:pt>
                <c:pt idx="2483">
                  <c:v>157992929.59999999</c:v>
                </c:pt>
                <c:pt idx="2484">
                  <c:v>157992929.59999999</c:v>
                </c:pt>
                <c:pt idx="2485">
                  <c:v>157992929.59999999</c:v>
                </c:pt>
                <c:pt idx="2486">
                  <c:v>157992929.59999999</c:v>
                </c:pt>
                <c:pt idx="2487">
                  <c:v>157992929.59999999</c:v>
                </c:pt>
                <c:pt idx="2488">
                  <c:v>157992929.59999999</c:v>
                </c:pt>
                <c:pt idx="2489">
                  <c:v>157992929.59999999</c:v>
                </c:pt>
                <c:pt idx="2490">
                  <c:v>157992929.59999999</c:v>
                </c:pt>
                <c:pt idx="2491">
                  <c:v>157992929.59999999</c:v>
                </c:pt>
                <c:pt idx="2492">
                  <c:v>157992929.59999999</c:v>
                </c:pt>
                <c:pt idx="2493">
                  <c:v>157992929.59999999</c:v>
                </c:pt>
                <c:pt idx="2494">
                  <c:v>157992929.59999999</c:v>
                </c:pt>
                <c:pt idx="2495">
                  <c:v>157992929.59999999</c:v>
                </c:pt>
                <c:pt idx="2496">
                  <c:v>157992929.59999999</c:v>
                </c:pt>
                <c:pt idx="2497">
                  <c:v>157992929.59999999</c:v>
                </c:pt>
                <c:pt idx="2498">
                  <c:v>157992929.59999999</c:v>
                </c:pt>
                <c:pt idx="2499">
                  <c:v>157992929.59999999</c:v>
                </c:pt>
                <c:pt idx="2500">
                  <c:v>157992929.59999999</c:v>
                </c:pt>
                <c:pt idx="2501">
                  <c:v>157992929.59999999</c:v>
                </c:pt>
                <c:pt idx="2502">
                  <c:v>157992929.59999999</c:v>
                </c:pt>
                <c:pt idx="2503">
                  <c:v>157992929.59999999</c:v>
                </c:pt>
                <c:pt idx="2504">
                  <c:v>157992929.59999999</c:v>
                </c:pt>
                <c:pt idx="2505">
                  <c:v>157992929.59999999</c:v>
                </c:pt>
                <c:pt idx="2506">
                  <c:v>157992929.59999999</c:v>
                </c:pt>
                <c:pt idx="2507">
                  <c:v>157992929.59999999</c:v>
                </c:pt>
                <c:pt idx="2508">
                  <c:v>157992929.59999999</c:v>
                </c:pt>
                <c:pt idx="2509">
                  <c:v>157992929.59999999</c:v>
                </c:pt>
                <c:pt idx="2510">
                  <c:v>157992929.59999999</c:v>
                </c:pt>
                <c:pt idx="2511">
                  <c:v>157992929.59999999</c:v>
                </c:pt>
                <c:pt idx="2512">
                  <c:v>157992929.59999999</c:v>
                </c:pt>
                <c:pt idx="2513">
                  <c:v>157992929.59999999</c:v>
                </c:pt>
                <c:pt idx="2514">
                  <c:v>157992929.59999999</c:v>
                </c:pt>
                <c:pt idx="2515">
                  <c:v>157992929.59999999</c:v>
                </c:pt>
                <c:pt idx="2516">
                  <c:v>157992929.59999999</c:v>
                </c:pt>
                <c:pt idx="2517">
                  <c:v>157992929.59999999</c:v>
                </c:pt>
                <c:pt idx="2518">
                  <c:v>157992929.59999999</c:v>
                </c:pt>
                <c:pt idx="2519">
                  <c:v>157992929.59999999</c:v>
                </c:pt>
                <c:pt idx="2520">
                  <c:v>157992929.59999999</c:v>
                </c:pt>
                <c:pt idx="2521">
                  <c:v>157992929.59999999</c:v>
                </c:pt>
                <c:pt idx="2522">
                  <c:v>157992929.59999999</c:v>
                </c:pt>
                <c:pt idx="2523">
                  <c:v>157992929.59999999</c:v>
                </c:pt>
                <c:pt idx="2524">
                  <c:v>157992929.59999999</c:v>
                </c:pt>
                <c:pt idx="2525">
                  <c:v>157992929.59999999</c:v>
                </c:pt>
                <c:pt idx="2526">
                  <c:v>157992929.59999999</c:v>
                </c:pt>
                <c:pt idx="2527">
                  <c:v>157992929.59999999</c:v>
                </c:pt>
                <c:pt idx="2528">
                  <c:v>157992929.59999999</c:v>
                </c:pt>
                <c:pt idx="2529">
                  <c:v>157992929.59999999</c:v>
                </c:pt>
                <c:pt idx="2530">
                  <c:v>157992929.59999999</c:v>
                </c:pt>
                <c:pt idx="2531">
                  <c:v>157992929.59999999</c:v>
                </c:pt>
                <c:pt idx="2532">
                  <c:v>157992929.59999999</c:v>
                </c:pt>
                <c:pt idx="2533">
                  <c:v>157992929.59999999</c:v>
                </c:pt>
                <c:pt idx="2534">
                  <c:v>157992929.59999999</c:v>
                </c:pt>
                <c:pt idx="2535">
                  <c:v>157992929.59999999</c:v>
                </c:pt>
                <c:pt idx="2536">
                  <c:v>157992929.59999999</c:v>
                </c:pt>
                <c:pt idx="2537">
                  <c:v>157992929.59999999</c:v>
                </c:pt>
                <c:pt idx="2538">
                  <c:v>157992929.59999999</c:v>
                </c:pt>
                <c:pt idx="2539">
                  <c:v>157992929.59999999</c:v>
                </c:pt>
                <c:pt idx="2540">
                  <c:v>157992929.59999999</c:v>
                </c:pt>
                <c:pt idx="2541">
                  <c:v>157992929.59999999</c:v>
                </c:pt>
                <c:pt idx="2542">
                  <c:v>157992929.59999999</c:v>
                </c:pt>
                <c:pt idx="2543">
                  <c:v>157992929.59999999</c:v>
                </c:pt>
                <c:pt idx="2544">
                  <c:v>157992929.59999999</c:v>
                </c:pt>
                <c:pt idx="2545">
                  <c:v>157992929.59999999</c:v>
                </c:pt>
                <c:pt idx="2546">
                  <c:v>157992929.59999999</c:v>
                </c:pt>
                <c:pt idx="2547">
                  <c:v>157992929.59999999</c:v>
                </c:pt>
                <c:pt idx="2548">
                  <c:v>157992929.59999999</c:v>
                </c:pt>
                <c:pt idx="2549">
                  <c:v>157992929.59999999</c:v>
                </c:pt>
                <c:pt idx="2550">
                  <c:v>157992929.59999999</c:v>
                </c:pt>
                <c:pt idx="2551">
                  <c:v>157992929.59999999</c:v>
                </c:pt>
                <c:pt idx="2552">
                  <c:v>157992929.59999999</c:v>
                </c:pt>
                <c:pt idx="2553">
                  <c:v>157992929.59999999</c:v>
                </c:pt>
                <c:pt idx="2554">
                  <c:v>157992929.59999999</c:v>
                </c:pt>
                <c:pt idx="2555">
                  <c:v>157992929.59999999</c:v>
                </c:pt>
                <c:pt idx="2556">
                  <c:v>157992929.59999999</c:v>
                </c:pt>
                <c:pt idx="2557">
                  <c:v>157992929.59999999</c:v>
                </c:pt>
                <c:pt idx="2558">
                  <c:v>157992929.59999999</c:v>
                </c:pt>
                <c:pt idx="2559">
                  <c:v>157992929.59999999</c:v>
                </c:pt>
                <c:pt idx="2560">
                  <c:v>157992929.59999999</c:v>
                </c:pt>
                <c:pt idx="2561">
                  <c:v>157992929.59999999</c:v>
                </c:pt>
                <c:pt idx="2562">
                  <c:v>157992929.59999999</c:v>
                </c:pt>
                <c:pt idx="2563">
                  <c:v>157992929.59999999</c:v>
                </c:pt>
                <c:pt idx="2564">
                  <c:v>157992929.59999999</c:v>
                </c:pt>
                <c:pt idx="2565">
                  <c:v>157992929.59999999</c:v>
                </c:pt>
                <c:pt idx="2566">
                  <c:v>157992929.59999999</c:v>
                </c:pt>
                <c:pt idx="2567">
                  <c:v>157992929.59999999</c:v>
                </c:pt>
                <c:pt idx="2568">
                  <c:v>157992929.59999999</c:v>
                </c:pt>
                <c:pt idx="2569">
                  <c:v>157992929.59999999</c:v>
                </c:pt>
                <c:pt idx="2570">
                  <c:v>157992929.59999999</c:v>
                </c:pt>
                <c:pt idx="2571">
                  <c:v>157992929.59999999</c:v>
                </c:pt>
                <c:pt idx="2572">
                  <c:v>157992929.59999999</c:v>
                </c:pt>
                <c:pt idx="2573">
                  <c:v>157992929.59999999</c:v>
                </c:pt>
                <c:pt idx="2574">
                  <c:v>157992929.59999999</c:v>
                </c:pt>
                <c:pt idx="2575">
                  <c:v>157992929.59999999</c:v>
                </c:pt>
                <c:pt idx="2576">
                  <c:v>157992929.59999999</c:v>
                </c:pt>
                <c:pt idx="2577">
                  <c:v>157992929.59999999</c:v>
                </c:pt>
                <c:pt idx="2578">
                  <c:v>157992929.59999999</c:v>
                </c:pt>
                <c:pt idx="2579">
                  <c:v>157992929.59999999</c:v>
                </c:pt>
                <c:pt idx="2580">
                  <c:v>157992929.59999999</c:v>
                </c:pt>
                <c:pt idx="2581">
                  <c:v>157992929.59999999</c:v>
                </c:pt>
                <c:pt idx="2582">
                  <c:v>157992929.59999999</c:v>
                </c:pt>
                <c:pt idx="2583">
                  <c:v>157992929.59999999</c:v>
                </c:pt>
                <c:pt idx="2584">
                  <c:v>157992929.59999999</c:v>
                </c:pt>
                <c:pt idx="2585">
                  <c:v>157992929.59999999</c:v>
                </c:pt>
                <c:pt idx="2586">
                  <c:v>157992929.59999999</c:v>
                </c:pt>
                <c:pt idx="2587">
                  <c:v>157992929.59999999</c:v>
                </c:pt>
                <c:pt idx="2588">
                  <c:v>157992929.59999999</c:v>
                </c:pt>
                <c:pt idx="2589">
                  <c:v>157992929.59999999</c:v>
                </c:pt>
                <c:pt idx="2590">
                  <c:v>157992929.59999999</c:v>
                </c:pt>
                <c:pt idx="2591">
                  <c:v>157992929.59999999</c:v>
                </c:pt>
                <c:pt idx="2592">
                  <c:v>157992929.59999999</c:v>
                </c:pt>
                <c:pt idx="2593">
                  <c:v>157992929.59999999</c:v>
                </c:pt>
                <c:pt idx="2594">
                  <c:v>157992929.59999999</c:v>
                </c:pt>
                <c:pt idx="2595">
                  <c:v>157992929.59999999</c:v>
                </c:pt>
                <c:pt idx="2596">
                  <c:v>157992929.59999999</c:v>
                </c:pt>
                <c:pt idx="2597">
                  <c:v>157992929.59999999</c:v>
                </c:pt>
                <c:pt idx="2598">
                  <c:v>157992929.59999999</c:v>
                </c:pt>
                <c:pt idx="2599">
                  <c:v>157992929.59999999</c:v>
                </c:pt>
                <c:pt idx="2600">
                  <c:v>157992929.59999999</c:v>
                </c:pt>
                <c:pt idx="2601">
                  <c:v>157992929.59999999</c:v>
                </c:pt>
                <c:pt idx="2602">
                  <c:v>157992929.59999999</c:v>
                </c:pt>
                <c:pt idx="2603">
                  <c:v>157992929.59999999</c:v>
                </c:pt>
                <c:pt idx="2604">
                  <c:v>157992929.59999999</c:v>
                </c:pt>
                <c:pt idx="2605">
                  <c:v>157992929.59999999</c:v>
                </c:pt>
                <c:pt idx="2606">
                  <c:v>157992929.59999999</c:v>
                </c:pt>
                <c:pt idx="2607">
                  <c:v>157992929.59999999</c:v>
                </c:pt>
                <c:pt idx="2608">
                  <c:v>157992929.59999999</c:v>
                </c:pt>
                <c:pt idx="2609">
                  <c:v>157992929.59999999</c:v>
                </c:pt>
                <c:pt idx="2610">
                  <c:v>157992929.59999999</c:v>
                </c:pt>
                <c:pt idx="2611">
                  <c:v>157992929.59999999</c:v>
                </c:pt>
                <c:pt idx="2612">
                  <c:v>157992929.59999999</c:v>
                </c:pt>
                <c:pt idx="2613">
                  <c:v>157992929.59999999</c:v>
                </c:pt>
                <c:pt idx="2614">
                  <c:v>157992929.59999999</c:v>
                </c:pt>
                <c:pt idx="2615">
                  <c:v>157992929.59999999</c:v>
                </c:pt>
                <c:pt idx="2616">
                  <c:v>157992929.59999999</c:v>
                </c:pt>
                <c:pt idx="2617">
                  <c:v>157992929.59999999</c:v>
                </c:pt>
                <c:pt idx="2618">
                  <c:v>157992929.59999999</c:v>
                </c:pt>
                <c:pt idx="2619">
                  <c:v>157992929.59999999</c:v>
                </c:pt>
                <c:pt idx="2620">
                  <c:v>157992929.59999999</c:v>
                </c:pt>
                <c:pt idx="2621">
                  <c:v>157992929.59999999</c:v>
                </c:pt>
                <c:pt idx="2622">
                  <c:v>157992929.59999999</c:v>
                </c:pt>
                <c:pt idx="2623">
                  <c:v>157992929.59999999</c:v>
                </c:pt>
                <c:pt idx="2624">
                  <c:v>157992929.59999999</c:v>
                </c:pt>
                <c:pt idx="2625">
                  <c:v>157992929.59999999</c:v>
                </c:pt>
                <c:pt idx="2626">
                  <c:v>157992929.59999999</c:v>
                </c:pt>
                <c:pt idx="2627">
                  <c:v>157992929.59999999</c:v>
                </c:pt>
                <c:pt idx="2628">
                  <c:v>157992929.59999999</c:v>
                </c:pt>
                <c:pt idx="2629">
                  <c:v>157992929.59999999</c:v>
                </c:pt>
                <c:pt idx="2630">
                  <c:v>157992929.59999999</c:v>
                </c:pt>
                <c:pt idx="2631">
                  <c:v>157992929.59999999</c:v>
                </c:pt>
                <c:pt idx="2632">
                  <c:v>157992929.59999999</c:v>
                </c:pt>
                <c:pt idx="2633">
                  <c:v>157992929.59999999</c:v>
                </c:pt>
                <c:pt idx="2634">
                  <c:v>157992929.59999999</c:v>
                </c:pt>
                <c:pt idx="2635">
                  <c:v>157992929.59999999</c:v>
                </c:pt>
                <c:pt idx="2636">
                  <c:v>157992929.59999999</c:v>
                </c:pt>
                <c:pt idx="2637">
                  <c:v>157992929.59999999</c:v>
                </c:pt>
                <c:pt idx="2638">
                  <c:v>157992929.59999999</c:v>
                </c:pt>
                <c:pt idx="2639">
                  <c:v>157992929.59999999</c:v>
                </c:pt>
                <c:pt idx="2640">
                  <c:v>157992929.59999999</c:v>
                </c:pt>
                <c:pt idx="2641">
                  <c:v>157992929.59999999</c:v>
                </c:pt>
                <c:pt idx="2642">
                  <c:v>157992929.59999999</c:v>
                </c:pt>
                <c:pt idx="2643">
                  <c:v>157992929.59999999</c:v>
                </c:pt>
                <c:pt idx="2644">
                  <c:v>157992929.59999999</c:v>
                </c:pt>
                <c:pt idx="2645">
                  <c:v>157992929.59999999</c:v>
                </c:pt>
                <c:pt idx="2646">
                  <c:v>157992929.59999999</c:v>
                </c:pt>
                <c:pt idx="2647">
                  <c:v>157992929.59999999</c:v>
                </c:pt>
                <c:pt idx="2648">
                  <c:v>157992929.59999999</c:v>
                </c:pt>
                <c:pt idx="2649">
                  <c:v>157992929.59999999</c:v>
                </c:pt>
                <c:pt idx="2650">
                  <c:v>157992929.59999999</c:v>
                </c:pt>
                <c:pt idx="2651">
                  <c:v>157992929.59999999</c:v>
                </c:pt>
                <c:pt idx="2652">
                  <c:v>157992929.59999999</c:v>
                </c:pt>
                <c:pt idx="2653">
                  <c:v>157992929.59999999</c:v>
                </c:pt>
                <c:pt idx="2654">
                  <c:v>157992929.59999999</c:v>
                </c:pt>
                <c:pt idx="2655">
                  <c:v>157992929.59999999</c:v>
                </c:pt>
                <c:pt idx="2656">
                  <c:v>157992929.59999999</c:v>
                </c:pt>
                <c:pt idx="2657">
                  <c:v>157992929.59999999</c:v>
                </c:pt>
                <c:pt idx="2658">
                  <c:v>157992929.59999999</c:v>
                </c:pt>
                <c:pt idx="2659">
                  <c:v>157992929.59999999</c:v>
                </c:pt>
                <c:pt idx="2660">
                  <c:v>157992929.59999999</c:v>
                </c:pt>
                <c:pt idx="2661">
                  <c:v>157992929.59999999</c:v>
                </c:pt>
                <c:pt idx="2662">
                  <c:v>157992929.59999999</c:v>
                </c:pt>
                <c:pt idx="2663">
                  <c:v>157992929.59999999</c:v>
                </c:pt>
                <c:pt idx="2664">
                  <c:v>157992929.59999999</c:v>
                </c:pt>
                <c:pt idx="2665">
                  <c:v>157992929.59999999</c:v>
                </c:pt>
                <c:pt idx="2666">
                  <c:v>157992929.59999999</c:v>
                </c:pt>
                <c:pt idx="2667">
                  <c:v>157992929.59999999</c:v>
                </c:pt>
                <c:pt idx="2668">
                  <c:v>157992929.59999999</c:v>
                </c:pt>
                <c:pt idx="2669">
                  <c:v>157992929.59999999</c:v>
                </c:pt>
                <c:pt idx="2670">
                  <c:v>157992929.59999999</c:v>
                </c:pt>
                <c:pt idx="2671">
                  <c:v>157992929.59999999</c:v>
                </c:pt>
                <c:pt idx="2672">
                  <c:v>157992929.59999999</c:v>
                </c:pt>
                <c:pt idx="2673">
                  <c:v>157992929.59999999</c:v>
                </c:pt>
                <c:pt idx="2674">
                  <c:v>157992929.59999999</c:v>
                </c:pt>
                <c:pt idx="2675">
                  <c:v>157992929.59999999</c:v>
                </c:pt>
                <c:pt idx="2676">
                  <c:v>157992929.59999999</c:v>
                </c:pt>
                <c:pt idx="2677">
                  <c:v>157992929.59999999</c:v>
                </c:pt>
                <c:pt idx="2678">
                  <c:v>157992929.59999999</c:v>
                </c:pt>
                <c:pt idx="2679">
                  <c:v>157992929.59999999</c:v>
                </c:pt>
                <c:pt idx="2680">
                  <c:v>157992929.59999999</c:v>
                </c:pt>
                <c:pt idx="2681">
                  <c:v>157992929.59999999</c:v>
                </c:pt>
                <c:pt idx="2682">
                  <c:v>157992929.59999999</c:v>
                </c:pt>
                <c:pt idx="2683">
                  <c:v>157992929.59999999</c:v>
                </c:pt>
                <c:pt idx="2684">
                  <c:v>157992929.59999999</c:v>
                </c:pt>
                <c:pt idx="2685">
                  <c:v>157992929.59999999</c:v>
                </c:pt>
                <c:pt idx="2686">
                  <c:v>157992929.59999999</c:v>
                </c:pt>
                <c:pt idx="2687">
                  <c:v>157992929.59999999</c:v>
                </c:pt>
                <c:pt idx="2688">
                  <c:v>157992929.59999999</c:v>
                </c:pt>
                <c:pt idx="2689">
                  <c:v>157992929.59999999</c:v>
                </c:pt>
                <c:pt idx="2690">
                  <c:v>157992929.59999999</c:v>
                </c:pt>
                <c:pt idx="2691">
                  <c:v>157992929.59999999</c:v>
                </c:pt>
                <c:pt idx="2692">
                  <c:v>157992929.59999999</c:v>
                </c:pt>
                <c:pt idx="2693">
                  <c:v>157992929.59999999</c:v>
                </c:pt>
                <c:pt idx="2694">
                  <c:v>157992929.59999999</c:v>
                </c:pt>
                <c:pt idx="2695">
                  <c:v>157992929.59999999</c:v>
                </c:pt>
                <c:pt idx="2696">
                  <c:v>157992929.59999999</c:v>
                </c:pt>
                <c:pt idx="2697">
                  <c:v>157992929.59999999</c:v>
                </c:pt>
                <c:pt idx="2698">
                  <c:v>157992929.59999999</c:v>
                </c:pt>
                <c:pt idx="2699">
                  <c:v>157992929.59999999</c:v>
                </c:pt>
                <c:pt idx="2700">
                  <c:v>157992929.59999999</c:v>
                </c:pt>
                <c:pt idx="2701">
                  <c:v>157992929.59999999</c:v>
                </c:pt>
                <c:pt idx="2702">
                  <c:v>157992929.59999999</c:v>
                </c:pt>
                <c:pt idx="2703">
                  <c:v>157992929.59999999</c:v>
                </c:pt>
                <c:pt idx="2704">
                  <c:v>157992929.59999999</c:v>
                </c:pt>
                <c:pt idx="2705">
                  <c:v>157992929.59999999</c:v>
                </c:pt>
                <c:pt idx="2706">
                  <c:v>157992929.59999999</c:v>
                </c:pt>
                <c:pt idx="2707">
                  <c:v>157992929.59999999</c:v>
                </c:pt>
                <c:pt idx="2708">
                  <c:v>157992929.59999999</c:v>
                </c:pt>
                <c:pt idx="2709">
                  <c:v>157992929.59999999</c:v>
                </c:pt>
                <c:pt idx="2710">
                  <c:v>157992929.59999999</c:v>
                </c:pt>
                <c:pt idx="2711">
                  <c:v>157992929.59999999</c:v>
                </c:pt>
                <c:pt idx="2712">
                  <c:v>157992929.59999999</c:v>
                </c:pt>
                <c:pt idx="2713">
                  <c:v>157992929.59999999</c:v>
                </c:pt>
                <c:pt idx="2714">
                  <c:v>157992929.59999999</c:v>
                </c:pt>
                <c:pt idx="2715">
                  <c:v>157992929.59999999</c:v>
                </c:pt>
                <c:pt idx="2716">
                  <c:v>157992929.59999999</c:v>
                </c:pt>
                <c:pt idx="2717">
                  <c:v>157992929.59999999</c:v>
                </c:pt>
                <c:pt idx="2718">
                  <c:v>157992929.59999999</c:v>
                </c:pt>
                <c:pt idx="2719">
                  <c:v>157992929.59999999</c:v>
                </c:pt>
                <c:pt idx="2720">
                  <c:v>157992929.59999999</c:v>
                </c:pt>
                <c:pt idx="2721">
                  <c:v>157992929.59999999</c:v>
                </c:pt>
                <c:pt idx="2722">
                  <c:v>157992929.59999999</c:v>
                </c:pt>
                <c:pt idx="2723">
                  <c:v>157992929.59999999</c:v>
                </c:pt>
                <c:pt idx="2724">
                  <c:v>157992929.59999999</c:v>
                </c:pt>
                <c:pt idx="2725">
                  <c:v>157992929.59999999</c:v>
                </c:pt>
                <c:pt idx="2726">
                  <c:v>157992929.59999999</c:v>
                </c:pt>
                <c:pt idx="2727">
                  <c:v>157992929.59999999</c:v>
                </c:pt>
                <c:pt idx="2728">
                  <c:v>157992929.59999999</c:v>
                </c:pt>
                <c:pt idx="2729">
                  <c:v>157992929.59999999</c:v>
                </c:pt>
                <c:pt idx="2730">
                  <c:v>157992929.59999999</c:v>
                </c:pt>
                <c:pt idx="2731">
                  <c:v>157992929.59999999</c:v>
                </c:pt>
                <c:pt idx="2732">
                  <c:v>157992929.59999999</c:v>
                </c:pt>
                <c:pt idx="2733">
                  <c:v>157992929.59999999</c:v>
                </c:pt>
                <c:pt idx="2734">
                  <c:v>157992929.59999999</c:v>
                </c:pt>
                <c:pt idx="2735">
                  <c:v>157992929.59999999</c:v>
                </c:pt>
                <c:pt idx="2736">
                  <c:v>157992929.59999999</c:v>
                </c:pt>
                <c:pt idx="2737">
                  <c:v>157992929.59999999</c:v>
                </c:pt>
                <c:pt idx="2738">
                  <c:v>157992929.59999999</c:v>
                </c:pt>
                <c:pt idx="2739">
                  <c:v>157992929.59999999</c:v>
                </c:pt>
                <c:pt idx="2740">
                  <c:v>157992929.59999999</c:v>
                </c:pt>
                <c:pt idx="2741">
                  <c:v>157992929.59999999</c:v>
                </c:pt>
                <c:pt idx="2742">
                  <c:v>157992929.59999999</c:v>
                </c:pt>
                <c:pt idx="2743">
                  <c:v>157992929.59999999</c:v>
                </c:pt>
                <c:pt idx="2744">
                  <c:v>157992929.59999999</c:v>
                </c:pt>
                <c:pt idx="2745">
                  <c:v>157992929.59999999</c:v>
                </c:pt>
                <c:pt idx="2746">
                  <c:v>157992929.59999999</c:v>
                </c:pt>
                <c:pt idx="2747">
                  <c:v>157992929.59999999</c:v>
                </c:pt>
                <c:pt idx="2748">
                  <c:v>157992929.59999999</c:v>
                </c:pt>
                <c:pt idx="2749">
                  <c:v>157992929.59999999</c:v>
                </c:pt>
                <c:pt idx="2750">
                  <c:v>157992929.59999999</c:v>
                </c:pt>
                <c:pt idx="2751">
                  <c:v>157992929.59999999</c:v>
                </c:pt>
                <c:pt idx="2752">
                  <c:v>157992929.59999999</c:v>
                </c:pt>
                <c:pt idx="2753">
                  <c:v>157992929.59999999</c:v>
                </c:pt>
                <c:pt idx="2754">
                  <c:v>157992929.59999999</c:v>
                </c:pt>
                <c:pt idx="2755">
                  <c:v>157992929.59999999</c:v>
                </c:pt>
                <c:pt idx="2756">
                  <c:v>157992929.59999999</c:v>
                </c:pt>
                <c:pt idx="2757">
                  <c:v>157992929.59999999</c:v>
                </c:pt>
                <c:pt idx="2758">
                  <c:v>157992929.59999999</c:v>
                </c:pt>
                <c:pt idx="2759">
                  <c:v>157992929.59999999</c:v>
                </c:pt>
                <c:pt idx="2760">
                  <c:v>157992929.59999999</c:v>
                </c:pt>
                <c:pt idx="2761">
                  <c:v>157992929.59999999</c:v>
                </c:pt>
                <c:pt idx="2762">
                  <c:v>157992929.59999999</c:v>
                </c:pt>
                <c:pt idx="2763">
                  <c:v>157992929.59999999</c:v>
                </c:pt>
                <c:pt idx="2764">
                  <c:v>157992929.59999999</c:v>
                </c:pt>
                <c:pt idx="2765">
                  <c:v>157992929.59999999</c:v>
                </c:pt>
                <c:pt idx="2766">
                  <c:v>157992929.59999999</c:v>
                </c:pt>
                <c:pt idx="2767">
                  <c:v>157992929.59999999</c:v>
                </c:pt>
                <c:pt idx="2768">
                  <c:v>157992929.59999999</c:v>
                </c:pt>
                <c:pt idx="2769">
                  <c:v>157992929.59999999</c:v>
                </c:pt>
                <c:pt idx="2770">
                  <c:v>157992929.59999999</c:v>
                </c:pt>
                <c:pt idx="2771">
                  <c:v>157992929.59999999</c:v>
                </c:pt>
                <c:pt idx="2772">
                  <c:v>157992929.59999999</c:v>
                </c:pt>
                <c:pt idx="2773">
                  <c:v>157992929.59999999</c:v>
                </c:pt>
                <c:pt idx="2774">
                  <c:v>157992929.59999999</c:v>
                </c:pt>
                <c:pt idx="2775">
                  <c:v>157992929.59999999</c:v>
                </c:pt>
                <c:pt idx="2776">
                  <c:v>157992929.59999999</c:v>
                </c:pt>
                <c:pt idx="2777">
                  <c:v>157992929.59999999</c:v>
                </c:pt>
                <c:pt idx="2778">
                  <c:v>157992929.59999999</c:v>
                </c:pt>
                <c:pt idx="2779">
                  <c:v>157992929.59999999</c:v>
                </c:pt>
                <c:pt idx="2780">
                  <c:v>157992929.59999999</c:v>
                </c:pt>
                <c:pt idx="2781">
                  <c:v>157992929.59999999</c:v>
                </c:pt>
                <c:pt idx="2782">
                  <c:v>157992929.59999999</c:v>
                </c:pt>
                <c:pt idx="2783">
                  <c:v>157992929.59999999</c:v>
                </c:pt>
                <c:pt idx="2784">
                  <c:v>157992929.59999999</c:v>
                </c:pt>
                <c:pt idx="2785">
                  <c:v>157992929.59999999</c:v>
                </c:pt>
                <c:pt idx="2786">
                  <c:v>157992929.59999999</c:v>
                </c:pt>
                <c:pt idx="2787">
                  <c:v>157992929.59999999</c:v>
                </c:pt>
                <c:pt idx="2788">
                  <c:v>157992929.59999999</c:v>
                </c:pt>
                <c:pt idx="2789">
                  <c:v>157992929.59999999</c:v>
                </c:pt>
                <c:pt idx="2790">
                  <c:v>157992929.59999999</c:v>
                </c:pt>
                <c:pt idx="2791">
                  <c:v>157992929.59999999</c:v>
                </c:pt>
                <c:pt idx="2792">
                  <c:v>157992929.59999999</c:v>
                </c:pt>
                <c:pt idx="2793">
                  <c:v>157992929.59999999</c:v>
                </c:pt>
                <c:pt idx="2794">
                  <c:v>157992929.59999999</c:v>
                </c:pt>
                <c:pt idx="2795">
                  <c:v>157992929.59999999</c:v>
                </c:pt>
                <c:pt idx="2796">
                  <c:v>157992929.59999999</c:v>
                </c:pt>
                <c:pt idx="2797">
                  <c:v>157992929.59999999</c:v>
                </c:pt>
                <c:pt idx="2798">
                  <c:v>157992929.59999999</c:v>
                </c:pt>
                <c:pt idx="2799">
                  <c:v>157992929.59999999</c:v>
                </c:pt>
                <c:pt idx="2800">
                  <c:v>157992929.59999999</c:v>
                </c:pt>
                <c:pt idx="2801">
                  <c:v>157992929.59999999</c:v>
                </c:pt>
                <c:pt idx="2802">
                  <c:v>157992929.59999999</c:v>
                </c:pt>
                <c:pt idx="2803">
                  <c:v>157992929.59999999</c:v>
                </c:pt>
                <c:pt idx="2804">
                  <c:v>157992929.59999999</c:v>
                </c:pt>
                <c:pt idx="2805">
                  <c:v>157992929.59999999</c:v>
                </c:pt>
                <c:pt idx="2806">
                  <c:v>157992929.59999999</c:v>
                </c:pt>
                <c:pt idx="2807">
                  <c:v>157992929.59999999</c:v>
                </c:pt>
                <c:pt idx="2808">
                  <c:v>157992929.59999999</c:v>
                </c:pt>
                <c:pt idx="2809">
                  <c:v>157992929.59999999</c:v>
                </c:pt>
                <c:pt idx="2810">
                  <c:v>157992929.59999999</c:v>
                </c:pt>
                <c:pt idx="2811">
                  <c:v>157992929.59999999</c:v>
                </c:pt>
                <c:pt idx="2812">
                  <c:v>157992929.59999999</c:v>
                </c:pt>
                <c:pt idx="2813">
                  <c:v>157992929.59999999</c:v>
                </c:pt>
                <c:pt idx="2814">
                  <c:v>157992929.59999999</c:v>
                </c:pt>
                <c:pt idx="2815">
                  <c:v>157992929.59999999</c:v>
                </c:pt>
                <c:pt idx="2816">
                  <c:v>157992929.59999999</c:v>
                </c:pt>
                <c:pt idx="2817">
                  <c:v>157992929.59999999</c:v>
                </c:pt>
                <c:pt idx="2818">
                  <c:v>157992929.59999999</c:v>
                </c:pt>
                <c:pt idx="2819">
                  <c:v>157992929.59999999</c:v>
                </c:pt>
                <c:pt idx="2820">
                  <c:v>157992929.59999999</c:v>
                </c:pt>
                <c:pt idx="2821">
                  <c:v>157992929.59999999</c:v>
                </c:pt>
                <c:pt idx="2822">
                  <c:v>157992929.59999999</c:v>
                </c:pt>
                <c:pt idx="2823">
                  <c:v>157992929.59999999</c:v>
                </c:pt>
                <c:pt idx="2824">
                  <c:v>157992929.59999999</c:v>
                </c:pt>
                <c:pt idx="2825">
                  <c:v>157992929.59999999</c:v>
                </c:pt>
                <c:pt idx="2826">
                  <c:v>157992929.59999999</c:v>
                </c:pt>
                <c:pt idx="2827">
                  <c:v>157992929.59999999</c:v>
                </c:pt>
                <c:pt idx="2828">
                  <c:v>157992929.59999999</c:v>
                </c:pt>
                <c:pt idx="2829">
                  <c:v>157992929.59999999</c:v>
                </c:pt>
                <c:pt idx="2830">
                  <c:v>157992929.59999999</c:v>
                </c:pt>
                <c:pt idx="2831">
                  <c:v>157992929.59999999</c:v>
                </c:pt>
                <c:pt idx="2832">
                  <c:v>157992929.59999999</c:v>
                </c:pt>
                <c:pt idx="2833">
                  <c:v>157992929.59999999</c:v>
                </c:pt>
                <c:pt idx="2834">
                  <c:v>157992929.59999999</c:v>
                </c:pt>
                <c:pt idx="2835">
                  <c:v>157992929.59999999</c:v>
                </c:pt>
                <c:pt idx="2836">
                  <c:v>157992929.59999999</c:v>
                </c:pt>
                <c:pt idx="2837">
                  <c:v>157992929.59999999</c:v>
                </c:pt>
                <c:pt idx="2838">
                  <c:v>157992929.59999999</c:v>
                </c:pt>
                <c:pt idx="2839">
                  <c:v>157992929.59999999</c:v>
                </c:pt>
                <c:pt idx="2840">
                  <c:v>157992929.59999999</c:v>
                </c:pt>
                <c:pt idx="2841">
                  <c:v>157992929.59999999</c:v>
                </c:pt>
                <c:pt idx="2842">
                  <c:v>157992929.59999999</c:v>
                </c:pt>
                <c:pt idx="2843">
                  <c:v>157992929.59999999</c:v>
                </c:pt>
                <c:pt idx="2844">
                  <c:v>157992929.59999999</c:v>
                </c:pt>
                <c:pt idx="2845">
                  <c:v>157992929.59999999</c:v>
                </c:pt>
                <c:pt idx="2846">
                  <c:v>157992929.59999999</c:v>
                </c:pt>
                <c:pt idx="2847">
                  <c:v>157992929.59999999</c:v>
                </c:pt>
                <c:pt idx="2848">
                  <c:v>157992929.59999999</c:v>
                </c:pt>
                <c:pt idx="2849">
                  <c:v>157992929.59999999</c:v>
                </c:pt>
                <c:pt idx="2850">
                  <c:v>157992929.59999999</c:v>
                </c:pt>
                <c:pt idx="2851">
                  <c:v>157992929.59999999</c:v>
                </c:pt>
                <c:pt idx="2852">
                  <c:v>157992929.59999999</c:v>
                </c:pt>
                <c:pt idx="2853">
                  <c:v>157992929.59999999</c:v>
                </c:pt>
                <c:pt idx="2854">
                  <c:v>157992929.59999999</c:v>
                </c:pt>
                <c:pt idx="2855">
                  <c:v>157992929.59999999</c:v>
                </c:pt>
                <c:pt idx="2856">
                  <c:v>157992929.59999999</c:v>
                </c:pt>
                <c:pt idx="2857">
                  <c:v>157992929.59999999</c:v>
                </c:pt>
                <c:pt idx="2858">
                  <c:v>157992929.59999999</c:v>
                </c:pt>
                <c:pt idx="2859">
                  <c:v>157992929.59999999</c:v>
                </c:pt>
                <c:pt idx="2860">
                  <c:v>157992929.59999999</c:v>
                </c:pt>
                <c:pt idx="2861">
                  <c:v>157992929.59999999</c:v>
                </c:pt>
                <c:pt idx="2862">
                  <c:v>157992929.59999999</c:v>
                </c:pt>
                <c:pt idx="2863">
                  <c:v>157992929.59999999</c:v>
                </c:pt>
                <c:pt idx="2864">
                  <c:v>157992929.59999999</c:v>
                </c:pt>
                <c:pt idx="2865">
                  <c:v>157992929.59999999</c:v>
                </c:pt>
                <c:pt idx="2866">
                  <c:v>157992929.59999999</c:v>
                </c:pt>
                <c:pt idx="2867">
                  <c:v>157992929.59999999</c:v>
                </c:pt>
                <c:pt idx="2868">
                  <c:v>157992929.59999999</c:v>
                </c:pt>
                <c:pt idx="2869">
                  <c:v>157992929.59999999</c:v>
                </c:pt>
                <c:pt idx="2870">
                  <c:v>157992929.59999999</c:v>
                </c:pt>
                <c:pt idx="2871">
                  <c:v>157992929.59999999</c:v>
                </c:pt>
                <c:pt idx="2872">
                  <c:v>157992929.59999999</c:v>
                </c:pt>
                <c:pt idx="2873">
                  <c:v>157992929.59999999</c:v>
                </c:pt>
                <c:pt idx="2874">
                  <c:v>157992929.59999999</c:v>
                </c:pt>
                <c:pt idx="2875">
                  <c:v>157992929.59999999</c:v>
                </c:pt>
                <c:pt idx="2876">
                  <c:v>157992929.59999999</c:v>
                </c:pt>
                <c:pt idx="2877">
                  <c:v>157992929.59999999</c:v>
                </c:pt>
                <c:pt idx="2878">
                  <c:v>157992929.59999999</c:v>
                </c:pt>
                <c:pt idx="2879">
                  <c:v>157992929.59999999</c:v>
                </c:pt>
                <c:pt idx="2880">
                  <c:v>157992929.59999999</c:v>
                </c:pt>
                <c:pt idx="2881">
                  <c:v>157992929.59999999</c:v>
                </c:pt>
                <c:pt idx="2882">
                  <c:v>157992929.59999999</c:v>
                </c:pt>
                <c:pt idx="2883">
                  <c:v>157992929.59999999</c:v>
                </c:pt>
                <c:pt idx="2884">
                  <c:v>157992929.59999999</c:v>
                </c:pt>
                <c:pt idx="2885">
                  <c:v>157992929.59999999</c:v>
                </c:pt>
                <c:pt idx="2886">
                  <c:v>157992929.59999999</c:v>
                </c:pt>
                <c:pt idx="2887">
                  <c:v>157992929.59999999</c:v>
                </c:pt>
                <c:pt idx="2888">
                  <c:v>157992929.59999999</c:v>
                </c:pt>
                <c:pt idx="2889">
                  <c:v>157992929.59999999</c:v>
                </c:pt>
                <c:pt idx="2890">
                  <c:v>157992929.59999999</c:v>
                </c:pt>
                <c:pt idx="2891">
                  <c:v>157992929.59999999</c:v>
                </c:pt>
                <c:pt idx="2892">
                  <c:v>157992929.59999999</c:v>
                </c:pt>
                <c:pt idx="2893">
                  <c:v>157992929.59999999</c:v>
                </c:pt>
                <c:pt idx="2894">
                  <c:v>157992929.59999999</c:v>
                </c:pt>
                <c:pt idx="2895">
                  <c:v>157992929.59999999</c:v>
                </c:pt>
                <c:pt idx="2896">
                  <c:v>157992929.59999999</c:v>
                </c:pt>
                <c:pt idx="2897">
                  <c:v>157992929.59999999</c:v>
                </c:pt>
                <c:pt idx="2898">
                  <c:v>157992929.59999999</c:v>
                </c:pt>
                <c:pt idx="2899">
                  <c:v>157992929.59999999</c:v>
                </c:pt>
                <c:pt idx="2900">
                  <c:v>157992929.59999999</c:v>
                </c:pt>
                <c:pt idx="2901">
                  <c:v>157992929.59999999</c:v>
                </c:pt>
                <c:pt idx="2902">
                  <c:v>157992929.59999999</c:v>
                </c:pt>
                <c:pt idx="2903">
                  <c:v>157992929.59999999</c:v>
                </c:pt>
                <c:pt idx="2904">
                  <c:v>157992929.59999999</c:v>
                </c:pt>
                <c:pt idx="2905">
                  <c:v>157992929.59999999</c:v>
                </c:pt>
                <c:pt idx="2906">
                  <c:v>157992929.59999999</c:v>
                </c:pt>
                <c:pt idx="2907">
                  <c:v>157992929.59999999</c:v>
                </c:pt>
                <c:pt idx="2908">
                  <c:v>157992929.59999999</c:v>
                </c:pt>
                <c:pt idx="2909">
                  <c:v>157992929.59999999</c:v>
                </c:pt>
                <c:pt idx="2910">
                  <c:v>157992929.59999999</c:v>
                </c:pt>
                <c:pt idx="2911">
                  <c:v>157992929.59999999</c:v>
                </c:pt>
                <c:pt idx="2912">
                  <c:v>157992929.59999999</c:v>
                </c:pt>
                <c:pt idx="2913">
                  <c:v>157992929.59999999</c:v>
                </c:pt>
                <c:pt idx="2914">
                  <c:v>157992929.59999999</c:v>
                </c:pt>
                <c:pt idx="2915">
                  <c:v>157992929.59999999</c:v>
                </c:pt>
                <c:pt idx="2916">
                  <c:v>157992929.59999999</c:v>
                </c:pt>
                <c:pt idx="2917">
                  <c:v>157992929.59999999</c:v>
                </c:pt>
                <c:pt idx="2918">
                  <c:v>157992929.59999999</c:v>
                </c:pt>
                <c:pt idx="2919">
                  <c:v>157992929.59999999</c:v>
                </c:pt>
                <c:pt idx="2920">
                  <c:v>157992929.59999999</c:v>
                </c:pt>
                <c:pt idx="2921">
                  <c:v>157992929.59999999</c:v>
                </c:pt>
                <c:pt idx="2922">
                  <c:v>157992929.59999999</c:v>
                </c:pt>
                <c:pt idx="2923">
                  <c:v>157992929.59999999</c:v>
                </c:pt>
                <c:pt idx="2924">
                  <c:v>157992929.59999999</c:v>
                </c:pt>
                <c:pt idx="2925">
                  <c:v>157992929.59999999</c:v>
                </c:pt>
                <c:pt idx="2926">
                  <c:v>157992929.59999999</c:v>
                </c:pt>
                <c:pt idx="2927">
                  <c:v>157992929.59999999</c:v>
                </c:pt>
                <c:pt idx="2928">
                  <c:v>157992929.59999999</c:v>
                </c:pt>
                <c:pt idx="2929">
                  <c:v>157992929.59999999</c:v>
                </c:pt>
                <c:pt idx="2930">
                  <c:v>157992929.59999999</c:v>
                </c:pt>
                <c:pt idx="2931">
                  <c:v>157992929.59999999</c:v>
                </c:pt>
                <c:pt idx="2932">
                  <c:v>157992929.59999999</c:v>
                </c:pt>
                <c:pt idx="2933">
                  <c:v>157992929.59999999</c:v>
                </c:pt>
                <c:pt idx="2934">
                  <c:v>157992929.59999999</c:v>
                </c:pt>
                <c:pt idx="2935">
                  <c:v>157992929.59999999</c:v>
                </c:pt>
                <c:pt idx="2936">
                  <c:v>157992929.59999999</c:v>
                </c:pt>
                <c:pt idx="2937">
                  <c:v>157992929.59999999</c:v>
                </c:pt>
                <c:pt idx="2938">
                  <c:v>157992929.59999999</c:v>
                </c:pt>
                <c:pt idx="2939">
                  <c:v>157992929.59999999</c:v>
                </c:pt>
                <c:pt idx="2940">
                  <c:v>157992929.59999999</c:v>
                </c:pt>
                <c:pt idx="2941">
                  <c:v>157992929.59999999</c:v>
                </c:pt>
                <c:pt idx="2942">
                  <c:v>157992929.59999999</c:v>
                </c:pt>
                <c:pt idx="2943">
                  <c:v>157992929.59999999</c:v>
                </c:pt>
                <c:pt idx="2944">
                  <c:v>157992929.59999999</c:v>
                </c:pt>
                <c:pt idx="2945">
                  <c:v>157992929.59999999</c:v>
                </c:pt>
                <c:pt idx="2946">
                  <c:v>157992929.59999999</c:v>
                </c:pt>
                <c:pt idx="2947">
                  <c:v>157992929.59999999</c:v>
                </c:pt>
                <c:pt idx="2948">
                  <c:v>157992929.59999999</c:v>
                </c:pt>
                <c:pt idx="2949">
                  <c:v>157992929.59999999</c:v>
                </c:pt>
                <c:pt idx="2950">
                  <c:v>157992929.59999999</c:v>
                </c:pt>
                <c:pt idx="2951">
                  <c:v>157992929.59999999</c:v>
                </c:pt>
                <c:pt idx="2952">
                  <c:v>157992929.59999999</c:v>
                </c:pt>
                <c:pt idx="2953">
                  <c:v>157992929.59999999</c:v>
                </c:pt>
                <c:pt idx="2954">
                  <c:v>157992929.59999999</c:v>
                </c:pt>
                <c:pt idx="2955">
                  <c:v>157992929.59999999</c:v>
                </c:pt>
                <c:pt idx="2956">
                  <c:v>157992929.59999999</c:v>
                </c:pt>
                <c:pt idx="2957">
                  <c:v>157992929.59999999</c:v>
                </c:pt>
                <c:pt idx="2958">
                  <c:v>157992929.59999999</c:v>
                </c:pt>
                <c:pt idx="2959">
                  <c:v>157992929.59999999</c:v>
                </c:pt>
                <c:pt idx="2960">
                  <c:v>157992929.59999999</c:v>
                </c:pt>
                <c:pt idx="2961">
                  <c:v>157992929.59999999</c:v>
                </c:pt>
                <c:pt idx="2962">
                  <c:v>157992929.59999999</c:v>
                </c:pt>
                <c:pt idx="2963">
                  <c:v>157992929.59999999</c:v>
                </c:pt>
                <c:pt idx="2964">
                  <c:v>157992929.59999999</c:v>
                </c:pt>
                <c:pt idx="2965">
                  <c:v>157992929.59999999</c:v>
                </c:pt>
                <c:pt idx="2966">
                  <c:v>157992929.59999999</c:v>
                </c:pt>
                <c:pt idx="2967">
                  <c:v>157992929.59999999</c:v>
                </c:pt>
                <c:pt idx="2968">
                  <c:v>157992929.59999999</c:v>
                </c:pt>
                <c:pt idx="2969">
                  <c:v>157992929.59999999</c:v>
                </c:pt>
                <c:pt idx="2970">
                  <c:v>157992929.59999999</c:v>
                </c:pt>
                <c:pt idx="2971">
                  <c:v>157992929.59999999</c:v>
                </c:pt>
                <c:pt idx="2972">
                  <c:v>157992929.59999999</c:v>
                </c:pt>
                <c:pt idx="2973">
                  <c:v>157992929.59999999</c:v>
                </c:pt>
                <c:pt idx="2974">
                  <c:v>157992929.59999999</c:v>
                </c:pt>
                <c:pt idx="2975">
                  <c:v>157992929.59999999</c:v>
                </c:pt>
                <c:pt idx="2976">
                  <c:v>157992929.59999999</c:v>
                </c:pt>
                <c:pt idx="2977">
                  <c:v>157992929.59999999</c:v>
                </c:pt>
                <c:pt idx="2978">
                  <c:v>157992929.59999999</c:v>
                </c:pt>
                <c:pt idx="2979">
                  <c:v>157992929.59999999</c:v>
                </c:pt>
                <c:pt idx="2980">
                  <c:v>157992929.59999999</c:v>
                </c:pt>
                <c:pt idx="2981">
                  <c:v>157992929.59999999</c:v>
                </c:pt>
                <c:pt idx="2982">
                  <c:v>157992929.59999999</c:v>
                </c:pt>
                <c:pt idx="2983">
                  <c:v>157992929.59999999</c:v>
                </c:pt>
                <c:pt idx="2984">
                  <c:v>157992929.59999999</c:v>
                </c:pt>
                <c:pt idx="2985">
                  <c:v>157992929.59999999</c:v>
                </c:pt>
                <c:pt idx="2986">
                  <c:v>157992929.59999999</c:v>
                </c:pt>
                <c:pt idx="2987">
                  <c:v>157992929.59999999</c:v>
                </c:pt>
                <c:pt idx="2988">
                  <c:v>157992929.59999999</c:v>
                </c:pt>
                <c:pt idx="2989">
                  <c:v>157992929.59999999</c:v>
                </c:pt>
                <c:pt idx="2990">
                  <c:v>157992929.59999999</c:v>
                </c:pt>
                <c:pt idx="2991">
                  <c:v>157992929.59999999</c:v>
                </c:pt>
                <c:pt idx="2992">
                  <c:v>157992929.59999999</c:v>
                </c:pt>
                <c:pt idx="2993">
                  <c:v>157992929.59999999</c:v>
                </c:pt>
                <c:pt idx="2994">
                  <c:v>157992929.59999999</c:v>
                </c:pt>
                <c:pt idx="2995">
                  <c:v>157992929.59999999</c:v>
                </c:pt>
                <c:pt idx="2996">
                  <c:v>157992929.59999999</c:v>
                </c:pt>
                <c:pt idx="2997">
                  <c:v>157992929.59999999</c:v>
                </c:pt>
                <c:pt idx="2998">
                  <c:v>157992929.59999999</c:v>
                </c:pt>
                <c:pt idx="2999">
                  <c:v>157992929.59999999</c:v>
                </c:pt>
                <c:pt idx="3000">
                  <c:v>157992929.59999999</c:v>
                </c:pt>
                <c:pt idx="3001">
                  <c:v>157992929.59999999</c:v>
                </c:pt>
                <c:pt idx="3002">
                  <c:v>157992929.59999999</c:v>
                </c:pt>
                <c:pt idx="3003">
                  <c:v>157992929.59999999</c:v>
                </c:pt>
                <c:pt idx="3004">
                  <c:v>157992929.59999999</c:v>
                </c:pt>
                <c:pt idx="3005">
                  <c:v>157992929.59999999</c:v>
                </c:pt>
                <c:pt idx="3006">
                  <c:v>157992929.59999999</c:v>
                </c:pt>
                <c:pt idx="3007">
                  <c:v>157992929.59999999</c:v>
                </c:pt>
                <c:pt idx="3008">
                  <c:v>157992929.59999999</c:v>
                </c:pt>
                <c:pt idx="3009">
                  <c:v>157992929.59999999</c:v>
                </c:pt>
                <c:pt idx="3010">
                  <c:v>157992929.59999999</c:v>
                </c:pt>
                <c:pt idx="3011">
                  <c:v>157992929.59999999</c:v>
                </c:pt>
                <c:pt idx="3012">
                  <c:v>157992929.59999999</c:v>
                </c:pt>
                <c:pt idx="3013">
                  <c:v>157992929.59999999</c:v>
                </c:pt>
                <c:pt idx="3014">
                  <c:v>157992929.59999999</c:v>
                </c:pt>
                <c:pt idx="3015">
                  <c:v>157992929.59999999</c:v>
                </c:pt>
                <c:pt idx="3016">
                  <c:v>157992929.59999999</c:v>
                </c:pt>
                <c:pt idx="3017">
                  <c:v>157992929.59999999</c:v>
                </c:pt>
                <c:pt idx="3018">
                  <c:v>157992929.59999999</c:v>
                </c:pt>
                <c:pt idx="3019">
                  <c:v>157992929.59999999</c:v>
                </c:pt>
                <c:pt idx="3020">
                  <c:v>157992929.59999999</c:v>
                </c:pt>
                <c:pt idx="3021">
                  <c:v>157992929.59999999</c:v>
                </c:pt>
                <c:pt idx="3022">
                  <c:v>157992929.59999999</c:v>
                </c:pt>
                <c:pt idx="3023">
                  <c:v>157992929.59999999</c:v>
                </c:pt>
                <c:pt idx="3024">
                  <c:v>157992929.59999999</c:v>
                </c:pt>
                <c:pt idx="3025">
                  <c:v>157992929.59999999</c:v>
                </c:pt>
                <c:pt idx="3026">
                  <c:v>157992929.59999999</c:v>
                </c:pt>
                <c:pt idx="3027">
                  <c:v>157992929.59999999</c:v>
                </c:pt>
                <c:pt idx="3028">
                  <c:v>157992929.59999999</c:v>
                </c:pt>
                <c:pt idx="3029">
                  <c:v>157992929.59999999</c:v>
                </c:pt>
                <c:pt idx="3030">
                  <c:v>157992929.59999999</c:v>
                </c:pt>
                <c:pt idx="3031">
                  <c:v>157992929.59999999</c:v>
                </c:pt>
                <c:pt idx="3032">
                  <c:v>157992929.59999999</c:v>
                </c:pt>
                <c:pt idx="3033">
                  <c:v>157992929.59999999</c:v>
                </c:pt>
                <c:pt idx="3034">
                  <c:v>157992929.59999999</c:v>
                </c:pt>
                <c:pt idx="3035">
                  <c:v>157992929.59999999</c:v>
                </c:pt>
                <c:pt idx="3036">
                  <c:v>157992929.59999999</c:v>
                </c:pt>
                <c:pt idx="3037">
                  <c:v>157992929.59999999</c:v>
                </c:pt>
                <c:pt idx="3038">
                  <c:v>157992929.59999999</c:v>
                </c:pt>
                <c:pt idx="3039">
                  <c:v>157992929.59999999</c:v>
                </c:pt>
                <c:pt idx="3040">
                  <c:v>157992929.59999999</c:v>
                </c:pt>
                <c:pt idx="3041">
                  <c:v>157992929.59999999</c:v>
                </c:pt>
                <c:pt idx="3042">
                  <c:v>157992929.59999999</c:v>
                </c:pt>
                <c:pt idx="3043">
                  <c:v>157992929.59999999</c:v>
                </c:pt>
                <c:pt idx="3044">
                  <c:v>157992929.59999999</c:v>
                </c:pt>
                <c:pt idx="3045">
                  <c:v>157992929.59999999</c:v>
                </c:pt>
                <c:pt idx="3046">
                  <c:v>157992929.59999999</c:v>
                </c:pt>
                <c:pt idx="3047">
                  <c:v>157992929.59999999</c:v>
                </c:pt>
                <c:pt idx="3048">
                  <c:v>157992929.59999999</c:v>
                </c:pt>
                <c:pt idx="3049">
                  <c:v>157992929.59999999</c:v>
                </c:pt>
                <c:pt idx="3050">
                  <c:v>157992929.59999999</c:v>
                </c:pt>
                <c:pt idx="3051">
                  <c:v>157992929.59999999</c:v>
                </c:pt>
                <c:pt idx="3052">
                  <c:v>157992929.59999999</c:v>
                </c:pt>
                <c:pt idx="3053">
                  <c:v>157992929.59999999</c:v>
                </c:pt>
                <c:pt idx="3054">
                  <c:v>157992929.59999999</c:v>
                </c:pt>
                <c:pt idx="3055">
                  <c:v>157992929.59999999</c:v>
                </c:pt>
                <c:pt idx="3056">
                  <c:v>157992929.59999999</c:v>
                </c:pt>
                <c:pt idx="3057">
                  <c:v>157992929.59999999</c:v>
                </c:pt>
                <c:pt idx="3058">
                  <c:v>157992929.59999999</c:v>
                </c:pt>
                <c:pt idx="3059">
                  <c:v>157992929.59999999</c:v>
                </c:pt>
                <c:pt idx="3060">
                  <c:v>157992929.59999999</c:v>
                </c:pt>
                <c:pt idx="3061">
                  <c:v>157992929.59999999</c:v>
                </c:pt>
                <c:pt idx="3062">
                  <c:v>157992929.59999999</c:v>
                </c:pt>
                <c:pt idx="3063">
                  <c:v>157992929.59999999</c:v>
                </c:pt>
                <c:pt idx="3064">
                  <c:v>157992929.59999999</c:v>
                </c:pt>
                <c:pt idx="3065">
                  <c:v>157992929.59999999</c:v>
                </c:pt>
                <c:pt idx="3066">
                  <c:v>157992929.59999999</c:v>
                </c:pt>
                <c:pt idx="3067">
                  <c:v>157992929.59999999</c:v>
                </c:pt>
                <c:pt idx="3068">
                  <c:v>157992929.59999999</c:v>
                </c:pt>
                <c:pt idx="3069">
                  <c:v>157992929.59999999</c:v>
                </c:pt>
                <c:pt idx="3070">
                  <c:v>157992929.59999999</c:v>
                </c:pt>
                <c:pt idx="3071">
                  <c:v>157992929.59999999</c:v>
                </c:pt>
                <c:pt idx="3072">
                  <c:v>157992929.59999999</c:v>
                </c:pt>
                <c:pt idx="3073">
                  <c:v>157992929.59999999</c:v>
                </c:pt>
                <c:pt idx="3074">
                  <c:v>157992929.59999999</c:v>
                </c:pt>
                <c:pt idx="3075">
                  <c:v>157992929.59999999</c:v>
                </c:pt>
                <c:pt idx="3076">
                  <c:v>157992929.59999999</c:v>
                </c:pt>
                <c:pt idx="3077">
                  <c:v>157992929.59999999</c:v>
                </c:pt>
                <c:pt idx="3078">
                  <c:v>157992929.59999999</c:v>
                </c:pt>
                <c:pt idx="3079">
                  <c:v>157992929.59999999</c:v>
                </c:pt>
                <c:pt idx="3080">
                  <c:v>157992929.59999999</c:v>
                </c:pt>
                <c:pt idx="3081">
                  <c:v>157992929.59999999</c:v>
                </c:pt>
                <c:pt idx="3082">
                  <c:v>157992929.59999999</c:v>
                </c:pt>
                <c:pt idx="3083">
                  <c:v>157992929.59999999</c:v>
                </c:pt>
                <c:pt idx="3084">
                  <c:v>157992929.59999999</c:v>
                </c:pt>
                <c:pt idx="3085">
                  <c:v>157992929.59999999</c:v>
                </c:pt>
                <c:pt idx="3086">
                  <c:v>157992929.59999999</c:v>
                </c:pt>
                <c:pt idx="3087">
                  <c:v>157992929.59999999</c:v>
                </c:pt>
                <c:pt idx="3088">
                  <c:v>157992929.59999999</c:v>
                </c:pt>
                <c:pt idx="3089">
                  <c:v>157992929.59999999</c:v>
                </c:pt>
                <c:pt idx="3090">
                  <c:v>157992929.59999999</c:v>
                </c:pt>
                <c:pt idx="3091">
                  <c:v>157992929.59999999</c:v>
                </c:pt>
                <c:pt idx="3092">
                  <c:v>157992929.59999999</c:v>
                </c:pt>
                <c:pt idx="3093">
                  <c:v>157992929.59999999</c:v>
                </c:pt>
                <c:pt idx="3094">
                  <c:v>157992929.59999999</c:v>
                </c:pt>
                <c:pt idx="3095">
                  <c:v>157992929.59999999</c:v>
                </c:pt>
                <c:pt idx="3096">
                  <c:v>157992929.59999999</c:v>
                </c:pt>
                <c:pt idx="3097">
                  <c:v>157992929.59999999</c:v>
                </c:pt>
                <c:pt idx="3098">
                  <c:v>157992929.59999999</c:v>
                </c:pt>
                <c:pt idx="3099">
                  <c:v>157992929.59999999</c:v>
                </c:pt>
                <c:pt idx="3100">
                  <c:v>157992929.59999999</c:v>
                </c:pt>
                <c:pt idx="3101">
                  <c:v>157992929.59999999</c:v>
                </c:pt>
                <c:pt idx="3102">
                  <c:v>157992929.59999999</c:v>
                </c:pt>
                <c:pt idx="3103">
                  <c:v>157992929.59999999</c:v>
                </c:pt>
                <c:pt idx="3104">
                  <c:v>157992929.59999999</c:v>
                </c:pt>
                <c:pt idx="3105">
                  <c:v>157992929.59999999</c:v>
                </c:pt>
                <c:pt idx="3106">
                  <c:v>157992929.59999999</c:v>
                </c:pt>
                <c:pt idx="3107">
                  <c:v>157992929.59999999</c:v>
                </c:pt>
                <c:pt idx="3108">
                  <c:v>157992929.59999999</c:v>
                </c:pt>
                <c:pt idx="3109">
                  <c:v>157992929.59999999</c:v>
                </c:pt>
                <c:pt idx="3110">
                  <c:v>157992929.59999999</c:v>
                </c:pt>
                <c:pt idx="3111">
                  <c:v>157992929.59999999</c:v>
                </c:pt>
                <c:pt idx="3112">
                  <c:v>157992929.59999999</c:v>
                </c:pt>
                <c:pt idx="3113">
                  <c:v>157992929.59999999</c:v>
                </c:pt>
                <c:pt idx="3114">
                  <c:v>157992929.59999999</c:v>
                </c:pt>
                <c:pt idx="3115">
                  <c:v>157992929.59999999</c:v>
                </c:pt>
                <c:pt idx="3116">
                  <c:v>157992929.59999999</c:v>
                </c:pt>
                <c:pt idx="3117">
                  <c:v>157992929.59999999</c:v>
                </c:pt>
                <c:pt idx="3118">
                  <c:v>157992929.59999999</c:v>
                </c:pt>
                <c:pt idx="3119">
                  <c:v>157992929.59999999</c:v>
                </c:pt>
                <c:pt idx="3120">
                  <c:v>157992929.59999999</c:v>
                </c:pt>
                <c:pt idx="3121">
                  <c:v>157992929.59999999</c:v>
                </c:pt>
                <c:pt idx="3122">
                  <c:v>157992929.59999999</c:v>
                </c:pt>
                <c:pt idx="3123">
                  <c:v>157992929.59999999</c:v>
                </c:pt>
                <c:pt idx="3124">
                  <c:v>157992929.59999999</c:v>
                </c:pt>
                <c:pt idx="3125">
                  <c:v>157992929.59999999</c:v>
                </c:pt>
                <c:pt idx="3126">
                  <c:v>157992929.59999999</c:v>
                </c:pt>
                <c:pt idx="3127">
                  <c:v>157992929.59999999</c:v>
                </c:pt>
                <c:pt idx="3128">
                  <c:v>157992929.59999999</c:v>
                </c:pt>
                <c:pt idx="3129">
                  <c:v>157992929.59999999</c:v>
                </c:pt>
                <c:pt idx="3130">
                  <c:v>157992929.59999999</c:v>
                </c:pt>
                <c:pt idx="3131">
                  <c:v>157992929.59999999</c:v>
                </c:pt>
                <c:pt idx="3132">
                  <c:v>157992929.59999999</c:v>
                </c:pt>
                <c:pt idx="3133">
                  <c:v>157992929.59999999</c:v>
                </c:pt>
                <c:pt idx="3134">
                  <c:v>157992929.59999999</c:v>
                </c:pt>
                <c:pt idx="3135">
                  <c:v>157992929.59999999</c:v>
                </c:pt>
                <c:pt idx="3136">
                  <c:v>157992929.59999999</c:v>
                </c:pt>
                <c:pt idx="3137">
                  <c:v>157992929.59999999</c:v>
                </c:pt>
                <c:pt idx="3138">
                  <c:v>157992929.59999999</c:v>
                </c:pt>
                <c:pt idx="3139">
                  <c:v>157992929.59999999</c:v>
                </c:pt>
                <c:pt idx="3140">
                  <c:v>157992929.59999999</c:v>
                </c:pt>
                <c:pt idx="3141">
                  <c:v>157992929.59999999</c:v>
                </c:pt>
                <c:pt idx="3142">
                  <c:v>157992929.59999999</c:v>
                </c:pt>
                <c:pt idx="3143">
                  <c:v>157992929.59999999</c:v>
                </c:pt>
                <c:pt idx="3144">
                  <c:v>157992929.59999999</c:v>
                </c:pt>
                <c:pt idx="3145">
                  <c:v>157992929.59999999</c:v>
                </c:pt>
                <c:pt idx="3146">
                  <c:v>157992929.59999999</c:v>
                </c:pt>
                <c:pt idx="3147">
                  <c:v>157992929.59999999</c:v>
                </c:pt>
                <c:pt idx="3148">
                  <c:v>157992929.59999999</c:v>
                </c:pt>
                <c:pt idx="3149">
                  <c:v>157992929.59999999</c:v>
                </c:pt>
                <c:pt idx="3150">
                  <c:v>157992929.59999999</c:v>
                </c:pt>
                <c:pt idx="3151">
                  <c:v>157992929.59999999</c:v>
                </c:pt>
                <c:pt idx="3152">
                  <c:v>157992929.59999999</c:v>
                </c:pt>
                <c:pt idx="3153">
                  <c:v>157992929.59999999</c:v>
                </c:pt>
                <c:pt idx="3154">
                  <c:v>157992929.59999999</c:v>
                </c:pt>
                <c:pt idx="3155">
                  <c:v>157992929.59999999</c:v>
                </c:pt>
                <c:pt idx="3156">
                  <c:v>157992929.59999999</c:v>
                </c:pt>
                <c:pt idx="3157">
                  <c:v>157992929.59999999</c:v>
                </c:pt>
                <c:pt idx="3158">
                  <c:v>157992929.59999999</c:v>
                </c:pt>
                <c:pt idx="3159">
                  <c:v>157992929.59999999</c:v>
                </c:pt>
                <c:pt idx="3160">
                  <c:v>157992929.59999999</c:v>
                </c:pt>
                <c:pt idx="3161">
                  <c:v>157992929.59999999</c:v>
                </c:pt>
                <c:pt idx="3162">
                  <c:v>157992929.59999999</c:v>
                </c:pt>
                <c:pt idx="3163">
                  <c:v>157992929.59999999</c:v>
                </c:pt>
                <c:pt idx="3164">
                  <c:v>157992929.59999999</c:v>
                </c:pt>
                <c:pt idx="3165">
                  <c:v>157992929.59999999</c:v>
                </c:pt>
                <c:pt idx="3166">
                  <c:v>157992929.59999999</c:v>
                </c:pt>
                <c:pt idx="3167">
                  <c:v>157992929.59999999</c:v>
                </c:pt>
                <c:pt idx="3168">
                  <c:v>157992929.59999999</c:v>
                </c:pt>
                <c:pt idx="3169">
                  <c:v>157992929.59999999</c:v>
                </c:pt>
                <c:pt idx="3170">
                  <c:v>157992929.59999999</c:v>
                </c:pt>
                <c:pt idx="3171">
                  <c:v>157992929.59999999</c:v>
                </c:pt>
                <c:pt idx="3172">
                  <c:v>157992929.59999999</c:v>
                </c:pt>
                <c:pt idx="3173">
                  <c:v>157992929.59999999</c:v>
                </c:pt>
                <c:pt idx="3174">
                  <c:v>157992929.59999999</c:v>
                </c:pt>
                <c:pt idx="3175">
                  <c:v>157992929.59999999</c:v>
                </c:pt>
                <c:pt idx="3176">
                  <c:v>157992929.59999999</c:v>
                </c:pt>
                <c:pt idx="3177">
                  <c:v>157992929.59999999</c:v>
                </c:pt>
                <c:pt idx="3178">
                  <c:v>157992929.59999999</c:v>
                </c:pt>
                <c:pt idx="3179">
                  <c:v>157992929.59999999</c:v>
                </c:pt>
                <c:pt idx="3180">
                  <c:v>157992929.59999999</c:v>
                </c:pt>
                <c:pt idx="3181">
                  <c:v>157992929.59999999</c:v>
                </c:pt>
                <c:pt idx="3182">
                  <c:v>157992929.59999999</c:v>
                </c:pt>
                <c:pt idx="3183">
                  <c:v>157992929.59999999</c:v>
                </c:pt>
                <c:pt idx="3184">
                  <c:v>157992929.59999999</c:v>
                </c:pt>
                <c:pt idx="3185">
                  <c:v>157992929.59999999</c:v>
                </c:pt>
                <c:pt idx="3186">
                  <c:v>157992929.59999999</c:v>
                </c:pt>
                <c:pt idx="3187">
                  <c:v>157992929.59999999</c:v>
                </c:pt>
                <c:pt idx="3188">
                  <c:v>157992929.59999999</c:v>
                </c:pt>
                <c:pt idx="3189">
                  <c:v>157992929.59999999</c:v>
                </c:pt>
                <c:pt idx="3190">
                  <c:v>157992929.59999999</c:v>
                </c:pt>
                <c:pt idx="3191">
                  <c:v>157992929.59999999</c:v>
                </c:pt>
                <c:pt idx="3192">
                  <c:v>157992929.59999999</c:v>
                </c:pt>
                <c:pt idx="3193">
                  <c:v>157992929.59999999</c:v>
                </c:pt>
                <c:pt idx="3194">
                  <c:v>157992929.59999999</c:v>
                </c:pt>
                <c:pt idx="3195">
                  <c:v>157992929.59999999</c:v>
                </c:pt>
                <c:pt idx="3196">
                  <c:v>157992929.59999999</c:v>
                </c:pt>
                <c:pt idx="3197">
                  <c:v>157992929.59999999</c:v>
                </c:pt>
                <c:pt idx="3198">
                  <c:v>157992929.59999999</c:v>
                </c:pt>
                <c:pt idx="3199">
                  <c:v>157992929.59999999</c:v>
                </c:pt>
                <c:pt idx="3200">
                  <c:v>157992929.59999999</c:v>
                </c:pt>
                <c:pt idx="3201">
                  <c:v>157992929.59999999</c:v>
                </c:pt>
                <c:pt idx="3202">
                  <c:v>157992929.59999999</c:v>
                </c:pt>
                <c:pt idx="3203">
                  <c:v>157992929.59999999</c:v>
                </c:pt>
                <c:pt idx="3204">
                  <c:v>157992929.59999999</c:v>
                </c:pt>
                <c:pt idx="3205">
                  <c:v>157992929.59999999</c:v>
                </c:pt>
                <c:pt idx="3206">
                  <c:v>157992929.59999999</c:v>
                </c:pt>
                <c:pt idx="3207">
                  <c:v>157992929.59999999</c:v>
                </c:pt>
                <c:pt idx="3208">
                  <c:v>157992929.59999999</c:v>
                </c:pt>
                <c:pt idx="3209">
                  <c:v>157992929.59999999</c:v>
                </c:pt>
                <c:pt idx="3210">
                  <c:v>157992929.59999999</c:v>
                </c:pt>
                <c:pt idx="3211">
                  <c:v>157992929.59999999</c:v>
                </c:pt>
                <c:pt idx="3212">
                  <c:v>157992929.59999999</c:v>
                </c:pt>
                <c:pt idx="3213">
                  <c:v>157992929.59999999</c:v>
                </c:pt>
                <c:pt idx="3214">
                  <c:v>157992929.59999999</c:v>
                </c:pt>
                <c:pt idx="3215">
                  <c:v>157992929.59999999</c:v>
                </c:pt>
                <c:pt idx="3216">
                  <c:v>157992929.59999999</c:v>
                </c:pt>
                <c:pt idx="3217">
                  <c:v>157992929.59999999</c:v>
                </c:pt>
                <c:pt idx="3218">
                  <c:v>157992929.59999999</c:v>
                </c:pt>
                <c:pt idx="3219">
                  <c:v>157992929.59999999</c:v>
                </c:pt>
                <c:pt idx="3220">
                  <c:v>157992929.59999999</c:v>
                </c:pt>
                <c:pt idx="3221">
                  <c:v>157992929.59999999</c:v>
                </c:pt>
                <c:pt idx="3222">
                  <c:v>157992929.59999999</c:v>
                </c:pt>
                <c:pt idx="3223">
                  <c:v>157992929.59999999</c:v>
                </c:pt>
                <c:pt idx="3224">
                  <c:v>157992929.59999999</c:v>
                </c:pt>
                <c:pt idx="3225">
                  <c:v>157992929.59999999</c:v>
                </c:pt>
                <c:pt idx="3226">
                  <c:v>157992929.59999999</c:v>
                </c:pt>
                <c:pt idx="3227">
                  <c:v>157992929.59999999</c:v>
                </c:pt>
                <c:pt idx="3228">
                  <c:v>157992929.59999999</c:v>
                </c:pt>
                <c:pt idx="3229">
                  <c:v>157992929.59999999</c:v>
                </c:pt>
                <c:pt idx="3230">
                  <c:v>157992929.59999999</c:v>
                </c:pt>
                <c:pt idx="3231">
                  <c:v>157992929.59999999</c:v>
                </c:pt>
                <c:pt idx="3232">
                  <c:v>157992929.59999999</c:v>
                </c:pt>
                <c:pt idx="3233">
                  <c:v>157992929.59999999</c:v>
                </c:pt>
                <c:pt idx="3234">
                  <c:v>157992929.59999999</c:v>
                </c:pt>
                <c:pt idx="3235">
                  <c:v>157992929.59999999</c:v>
                </c:pt>
                <c:pt idx="3236">
                  <c:v>157992929.59999999</c:v>
                </c:pt>
                <c:pt idx="3237">
                  <c:v>157992929.59999999</c:v>
                </c:pt>
                <c:pt idx="3238">
                  <c:v>157992929.59999999</c:v>
                </c:pt>
                <c:pt idx="3239">
                  <c:v>157992929.59999999</c:v>
                </c:pt>
                <c:pt idx="3240">
                  <c:v>157992929.59999999</c:v>
                </c:pt>
                <c:pt idx="3241">
                  <c:v>157992929.59999999</c:v>
                </c:pt>
                <c:pt idx="3242">
                  <c:v>157992929.59999999</c:v>
                </c:pt>
                <c:pt idx="3243">
                  <c:v>157992929.59999999</c:v>
                </c:pt>
                <c:pt idx="3244">
                  <c:v>157992929.59999999</c:v>
                </c:pt>
                <c:pt idx="3245">
                  <c:v>157992929.59999999</c:v>
                </c:pt>
                <c:pt idx="3246">
                  <c:v>157992929.59999999</c:v>
                </c:pt>
                <c:pt idx="3247">
                  <c:v>157992929.59999999</c:v>
                </c:pt>
                <c:pt idx="3248">
                  <c:v>157992929.59999999</c:v>
                </c:pt>
                <c:pt idx="3249">
                  <c:v>157992929.59999999</c:v>
                </c:pt>
                <c:pt idx="3250">
                  <c:v>157992929.59999999</c:v>
                </c:pt>
                <c:pt idx="3251">
                  <c:v>157992929.59999999</c:v>
                </c:pt>
                <c:pt idx="3252">
                  <c:v>157992929.59999999</c:v>
                </c:pt>
                <c:pt idx="3253">
                  <c:v>157992929.59999999</c:v>
                </c:pt>
                <c:pt idx="3254">
                  <c:v>157992929.59999999</c:v>
                </c:pt>
                <c:pt idx="3255">
                  <c:v>157992929.59999999</c:v>
                </c:pt>
                <c:pt idx="3256">
                  <c:v>157992929.59999999</c:v>
                </c:pt>
                <c:pt idx="3257">
                  <c:v>157992929.59999999</c:v>
                </c:pt>
                <c:pt idx="3258">
                  <c:v>157992929.59999999</c:v>
                </c:pt>
                <c:pt idx="3259">
                  <c:v>157992929.59999999</c:v>
                </c:pt>
                <c:pt idx="3260">
                  <c:v>157992929.59999999</c:v>
                </c:pt>
                <c:pt idx="3261">
                  <c:v>157992929.59999999</c:v>
                </c:pt>
                <c:pt idx="3262">
                  <c:v>157992929.59999999</c:v>
                </c:pt>
                <c:pt idx="3263">
                  <c:v>157992929.59999999</c:v>
                </c:pt>
                <c:pt idx="3264">
                  <c:v>157992929.59999999</c:v>
                </c:pt>
                <c:pt idx="3265">
                  <c:v>157992929.59999999</c:v>
                </c:pt>
                <c:pt idx="3266">
                  <c:v>157992929.59999999</c:v>
                </c:pt>
                <c:pt idx="3267">
                  <c:v>157992929.59999999</c:v>
                </c:pt>
                <c:pt idx="3268">
                  <c:v>157992929.59999999</c:v>
                </c:pt>
                <c:pt idx="3269">
                  <c:v>157992929.59999999</c:v>
                </c:pt>
                <c:pt idx="3270">
                  <c:v>157992929.59999999</c:v>
                </c:pt>
                <c:pt idx="3271">
                  <c:v>157992929.59999999</c:v>
                </c:pt>
                <c:pt idx="3272">
                  <c:v>157992929.59999999</c:v>
                </c:pt>
                <c:pt idx="3273">
                  <c:v>157992929.59999999</c:v>
                </c:pt>
                <c:pt idx="3274">
                  <c:v>157992929.59999999</c:v>
                </c:pt>
                <c:pt idx="3275">
                  <c:v>157992929.59999999</c:v>
                </c:pt>
                <c:pt idx="3276">
                  <c:v>157992929.59999999</c:v>
                </c:pt>
                <c:pt idx="3277">
                  <c:v>157992929.59999999</c:v>
                </c:pt>
                <c:pt idx="3278">
                  <c:v>157992929.59999999</c:v>
                </c:pt>
                <c:pt idx="3279">
                  <c:v>157992929.59999999</c:v>
                </c:pt>
                <c:pt idx="3280">
                  <c:v>157992929.59999999</c:v>
                </c:pt>
                <c:pt idx="3281">
                  <c:v>157992929.59999999</c:v>
                </c:pt>
                <c:pt idx="3282">
                  <c:v>157992929.59999999</c:v>
                </c:pt>
                <c:pt idx="3283">
                  <c:v>157992929.59999999</c:v>
                </c:pt>
                <c:pt idx="3284">
                  <c:v>157992929.59999999</c:v>
                </c:pt>
                <c:pt idx="3285">
                  <c:v>157992929.59999999</c:v>
                </c:pt>
                <c:pt idx="3286">
                  <c:v>157992929.59999999</c:v>
                </c:pt>
                <c:pt idx="3287">
                  <c:v>157992929.59999999</c:v>
                </c:pt>
                <c:pt idx="3288">
                  <c:v>157992929.59999999</c:v>
                </c:pt>
                <c:pt idx="3289">
                  <c:v>157992929.59999999</c:v>
                </c:pt>
                <c:pt idx="3290">
                  <c:v>157992929.59999999</c:v>
                </c:pt>
                <c:pt idx="3291">
                  <c:v>157992929.59999999</c:v>
                </c:pt>
                <c:pt idx="3292">
                  <c:v>157992929.59999999</c:v>
                </c:pt>
                <c:pt idx="3293">
                  <c:v>157992929.59999999</c:v>
                </c:pt>
                <c:pt idx="3294">
                  <c:v>157992929.59999999</c:v>
                </c:pt>
                <c:pt idx="3295">
                  <c:v>157992929.59999999</c:v>
                </c:pt>
                <c:pt idx="3296">
                  <c:v>157992929.59999999</c:v>
                </c:pt>
                <c:pt idx="3297">
                  <c:v>157992929.59999999</c:v>
                </c:pt>
                <c:pt idx="3298">
                  <c:v>157992929.59999999</c:v>
                </c:pt>
                <c:pt idx="3299">
                  <c:v>157992929.59999999</c:v>
                </c:pt>
                <c:pt idx="3300">
                  <c:v>157992929.59999999</c:v>
                </c:pt>
                <c:pt idx="3301">
                  <c:v>157992929.59999999</c:v>
                </c:pt>
                <c:pt idx="3302">
                  <c:v>157992929.59999999</c:v>
                </c:pt>
                <c:pt idx="3303">
                  <c:v>157992929.59999999</c:v>
                </c:pt>
                <c:pt idx="3304">
                  <c:v>157992929.59999999</c:v>
                </c:pt>
                <c:pt idx="3305">
                  <c:v>157992929.59999999</c:v>
                </c:pt>
                <c:pt idx="3306">
                  <c:v>157992929.59999999</c:v>
                </c:pt>
                <c:pt idx="3307">
                  <c:v>157992929.59999999</c:v>
                </c:pt>
                <c:pt idx="3308">
                  <c:v>157992929.59999999</c:v>
                </c:pt>
                <c:pt idx="3309">
                  <c:v>157992929.59999999</c:v>
                </c:pt>
                <c:pt idx="3310">
                  <c:v>157992929.59999999</c:v>
                </c:pt>
                <c:pt idx="3311">
                  <c:v>157992929.59999999</c:v>
                </c:pt>
                <c:pt idx="3312">
                  <c:v>157992929.59999999</c:v>
                </c:pt>
                <c:pt idx="3313">
                  <c:v>157992929.59999999</c:v>
                </c:pt>
                <c:pt idx="3314">
                  <c:v>157992929.59999999</c:v>
                </c:pt>
                <c:pt idx="3315">
                  <c:v>157992929.59999999</c:v>
                </c:pt>
                <c:pt idx="3316">
                  <c:v>157992929.59999999</c:v>
                </c:pt>
                <c:pt idx="3317">
                  <c:v>157992929.59999999</c:v>
                </c:pt>
                <c:pt idx="3318">
                  <c:v>157992929.59999999</c:v>
                </c:pt>
                <c:pt idx="3319">
                  <c:v>157992929.59999999</c:v>
                </c:pt>
                <c:pt idx="3320">
                  <c:v>157992929.59999999</c:v>
                </c:pt>
                <c:pt idx="3321">
                  <c:v>157992929.59999999</c:v>
                </c:pt>
                <c:pt idx="3322">
                  <c:v>157992929.59999999</c:v>
                </c:pt>
                <c:pt idx="3323">
                  <c:v>157992929.59999999</c:v>
                </c:pt>
                <c:pt idx="3324">
                  <c:v>157992929.59999999</c:v>
                </c:pt>
                <c:pt idx="3325">
                  <c:v>157992929.59999999</c:v>
                </c:pt>
                <c:pt idx="3326">
                  <c:v>157992929.59999999</c:v>
                </c:pt>
                <c:pt idx="3327">
                  <c:v>157992929.59999999</c:v>
                </c:pt>
                <c:pt idx="3328">
                  <c:v>157992929.59999999</c:v>
                </c:pt>
                <c:pt idx="3329">
                  <c:v>157992929.59999999</c:v>
                </c:pt>
                <c:pt idx="3330">
                  <c:v>157992929.59999999</c:v>
                </c:pt>
                <c:pt idx="3331">
                  <c:v>157992929.59999999</c:v>
                </c:pt>
                <c:pt idx="3332">
                  <c:v>157992929.59999999</c:v>
                </c:pt>
                <c:pt idx="3333">
                  <c:v>157992929.59999999</c:v>
                </c:pt>
                <c:pt idx="3334">
                  <c:v>157992929.59999999</c:v>
                </c:pt>
                <c:pt idx="3335">
                  <c:v>157992929.59999999</c:v>
                </c:pt>
                <c:pt idx="3336">
                  <c:v>157992929.59999999</c:v>
                </c:pt>
                <c:pt idx="3337">
                  <c:v>157992929.59999999</c:v>
                </c:pt>
                <c:pt idx="3338">
                  <c:v>157992929.59999999</c:v>
                </c:pt>
                <c:pt idx="3339">
                  <c:v>157992929.59999999</c:v>
                </c:pt>
                <c:pt idx="3340">
                  <c:v>157992929.59999999</c:v>
                </c:pt>
                <c:pt idx="3341">
                  <c:v>157992929.59999999</c:v>
                </c:pt>
                <c:pt idx="3342">
                  <c:v>157992929.59999999</c:v>
                </c:pt>
                <c:pt idx="3343">
                  <c:v>157992929.59999999</c:v>
                </c:pt>
                <c:pt idx="3344">
                  <c:v>157992929.59999999</c:v>
                </c:pt>
                <c:pt idx="3345">
                  <c:v>157992929.59999999</c:v>
                </c:pt>
                <c:pt idx="3346">
                  <c:v>157992929.59999999</c:v>
                </c:pt>
                <c:pt idx="3347">
                  <c:v>157992929.59999999</c:v>
                </c:pt>
                <c:pt idx="3348">
                  <c:v>157992929.59999999</c:v>
                </c:pt>
                <c:pt idx="3349">
                  <c:v>157992929.59999999</c:v>
                </c:pt>
                <c:pt idx="3350">
                  <c:v>157992929.59999999</c:v>
                </c:pt>
                <c:pt idx="3351">
                  <c:v>157992929.59999999</c:v>
                </c:pt>
                <c:pt idx="3352">
                  <c:v>157992929.59999999</c:v>
                </c:pt>
                <c:pt idx="3353">
                  <c:v>157992929.59999999</c:v>
                </c:pt>
                <c:pt idx="3354">
                  <c:v>157992929.59999999</c:v>
                </c:pt>
                <c:pt idx="3355">
                  <c:v>157992929.59999999</c:v>
                </c:pt>
                <c:pt idx="3356">
                  <c:v>157992929.59999999</c:v>
                </c:pt>
                <c:pt idx="3357">
                  <c:v>157992929.59999999</c:v>
                </c:pt>
                <c:pt idx="3358">
                  <c:v>157992929.59999999</c:v>
                </c:pt>
                <c:pt idx="3359">
                  <c:v>157992929.59999999</c:v>
                </c:pt>
                <c:pt idx="3360">
                  <c:v>157992929.59999999</c:v>
                </c:pt>
                <c:pt idx="3361">
                  <c:v>157992929.59999999</c:v>
                </c:pt>
                <c:pt idx="3362">
                  <c:v>157992929.59999999</c:v>
                </c:pt>
                <c:pt idx="3363">
                  <c:v>157992929.59999999</c:v>
                </c:pt>
                <c:pt idx="3364">
                  <c:v>157992929.59999999</c:v>
                </c:pt>
                <c:pt idx="3365">
                  <c:v>157992929.59999999</c:v>
                </c:pt>
                <c:pt idx="3366">
                  <c:v>157992929.59999999</c:v>
                </c:pt>
                <c:pt idx="3367">
                  <c:v>157992929.59999999</c:v>
                </c:pt>
                <c:pt idx="3368">
                  <c:v>157992929.59999999</c:v>
                </c:pt>
                <c:pt idx="3369">
                  <c:v>157992929.59999999</c:v>
                </c:pt>
                <c:pt idx="3370">
                  <c:v>157992929.59999999</c:v>
                </c:pt>
                <c:pt idx="3371">
                  <c:v>157992929.59999999</c:v>
                </c:pt>
                <c:pt idx="3372">
                  <c:v>157992929.59999999</c:v>
                </c:pt>
                <c:pt idx="3373">
                  <c:v>157992929.59999999</c:v>
                </c:pt>
                <c:pt idx="3374">
                  <c:v>157992929.59999999</c:v>
                </c:pt>
                <c:pt idx="3375">
                  <c:v>157992929.59999999</c:v>
                </c:pt>
                <c:pt idx="3376">
                  <c:v>157992929.59999999</c:v>
                </c:pt>
                <c:pt idx="3377">
                  <c:v>157992929.59999999</c:v>
                </c:pt>
                <c:pt idx="3378">
                  <c:v>157992929.59999999</c:v>
                </c:pt>
                <c:pt idx="3379">
                  <c:v>157992929.59999999</c:v>
                </c:pt>
                <c:pt idx="3380">
                  <c:v>157992929.59999999</c:v>
                </c:pt>
                <c:pt idx="3381">
                  <c:v>157992929.59999999</c:v>
                </c:pt>
                <c:pt idx="3382">
                  <c:v>157992929.59999999</c:v>
                </c:pt>
                <c:pt idx="3383">
                  <c:v>157992929.59999999</c:v>
                </c:pt>
                <c:pt idx="3384">
                  <c:v>157992929.59999999</c:v>
                </c:pt>
                <c:pt idx="3385">
                  <c:v>157992929.59999999</c:v>
                </c:pt>
                <c:pt idx="3386">
                  <c:v>157992929.59999999</c:v>
                </c:pt>
                <c:pt idx="3387">
                  <c:v>157992929.59999999</c:v>
                </c:pt>
                <c:pt idx="3388">
                  <c:v>157992929.59999999</c:v>
                </c:pt>
                <c:pt idx="3389">
                  <c:v>157992929.59999999</c:v>
                </c:pt>
                <c:pt idx="3390">
                  <c:v>157992929.59999999</c:v>
                </c:pt>
                <c:pt idx="3391">
                  <c:v>157992929.59999999</c:v>
                </c:pt>
                <c:pt idx="3392">
                  <c:v>157992929.59999999</c:v>
                </c:pt>
                <c:pt idx="3393">
                  <c:v>157992929.59999999</c:v>
                </c:pt>
                <c:pt idx="3394">
                  <c:v>157992929.59999999</c:v>
                </c:pt>
                <c:pt idx="3395">
                  <c:v>157992929.59999999</c:v>
                </c:pt>
                <c:pt idx="3396">
                  <c:v>157992929.59999999</c:v>
                </c:pt>
                <c:pt idx="3397">
                  <c:v>157992929.59999999</c:v>
                </c:pt>
                <c:pt idx="3398">
                  <c:v>157992929.59999999</c:v>
                </c:pt>
                <c:pt idx="3399">
                  <c:v>157992929.59999999</c:v>
                </c:pt>
                <c:pt idx="3400">
                  <c:v>157992929.59999999</c:v>
                </c:pt>
                <c:pt idx="3401">
                  <c:v>157992929.59999999</c:v>
                </c:pt>
                <c:pt idx="3402">
                  <c:v>157992929.59999999</c:v>
                </c:pt>
                <c:pt idx="3403">
                  <c:v>157992929.59999999</c:v>
                </c:pt>
                <c:pt idx="3404">
                  <c:v>157992929.59999999</c:v>
                </c:pt>
                <c:pt idx="3405">
                  <c:v>157992929.59999999</c:v>
                </c:pt>
                <c:pt idx="3406">
                  <c:v>157992929.59999999</c:v>
                </c:pt>
                <c:pt idx="3407">
                  <c:v>157992929.59999999</c:v>
                </c:pt>
                <c:pt idx="3408">
                  <c:v>157992929.59999999</c:v>
                </c:pt>
                <c:pt idx="3409">
                  <c:v>157992929.59999999</c:v>
                </c:pt>
                <c:pt idx="3410">
                  <c:v>157992929.59999999</c:v>
                </c:pt>
                <c:pt idx="3411">
                  <c:v>157992929.59999999</c:v>
                </c:pt>
                <c:pt idx="3412">
                  <c:v>157992929.59999999</c:v>
                </c:pt>
                <c:pt idx="3413">
                  <c:v>157992929.59999999</c:v>
                </c:pt>
                <c:pt idx="3414">
                  <c:v>157992929.59999999</c:v>
                </c:pt>
                <c:pt idx="3415">
                  <c:v>157992929.59999999</c:v>
                </c:pt>
                <c:pt idx="3416">
                  <c:v>157992929.59999999</c:v>
                </c:pt>
                <c:pt idx="3417">
                  <c:v>157992929.59999999</c:v>
                </c:pt>
                <c:pt idx="3418">
                  <c:v>157992929.59999999</c:v>
                </c:pt>
                <c:pt idx="3419">
                  <c:v>157992929.59999999</c:v>
                </c:pt>
                <c:pt idx="3420">
                  <c:v>157992929.59999999</c:v>
                </c:pt>
                <c:pt idx="3421">
                  <c:v>157992929.59999999</c:v>
                </c:pt>
                <c:pt idx="3422">
                  <c:v>157992929.59999999</c:v>
                </c:pt>
                <c:pt idx="3423">
                  <c:v>157992929.59999999</c:v>
                </c:pt>
                <c:pt idx="3424">
                  <c:v>157992929.59999999</c:v>
                </c:pt>
                <c:pt idx="3425">
                  <c:v>157992929.59999999</c:v>
                </c:pt>
                <c:pt idx="3426">
                  <c:v>157992929.59999999</c:v>
                </c:pt>
                <c:pt idx="3427">
                  <c:v>157992929.59999999</c:v>
                </c:pt>
                <c:pt idx="3428">
                  <c:v>157992929.59999999</c:v>
                </c:pt>
                <c:pt idx="3429">
                  <c:v>157992929.59999999</c:v>
                </c:pt>
                <c:pt idx="3430">
                  <c:v>157992929.59999999</c:v>
                </c:pt>
                <c:pt idx="3431">
                  <c:v>157992929.59999999</c:v>
                </c:pt>
                <c:pt idx="3432">
                  <c:v>157992929.59999999</c:v>
                </c:pt>
                <c:pt idx="3433">
                  <c:v>157992929.59999999</c:v>
                </c:pt>
                <c:pt idx="3434">
                  <c:v>157992929.59999999</c:v>
                </c:pt>
                <c:pt idx="3435">
                  <c:v>157992929.59999999</c:v>
                </c:pt>
                <c:pt idx="3436">
                  <c:v>157992929.59999999</c:v>
                </c:pt>
                <c:pt idx="3437">
                  <c:v>157992929.59999999</c:v>
                </c:pt>
                <c:pt idx="3438">
                  <c:v>157992929.59999999</c:v>
                </c:pt>
                <c:pt idx="3439">
                  <c:v>157992929.59999999</c:v>
                </c:pt>
                <c:pt idx="3440">
                  <c:v>157992929.59999999</c:v>
                </c:pt>
                <c:pt idx="3441">
                  <c:v>157992929.59999999</c:v>
                </c:pt>
                <c:pt idx="3442">
                  <c:v>157992929.59999999</c:v>
                </c:pt>
                <c:pt idx="3443">
                  <c:v>157992929.59999999</c:v>
                </c:pt>
                <c:pt idx="3444">
                  <c:v>157992929.59999999</c:v>
                </c:pt>
                <c:pt idx="3445">
                  <c:v>157992929.59999999</c:v>
                </c:pt>
                <c:pt idx="3446">
                  <c:v>157992929.59999999</c:v>
                </c:pt>
                <c:pt idx="3447">
                  <c:v>157992929.59999999</c:v>
                </c:pt>
                <c:pt idx="3448">
                  <c:v>157992929.59999999</c:v>
                </c:pt>
                <c:pt idx="3449">
                  <c:v>157992929.59999999</c:v>
                </c:pt>
                <c:pt idx="3450">
                  <c:v>157992929.59999999</c:v>
                </c:pt>
                <c:pt idx="3451">
                  <c:v>157992929.59999999</c:v>
                </c:pt>
                <c:pt idx="3452">
                  <c:v>157992929.59999999</c:v>
                </c:pt>
                <c:pt idx="3453">
                  <c:v>157992929.59999999</c:v>
                </c:pt>
                <c:pt idx="3454">
                  <c:v>157992929.59999999</c:v>
                </c:pt>
                <c:pt idx="3455">
                  <c:v>157992929.59999999</c:v>
                </c:pt>
                <c:pt idx="3456">
                  <c:v>157992929.59999999</c:v>
                </c:pt>
                <c:pt idx="3457">
                  <c:v>157992929.59999999</c:v>
                </c:pt>
                <c:pt idx="3458">
                  <c:v>157992929.59999999</c:v>
                </c:pt>
                <c:pt idx="3459">
                  <c:v>157992929.59999999</c:v>
                </c:pt>
                <c:pt idx="3460">
                  <c:v>157992929.59999999</c:v>
                </c:pt>
                <c:pt idx="3461">
                  <c:v>157992929.59999999</c:v>
                </c:pt>
                <c:pt idx="3462">
                  <c:v>157992929.59999999</c:v>
                </c:pt>
                <c:pt idx="3463">
                  <c:v>157992929.59999999</c:v>
                </c:pt>
                <c:pt idx="3464">
                  <c:v>157992929.59999999</c:v>
                </c:pt>
                <c:pt idx="3465">
                  <c:v>157992929.59999999</c:v>
                </c:pt>
                <c:pt idx="3466">
                  <c:v>157992929.59999999</c:v>
                </c:pt>
                <c:pt idx="3467">
                  <c:v>157992929.59999999</c:v>
                </c:pt>
                <c:pt idx="3468">
                  <c:v>157992929.59999999</c:v>
                </c:pt>
                <c:pt idx="3469">
                  <c:v>157992929.59999999</c:v>
                </c:pt>
                <c:pt idx="3470">
                  <c:v>157992929.59999999</c:v>
                </c:pt>
                <c:pt idx="3471">
                  <c:v>157992929.59999999</c:v>
                </c:pt>
                <c:pt idx="3472">
                  <c:v>157992929.59999999</c:v>
                </c:pt>
                <c:pt idx="3473">
                  <c:v>157992929.59999999</c:v>
                </c:pt>
                <c:pt idx="3474">
                  <c:v>157992929.59999999</c:v>
                </c:pt>
                <c:pt idx="3475">
                  <c:v>157992929.59999999</c:v>
                </c:pt>
                <c:pt idx="3476">
                  <c:v>157992929.59999999</c:v>
                </c:pt>
                <c:pt idx="3477">
                  <c:v>157992929.59999999</c:v>
                </c:pt>
                <c:pt idx="3478">
                  <c:v>157992929.59999999</c:v>
                </c:pt>
                <c:pt idx="3479">
                  <c:v>157992929.59999999</c:v>
                </c:pt>
                <c:pt idx="3480">
                  <c:v>157992929.59999999</c:v>
                </c:pt>
                <c:pt idx="3481">
                  <c:v>157992929.59999999</c:v>
                </c:pt>
                <c:pt idx="3482">
                  <c:v>157992929.59999999</c:v>
                </c:pt>
                <c:pt idx="3483">
                  <c:v>157992929.59999999</c:v>
                </c:pt>
                <c:pt idx="3484">
                  <c:v>157992929.59999999</c:v>
                </c:pt>
                <c:pt idx="3485">
                  <c:v>157992929.59999999</c:v>
                </c:pt>
                <c:pt idx="3486">
                  <c:v>157992929.59999999</c:v>
                </c:pt>
                <c:pt idx="3487">
                  <c:v>157992929.59999999</c:v>
                </c:pt>
                <c:pt idx="3488">
                  <c:v>157992929.59999999</c:v>
                </c:pt>
                <c:pt idx="3489">
                  <c:v>157992929.59999999</c:v>
                </c:pt>
                <c:pt idx="3490">
                  <c:v>157992929.59999999</c:v>
                </c:pt>
                <c:pt idx="3491">
                  <c:v>157992929.59999999</c:v>
                </c:pt>
                <c:pt idx="3492">
                  <c:v>157992929.59999999</c:v>
                </c:pt>
                <c:pt idx="3493">
                  <c:v>157992929.59999999</c:v>
                </c:pt>
                <c:pt idx="3494">
                  <c:v>157992929.59999999</c:v>
                </c:pt>
                <c:pt idx="3495">
                  <c:v>157992929.59999999</c:v>
                </c:pt>
                <c:pt idx="3496">
                  <c:v>157992929.59999999</c:v>
                </c:pt>
                <c:pt idx="3497">
                  <c:v>157992929.59999999</c:v>
                </c:pt>
                <c:pt idx="3498">
                  <c:v>157992929.59999999</c:v>
                </c:pt>
                <c:pt idx="3499">
                  <c:v>157992929.59999999</c:v>
                </c:pt>
                <c:pt idx="3500">
                  <c:v>157992929.59999999</c:v>
                </c:pt>
                <c:pt idx="3501">
                  <c:v>157992929.59999999</c:v>
                </c:pt>
                <c:pt idx="3502">
                  <c:v>157992929.59999999</c:v>
                </c:pt>
                <c:pt idx="3503">
                  <c:v>157992929.59999999</c:v>
                </c:pt>
                <c:pt idx="3504">
                  <c:v>157992929.59999999</c:v>
                </c:pt>
                <c:pt idx="3505">
                  <c:v>157992929.59999999</c:v>
                </c:pt>
                <c:pt idx="3506">
                  <c:v>157992929.59999999</c:v>
                </c:pt>
                <c:pt idx="3507">
                  <c:v>157992929.59999999</c:v>
                </c:pt>
                <c:pt idx="3508">
                  <c:v>157992929.59999999</c:v>
                </c:pt>
                <c:pt idx="3509">
                  <c:v>157992929.59999999</c:v>
                </c:pt>
                <c:pt idx="3510">
                  <c:v>157992929.59999999</c:v>
                </c:pt>
                <c:pt idx="3511">
                  <c:v>157992929.59999999</c:v>
                </c:pt>
                <c:pt idx="3512">
                  <c:v>157992929.59999999</c:v>
                </c:pt>
                <c:pt idx="3513">
                  <c:v>157992929.59999999</c:v>
                </c:pt>
                <c:pt idx="3514">
                  <c:v>157992929.59999999</c:v>
                </c:pt>
                <c:pt idx="3515">
                  <c:v>157992929.59999999</c:v>
                </c:pt>
                <c:pt idx="3516">
                  <c:v>157992929.59999999</c:v>
                </c:pt>
                <c:pt idx="3517">
                  <c:v>157992929.59999999</c:v>
                </c:pt>
                <c:pt idx="3518">
                  <c:v>157992929.59999999</c:v>
                </c:pt>
                <c:pt idx="3519">
                  <c:v>157992929.59999999</c:v>
                </c:pt>
                <c:pt idx="3520">
                  <c:v>157992929.59999999</c:v>
                </c:pt>
                <c:pt idx="3521">
                  <c:v>157992929.59999999</c:v>
                </c:pt>
                <c:pt idx="3522">
                  <c:v>157992929.59999999</c:v>
                </c:pt>
                <c:pt idx="3523">
                  <c:v>157992929.59999999</c:v>
                </c:pt>
                <c:pt idx="3524">
                  <c:v>157992929.59999999</c:v>
                </c:pt>
                <c:pt idx="3525">
                  <c:v>157992929.59999999</c:v>
                </c:pt>
                <c:pt idx="3526">
                  <c:v>157992929.59999999</c:v>
                </c:pt>
                <c:pt idx="3527">
                  <c:v>157992929.59999999</c:v>
                </c:pt>
                <c:pt idx="3528">
                  <c:v>157992929.59999999</c:v>
                </c:pt>
                <c:pt idx="3529">
                  <c:v>157992929.59999999</c:v>
                </c:pt>
                <c:pt idx="3530">
                  <c:v>157992929.59999999</c:v>
                </c:pt>
                <c:pt idx="3531">
                  <c:v>157992929.59999999</c:v>
                </c:pt>
                <c:pt idx="3532">
                  <c:v>157992929.59999999</c:v>
                </c:pt>
                <c:pt idx="3533">
                  <c:v>157992929.59999999</c:v>
                </c:pt>
                <c:pt idx="3534">
                  <c:v>157992929.59999999</c:v>
                </c:pt>
                <c:pt idx="3535">
                  <c:v>157992929.59999999</c:v>
                </c:pt>
                <c:pt idx="3536">
                  <c:v>157992929.59999999</c:v>
                </c:pt>
                <c:pt idx="3537">
                  <c:v>157992929.59999999</c:v>
                </c:pt>
                <c:pt idx="3538">
                  <c:v>157992929.59999999</c:v>
                </c:pt>
                <c:pt idx="3539">
                  <c:v>157992929.59999999</c:v>
                </c:pt>
                <c:pt idx="3540">
                  <c:v>157992929.59999999</c:v>
                </c:pt>
                <c:pt idx="3541">
                  <c:v>157992929.59999999</c:v>
                </c:pt>
                <c:pt idx="3542">
                  <c:v>157992929.59999999</c:v>
                </c:pt>
                <c:pt idx="3543">
                  <c:v>157992929.59999999</c:v>
                </c:pt>
                <c:pt idx="3544">
                  <c:v>157992929.59999999</c:v>
                </c:pt>
                <c:pt idx="3545">
                  <c:v>157992929.59999999</c:v>
                </c:pt>
                <c:pt idx="3546">
                  <c:v>157992929.59999999</c:v>
                </c:pt>
                <c:pt idx="3547">
                  <c:v>157992929.59999999</c:v>
                </c:pt>
                <c:pt idx="3548">
                  <c:v>157992929.59999999</c:v>
                </c:pt>
                <c:pt idx="3549">
                  <c:v>157992929.59999999</c:v>
                </c:pt>
                <c:pt idx="3550">
                  <c:v>157992929.59999999</c:v>
                </c:pt>
                <c:pt idx="3551">
                  <c:v>157992929.59999999</c:v>
                </c:pt>
                <c:pt idx="3552">
                  <c:v>157992929.59999999</c:v>
                </c:pt>
                <c:pt idx="3553">
                  <c:v>157992929.59999999</c:v>
                </c:pt>
                <c:pt idx="3554">
                  <c:v>157992929.59999999</c:v>
                </c:pt>
                <c:pt idx="3555">
                  <c:v>157992929.59999999</c:v>
                </c:pt>
                <c:pt idx="3556">
                  <c:v>157992929.59999999</c:v>
                </c:pt>
                <c:pt idx="3557">
                  <c:v>157992929.59999999</c:v>
                </c:pt>
                <c:pt idx="3558">
                  <c:v>157992929.59999999</c:v>
                </c:pt>
                <c:pt idx="3559">
                  <c:v>157992929.59999999</c:v>
                </c:pt>
                <c:pt idx="3560">
                  <c:v>157992929.59999999</c:v>
                </c:pt>
                <c:pt idx="3561">
                  <c:v>157992929.59999999</c:v>
                </c:pt>
                <c:pt idx="3562">
                  <c:v>157992929.59999999</c:v>
                </c:pt>
                <c:pt idx="3563">
                  <c:v>157992929.59999999</c:v>
                </c:pt>
                <c:pt idx="3564">
                  <c:v>157992929.59999999</c:v>
                </c:pt>
                <c:pt idx="3565">
                  <c:v>157992929.59999999</c:v>
                </c:pt>
                <c:pt idx="3566">
                  <c:v>157992929.59999999</c:v>
                </c:pt>
                <c:pt idx="3567">
                  <c:v>157992929.59999999</c:v>
                </c:pt>
                <c:pt idx="3568">
                  <c:v>157992929.59999999</c:v>
                </c:pt>
                <c:pt idx="3569">
                  <c:v>157992929.59999999</c:v>
                </c:pt>
                <c:pt idx="3570">
                  <c:v>157992929.59999999</c:v>
                </c:pt>
                <c:pt idx="3571">
                  <c:v>157992929.59999999</c:v>
                </c:pt>
                <c:pt idx="3572">
                  <c:v>157992929.59999999</c:v>
                </c:pt>
                <c:pt idx="3573">
                  <c:v>157992929.59999999</c:v>
                </c:pt>
                <c:pt idx="3574">
                  <c:v>157992929.59999999</c:v>
                </c:pt>
                <c:pt idx="3575">
                  <c:v>157992929.59999999</c:v>
                </c:pt>
                <c:pt idx="3576">
                  <c:v>157992929.59999999</c:v>
                </c:pt>
                <c:pt idx="3577">
                  <c:v>157992929.59999999</c:v>
                </c:pt>
                <c:pt idx="3578">
                  <c:v>157992929.59999999</c:v>
                </c:pt>
                <c:pt idx="3579">
                  <c:v>157992929.59999999</c:v>
                </c:pt>
                <c:pt idx="3580">
                  <c:v>157992929.59999999</c:v>
                </c:pt>
                <c:pt idx="3581">
                  <c:v>157992929.59999999</c:v>
                </c:pt>
                <c:pt idx="3582">
                  <c:v>157992929.59999999</c:v>
                </c:pt>
                <c:pt idx="3583">
                  <c:v>157992929.59999999</c:v>
                </c:pt>
                <c:pt idx="3584">
                  <c:v>157992929.59999999</c:v>
                </c:pt>
                <c:pt idx="3585">
                  <c:v>157992929.59999999</c:v>
                </c:pt>
                <c:pt idx="3586">
                  <c:v>157992929.59999999</c:v>
                </c:pt>
                <c:pt idx="3587">
                  <c:v>157992929.59999999</c:v>
                </c:pt>
                <c:pt idx="3588">
                  <c:v>157992929.59999999</c:v>
                </c:pt>
                <c:pt idx="3589">
                  <c:v>157992929.59999999</c:v>
                </c:pt>
                <c:pt idx="3590">
                  <c:v>157992929.59999999</c:v>
                </c:pt>
                <c:pt idx="3591">
                  <c:v>157992929.59999999</c:v>
                </c:pt>
                <c:pt idx="3592">
                  <c:v>157992929.59999999</c:v>
                </c:pt>
                <c:pt idx="3593">
                  <c:v>157992929.59999999</c:v>
                </c:pt>
                <c:pt idx="3594">
                  <c:v>157992929.59999999</c:v>
                </c:pt>
                <c:pt idx="3595">
                  <c:v>157992929.59999999</c:v>
                </c:pt>
                <c:pt idx="3596">
                  <c:v>157992929.59999999</c:v>
                </c:pt>
                <c:pt idx="3597">
                  <c:v>157992929.59999999</c:v>
                </c:pt>
                <c:pt idx="3598">
                  <c:v>157992929.59999999</c:v>
                </c:pt>
                <c:pt idx="3599">
                  <c:v>157992929.59999999</c:v>
                </c:pt>
                <c:pt idx="3600">
                  <c:v>157992929.59999999</c:v>
                </c:pt>
                <c:pt idx="3601">
                  <c:v>157992929.59999999</c:v>
                </c:pt>
                <c:pt idx="3602">
                  <c:v>157992929.59999999</c:v>
                </c:pt>
                <c:pt idx="3603">
                  <c:v>157992929.59999999</c:v>
                </c:pt>
                <c:pt idx="3604">
                  <c:v>157992929.59999999</c:v>
                </c:pt>
                <c:pt idx="3605">
                  <c:v>157992929.59999999</c:v>
                </c:pt>
                <c:pt idx="3606">
                  <c:v>157992929.59999999</c:v>
                </c:pt>
                <c:pt idx="3607">
                  <c:v>157992929.59999999</c:v>
                </c:pt>
                <c:pt idx="3608">
                  <c:v>157992929.59999999</c:v>
                </c:pt>
                <c:pt idx="3609">
                  <c:v>157992929.59999999</c:v>
                </c:pt>
                <c:pt idx="3610">
                  <c:v>157992929.59999999</c:v>
                </c:pt>
                <c:pt idx="3611">
                  <c:v>157992929.59999999</c:v>
                </c:pt>
                <c:pt idx="3612">
                  <c:v>157992929.59999999</c:v>
                </c:pt>
                <c:pt idx="3613">
                  <c:v>157992929.59999999</c:v>
                </c:pt>
                <c:pt idx="3614">
                  <c:v>157992929.59999999</c:v>
                </c:pt>
                <c:pt idx="3615">
                  <c:v>157992929.59999999</c:v>
                </c:pt>
                <c:pt idx="3616">
                  <c:v>157992929.59999999</c:v>
                </c:pt>
                <c:pt idx="3617">
                  <c:v>157992929.59999999</c:v>
                </c:pt>
                <c:pt idx="3618">
                  <c:v>157992929.59999999</c:v>
                </c:pt>
                <c:pt idx="3619">
                  <c:v>157992929.59999999</c:v>
                </c:pt>
                <c:pt idx="3620">
                  <c:v>157992929.59999999</c:v>
                </c:pt>
                <c:pt idx="3621">
                  <c:v>157992929.59999999</c:v>
                </c:pt>
                <c:pt idx="3622">
                  <c:v>157992929.59999999</c:v>
                </c:pt>
                <c:pt idx="3623">
                  <c:v>157992929.59999999</c:v>
                </c:pt>
                <c:pt idx="3624">
                  <c:v>157992929.59999999</c:v>
                </c:pt>
                <c:pt idx="3625">
                  <c:v>157992929.59999999</c:v>
                </c:pt>
                <c:pt idx="3626">
                  <c:v>157992929.59999999</c:v>
                </c:pt>
                <c:pt idx="3627">
                  <c:v>157992929.59999999</c:v>
                </c:pt>
                <c:pt idx="3628">
                  <c:v>157992929.59999999</c:v>
                </c:pt>
                <c:pt idx="3629">
                  <c:v>157992929.59999999</c:v>
                </c:pt>
                <c:pt idx="3630">
                  <c:v>157992929.59999999</c:v>
                </c:pt>
                <c:pt idx="3631">
                  <c:v>157992929.59999999</c:v>
                </c:pt>
                <c:pt idx="3632">
                  <c:v>157992929.59999999</c:v>
                </c:pt>
                <c:pt idx="3633">
                  <c:v>157992929.59999999</c:v>
                </c:pt>
                <c:pt idx="3634">
                  <c:v>157992929.59999999</c:v>
                </c:pt>
                <c:pt idx="3635">
                  <c:v>157992929.59999999</c:v>
                </c:pt>
                <c:pt idx="3636">
                  <c:v>157992929.59999999</c:v>
                </c:pt>
                <c:pt idx="3637">
                  <c:v>157992929.59999999</c:v>
                </c:pt>
                <c:pt idx="3638">
                  <c:v>157992929.59999999</c:v>
                </c:pt>
                <c:pt idx="3639">
                  <c:v>157992929.59999999</c:v>
                </c:pt>
                <c:pt idx="3640">
                  <c:v>157992929.59999999</c:v>
                </c:pt>
                <c:pt idx="3641">
                  <c:v>157992929.59999999</c:v>
                </c:pt>
                <c:pt idx="3642">
                  <c:v>157992929.59999999</c:v>
                </c:pt>
                <c:pt idx="3643">
                  <c:v>157992929.59999999</c:v>
                </c:pt>
                <c:pt idx="3644">
                  <c:v>157992929.59999999</c:v>
                </c:pt>
                <c:pt idx="3645">
                  <c:v>157992929.59999999</c:v>
                </c:pt>
                <c:pt idx="3646">
                  <c:v>157992929.59999999</c:v>
                </c:pt>
                <c:pt idx="3647">
                  <c:v>157992929.59999999</c:v>
                </c:pt>
                <c:pt idx="3648">
                  <c:v>157992929.59999999</c:v>
                </c:pt>
                <c:pt idx="3649">
                  <c:v>157992929.59999999</c:v>
                </c:pt>
                <c:pt idx="3650">
                  <c:v>157992929.59999999</c:v>
                </c:pt>
                <c:pt idx="3651">
                  <c:v>157992929.59999999</c:v>
                </c:pt>
                <c:pt idx="3652">
                  <c:v>157992929.59999999</c:v>
                </c:pt>
                <c:pt idx="3653">
                  <c:v>157992929.59999999</c:v>
                </c:pt>
                <c:pt idx="3654">
                  <c:v>157992929.59999999</c:v>
                </c:pt>
                <c:pt idx="3655">
                  <c:v>157992929.59999999</c:v>
                </c:pt>
                <c:pt idx="3656">
                  <c:v>157992929.59999999</c:v>
                </c:pt>
                <c:pt idx="3657">
                  <c:v>157992929.59999999</c:v>
                </c:pt>
                <c:pt idx="3658">
                  <c:v>157992929.59999999</c:v>
                </c:pt>
                <c:pt idx="3659">
                  <c:v>157992929.59999999</c:v>
                </c:pt>
                <c:pt idx="3660">
                  <c:v>157992929.59999999</c:v>
                </c:pt>
                <c:pt idx="3661">
                  <c:v>157992929.59999999</c:v>
                </c:pt>
                <c:pt idx="3662">
                  <c:v>157992929.59999999</c:v>
                </c:pt>
                <c:pt idx="3663">
                  <c:v>157992929.59999999</c:v>
                </c:pt>
                <c:pt idx="3664">
                  <c:v>157992929.59999999</c:v>
                </c:pt>
                <c:pt idx="3665">
                  <c:v>157992929.59999999</c:v>
                </c:pt>
                <c:pt idx="3666">
                  <c:v>157992929.59999999</c:v>
                </c:pt>
                <c:pt idx="3667">
                  <c:v>157992929.59999999</c:v>
                </c:pt>
                <c:pt idx="3668">
                  <c:v>157992929.59999999</c:v>
                </c:pt>
                <c:pt idx="3669">
                  <c:v>157992929.59999999</c:v>
                </c:pt>
                <c:pt idx="3670">
                  <c:v>157992929.59999999</c:v>
                </c:pt>
                <c:pt idx="3671">
                  <c:v>157992929.59999999</c:v>
                </c:pt>
                <c:pt idx="3672">
                  <c:v>157992929.59999999</c:v>
                </c:pt>
                <c:pt idx="3673">
                  <c:v>157992929.59999999</c:v>
                </c:pt>
                <c:pt idx="3674">
                  <c:v>157992929.59999999</c:v>
                </c:pt>
                <c:pt idx="3675">
                  <c:v>157992929.59999999</c:v>
                </c:pt>
                <c:pt idx="3676">
                  <c:v>157992929.59999999</c:v>
                </c:pt>
                <c:pt idx="3677">
                  <c:v>157992929.59999999</c:v>
                </c:pt>
                <c:pt idx="3678">
                  <c:v>157992929.59999999</c:v>
                </c:pt>
                <c:pt idx="3679">
                  <c:v>157992929.59999999</c:v>
                </c:pt>
                <c:pt idx="3680">
                  <c:v>157992929.59999999</c:v>
                </c:pt>
                <c:pt idx="3681">
                  <c:v>157992929.59999999</c:v>
                </c:pt>
                <c:pt idx="3682">
                  <c:v>157992929.59999999</c:v>
                </c:pt>
                <c:pt idx="3683">
                  <c:v>157992929.59999999</c:v>
                </c:pt>
                <c:pt idx="3684">
                  <c:v>157992929.59999999</c:v>
                </c:pt>
                <c:pt idx="3685">
                  <c:v>157992929.59999999</c:v>
                </c:pt>
                <c:pt idx="3686">
                  <c:v>157992929.59999999</c:v>
                </c:pt>
                <c:pt idx="3687">
                  <c:v>157992929.59999999</c:v>
                </c:pt>
                <c:pt idx="3688">
                  <c:v>157992929.59999999</c:v>
                </c:pt>
                <c:pt idx="3689">
                  <c:v>157992929.59999999</c:v>
                </c:pt>
                <c:pt idx="3690">
                  <c:v>157992929.59999999</c:v>
                </c:pt>
                <c:pt idx="3691">
                  <c:v>157992929.59999999</c:v>
                </c:pt>
                <c:pt idx="3692">
                  <c:v>157992929.59999999</c:v>
                </c:pt>
                <c:pt idx="3693">
                  <c:v>157992929.59999999</c:v>
                </c:pt>
                <c:pt idx="3694">
                  <c:v>157992929.59999999</c:v>
                </c:pt>
                <c:pt idx="3695">
                  <c:v>157992929.59999999</c:v>
                </c:pt>
                <c:pt idx="3696">
                  <c:v>157992929.59999999</c:v>
                </c:pt>
                <c:pt idx="3697">
                  <c:v>157992929.59999999</c:v>
                </c:pt>
                <c:pt idx="3698">
                  <c:v>157992929.59999999</c:v>
                </c:pt>
                <c:pt idx="3699">
                  <c:v>157992929.59999999</c:v>
                </c:pt>
                <c:pt idx="3700">
                  <c:v>157992929.59999999</c:v>
                </c:pt>
                <c:pt idx="3701">
                  <c:v>157992929.59999999</c:v>
                </c:pt>
                <c:pt idx="3702">
                  <c:v>157992929.59999999</c:v>
                </c:pt>
                <c:pt idx="3703">
                  <c:v>157992929.59999999</c:v>
                </c:pt>
                <c:pt idx="3704">
                  <c:v>157992929.59999999</c:v>
                </c:pt>
                <c:pt idx="3705">
                  <c:v>157992929.59999999</c:v>
                </c:pt>
                <c:pt idx="3706">
                  <c:v>157992929.59999999</c:v>
                </c:pt>
                <c:pt idx="3707">
                  <c:v>157992929.59999999</c:v>
                </c:pt>
                <c:pt idx="3708">
                  <c:v>157992929.59999999</c:v>
                </c:pt>
                <c:pt idx="3709">
                  <c:v>157992929.59999999</c:v>
                </c:pt>
                <c:pt idx="3710">
                  <c:v>157992929.59999999</c:v>
                </c:pt>
                <c:pt idx="3711">
                  <c:v>157992929.59999999</c:v>
                </c:pt>
                <c:pt idx="3712">
                  <c:v>157992929.59999999</c:v>
                </c:pt>
                <c:pt idx="3713">
                  <c:v>157992929.59999999</c:v>
                </c:pt>
                <c:pt idx="3714">
                  <c:v>157992929.59999999</c:v>
                </c:pt>
                <c:pt idx="3715">
                  <c:v>157992929.59999999</c:v>
                </c:pt>
                <c:pt idx="3716">
                  <c:v>157992929.59999999</c:v>
                </c:pt>
                <c:pt idx="3717">
                  <c:v>157992929.59999999</c:v>
                </c:pt>
                <c:pt idx="3718">
                  <c:v>157992929.59999999</c:v>
                </c:pt>
                <c:pt idx="3719">
                  <c:v>157992929.59999999</c:v>
                </c:pt>
                <c:pt idx="3720">
                  <c:v>157992929.59999999</c:v>
                </c:pt>
                <c:pt idx="3721">
                  <c:v>157992929.59999999</c:v>
                </c:pt>
                <c:pt idx="3722">
                  <c:v>157992929.59999999</c:v>
                </c:pt>
                <c:pt idx="3723">
                  <c:v>157992929.59999999</c:v>
                </c:pt>
                <c:pt idx="3724">
                  <c:v>157992929.59999999</c:v>
                </c:pt>
                <c:pt idx="3725">
                  <c:v>157992929.59999999</c:v>
                </c:pt>
                <c:pt idx="3726">
                  <c:v>157992929.59999999</c:v>
                </c:pt>
                <c:pt idx="3727">
                  <c:v>157992929.59999999</c:v>
                </c:pt>
                <c:pt idx="3728">
                  <c:v>157992929.59999999</c:v>
                </c:pt>
                <c:pt idx="3729">
                  <c:v>157992929.59999999</c:v>
                </c:pt>
                <c:pt idx="3730">
                  <c:v>157992929.59999999</c:v>
                </c:pt>
                <c:pt idx="3731">
                  <c:v>157992929.59999999</c:v>
                </c:pt>
                <c:pt idx="3732">
                  <c:v>157992929.59999999</c:v>
                </c:pt>
                <c:pt idx="3733">
                  <c:v>157992929.59999999</c:v>
                </c:pt>
                <c:pt idx="3734">
                  <c:v>157992929.59999999</c:v>
                </c:pt>
                <c:pt idx="3735">
                  <c:v>157992929.59999999</c:v>
                </c:pt>
                <c:pt idx="3736">
                  <c:v>157992929.59999999</c:v>
                </c:pt>
                <c:pt idx="3737">
                  <c:v>157992929.59999999</c:v>
                </c:pt>
                <c:pt idx="3738">
                  <c:v>157992929.59999999</c:v>
                </c:pt>
                <c:pt idx="3739">
                  <c:v>157992929.59999999</c:v>
                </c:pt>
                <c:pt idx="3740">
                  <c:v>157992929.59999999</c:v>
                </c:pt>
                <c:pt idx="3741">
                  <c:v>157992929.59999999</c:v>
                </c:pt>
                <c:pt idx="3742">
                  <c:v>157992929.59999999</c:v>
                </c:pt>
                <c:pt idx="3743">
                  <c:v>157992929.59999999</c:v>
                </c:pt>
                <c:pt idx="3744">
                  <c:v>157992929.59999999</c:v>
                </c:pt>
                <c:pt idx="3745">
                  <c:v>157992929.59999999</c:v>
                </c:pt>
                <c:pt idx="3746">
                  <c:v>157992929.59999999</c:v>
                </c:pt>
                <c:pt idx="3747">
                  <c:v>157992929.59999999</c:v>
                </c:pt>
                <c:pt idx="3748">
                  <c:v>157992929.59999999</c:v>
                </c:pt>
                <c:pt idx="3749">
                  <c:v>157992929.59999999</c:v>
                </c:pt>
                <c:pt idx="3750">
                  <c:v>157992929.59999999</c:v>
                </c:pt>
                <c:pt idx="3751">
                  <c:v>157992929.59999999</c:v>
                </c:pt>
                <c:pt idx="3752">
                  <c:v>157992929.59999999</c:v>
                </c:pt>
                <c:pt idx="3753">
                  <c:v>157992929.59999999</c:v>
                </c:pt>
                <c:pt idx="3754">
                  <c:v>157992929.59999999</c:v>
                </c:pt>
                <c:pt idx="3755">
                  <c:v>157992929.59999999</c:v>
                </c:pt>
                <c:pt idx="3756">
                  <c:v>157992929.59999999</c:v>
                </c:pt>
                <c:pt idx="3757">
                  <c:v>157992929.59999999</c:v>
                </c:pt>
                <c:pt idx="3758">
                  <c:v>157992929.59999999</c:v>
                </c:pt>
                <c:pt idx="3759">
                  <c:v>157992929.59999999</c:v>
                </c:pt>
                <c:pt idx="3760">
                  <c:v>157992929.59999999</c:v>
                </c:pt>
                <c:pt idx="3761">
                  <c:v>157992929.59999999</c:v>
                </c:pt>
                <c:pt idx="3762">
                  <c:v>157992929.59999999</c:v>
                </c:pt>
                <c:pt idx="3763">
                  <c:v>157992929.59999999</c:v>
                </c:pt>
                <c:pt idx="3764">
                  <c:v>157992929.59999999</c:v>
                </c:pt>
                <c:pt idx="3765">
                  <c:v>157992929.59999999</c:v>
                </c:pt>
                <c:pt idx="3766">
                  <c:v>157992929.59999999</c:v>
                </c:pt>
                <c:pt idx="3767">
                  <c:v>157992929.59999999</c:v>
                </c:pt>
                <c:pt idx="3768">
                  <c:v>157992929.59999999</c:v>
                </c:pt>
                <c:pt idx="3769">
                  <c:v>157992929.59999999</c:v>
                </c:pt>
                <c:pt idx="3770">
                  <c:v>157992929.59999999</c:v>
                </c:pt>
                <c:pt idx="3771">
                  <c:v>157992929.59999999</c:v>
                </c:pt>
                <c:pt idx="3772">
                  <c:v>157992929.59999999</c:v>
                </c:pt>
                <c:pt idx="3773">
                  <c:v>157992929.59999999</c:v>
                </c:pt>
                <c:pt idx="3774">
                  <c:v>157992929.59999999</c:v>
                </c:pt>
                <c:pt idx="3775">
                  <c:v>157992929.59999999</c:v>
                </c:pt>
                <c:pt idx="3776">
                  <c:v>157992929.59999999</c:v>
                </c:pt>
                <c:pt idx="3777">
                  <c:v>157992929.59999999</c:v>
                </c:pt>
                <c:pt idx="3778">
                  <c:v>157992929.59999999</c:v>
                </c:pt>
                <c:pt idx="3779">
                  <c:v>157992929.59999999</c:v>
                </c:pt>
                <c:pt idx="3780">
                  <c:v>157992929.59999999</c:v>
                </c:pt>
                <c:pt idx="3781">
                  <c:v>157992929.59999999</c:v>
                </c:pt>
                <c:pt idx="3782">
                  <c:v>157992929.59999999</c:v>
                </c:pt>
                <c:pt idx="3783">
                  <c:v>157992929.59999999</c:v>
                </c:pt>
                <c:pt idx="3784">
                  <c:v>157992929.59999999</c:v>
                </c:pt>
                <c:pt idx="3785">
                  <c:v>157992929.59999999</c:v>
                </c:pt>
                <c:pt idx="3786">
                  <c:v>157992929.59999999</c:v>
                </c:pt>
                <c:pt idx="3787">
                  <c:v>157992929.59999999</c:v>
                </c:pt>
                <c:pt idx="3788">
                  <c:v>157992929.59999999</c:v>
                </c:pt>
                <c:pt idx="3789">
                  <c:v>157992929.59999999</c:v>
                </c:pt>
                <c:pt idx="3790">
                  <c:v>157992929.59999999</c:v>
                </c:pt>
                <c:pt idx="3791">
                  <c:v>157992929.59999999</c:v>
                </c:pt>
                <c:pt idx="3792">
                  <c:v>157992929.59999999</c:v>
                </c:pt>
                <c:pt idx="3793">
                  <c:v>157992929.59999999</c:v>
                </c:pt>
                <c:pt idx="3794">
                  <c:v>157992929.59999999</c:v>
                </c:pt>
                <c:pt idx="3795">
                  <c:v>157992929.59999999</c:v>
                </c:pt>
                <c:pt idx="3796">
                  <c:v>157992929.59999999</c:v>
                </c:pt>
                <c:pt idx="3797">
                  <c:v>157992929.59999999</c:v>
                </c:pt>
                <c:pt idx="3798">
                  <c:v>157992929.59999999</c:v>
                </c:pt>
                <c:pt idx="3799">
                  <c:v>157992929.59999999</c:v>
                </c:pt>
                <c:pt idx="3800">
                  <c:v>157992929.59999999</c:v>
                </c:pt>
                <c:pt idx="3801">
                  <c:v>157992929.59999999</c:v>
                </c:pt>
                <c:pt idx="3802">
                  <c:v>157992929.59999999</c:v>
                </c:pt>
                <c:pt idx="3803">
                  <c:v>157992929.59999999</c:v>
                </c:pt>
                <c:pt idx="3804">
                  <c:v>157992929.59999999</c:v>
                </c:pt>
                <c:pt idx="3805">
                  <c:v>157992929.59999999</c:v>
                </c:pt>
                <c:pt idx="3806">
                  <c:v>157992929.59999999</c:v>
                </c:pt>
                <c:pt idx="3807">
                  <c:v>157992929.59999999</c:v>
                </c:pt>
                <c:pt idx="3808">
                  <c:v>157992929.59999999</c:v>
                </c:pt>
                <c:pt idx="3809">
                  <c:v>157992929.59999999</c:v>
                </c:pt>
                <c:pt idx="3810">
                  <c:v>157992929.59999999</c:v>
                </c:pt>
                <c:pt idx="3811">
                  <c:v>157992929.59999999</c:v>
                </c:pt>
                <c:pt idx="3812">
                  <c:v>157992929.59999999</c:v>
                </c:pt>
                <c:pt idx="3813">
                  <c:v>157992929.59999999</c:v>
                </c:pt>
                <c:pt idx="3814">
                  <c:v>157992929.59999999</c:v>
                </c:pt>
                <c:pt idx="3815">
                  <c:v>157992929.59999999</c:v>
                </c:pt>
                <c:pt idx="3816">
                  <c:v>157992929.59999999</c:v>
                </c:pt>
                <c:pt idx="3817">
                  <c:v>157992929.59999999</c:v>
                </c:pt>
                <c:pt idx="3818">
                  <c:v>157992929.59999999</c:v>
                </c:pt>
                <c:pt idx="3819">
                  <c:v>157992929.59999999</c:v>
                </c:pt>
                <c:pt idx="3820">
                  <c:v>157992929.59999999</c:v>
                </c:pt>
                <c:pt idx="3821">
                  <c:v>157992929.59999999</c:v>
                </c:pt>
                <c:pt idx="3822">
                  <c:v>157992929.59999999</c:v>
                </c:pt>
                <c:pt idx="3823">
                  <c:v>157992929.59999999</c:v>
                </c:pt>
                <c:pt idx="3824">
                  <c:v>157992929.59999999</c:v>
                </c:pt>
                <c:pt idx="3825">
                  <c:v>157992929.59999999</c:v>
                </c:pt>
                <c:pt idx="3826">
                  <c:v>157992929.59999999</c:v>
                </c:pt>
                <c:pt idx="3827">
                  <c:v>157992929.59999999</c:v>
                </c:pt>
                <c:pt idx="3828">
                  <c:v>157992929.59999999</c:v>
                </c:pt>
                <c:pt idx="3829">
                  <c:v>157992929.59999999</c:v>
                </c:pt>
                <c:pt idx="3830">
                  <c:v>157992929.59999999</c:v>
                </c:pt>
                <c:pt idx="3831">
                  <c:v>157992929.59999999</c:v>
                </c:pt>
                <c:pt idx="3832">
                  <c:v>157992929.59999999</c:v>
                </c:pt>
                <c:pt idx="3833">
                  <c:v>157992929.59999999</c:v>
                </c:pt>
                <c:pt idx="3834">
                  <c:v>157992929.59999999</c:v>
                </c:pt>
                <c:pt idx="3835">
                  <c:v>157992929.59999999</c:v>
                </c:pt>
                <c:pt idx="3836">
                  <c:v>157992929.59999999</c:v>
                </c:pt>
                <c:pt idx="3837">
                  <c:v>157992929.59999999</c:v>
                </c:pt>
                <c:pt idx="3838">
                  <c:v>157992929.59999999</c:v>
                </c:pt>
                <c:pt idx="3839">
                  <c:v>157992929.59999999</c:v>
                </c:pt>
                <c:pt idx="3840">
                  <c:v>157992929.59999999</c:v>
                </c:pt>
                <c:pt idx="3841">
                  <c:v>157992929.59999999</c:v>
                </c:pt>
                <c:pt idx="3842">
                  <c:v>157992929.59999999</c:v>
                </c:pt>
                <c:pt idx="3843">
                  <c:v>157992929.59999999</c:v>
                </c:pt>
                <c:pt idx="3844">
                  <c:v>157992929.59999999</c:v>
                </c:pt>
                <c:pt idx="3845">
                  <c:v>157992929.59999999</c:v>
                </c:pt>
                <c:pt idx="3846">
                  <c:v>157992929.59999999</c:v>
                </c:pt>
                <c:pt idx="3847">
                  <c:v>157992929.59999999</c:v>
                </c:pt>
                <c:pt idx="3848">
                  <c:v>157992929.59999999</c:v>
                </c:pt>
                <c:pt idx="3849">
                  <c:v>157992929.59999999</c:v>
                </c:pt>
                <c:pt idx="3850">
                  <c:v>157992929.59999999</c:v>
                </c:pt>
                <c:pt idx="3851">
                  <c:v>157992929.59999999</c:v>
                </c:pt>
                <c:pt idx="3852">
                  <c:v>157992929.59999999</c:v>
                </c:pt>
                <c:pt idx="3853">
                  <c:v>157992929.59999999</c:v>
                </c:pt>
                <c:pt idx="3854">
                  <c:v>157992929.59999999</c:v>
                </c:pt>
                <c:pt idx="3855">
                  <c:v>157992929.59999999</c:v>
                </c:pt>
                <c:pt idx="3856">
                  <c:v>157992929.59999999</c:v>
                </c:pt>
                <c:pt idx="3857">
                  <c:v>157992929.59999999</c:v>
                </c:pt>
                <c:pt idx="3858">
                  <c:v>157992929.59999999</c:v>
                </c:pt>
                <c:pt idx="3859">
                  <c:v>157992929.59999999</c:v>
                </c:pt>
                <c:pt idx="3860">
                  <c:v>157992929.59999999</c:v>
                </c:pt>
                <c:pt idx="3861">
                  <c:v>157992929.59999999</c:v>
                </c:pt>
                <c:pt idx="3862">
                  <c:v>157992929.59999999</c:v>
                </c:pt>
                <c:pt idx="3863">
                  <c:v>157992929.59999999</c:v>
                </c:pt>
                <c:pt idx="3864">
                  <c:v>157992929.59999999</c:v>
                </c:pt>
                <c:pt idx="3865">
                  <c:v>157992929.59999999</c:v>
                </c:pt>
                <c:pt idx="3866">
                  <c:v>157992929.59999999</c:v>
                </c:pt>
                <c:pt idx="3867">
                  <c:v>157992929.59999999</c:v>
                </c:pt>
                <c:pt idx="3868">
                  <c:v>157992929.59999999</c:v>
                </c:pt>
                <c:pt idx="3869">
                  <c:v>157992929.59999999</c:v>
                </c:pt>
                <c:pt idx="3870">
                  <c:v>157992929.59999999</c:v>
                </c:pt>
                <c:pt idx="3871">
                  <c:v>157992929.59999999</c:v>
                </c:pt>
                <c:pt idx="3872">
                  <c:v>157992929.59999999</c:v>
                </c:pt>
                <c:pt idx="3873">
                  <c:v>157992929.59999999</c:v>
                </c:pt>
                <c:pt idx="3874">
                  <c:v>157992929.59999999</c:v>
                </c:pt>
                <c:pt idx="3875">
                  <c:v>157992929.59999999</c:v>
                </c:pt>
                <c:pt idx="3876">
                  <c:v>157992929.59999999</c:v>
                </c:pt>
                <c:pt idx="3877">
                  <c:v>157992929.59999999</c:v>
                </c:pt>
                <c:pt idx="3878">
                  <c:v>157992929.59999999</c:v>
                </c:pt>
                <c:pt idx="3879">
                  <c:v>157992929.59999999</c:v>
                </c:pt>
                <c:pt idx="3880">
                  <c:v>157992929.59999999</c:v>
                </c:pt>
                <c:pt idx="3881">
                  <c:v>157992929.59999999</c:v>
                </c:pt>
                <c:pt idx="3882">
                  <c:v>157992929.59999999</c:v>
                </c:pt>
                <c:pt idx="3883">
                  <c:v>157992929.59999999</c:v>
                </c:pt>
                <c:pt idx="3884">
                  <c:v>157992929.59999999</c:v>
                </c:pt>
                <c:pt idx="3885">
                  <c:v>157992929.59999999</c:v>
                </c:pt>
                <c:pt idx="3886">
                  <c:v>157992929.59999999</c:v>
                </c:pt>
                <c:pt idx="3887">
                  <c:v>157992929.59999999</c:v>
                </c:pt>
                <c:pt idx="3888">
                  <c:v>157992929.59999999</c:v>
                </c:pt>
                <c:pt idx="3889">
                  <c:v>157992929.59999999</c:v>
                </c:pt>
                <c:pt idx="3890">
                  <c:v>157992929.59999999</c:v>
                </c:pt>
                <c:pt idx="3891">
                  <c:v>157992929.59999999</c:v>
                </c:pt>
                <c:pt idx="3892">
                  <c:v>157992929.59999999</c:v>
                </c:pt>
                <c:pt idx="3893">
                  <c:v>157992929.59999999</c:v>
                </c:pt>
                <c:pt idx="3894">
                  <c:v>157992929.59999999</c:v>
                </c:pt>
                <c:pt idx="3895">
                  <c:v>157992929.59999999</c:v>
                </c:pt>
                <c:pt idx="3896">
                  <c:v>157992929.59999999</c:v>
                </c:pt>
                <c:pt idx="3897">
                  <c:v>157992929.59999999</c:v>
                </c:pt>
                <c:pt idx="3898">
                  <c:v>157992929.59999999</c:v>
                </c:pt>
                <c:pt idx="3899">
                  <c:v>157992929.59999999</c:v>
                </c:pt>
                <c:pt idx="3900">
                  <c:v>157992929.59999999</c:v>
                </c:pt>
                <c:pt idx="3901">
                  <c:v>157992929.59999999</c:v>
                </c:pt>
                <c:pt idx="3902">
                  <c:v>157992929.59999999</c:v>
                </c:pt>
                <c:pt idx="3903">
                  <c:v>157992929.59999999</c:v>
                </c:pt>
                <c:pt idx="3904">
                  <c:v>157992929.59999999</c:v>
                </c:pt>
                <c:pt idx="3905">
                  <c:v>157992929.59999999</c:v>
                </c:pt>
                <c:pt idx="3906">
                  <c:v>157992929.59999999</c:v>
                </c:pt>
                <c:pt idx="3907">
                  <c:v>157992929.59999999</c:v>
                </c:pt>
                <c:pt idx="3908">
                  <c:v>157992929.59999999</c:v>
                </c:pt>
                <c:pt idx="3909">
                  <c:v>157992929.59999999</c:v>
                </c:pt>
                <c:pt idx="3910">
                  <c:v>157992929.59999999</c:v>
                </c:pt>
                <c:pt idx="3911">
                  <c:v>157992929.59999999</c:v>
                </c:pt>
                <c:pt idx="3912">
                  <c:v>157992929.59999999</c:v>
                </c:pt>
                <c:pt idx="3913">
                  <c:v>157992929.59999999</c:v>
                </c:pt>
                <c:pt idx="3914">
                  <c:v>157992929.59999999</c:v>
                </c:pt>
                <c:pt idx="3915">
                  <c:v>157992929.59999999</c:v>
                </c:pt>
                <c:pt idx="3916">
                  <c:v>157992929.59999999</c:v>
                </c:pt>
                <c:pt idx="3917">
                  <c:v>157992929.59999999</c:v>
                </c:pt>
                <c:pt idx="3918">
                  <c:v>157992929.59999999</c:v>
                </c:pt>
                <c:pt idx="3919">
                  <c:v>157992929.59999999</c:v>
                </c:pt>
                <c:pt idx="3920">
                  <c:v>157992929.59999999</c:v>
                </c:pt>
                <c:pt idx="3921">
                  <c:v>157992929.59999999</c:v>
                </c:pt>
                <c:pt idx="3922">
                  <c:v>157992929.59999999</c:v>
                </c:pt>
                <c:pt idx="3923">
                  <c:v>157992929.59999999</c:v>
                </c:pt>
                <c:pt idx="3924">
                  <c:v>157992929.59999999</c:v>
                </c:pt>
                <c:pt idx="3925">
                  <c:v>157992929.59999999</c:v>
                </c:pt>
                <c:pt idx="3926">
                  <c:v>157992929.59999999</c:v>
                </c:pt>
                <c:pt idx="3927">
                  <c:v>157992929.59999999</c:v>
                </c:pt>
                <c:pt idx="3928">
                  <c:v>157992929.59999999</c:v>
                </c:pt>
                <c:pt idx="3929">
                  <c:v>157992929.59999999</c:v>
                </c:pt>
                <c:pt idx="3930">
                  <c:v>157992929.59999999</c:v>
                </c:pt>
                <c:pt idx="3931">
                  <c:v>157992929.59999999</c:v>
                </c:pt>
                <c:pt idx="3932">
                  <c:v>157992929.59999999</c:v>
                </c:pt>
                <c:pt idx="3933">
                  <c:v>157992929.59999999</c:v>
                </c:pt>
                <c:pt idx="3934">
                  <c:v>157992929.59999999</c:v>
                </c:pt>
                <c:pt idx="3935">
                  <c:v>157992929.59999999</c:v>
                </c:pt>
                <c:pt idx="3936">
                  <c:v>157992929.59999999</c:v>
                </c:pt>
                <c:pt idx="3937">
                  <c:v>157992929.59999999</c:v>
                </c:pt>
                <c:pt idx="3938">
                  <c:v>157992929.59999999</c:v>
                </c:pt>
                <c:pt idx="3939">
                  <c:v>157992929.59999999</c:v>
                </c:pt>
                <c:pt idx="3940">
                  <c:v>157992929.59999999</c:v>
                </c:pt>
                <c:pt idx="3941">
                  <c:v>157992929.59999999</c:v>
                </c:pt>
                <c:pt idx="3942">
                  <c:v>157992929.59999999</c:v>
                </c:pt>
                <c:pt idx="3943">
                  <c:v>157992929.59999999</c:v>
                </c:pt>
                <c:pt idx="3944">
                  <c:v>157992929.59999999</c:v>
                </c:pt>
                <c:pt idx="3945">
                  <c:v>157992929.59999999</c:v>
                </c:pt>
                <c:pt idx="3946">
                  <c:v>157992929.59999999</c:v>
                </c:pt>
                <c:pt idx="3947">
                  <c:v>157992929.59999999</c:v>
                </c:pt>
                <c:pt idx="3948">
                  <c:v>157992929.59999999</c:v>
                </c:pt>
                <c:pt idx="3949">
                  <c:v>157992929.59999999</c:v>
                </c:pt>
                <c:pt idx="3950">
                  <c:v>157992929.59999999</c:v>
                </c:pt>
                <c:pt idx="3951">
                  <c:v>157992929.59999999</c:v>
                </c:pt>
                <c:pt idx="3952">
                  <c:v>157992929.59999999</c:v>
                </c:pt>
                <c:pt idx="3953">
                  <c:v>157992929.59999999</c:v>
                </c:pt>
                <c:pt idx="3954">
                  <c:v>157992929.59999999</c:v>
                </c:pt>
                <c:pt idx="3955">
                  <c:v>157992929.59999999</c:v>
                </c:pt>
                <c:pt idx="3956">
                  <c:v>157992929.59999999</c:v>
                </c:pt>
                <c:pt idx="3957">
                  <c:v>157992929.59999999</c:v>
                </c:pt>
                <c:pt idx="3958">
                  <c:v>157992929.59999999</c:v>
                </c:pt>
                <c:pt idx="3959">
                  <c:v>157992929.59999999</c:v>
                </c:pt>
                <c:pt idx="3960">
                  <c:v>157992929.59999999</c:v>
                </c:pt>
                <c:pt idx="3961">
                  <c:v>157992929.59999999</c:v>
                </c:pt>
                <c:pt idx="3962">
                  <c:v>157992929.59999999</c:v>
                </c:pt>
                <c:pt idx="3963">
                  <c:v>157992929.59999999</c:v>
                </c:pt>
                <c:pt idx="3964">
                  <c:v>157992929.59999999</c:v>
                </c:pt>
                <c:pt idx="3965">
                  <c:v>157992929.59999999</c:v>
                </c:pt>
                <c:pt idx="3966">
                  <c:v>157992929.59999999</c:v>
                </c:pt>
                <c:pt idx="3967">
                  <c:v>157992929.59999999</c:v>
                </c:pt>
                <c:pt idx="3968">
                  <c:v>157992929.59999999</c:v>
                </c:pt>
                <c:pt idx="3969">
                  <c:v>157992929.59999999</c:v>
                </c:pt>
                <c:pt idx="3970">
                  <c:v>157992929.59999999</c:v>
                </c:pt>
                <c:pt idx="3971">
                  <c:v>157992929.59999999</c:v>
                </c:pt>
                <c:pt idx="3972">
                  <c:v>157992929.59999999</c:v>
                </c:pt>
                <c:pt idx="3973">
                  <c:v>157992929.59999999</c:v>
                </c:pt>
                <c:pt idx="3974">
                  <c:v>157992929.59999999</c:v>
                </c:pt>
                <c:pt idx="3975">
                  <c:v>157992929.59999999</c:v>
                </c:pt>
                <c:pt idx="3976">
                  <c:v>157992929.59999999</c:v>
                </c:pt>
                <c:pt idx="3977">
                  <c:v>157992929.59999999</c:v>
                </c:pt>
                <c:pt idx="3978">
                  <c:v>157992929.59999999</c:v>
                </c:pt>
                <c:pt idx="3979">
                  <c:v>157992929.59999999</c:v>
                </c:pt>
                <c:pt idx="3980">
                  <c:v>157992929.59999999</c:v>
                </c:pt>
                <c:pt idx="3981">
                  <c:v>157992929.59999999</c:v>
                </c:pt>
                <c:pt idx="3982">
                  <c:v>157992929.59999999</c:v>
                </c:pt>
                <c:pt idx="3983">
                  <c:v>157992929.59999999</c:v>
                </c:pt>
                <c:pt idx="3984">
                  <c:v>157992929.59999999</c:v>
                </c:pt>
                <c:pt idx="3985">
                  <c:v>157992929.59999999</c:v>
                </c:pt>
                <c:pt idx="3986">
                  <c:v>157992929.59999999</c:v>
                </c:pt>
                <c:pt idx="3987">
                  <c:v>157992929.59999999</c:v>
                </c:pt>
                <c:pt idx="3988">
                  <c:v>157992929.59999999</c:v>
                </c:pt>
                <c:pt idx="3989">
                  <c:v>157992929.59999999</c:v>
                </c:pt>
                <c:pt idx="3990">
                  <c:v>157992929.59999999</c:v>
                </c:pt>
                <c:pt idx="3991">
                  <c:v>157992929.59999999</c:v>
                </c:pt>
                <c:pt idx="3992">
                  <c:v>157992929.59999999</c:v>
                </c:pt>
                <c:pt idx="3993">
                  <c:v>157992929.59999999</c:v>
                </c:pt>
                <c:pt idx="3994">
                  <c:v>157992929.59999999</c:v>
                </c:pt>
                <c:pt idx="3995">
                  <c:v>157992929.59999999</c:v>
                </c:pt>
                <c:pt idx="3996">
                  <c:v>157992929.59999999</c:v>
                </c:pt>
                <c:pt idx="3997">
                  <c:v>157992929.59999999</c:v>
                </c:pt>
                <c:pt idx="3998">
                  <c:v>157992929.59999999</c:v>
                </c:pt>
                <c:pt idx="3999">
                  <c:v>157992929.59999999</c:v>
                </c:pt>
                <c:pt idx="4000">
                  <c:v>157992929.59999999</c:v>
                </c:pt>
                <c:pt idx="4001">
                  <c:v>157992929.59999999</c:v>
                </c:pt>
                <c:pt idx="4002">
                  <c:v>157992929.59999999</c:v>
                </c:pt>
                <c:pt idx="4003">
                  <c:v>157992929.59999999</c:v>
                </c:pt>
                <c:pt idx="4004">
                  <c:v>157992929.59999999</c:v>
                </c:pt>
                <c:pt idx="4005">
                  <c:v>157992929.59999999</c:v>
                </c:pt>
                <c:pt idx="4006">
                  <c:v>157992929.59999999</c:v>
                </c:pt>
                <c:pt idx="4007">
                  <c:v>157992929.59999999</c:v>
                </c:pt>
                <c:pt idx="4008">
                  <c:v>157992929.59999999</c:v>
                </c:pt>
                <c:pt idx="4009">
                  <c:v>157992929.59999999</c:v>
                </c:pt>
                <c:pt idx="4010">
                  <c:v>157992929.59999999</c:v>
                </c:pt>
                <c:pt idx="4011">
                  <c:v>157992929.59999999</c:v>
                </c:pt>
                <c:pt idx="4012">
                  <c:v>157992929.59999999</c:v>
                </c:pt>
                <c:pt idx="4013">
                  <c:v>157992929.59999999</c:v>
                </c:pt>
                <c:pt idx="4014">
                  <c:v>157992929.59999999</c:v>
                </c:pt>
                <c:pt idx="4015">
                  <c:v>157992929.59999999</c:v>
                </c:pt>
                <c:pt idx="4016">
                  <c:v>157992929.59999999</c:v>
                </c:pt>
                <c:pt idx="4017">
                  <c:v>157992929.59999999</c:v>
                </c:pt>
                <c:pt idx="4018">
                  <c:v>157992929.59999999</c:v>
                </c:pt>
                <c:pt idx="4019">
                  <c:v>157992929.59999999</c:v>
                </c:pt>
                <c:pt idx="4020">
                  <c:v>157992929.59999999</c:v>
                </c:pt>
                <c:pt idx="4021">
                  <c:v>157992929.59999999</c:v>
                </c:pt>
                <c:pt idx="4022">
                  <c:v>157992929.59999999</c:v>
                </c:pt>
                <c:pt idx="4023">
                  <c:v>157992929.59999999</c:v>
                </c:pt>
                <c:pt idx="4024">
                  <c:v>157992929.59999999</c:v>
                </c:pt>
                <c:pt idx="4025">
                  <c:v>157992929.59999999</c:v>
                </c:pt>
                <c:pt idx="4026">
                  <c:v>157992929.59999999</c:v>
                </c:pt>
                <c:pt idx="4027">
                  <c:v>157992929.59999999</c:v>
                </c:pt>
                <c:pt idx="4028">
                  <c:v>157992929.59999999</c:v>
                </c:pt>
                <c:pt idx="4029">
                  <c:v>157992929.59999999</c:v>
                </c:pt>
                <c:pt idx="4030">
                  <c:v>157992929.59999999</c:v>
                </c:pt>
                <c:pt idx="4031">
                  <c:v>157992929.59999999</c:v>
                </c:pt>
                <c:pt idx="4032">
                  <c:v>157992929.59999999</c:v>
                </c:pt>
                <c:pt idx="4033">
                  <c:v>157992929.59999999</c:v>
                </c:pt>
                <c:pt idx="4034">
                  <c:v>157992929.59999999</c:v>
                </c:pt>
                <c:pt idx="4035">
                  <c:v>157992929.59999999</c:v>
                </c:pt>
                <c:pt idx="4036">
                  <c:v>157992929.59999999</c:v>
                </c:pt>
                <c:pt idx="4037">
                  <c:v>157992929.59999999</c:v>
                </c:pt>
                <c:pt idx="4038">
                  <c:v>157992929.59999999</c:v>
                </c:pt>
                <c:pt idx="4039">
                  <c:v>157992929.59999999</c:v>
                </c:pt>
                <c:pt idx="4040">
                  <c:v>157992929.59999999</c:v>
                </c:pt>
                <c:pt idx="4041">
                  <c:v>157992929.59999999</c:v>
                </c:pt>
                <c:pt idx="4042">
                  <c:v>157992929.59999999</c:v>
                </c:pt>
                <c:pt idx="4043">
                  <c:v>157992929.59999999</c:v>
                </c:pt>
                <c:pt idx="4044">
                  <c:v>157992929.59999999</c:v>
                </c:pt>
                <c:pt idx="4045">
                  <c:v>157992929.59999999</c:v>
                </c:pt>
                <c:pt idx="4046">
                  <c:v>157992929.59999999</c:v>
                </c:pt>
                <c:pt idx="4047">
                  <c:v>157992929.59999999</c:v>
                </c:pt>
                <c:pt idx="4048">
                  <c:v>157992929.59999999</c:v>
                </c:pt>
                <c:pt idx="4049">
                  <c:v>157992929.59999999</c:v>
                </c:pt>
                <c:pt idx="4050">
                  <c:v>157992929.59999999</c:v>
                </c:pt>
                <c:pt idx="4051">
                  <c:v>157992929.59999999</c:v>
                </c:pt>
                <c:pt idx="4052">
                  <c:v>157992929.59999999</c:v>
                </c:pt>
                <c:pt idx="4053">
                  <c:v>157992929.59999999</c:v>
                </c:pt>
                <c:pt idx="4054">
                  <c:v>157992929.59999999</c:v>
                </c:pt>
                <c:pt idx="4055">
                  <c:v>157992929.59999999</c:v>
                </c:pt>
                <c:pt idx="4056">
                  <c:v>157992929.59999999</c:v>
                </c:pt>
                <c:pt idx="4057">
                  <c:v>157992929.59999999</c:v>
                </c:pt>
                <c:pt idx="4058">
                  <c:v>157992929.59999999</c:v>
                </c:pt>
                <c:pt idx="4059">
                  <c:v>157992929.59999999</c:v>
                </c:pt>
                <c:pt idx="4060">
                  <c:v>157992929.59999999</c:v>
                </c:pt>
                <c:pt idx="4061">
                  <c:v>157992929.59999999</c:v>
                </c:pt>
                <c:pt idx="4062">
                  <c:v>157992929.59999999</c:v>
                </c:pt>
                <c:pt idx="4063">
                  <c:v>157992929.59999999</c:v>
                </c:pt>
                <c:pt idx="4064">
                  <c:v>157992929.59999999</c:v>
                </c:pt>
                <c:pt idx="4065">
                  <c:v>157992929.59999999</c:v>
                </c:pt>
                <c:pt idx="4066">
                  <c:v>157992929.59999999</c:v>
                </c:pt>
                <c:pt idx="4067">
                  <c:v>157992929.59999999</c:v>
                </c:pt>
                <c:pt idx="4068">
                  <c:v>157992929.59999999</c:v>
                </c:pt>
                <c:pt idx="4069">
                  <c:v>157992929.59999999</c:v>
                </c:pt>
                <c:pt idx="4070">
                  <c:v>157992929.59999999</c:v>
                </c:pt>
                <c:pt idx="4071">
                  <c:v>157992929.59999999</c:v>
                </c:pt>
                <c:pt idx="4072">
                  <c:v>157992929.59999999</c:v>
                </c:pt>
                <c:pt idx="4073">
                  <c:v>157992929.59999999</c:v>
                </c:pt>
                <c:pt idx="4074">
                  <c:v>157992929.59999999</c:v>
                </c:pt>
                <c:pt idx="4075">
                  <c:v>157992929.59999999</c:v>
                </c:pt>
                <c:pt idx="4076">
                  <c:v>157992929.59999999</c:v>
                </c:pt>
                <c:pt idx="4077">
                  <c:v>157992929.59999999</c:v>
                </c:pt>
                <c:pt idx="4078">
                  <c:v>157992929.59999999</c:v>
                </c:pt>
                <c:pt idx="4079">
                  <c:v>157992929.59999999</c:v>
                </c:pt>
                <c:pt idx="4080">
                  <c:v>157992929.59999999</c:v>
                </c:pt>
                <c:pt idx="4081">
                  <c:v>157992929.59999999</c:v>
                </c:pt>
                <c:pt idx="4082">
                  <c:v>157992929.59999999</c:v>
                </c:pt>
                <c:pt idx="4083">
                  <c:v>157992929.59999999</c:v>
                </c:pt>
                <c:pt idx="4084">
                  <c:v>157992929.59999999</c:v>
                </c:pt>
                <c:pt idx="4085">
                  <c:v>157992929.59999999</c:v>
                </c:pt>
                <c:pt idx="4086">
                  <c:v>157992929.59999999</c:v>
                </c:pt>
                <c:pt idx="4087">
                  <c:v>157992929.59999999</c:v>
                </c:pt>
                <c:pt idx="4088">
                  <c:v>157992929.59999999</c:v>
                </c:pt>
                <c:pt idx="4089">
                  <c:v>157992929.59999999</c:v>
                </c:pt>
                <c:pt idx="4090">
                  <c:v>157992929.59999999</c:v>
                </c:pt>
                <c:pt idx="4091">
                  <c:v>157992929.59999999</c:v>
                </c:pt>
                <c:pt idx="4092">
                  <c:v>157992929.59999999</c:v>
                </c:pt>
                <c:pt idx="4093">
                  <c:v>157992929.59999999</c:v>
                </c:pt>
                <c:pt idx="4094">
                  <c:v>157992929.59999999</c:v>
                </c:pt>
                <c:pt idx="4095">
                  <c:v>157992929.59999999</c:v>
                </c:pt>
                <c:pt idx="4096">
                  <c:v>157992929.59999999</c:v>
                </c:pt>
                <c:pt idx="4097">
                  <c:v>157992929.59999999</c:v>
                </c:pt>
                <c:pt idx="4098">
                  <c:v>157992929.59999999</c:v>
                </c:pt>
                <c:pt idx="4099">
                  <c:v>157992929.59999999</c:v>
                </c:pt>
                <c:pt idx="4100">
                  <c:v>157992929.59999999</c:v>
                </c:pt>
                <c:pt idx="4101">
                  <c:v>157992929.59999999</c:v>
                </c:pt>
                <c:pt idx="4102">
                  <c:v>157992929.59999999</c:v>
                </c:pt>
                <c:pt idx="4103">
                  <c:v>157992929.59999999</c:v>
                </c:pt>
                <c:pt idx="4104">
                  <c:v>157992929.59999999</c:v>
                </c:pt>
                <c:pt idx="4105">
                  <c:v>157992929.59999999</c:v>
                </c:pt>
                <c:pt idx="4106">
                  <c:v>157992929.59999999</c:v>
                </c:pt>
                <c:pt idx="4107">
                  <c:v>157992929.59999999</c:v>
                </c:pt>
                <c:pt idx="4108">
                  <c:v>157992929.59999999</c:v>
                </c:pt>
                <c:pt idx="4109">
                  <c:v>157992929.59999999</c:v>
                </c:pt>
                <c:pt idx="4110">
                  <c:v>157992929.59999999</c:v>
                </c:pt>
                <c:pt idx="4111">
                  <c:v>157992929.59999999</c:v>
                </c:pt>
                <c:pt idx="4112">
                  <c:v>157992929.59999999</c:v>
                </c:pt>
                <c:pt idx="4113">
                  <c:v>157992929.59999999</c:v>
                </c:pt>
                <c:pt idx="4114">
                  <c:v>157992929.59999999</c:v>
                </c:pt>
                <c:pt idx="4115">
                  <c:v>157992929.59999999</c:v>
                </c:pt>
                <c:pt idx="4116">
                  <c:v>157992929.59999999</c:v>
                </c:pt>
                <c:pt idx="4117">
                  <c:v>157992929.59999999</c:v>
                </c:pt>
                <c:pt idx="4118">
                  <c:v>157992929.59999999</c:v>
                </c:pt>
                <c:pt idx="4119">
                  <c:v>157992929.59999999</c:v>
                </c:pt>
                <c:pt idx="4120">
                  <c:v>157992929.59999999</c:v>
                </c:pt>
                <c:pt idx="4121">
                  <c:v>157992929.59999999</c:v>
                </c:pt>
                <c:pt idx="4122">
                  <c:v>157992929.59999999</c:v>
                </c:pt>
                <c:pt idx="4123">
                  <c:v>157992929.59999999</c:v>
                </c:pt>
                <c:pt idx="4124">
                  <c:v>157992929.59999999</c:v>
                </c:pt>
                <c:pt idx="4125">
                  <c:v>157992929.59999999</c:v>
                </c:pt>
                <c:pt idx="4126">
                  <c:v>157992929.59999999</c:v>
                </c:pt>
                <c:pt idx="4127">
                  <c:v>157992929.59999999</c:v>
                </c:pt>
                <c:pt idx="4128">
                  <c:v>157992929.59999999</c:v>
                </c:pt>
                <c:pt idx="4129">
                  <c:v>157992929.59999999</c:v>
                </c:pt>
                <c:pt idx="4130">
                  <c:v>157992929.59999999</c:v>
                </c:pt>
                <c:pt idx="4131">
                  <c:v>157992929.59999999</c:v>
                </c:pt>
                <c:pt idx="4132">
                  <c:v>157992929.59999999</c:v>
                </c:pt>
                <c:pt idx="4133">
                  <c:v>157992929.59999999</c:v>
                </c:pt>
                <c:pt idx="4134">
                  <c:v>157992929.59999999</c:v>
                </c:pt>
                <c:pt idx="4135">
                  <c:v>157992929.59999999</c:v>
                </c:pt>
                <c:pt idx="4136">
                  <c:v>157992929.59999999</c:v>
                </c:pt>
                <c:pt idx="4137">
                  <c:v>157992929.59999999</c:v>
                </c:pt>
                <c:pt idx="4138">
                  <c:v>157992929.59999999</c:v>
                </c:pt>
                <c:pt idx="4139">
                  <c:v>157992929.59999999</c:v>
                </c:pt>
                <c:pt idx="4140">
                  <c:v>157992929.59999999</c:v>
                </c:pt>
                <c:pt idx="4141">
                  <c:v>157992929.59999999</c:v>
                </c:pt>
                <c:pt idx="4142">
                  <c:v>157992929.59999999</c:v>
                </c:pt>
                <c:pt idx="4143">
                  <c:v>157992929.59999999</c:v>
                </c:pt>
                <c:pt idx="4144">
                  <c:v>157992929.59999999</c:v>
                </c:pt>
                <c:pt idx="4145">
                  <c:v>157992929.59999999</c:v>
                </c:pt>
                <c:pt idx="4146">
                  <c:v>157992929.59999999</c:v>
                </c:pt>
                <c:pt idx="4147">
                  <c:v>157992929.59999999</c:v>
                </c:pt>
                <c:pt idx="4148">
                  <c:v>157992929.59999999</c:v>
                </c:pt>
                <c:pt idx="4149">
                  <c:v>157992929.59999999</c:v>
                </c:pt>
                <c:pt idx="4150">
                  <c:v>157992929.59999999</c:v>
                </c:pt>
                <c:pt idx="4151">
                  <c:v>157992929.59999999</c:v>
                </c:pt>
                <c:pt idx="4152">
                  <c:v>157992929.59999999</c:v>
                </c:pt>
                <c:pt idx="4153">
                  <c:v>157992929.59999999</c:v>
                </c:pt>
                <c:pt idx="4154">
                  <c:v>157992929.59999999</c:v>
                </c:pt>
                <c:pt idx="4155">
                  <c:v>157992929.59999999</c:v>
                </c:pt>
                <c:pt idx="4156">
                  <c:v>157992929.59999999</c:v>
                </c:pt>
                <c:pt idx="4157">
                  <c:v>157992929.59999999</c:v>
                </c:pt>
                <c:pt idx="4158">
                  <c:v>157992929.59999999</c:v>
                </c:pt>
                <c:pt idx="4159">
                  <c:v>157992929.59999999</c:v>
                </c:pt>
                <c:pt idx="4160">
                  <c:v>157992929.59999999</c:v>
                </c:pt>
                <c:pt idx="4161">
                  <c:v>157992929.59999999</c:v>
                </c:pt>
                <c:pt idx="4162">
                  <c:v>157992929.59999999</c:v>
                </c:pt>
                <c:pt idx="4163">
                  <c:v>157992929.59999999</c:v>
                </c:pt>
                <c:pt idx="4164">
                  <c:v>157992929.59999999</c:v>
                </c:pt>
                <c:pt idx="4165">
                  <c:v>157992929.59999999</c:v>
                </c:pt>
                <c:pt idx="4166">
                  <c:v>157992929.59999999</c:v>
                </c:pt>
                <c:pt idx="4167">
                  <c:v>157992929.59999999</c:v>
                </c:pt>
                <c:pt idx="4168">
                  <c:v>157992929.59999999</c:v>
                </c:pt>
                <c:pt idx="4169">
                  <c:v>157992929.59999999</c:v>
                </c:pt>
                <c:pt idx="4170">
                  <c:v>157992929.59999999</c:v>
                </c:pt>
                <c:pt idx="4171">
                  <c:v>157992929.59999999</c:v>
                </c:pt>
                <c:pt idx="4172">
                  <c:v>157992929.59999999</c:v>
                </c:pt>
                <c:pt idx="4173">
                  <c:v>157992929.59999999</c:v>
                </c:pt>
                <c:pt idx="4174">
                  <c:v>157992929.59999999</c:v>
                </c:pt>
                <c:pt idx="4175">
                  <c:v>157992929.59999999</c:v>
                </c:pt>
                <c:pt idx="4176">
                  <c:v>157992929.59999999</c:v>
                </c:pt>
                <c:pt idx="4177">
                  <c:v>157992929.59999999</c:v>
                </c:pt>
                <c:pt idx="4178">
                  <c:v>157992929.59999999</c:v>
                </c:pt>
                <c:pt idx="4179">
                  <c:v>157992929.59999999</c:v>
                </c:pt>
                <c:pt idx="4180">
                  <c:v>157992929.59999999</c:v>
                </c:pt>
                <c:pt idx="4181">
                  <c:v>157992929.59999999</c:v>
                </c:pt>
                <c:pt idx="4182">
                  <c:v>157992929.59999999</c:v>
                </c:pt>
                <c:pt idx="4183">
                  <c:v>157992929.59999999</c:v>
                </c:pt>
                <c:pt idx="4184">
                  <c:v>157992929.59999999</c:v>
                </c:pt>
                <c:pt idx="4185">
                  <c:v>157992929.59999999</c:v>
                </c:pt>
                <c:pt idx="4186">
                  <c:v>157992929.59999999</c:v>
                </c:pt>
                <c:pt idx="4187">
                  <c:v>157992929.59999999</c:v>
                </c:pt>
                <c:pt idx="4188">
                  <c:v>157992929.59999999</c:v>
                </c:pt>
                <c:pt idx="4189">
                  <c:v>157992929.59999999</c:v>
                </c:pt>
                <c:pt idx="4190">
                  <c:v>157992929.59999999</c:v>
                </c:pt>
                <c:pt idx="4191">
                  <c:v>157992929.59999999</c:v>
                </c:pt>
                <c:pt idx="4192">
                  <c:v>157992929.59999999</c:v>
                </c:pt>
                <c:pt idx="4193">
                  <c:v>157992929.59999999</c:v>
                </c:pt>
                <c:pt idx="4194">
                  <c:v>157992929.59999999</c:v>
                </c:pt>
                <c:pt idx="4195">
                  <c:v>157992929.59999999</c:v>
                </c:pt>
                <c:pt idx="4196">
                  <c:v>157992929.59999999</c:v>
                </c:pt>
                <c:pt idx="4197">
                  <c:v>157992929.59999999</c:v>
                </c:pt>
                <c:pt idx="4198">
                  <c:v>157992929.59999999</c:v>
                </c:pt>
                <c:pt idx="4199">
                  <c:v>157992929.59999999</c:v>
                </c:pt>
                <c:pt idx="4200">
                  <c:v>157992929.59999999</c:v>
                </c:pt>
                <c:pt idx="4201">
                  <c:v>157992929.59999999</c:v>
                </c:pt>
                <c:pt idx="4202">
                  <c:v>157992929.59999999</c:v>
                </c:pt>
                <c:pt idx="4203">
                  <c:v>157992929.59999999</c:v>
                </c:pt>
                <c:pt idx="4204">
                  <c:v>157992929.59999999</c:v>
                </c:pt>
                <c:pt idx="4205">
                  <c:v>157992929.59999999</c:v>
                </c:pt>
                <c:pt idx="4206">
                  <c:v>157992929.59999999</c:v>
                </c:pt>
                <c:pt idx="4207">
                  <c:v>157992929.59999999</c:v>
                </c:pt>
                <c:pt idx="4208">
                  <c:v>157992929.59999999</c:v>
                </c:pt>
                <c:pt idx="4209">
                  <c:v>157992929.59999999</c:v>
                </c:pt>
                <c:pt idx="4210">
                  <c:v>157992929.59999999</c:v>
                </c:pt>
                <c:pt idx="4211">
                  <c:v>157992929.59999999</c:v>
                </c:pt>
                <c:pt idx="4212">
                  <c:v>157992929.59999999</c:v>
                </c:pt>
                <c:pt idx="4213">
                  <c:v>157992929.59999999</c:v>
                </c:pt>
                <c:pt idx="4214">
                  <c:v>157992929.59999999</c:v>
                </c:pt>
                <c:pt idx="4215">
                  <c:v>157992929.59999999</c:v>
                </c:pt>
                <c:pt idx="4216">
                  <c:v>157992929.59999999</c:v>
                </c:pt>
                <c:pt idx="4217">
                  <c:v>157992929.59999999</c:v>
                </c:pt>
                <c:pt idx="4218">
                  <c:v>157992929.59999999</c:v>
                </c:pt>
                <c:pt idx="4219">
                  <c:v>157992929.59999999</c:v>
                </c:pt>
                <c:pt idx="4220">
                  <c:v>157992929.59999999</c:v>
                </c:pt>
                <c:pt idx="4221">
                  <c:v>157992929.59999999</c:v>
                </c:pt>
                <c:pt idx="4222">
                  <c:v>157992929.59999999</c:v>
                </c:pt>
                <c:pt idx="4223">
                  <c:v>157992929.59999999</c:v>
                </c:pt>
                <c:pt idx="4224">
                  <c:v>157992929.59999999</c:v>
                </c:pt>
                <c:pt idx="4225">
                  <c:v>157992929.59999999</c:v>
                </c:pt>
                <c:pt idx="4226">
                  <c:v>157992929.59999999</c:v>
                </c:pt>
                <c:pt idx="4227">
                  <c:v>157992929.59999999</c:v>
                </c:pt>
                <c:pt idx="4228">
                  <c:v>157992929.59999999</c:v>
                </c:pt>
                <c:pt idx="4229">
                  <c:v>157992929.59999999</c:v>
                </c:pt>
                <c:pt idx="4230">
                  <c:v>157992929.59999999</c:v>
                </c:pt>
                <c:pt idx="4231">
                  <c:v>157992929.59999999</c:v>
                </c:pt>
                <c:pt idx="4232">
                  <c:v>157992929.59999999</c:v>
                </c:pt>
                <c:pt idx="4233">
                  <c:v>157992929.59999999</c:v>
                </c:pt>
                <c:pt idx="4234">
                  <c:v>157992929.59999999</c:v>
                </c:pt>
                <c:pt idx="4235">
                  <c:v>157992929.59999999</c:v>
                </c:pt>
                <c:pt idx="4236">
                  <c:v>157992929.59999999</c:v>
                </c:pt>
                <c:pt idx="4237">
                  <c:v>157992929.59999999</c:v>
                </c:pt>
                <c:pt idx="4238">
                  <c:v>157992929.59999999</c:v>
                </c:pt>
                <c:pt idx="4239">
                  <c:v>157992929.59999999</c:v>
                </c:pt>
                <c:pt idx="4240">
                  <c:v>157992929.59999999</c:v>
                </c:pt>
                <c:pt idx="4241">
                  <c:v>157992929.59999999</c:v>
                </c:pt>
                <c:pt idx="4242">
                  <c:v>157992929.59999999</c:v>
                </c:pt>
                <c:pt idx="4243">
                  <c:v>157992929.59999999</c:v>
                </c:pt>
                <c:pt idx="4244">
                  <c:v>157992929.59999999</c:v>
                </c:pt>
                <c:pt idx="4245">
                  <c:v>157992929.59999999</c:v>
                </c:pt>
                <c:pt idx="4246">
                  <c:v>157992929.59999999</c:v>
                </c:pt>
                <c:pt idx="4247">
                  <c:v>157992929.59999999</c:v>
                </c:pt>
                <c:pt idx="4248">
                  <c:v>157992929.59999999</c:v>
                </c:pt>
                <c:pt idx="4249">
                  <c:v>157992929.59999999</c:v>
                </c:pt>
                <c:pt idx="4250">
                  <c:v>157992929.59999999</c:v>
                </c:pt>
                <c:pt idx="4251">
                  <c:v>157992929.59999999</c:v>
                </c:pt>
                <c:pt idx="4252">
                  <c:v>157992929.59999999</c:v>
                </c:pt>
                <c:pt idx="4253">
                  <c:v>157992929.59999999</c:v>
                </c:pt>
                <c:pt idx="4254">
                  <c:v>157992929.59999999</c:v>
                </c:pt>
                <c:pt idx="4255">
                  <c:v>157992929.59999999</c:v>
                </c:pt>
                <c:pt idx="4256">
                  <c:v>157992929.59999999</c:v>
                </c:pt>
                <c:pt idx="4257">
                  <c:v>157992929.59999999</c:v>
                </c:pt>
                <c:pt idx="4258">
                  <c:v>157992929.59999999</c:v>
                </c:pt>
                <c:pt idx="4259">
                  <c:v>157992929.59999999</c:v>
                </c:pt>
                <c:pt idx="4260">
                  <c:v>157992929.59999999</c:v>
                </c:pt>
                <c:pt idx="4261">
                  <c:v>157992929.59999999</c:v>
                </c:pt>
                <c:pt idx="4262">
                  <c:v>157992929.59999999</c:v>
                </c:pt>
                <c:pt idx="4263">
                  <c:v>157992929.59999999</c:v>
                </c:pt>
                <c:pt idx="4264">
                  <c:v>157992929.59999999</c:v>
                </c:pt>
                <c:pt idx="4265">
                  <c:v>157992929.59999999</c:v>
                </c:pt>
                <c:pt idx="4266">
                  <c:v>157992929.59999999</c:v>
                </c:pt>
                <c:pt idx="4267">
                  <c:v>157992929.59999999</c:v>
                </c:pt>
                <c:pt idx="4268">
                  <c:v>157992929.59999999</c:v>
                </c:pt>
                <c:pt idx="4269">
                  <c:v>157992929.59999999</c:v>
                </c:pt>
                <c:pt idx="4270">
                  <c:v>157992929.59999999</c:v>
                </c:pt>
                <c:pt idx="4271">
                  <c:v>157992929.59999999</c:v>
                </c:pt>
                <c:pt idx="4272">
                  <c:v>157992929.59999999</c:v>
                </c:pt>
                <c:pt idx="4273">
                  <c:v>157992929.59999999</c:v>
                </c:pt>
                <c:pt idx="4274">
                  <c:v>157992929.59999999</c:v>
                </c:pt>
                <c:pt idx="4275">
                  <c:v>157992929.59999999</c:v>
                </c:pt>
                <c:pt idx="4276">
                  <c:v>157992929.59999999</c:v>
                </c:pt>
                <c:pt idx="4277">
                  <c:v>157992929.59999999</c:v>
                </c:pt>
                <c:pt idx="4278">
                  <c:v>157992929.59999999</c:v>
                </c:pt>
                <c:pt idx="4279">
                  <c:v>157992929.59999999</c:v>
                </c:pt>
                <c:pt idx="4280">
                  <c:v>157992929.59999999</c:v>
                </c:pt>
                <c:pt idx="4281">
                  <c:v>157992929.59999999</c:v>
                </c:pt>
                <c:pt idx="4282">
                  <c:v>157992929.59999999</c:v>
                </c:pt>
                <c:pt idx="4283">
                  <c:v>157992929.59999999</c:v>
                </c:pt>
                <c:pt idx="4284">
                  <c:v>157992929.59999999</c:v>
                </c:pt>
                <c:pt idx="4285">
                  <c:v>157992929.59999999</c:v>
                </c:pt>
                <c:pt idx="4286">
                  <c:v>157992929.59999999</c:v>
                </c:pt>
                <c:pt idx="4287">
                  <c:v>157992929.59999999</c:v>
                </c:pt>
                <c:pt idx="4288">
                  <c:v>157992929.59999999</c:v>
                </c:pt>
                <c:pt idx="4289">
                  <c:v>157992929.59999999</c:v>
                </c:pt>
                <c:pt idx="4290">
                  <c:v>157992929.59999999</c:v>
                </c:pt>
                <c:pt idx="4291">
                  <c:v>157992929.59999999</c:v>
                </c:pt>
                <c:pt idx="4292">
                  <c:v>157992929.59999999</c:v>
                </c:pt>
                <c:pt idx="4293">
                  <c:v>157992929.59999999</c:v>
                </c:pt>
                <c:pt idx="4294">
                  <c:v>157992929.59999999</c:v>
                </c:pt>
                <c:pt idx="4295">
                  <c:v>157992929.59999999</c:v>
                </c:pt>
                <c:pt idx="4296">
                  <c:v>157992929.59999999</c:v>
                </c:pt>
                <c:pt idx="4297">
                  <c:v>157992929.59999999</c:v>
                </c:pt>
                <c:pt idx="4298">
                  <c:v>157992929.59999999</c:v>
                </c:pt>
                <c:pt idx="4299">
                  <c:v>157992929.59999999</c:v>
                </c:pt>
                <c:pt idx="4300">
                  <c:v>157992929.59999999</c:v>
                </c:pt>
                <c:pt idx="4301">
                  <c:v>157992929.59999999</c:v>
                </c:pt>
                <c:pt idx="4302">
                  <c:v>157992929.59999999</c:v>
                </c:pt>
                <c:pt idx="4303">
                  <c:v>157992929.59999999</c:v>
                </c:pt>
                <c:pt idx="4304">
                  <c:v>157992929.59999999</c:v>
                </c:pt>
                <c:pt idx="4305">
                  <c:v>157992929.59999999</c:v>
                </c:pt>
                <c:pt idx="4306">
                  <c:v>157992929.59999999</c:v>
                </c:pt>
                <c:pt idx="4307">
                  <c:v>157992929.59999999</c:v>
                </c:pt>
                <c:pt idx="4308">
                  <c:v>157992929.59999999</c:v>
                </c:pt>
                <c:pt idx="4309">
                  <c:v>157992929.59999999</c:v>
                </c:pt>
                <c:pt idx="4310">
                  <c:v>157992929.59999999</c:v>
                </c:pt>
                <c:pt idx="4311">
                  <c:v>157992929.59999999</c:v>
                </c:pt>
                <c:pt idx="4312">
                  <c:v>157992929.59999999</c:v>
                </c:pt>
                <c:pt idx="4313">
                  <c:v>157992929.59999999</c:v>
                </c:pt>
                <c:pt idx="4314">
                  <c:v>157992929.59999999</c:v>
                </c:pt>
                <c:pt idx="4315">
                  <c:v>157992929.59999999</c:v>
                </c:pt>
                <c:pt idx="4316">
                  <c:v>157992929.59999999</c:v>
                </c:pt>
                <c:pt idx="4317">
                  <c:v>157992929.59999999</c:v>
                </c:pt>
                <c:pt idx="4318">
                  <c:v>157992929.59999999</c:v>
                </c:pt>
                <c:pt idx="4319">
                  <c:v>157992929.59999999</c:v>
                </c:pt>
                <c:pt idx="4320">
                  <c:v>157992929.59999999</c:v>
                </c:pt>
                <c:pt idx="4321">
                  <c:v>157992929.59999999</c:v>
                </c:pt>
                <c:pt idx="4322">
                  <c:v>157992929.59999999</c:v>
                </c:pt>
                <c:pt idx="4323">
                  <c:v>157992929.59999999</c:v>
                </c:pt>
                <c:pt idx="4324">
                  <c:v>157992929.59999999</c:v>
                </c:pt>
                <c:pt idx="4325">
                  <c:v>157992929.59999999</c:v>
                </c:pt>
                <c:pt idx="4326">
                  <c:v>157992929.59999999</c:v>
                </c:pt>
                <c:pt idx="4327">
                  <c:v>157992929.59999999</c:v>
                </c:pt>
                <c:pt idx="4328">
                  <c:v>157992929.59999999</c:v>
                </c:pt>
                <c:pt idx="4329">
                  <c:v>157992929.59999999</c:v>
                </c:pt>
                <c:pt idx="4330">
                  <c:v>157992929.59999999</c:v>
                </c:pt>
                <c:pt idx="4331">
                  <c:v>157992929.59999999</c:v>
                </c:pt>
                <c:pt idx="4332">
                  <c:v>157992929.59999999</c:v>
                </c:pt>
                <c:pt idx="4333">
                  <c:v>157992929.59999999</c:v>
                </c:pt>
                <c:pt idx="4334">
                  <c:v>157992929.59999999</c:v>
                </c:pt>
                <c:pt idx="4335">
                  <c:v>157992929.59999999</c:v>
                </c:pt>
                <c:pt idx="4336">
                  <c:v>157992929.59999999</c:v>
                </c:pt>
                <c:pt idx="4337">
                  <c:v>157992929.59999999</c:v>
                </c:pt>
                <c:pt idx="4338">
                  <c:v>157992929.59999999</c:v>
                </c:pt>
                <c:pt idx="4339">
                  <c:v>157992929.59999999</c:v>
                </c:pt>
                <c:pt idx="4340">
                  <c:v>157992929.59999999</c:v>
                </c:pt>
                <c:pt idx="4341">
                  <c:v>157992929.59999999</c:v>
                </c:pt>
                <c:pt idx="4342">
                  <c:v>157992929.59999999</c:v>
                </c:pt>
                <c:pt idx="4343">
                  <c:v>157992929.59999999</c:v>
                </c:pt>
                <c:pt idx="4344">
                  <c:v>157992929.59999999</c:v>
                </c:pt>
                <c:pt idx="4345">
                  <c:v>157992929.59999999</c:v>
                </c:pt>
                <c:pt idx="4346">
                  <c:v>157992929.59999999</c:v>
                </c:pt>
                <c:pt idx="4347">
                  <c:v>157992929.59999999</c:v>
                </c:pt>
                <c:pt idx="4348">
                  <c:v>157992929.59999999</c:v>
                </c:pt>
                <c:pt idx="4349">
                  <c:v>157992929.59999999</c:v>
                </c:pt>
                <c:pt idx="4350">
                  <c:v>157992929.59999999</c:v>
                </c:pt>
                <c:pt idx="4351">
                  <c:v>157992929.59999999</c:v>
                </c:pt>
                <c:pt idx="4352">
                  <c:v>157992929.59999999</c:v>
                </c:pt>
                <c:pt idx="4353">
                  <c:v>157992929.59999999</c:v>
                </c:pt>
                <c:pt idx="4354">
                  <c:v>157992929.59999999</c:v>
                </c:pt>
                <c:pt idx="4355">
                  <c:v>157992929.59999999</c:v>
                </c:pt>
                <c:pt idx="4356">
                  <c:v>157992929.59999999</c:v>
                </c:pt>
                <c:pt idx="4357">
                  <c:v>157992929.59999999</c:v>
                </c:pt>
                <c:pt idx="4358">
                  <c:v>157992929.59999999</c:v>
                </c:pt>
                <c:pt idx="4359">
                  <c:v>157992929.59999999</c:v>
                </c:pt>
                <c:pt idx="4360">
                  <c:v>157992929.59999999</c:v>
                </c:pt>
                <c:pt idx="4361">
                  <c:v>157992929.59999999</c:v>
                </c:pt>
                <c:pt idx="4362">
                  <c:v>157992929.59999999</c:v>
                </c:pt>
                <c:pt idx="4363">
                  <c:v>157992929.59999999</c:v>
                </c:pt>
                <c:pt idx="4364">
                  <c:v>157992929.59999999</c:v>
                </c:pt>
                <c:pt idx="4365">
                  <c:v>157992929.59999999</c:v>
                </c:pt>
                <c:pt idx="4366">
                  <c:v>157992929.59999999</c:v>
                </c:pt>
                <c:pt idx="4367">
                  <c:v>157992929.59999999</c:v>
                </c:pt>
                <c:pt idx="4368">
                  <c:v>157992929.59999999</c:v>
                </c:pt>
                <c:pt idx="4369">
                  <c:v>157992929.59999999</c:v>
                </c:pt>
                <c:pt idx="4370">
                  <c:v>157992929.59999999</c:v>
                </c:pt>
                <c:pt idx="4371">
                  <c:v>157992929.59999999</c:v>
                </c:pt>
                <c:pt idx="4372">
                  <c:v>157992929.59999999</c:v>
                </c:pt>
                <c:pt idx="4373">
                  <c:v>157992929.59999999</c:v>
                </c:pt>
                <c:pt idx="4374">
                  <c:v>157992929.59999999</c:v>
                </c:pt>
                <c:pt idx="4375">
                  <c:v>157992929.59999999</c:v>
                </c:pt>
                <c:pt idx="4376">
                  <c:v>157992929.59999999</c:v>
                </c:pt>
                <c:pt idx="4377">
                  <c:v>157992929.59999999</c:v>
                </c:pt>
                <c:pt idx="4378">
                  <c:v>157992929.59999999</c:v>
                </c:pt>
                <c:pt idx="4379">
                  <c:v>157992929.59999999</c:v>
                </c:pt>
                <c:pt idx="4380">
                  <c:v>157992929.59999999</c:v>
                </c:pt>
                <c:pt idx="4381">
                  <c:v>157992929.59999999</c:v>
                </c:pt>
                <c:pt idx="4382">
                  <c:v>157992929.59999999</c:v>
                </c:pt>
                <c:pt idx="4383">
                  <c:v>157992929.59999999</c:v>
                </c:pt>
                <c:pt idx="4384">
                  <c:v>157992929.59999999</c:v>
                </c:pt>
                <c:pt idx="4385">
                  <c:v>157992929.59999999</c:v>
                </c:pt>
                <c:pt idx="4386">
                  <c:v>157992929.59999999</c:v>
                </c:pt>
                <c:pt idx="4387">
                  <c:v>157992929.59999999</c:v>
                </c:pt>
                <c:pt idx="4388">
                  <c:v>157992929.59999999</c:v>
                </c:pt>
                <c:pt idx="4389">
                  <c:v>157992929.59999999</c:v>
                </c:pt>
                <c:pt idx="4390">
                  <c:v>157992929.59999999</c:v>
                </c:pt>
                <c:pt idx="4391">
                  <c:v>157992929.59999999</c:v>
                </c:pt>
                <c:pt idx="4392">
                  <c:v>157992929.59999999</c:v>
                </c:pt>
                <c:pt idx="4393">
                  <c:v>157992929.59999999</c:v>
                </c:pt>
                <c:pt idx="4394">
                  <c:v>157992929.59999999</c:v>
                </c:pt>
                <c:pt idx="4395">
                  <c:v>157992929.59999999</c:v>
                </c:pt>
                <c:pt idx="4396">
                  <c:v>157992929.59999999</c:v>
                </c:pt>
                <c:pt idx="4397">
                  <c:v>157992929.59999999</c:v>
                </c:pt>
                <c:pt idx="4398">
                  <c:v>157992929.59999999</c:v>
                </c:pt>
                <c:pt idx="4399">
                  <c:v>157992929.59999999</c:v>
                </c:pt>
                <c:pt idx="4400">
                  <c:v>157992929.59999999</c:v>
                </c:pt>
                <c:pt idx="4401">
                  <c:v>157992929.59999999</c:v>
                </c:pt>
                <c:pt idx="4402">
                  <c:v>157992929.59999999</c:v>
                </c:pt>
                <c:pt idx="4403">
                  <c:v>157992929.59999999</c:v>
                </c:pt>
                <c:pt idx="4404">
                  <c:v>157992929.59999999</c:v>
                </c:pt>
                <c:pt idx="4405">
                  <c:v>157992929.59999999</c:v>
                </c:pt>
                <c:pt idx="4406">
                  <c:v>157992929.59999999</c:v>
                </c:pt>
                <c:pt idx="4407">
                  <c:v>157992929.59999999</c:v>
                </c:pt>
                <c:pt idx="4408">
                  <c:v>157992929.59999999</c:v>
                </c:pt>
                <c:pt idx="4409">
                  <c:v>157992929.59999999</c:v>
                </c:pt>
                <c:pt idx="4410">
                  <c:v>157992929.59999999</c:v>
                </c:pt>
                <c:pt idx="4411">
                  <c:v>157992929.59999999</c:v>
                </c:pt>
                <c:pt idx="4412">
                  <c:v>157992929.59999999</c:v>
                </c:pt>
                <c:pt idx="4413">
                  <c:v>157992929.59999999</c:v>
                </c:pt>
                <c:pt idx="4414">
                  <c:v>157992929.59999999</c:v>
                </c:pt>
                <c:pt idx="4415">
                  <c:v>157992929.59999999</c:v>
                </c:pt>
                <c:pt idx="4416">
                  <c:v>157992929.59999999</c:v>
                </c:pt>
                <c:pt idx="4417">
                  <c:v>157992929.59999999</c:v>
                </c:pt>
                <c:pt idx="4418">
                  <c:v>157992929.59999999</c:v>
                </c:pt>
                <c:pt idx="4419">
                  <c:v>157992929.59999999</c:v>
                </c:pt>
                <c:pt idx="4420">
                  <c:v>157992929.59999999</c:v>
                </c:pt>
                <c:pt idx="4421">
                  <c:v>157992929.59999999</c:v>
                </c:pt>
                <c:pt idx="4422">
                  <c:v>157992929.59999999</c:v>
                </c:pt>
                <c:pt idx="4423">
                  <c:v>157992929.59999999</c:v>
                </c:pt>
                <c:pt idx="4424">
                  <c:v>157992929.59999999</c:v>
                </c:pt>
                <c:pt idx="4425">
                  <c:v>157992929.59999999</c:v>
                </c:pt>
                <c:pt idx="4426">
                  <c:v>157992929.59999999</c:v>
                </c:pt>
                <c:pt idx="4427">
                  <c:v>157992929.59999999</c:v>
                </c:pt>
                <c:pt idx="4428">
                  <c:v>157992929.59999999</c:v>
                </c:pt>
                <c:pt idx="4429">
                  <c:v>157992929.59999999</c:v>
                </c:pt>
                <c:pt idx="4430">
                  <c:v>157992929.59999999</c:v>
                </c:pt>
                <c:pt idx="4431">
                  <c:v>157992929.59999999</c:v>
                </c:pt>
                <c:pt idx="4432">
                  <c:v>157992929.59999999</c:v>
                </c:pt>
                <c:pt idx="4433">
                  <c:v>157992929.59999999</c:v>
                </c:pt>
                <c:pt idx="4434">
                  <c:v>157992929.59999999</c:v>
                </c:pt>
                <c:pt idx="4435">
                  <c:v>157992929.59999999</c:v>
                </c:pt>
                <c:pt idx="4436">
                  <c:v>157992929.59999999</c:v>
                </c:pt>
                <c:pt idx="4437">
                  <c:v>157992929.59999999</c:v>
                </c:pt>
                <c:pt idx="4438">
                  <c:v>157992929.59999999</c:v>
                </c:pt>
                <c:pt idx="4439">
                  <c:v>157992929.59999999</c:v>
                </c:pt>
                <c:pt idx="4440">
                  <c:v>157992929.59999999</c:v>
                </c:pt>
                <c:pt idx="4441">
                  <c:v>157992929.59999999</c:v>
                </c:pt>
                <c:pt idx="4442">
                  <c:v>157992929.59999999</c:v>
                </c:pt>
                <c:pt idx="4443">
                  <c:v>157992929.59999999</c:v>
                </c:pt>
                <c:pt idx="4444">
                  <c:v>157992929.59999999</c:v>
                </c:pt>
                <c:pt idx="4445">
                  <c:v>157992929.59999999</c:v>
                </c:pt>
                <c:pt idx="4446">
                  <c:v>157992929.59999999</c:v>
                </c:pt>
                <c:pt idx="4447">
                  <c:v>157992929.59999999</c:v>
                </c:pt>
                <c:pt idx="4448">
                  <c:v>157992929.59999999</c:v>
                </c:pt>
                <c:pt idx="4449">
                  <c:v>157992929.59999999</c:v>
                </c:pt>
                <c:pt idx="4450">
                  <c:v>157992929.59999999</c:v>
                </c:pt>
                <c:pt idx="4451">
                  <c:v>157992929.59999999</c:v>
                </c:pt>
                <c:pt idx="4452">
                  <c:v>157992929.59999999</c:v>
                </c:pt>
                <c:pt idx="4453">
                  <c:v>157992929.59999999</c:v>
                </c:pt>
                <c:pt idx="4454">
                  <c:v>157992929.59999999</c:v>
                </c:pt>
                <c:pt idx="4455">
                  <c:v>157992929.59999999</c:v>
                </c:pt>
                <c:pt idx="4456">
                  <c:v>157992929.59999999</c:v>
                </c:pt>
                <c:pt idx="4457">
                  <c:v>157992929.59999999</c:v>
                </c:pt>
                <c:pt idx="4458">
                  <c:v>157992929.59999999</c:v>
                </c:pt>
                <c:pt idx="4459">
                  <c:v>157992929.59999999</c:v>
                </c:pt>
                <c:pt idx="4460">
                  <c:v>157992929.59999999</c:v>
                </c:pt>
                <c:pt idx="4461">
                  <c:v>157992929.59999999</c:v>
                </c:pt>
                <c:pt idx="4462">
                  <c:v>157992929.59999999</c:v>
                </c:pt>
                <c:pt idx="4463">
                  <c:v>157992929.59999999</c:v>
                </c:pt>
                <c:pt idx="4464">
                  <c:v>157992929.59999999</c:v>
                </c:pt>
                <c:pt idx="4465">
                  <c:v>157992929.59999999</c:v>
                </c:pt>
                <c:pt idx="4466">
                  <c:v>157992929.59999999</c:v>
                </c:pt>
                <c:pt idx="4467">
                  <c:v>157992929.59999999</c:v>
                </c:pt>
                <c:pt idx="4468">
                  <c:v>157992929.59999999</c:v>
                </c:pt>
                <c:pt idx="4469">
                  <c:v>157992929.59999999</c:v>
                </c:pt>
                <c:pt idx="4470">
                  <c:v>157992929.59999999</c:v>
                </c:pt>
                <c:pt idx="4471">
                  <c:v>157992929.59999999</c:v>
                </c:pt>
                <c:pt idx="4472">
                  <c:v>157992929.59999999</c:v>
                </c:pt>
                <c:pt idx="4473">
                  <c:v>157992929.59999999</c:v>
                </c:pt>
                <c:pt idx="4474">
                  <c:v>157992929.59999999</c:v>
                </c:pt>
                <c:pt idx="4475">
                  <c:v>157992929.59999999</c:v>
                </c:pt>
                <c:pt idx="4476">
                  <c:v>157992929.59999999</c:v>
                </c:pt>
                <c:pt idx="4477">
                  <c:v>157992929.59999999</c:v>
                </c:pt>
                <c:pt idx="4478">
                  <c:v>157992929.59999999</c:v>
                </c:pt>
                <c:pt idx="4479">
                  <c:v>157992929.59999999</c:v>
                </c:pt>
                <c:pt idx="4480">
                  <c:v>157992929.59999999</c:v>
                </c:pt>
                <c:pt idx="4481">
                  <c:v>157992929.59999999</c:v>
                </c:pt>
                <c:pt idx="4482">
                  <c:v>157992929.59999999</c:v>
                </c:pt>
                <c:pt idx="4483">
                  <c:v>157992929.59999999</c:v>
                </c:pt>
                <c:pt idx="4484">
                  <c:v>157992929.59999999</c:v>
                </c:pt>
                <c:pt idx="4485">
                  <c:v>157992929.59999999</c:v>
                </c:pt>
                <c:pt idx="4486">
                  <c:v>157992929.59999999</c:v>
                </c:pt>
                <c:pt idx="4487">
                  <c:v>157992929.59999999</c:v>
                </c:pt>
                <c:pt idx="4488">
                  <c:v>157992929.59999999</c:v>
                </c:pt>
                <c:pt idx="4489">
                  <c:v>157992929.59999999</c:v>
                </c:pt>
                <c:pt idx="4490">
                  <c:v>157992929.59999999</c:v>
                </c:pt>
                <c:pt idx="4491">
                  <c:v>157992929.59999999</c:v>
                </c:pt>
                <c:pt idx="4492">
                  <c:v>157992929.59999999</c:v>
                </c:pt>
                <c:pt idx="4493">
                  <c:v>157992929.59999999</c:v>
                </c:pt>
                <c:pt idx="4494">
                  <c:v>157992929.59999999</c:v>
                </c:pt>
                <c:pt idx="4495">
                  <c:v>157992929.59999999</c:v>
                </c:pt>
                <c:pt idx="4496">
                  <c:v>157992929.59999999</c:v>
                </c:pt>
                <c:pt idx="4497">
                  <c:v>157992929.59999999</c:v>
                </c:pt>
                <c:pt idx="4498">
                  <c:v>157992929.59999999</c:v>
                </c:pt>
                <c:pt idx="4499">
                  <c:v>157992929.59999999</c:v>
                </c:pt>
                <c:pt idx="4500">
                  <c:v>157992929.59999999</c:v>
                </c:pt>
                <c:pt idx="4501">
                  <c:v>157992929.59999999</c:v>
                </c:pt>
                <c:pt idx="4502">
                  <c:v>157992929.59999999</c:v>
                </c:pt>
                <c:pt idx="4503">
                  <c:v>157992929.59999999</c:v>
                </c:pt>
                <c:pt idx="4504">
                  <c:v>157992929.59999999</c:v>
                </c:pt>
                <c:pt idx="4505">
                  <c:v>157992929.59999999</c:v>
                </c:pt>
                <c:pt idx="4506">
                  <c:v>157992929.59999999</c:v>
                </c:pt>
                <c:pt idx="4507">
                  <c:v>157992929.59999999</c:v>
                </c:pt>
                <c:pt idx="4508">
                  <c:v>157992929.59999999</c:v>
                </c:pt>
                <c:pt idx="4509">
                  <c:v>157992929.59999999</c:v>
                </c:pt>
                <c:pt idx="4510">
                  <c:v>157992929.59999999</c:v>
                </c:pt>
                <c:pt idx="4511">
                  <c:v>157992929.59999999</c:v>
                </c:pt>
                <c:pt idx="4512">
                  <c:v>157992929.59999999</c:v>
                </c:pt>
                <c:pt idx="4513">
                  <c:v>157992929.59999999</c:v>
                </c:pt>
                <c:pt idx="4514">
                  <c:v>157992929.59999999</c:v>
                </c:pt>
                <c:pt idx="4515">
                  <c:v>157992929.59999999</c:v>
                </c:pt>
                <c:pt idx="4516">
                  <c:v>157992929.59999999</c:v>
                </c:pt>
                <c:pt idx="4517">
                  <c:v>157992929.59999999</c:v>
                </c:pt>
                <c:pt idx="4518">
                  <c:v>157992929.59999999</c:v>
                </c:pt>
                <c:pt idx="4519">
                  <c:v>157992929.59999999</c:v>
                </c:pt>
                <c:pt idx="4520">
                  <c:v>157992929.59999999</c:v>
                </c:pt>
                <c:pt idx="4521">
                  <c:v>157992929.59999999</c:v>
                </c:pt>
                <c:pt idx="4522">
                  <c:v>157992929.59999999</c:v>
                </c:pt>
                <c:pt idx="4523">
                  <c:v>157992929.59999999</c:v>
                </c:pt>
                <c:pt idx="4524">
                  <c:v>157992929.59999999</c:v>
                </c:pt>
                <c:pt idx="4525">
                  <c:v>157992929.59999999</c:v>
                </c:pt>
                <c:pt idx="4526">
                  <c:v>157992929.59999999</c:v>
                </c:pt>
                <c:pt idx="4527">
                  <c:v>157992929.59999999</c:v>
                </c:pt>
                <c:pt idx="4528">
                  <c:v>157992929.59999999</c:v>
                </c:pt>
                <c:pt idx="4529">
                  <c:v>157992929.59999999</c:v>
                </c:pt>
                <c:pt idx="4530">
                  <c:v>157992929.59999999</c:v>
                </c:pt>
                <c:pt idx="4531">
                  <c:v>157992929.59999999</c:v>
                </c:pt>
                <c:pt idx="4532">
                  <c:v>157992929.59999999</c:v>
                </c:pt>
                <c:pt idx="4533">
                  <c:v>157992929.59999999</c:v>
                </c:pt>
                <c:pt idx="4534">
                  <c:v>157992929.59999999</c:v>
                </c:pt>
                <c:pt idx="4535">
                  <c:v>157992929.59999999</c:v>
                </c:pt>
                <c:pt idx="4536">
                  <c:v>157992929.59999999</c:v>
                </c:pt>
                <c:pt idx="4537">
                  <c:v>157992929.59999999</c:v>
                </c:pt>
                <c:pt idx="4538">
                  <c:v>157992929.59999999</c:v>
                </c:pt>
                <c:pt idx="4539">
                  <c:v>157992929.59999999</c:v>
                </c:pt>
                <c:pt idx="4540">
                  <c:v>157992929.59999999</c:v>
                </c:pt>
                <c:pt idx="4541">
                  <c:v>157992929.59999999</c:v>
                </c:pt>
                <c:pt idx="4542">
                  <c:v>157992929.59999999</c:v>
                </c:pt>
                <c:pt idx="4543">
                  <c:v>157992929.59999999</c:v>
                </c:pt>
                <c:pt idx="4544">
                  <c:v>157992929.59999999</c:v>
                </c:pt>
                <c:pt idx="4545">
                  <c:v>157992929.59999999</c:v>
                </c:pt>
                <c:pt idx="4546">
                  <c:v>157992929.59999999</c:v>
                </c:pt>
                <c:pt idx="4547">
                  <c:v>157992929.59999999</c:v>
                </c:pt>
                <c:pt idx="4548">
                  <c:v>157992929.59999999</c:v>
                </c:pt>
                <c:pt idx="4549">
                  <c:v>157992929.59999999</c:v>
                </c:pt>
                <c:pt idx="4550">
                  <c:v>157992929.59999999</c:v>
                </c:pt>
                <c:pt idx="4551">
                  <c:v>157992929.59999999</c:v>
                </c:pt>
                <c:pt idx="4552">
                  <c:v>157992929.59999999</c:v>
                </c:pt>
                <c:pt idx="4553">
                  <c:v>157992929.59999999</c:v>
                </c:pt>
                <c:pt idx="4554">
                  <c:v>157992929.59999999</c:v>
                </c:pt>
                <c:pt idx="4555">
                  <c:v>157992929.59999999</c:v>
                </c:pt>
                <c:pt idx="4556">
                  <c:v>157992929.59999999</c:v>
                </c:pt>
                <c:pt idx="4557">
                  <c:v>157992929.59999999</c:v>
                </c:pt>
                <c:pt idx="4558">
                  <c:v>157992929.59999999</c:v>
                </c:pt>
                <c:pt idx="4559">
                  <c:v>157992929.59999999</c:v>
                </c:pt>
                <c:pt idx="4560">
                  <c:v>157992929.59999999</c:v>
                </c:pt>
                <c:pt idx="4561">
                  <c:v>157992929.59999999</c:v>
                </c:pt>
                <c:pt idx="4562">
                  <c:v>157992929.59999999</c:v>
                </c:pt>
                <c:pt idx="4563">
                  <c:v>157992929.59999999</c:v>
                </c:pt>
                <c:pt idx="4564">
                  <c:v>157992929.59999999</c:v>
                </c:pt>
                <c:pt idx="4565">
                  <c:v>157992929.59999999</c:v>
                </c:pt>
                <c:pt idx="4566">
                  <c:v>157992929.59999999</c:v>
                </c:pt>
                <c:pt idx="4567">
                  <c:v>157992929.59999999</c:v>
                </c:pt>
                <c:pt idx="4568">
                  <c:v>157992929.59999999</c:v>
                </c:pt>
                <c:pt idx="4569">
                  <c:v>157992929.59999999</c:v>
                </c:pt>
                <c:pt idx="4570">
                  <c:v>157992929.59999999</c:v>
                </c:pt>
                <c:pt idx="4571">
                  <c:v>157992929.59999999</c:v>
                </c:pt>
                <c:pt idx="4572">
                  <c:v>157992929.59999999</c:v>
                </c:pt>
                <c:pt idx="4573">
                  <c:v>157992929.59999999</c:v>
                </c:pt>
                <c:pt idx="4574">
                  <c:v>157992929.59999999</c:v>
                </c:pt>
                <c:pt idx="4575">
                  <c:v>157992929.59999999</c:v>
                </c:pt>
                <c:pt idx="4576">
                  <c:v>157992929.59999999</c:v>
                </c:pt>
                <c:pt idx="4577">
                  <c:v>157992929.59999999</c:v>
                </c:pt>
                <c:pt idx="4578">
                  <c:v>157992929.59999999</c:v>
                </c:pt>
                <c:pt idx="4579">
                  <c:v>157992929.59999999</c:v>
                </c:pt>
                <c:pt idx="4580">
                  <c:v>157992929.59999999</c:v>
                </c:pt>
                <c:pt idx="4581">
                  <c:v>157992929.59999999</c:v>
                </c:pt>
                <c:pt idx="4582">
                  <c:v>157992929.59999999</c:v>
                </c:pt>
                <c:pt idx="4583">
                  <c:v>157992929.59999999</c:v>
                </c:pt>
                <c:pt idx="4584">
                  <c:v>157992929.59999999</c:v>
                </c:pt>
                <c:pt idx="4585">
                  <c:v>157992929.59999999</c:v>
                </c:pt>
                <c:pt idx="4586">
                  <c:v>157992929.59999999</c:v>
                </c:pt>
                <c:pt idx="4587">
                  <c:v>157992929.59999999</c:v>
                </c:pt>
                <c:pt idx="4588">
                  <c:v>157992929.59999999</c:v>
                </c:pt>
                <c:pt idx="4589">
                  <c:v>157992929.59999999</c:v>
                </c:pt>
                <c:pt idx="4590">
                  <c:v>157992929.59999999</c:v>
                </c:pt>
                <c:pt idx="4591">
                  <c:v>157992929.59999999</c:v>
                </c:pt>
                <c:pt idx="4592">
                  <c:v>157992929.59999999</c:v>
                </c:pt>
                <c:pt idx="4593">
                  <c:v>157992929.59999999</c:v>
                </c:pt>
                <c:pt idx="4594">
                  <c:v>157992929.59999999</c:v>
                </c:pt>
                <c:pt idx="4595">
                  <c:v>157992929.59999999</c:v>
                </c:pt>
                <c:pt idx="4596">
                  <c:v>157992929.59999999</c:v>
                </c:pt>
                <c:pt idx="4597">
                  <c:v>157992929.59999999</c:v>
                </c:pt>
                <c:pt idx="4598">
                  <c:v>157992929.59999999</c:v>
                </c:pt>
                <c:pt idx="4599">
                  <c:v>157992929.59999999</c:v>
                </c:pt>
                <c:pt idx="4600">
                  <c:v>157992929.59999999</c:v>
                </c:pt>
                <c:pt idx="4601">
                  <c:v>157992929.59999999</c:v>
                </c:pt>
                <c:pt idx="4602">
                  <c:v>157992929.59999999</c:v>
                </c:pt>
                <c:pt idx="4603">
                  <c:v>157992929.59999999</c:v>
                </c:pt>
                <c:pt idx="4604">
                  <c:v>157992929.59999999</c:v>
                </c:pt>
                <c:pt idx="4605">
                  <c:v>157992929.59999999</c:v>
                </c:pt>
                <c:pt idx="4606">
                  <c:v>157992929.59999999</c:v>
                </c:pt>
                <c:pt idx="4607">
                  <c:v>157992929.59999999</c:v>
                </c:pt>
                <c:pt idx="4608">
                  <c:v>157992929.59999999</c:v>
                </c:pt>
                <c:pt idx="4609">
                  <c:v>157992929.59999999</c:v>
                </c:pt>
                <c:pt idx="4610">
                  <c:v>157992929.59999999</c:v>
                </c:pt>
                <c:pt idx="4611">
                  <c:v>157992929.59999999</c:v>
                </c:pt>
                <c:pt idx="4612">
                  <c:v>157992929.59999999</c:v>
                </c:pt>
                <c:pt idx="4613">
                  <c:v>157992929.59999999</c:v>
                </c:pt>
                <c:pt idx="4614">
                  <c:v>157992929.59999999</c:v>
                </c:pt>
                <c:pt idx="4615">
                  <c:v>157992929.59999999</c:v>
                </c:pt>
                <c:pt idx="4616">
                  <c:v>157992929.59999999</c:v>
                </c:pt>
                <c:pt idx="4617">
                  <c:v>157992929.59999999</c:v>
                </c:pt>
                <c:pt idx="4618">
                  <c:v>157992929.59999999</c:v>
                </c:pt>
                <c:pt idx="4619">
                  <c:v>157992929.59999999</c:v>
                </c:pt>
                <c:pt idx="4620">
                  <c:v>157992929.59999999</c:v>
                </c:pt>
                <c:pt idx="4621">
                  <c:v>157992929.59999999</c:v>
                </c:pt>
                <c:pt idx="4622">
                  <c:v>157992929.59999999</c:v>
                </c:pt>
                <c:pt idx="4623">
                  <c:v>157992929.59999999</c:v>
                </c:pt>
                <c:pt idx="4624">
                  <c:v>157992929.59999999</c:v>
                </c:pt>
                <c:pt idx="4625">
                  <c:v>157992929.59999999</c:v>
                </c:pt>
                <c:pt idx="4626">
                  <c:v>157992929.59999999</c:v>
                </c:pt>
                <c:pt idx="4627">
                  <c:v>157992929.59999999</c:v>
                </c:pt>
                <c:pt idx="4628">
                  <c:v>157992929.59999999</c:v>
                </c:pt>
                <c:pt idx="4629">
                  <c:v>157992929.59999999</c:v>
                </c:pt>
                <c:pt idx="4630">
                  <c:v>157992929.59999999</c:v>
                </c:pt>
                <c:pt idx="4631">
                  <c:v>157992929.59999999</c:v>
                </c:pt>
                <c:pt idx="4632">
                  <c:v>157992929.59999999</c:v>
                </c:pt>
                <c:pt idx="4633">
                  <c:v>157992929.59999999</c:v>
                </c:pt>
                <c:pt idx="4634">
                  <c:v>157992929.59999999</c:v>
                </c:pt>
                <c:pt idx="4635">
                  <c:v>157992929.59999999</c:v>
                </c:pt>
                <c:pt idx="4636">
                  <c:v>157992929.59999999</c:v>
                </c:pt>
                <c:pt idx="4637">
                  <c:v>157992929.59999999</c:v>
                </c:pt>
                <c:pt idx="4638">
                  <c:v>157992929.59999999</c:v>
                </c:pt>
                <c:pt idx="4639">
                  <c:v>157992929.59999999</c:v>
                </c:pt>
                <c:pt idx="4640">
                  <c:v>157992929.59999999</c:v>
                </c:pt>
                <c:pt idx="4641">
                  <c:v>157992929.59999999</c:v>
                </c:pt>
                <c:pt idx="4642">
                  <c:v>157992929.59999999</c:v>
                </c:pt>
                <c:pt idx="4643">
                  <c:v>157992929.59999999</c:v>
                </c:pt>
                <c:pt idx="4644">
                  <c:v>157992929.59999999</c:v>
                </c:pt>
                <c:pt idx="4645">
                  <c:v>157992929.59999999</c:v>
                </c:pt>
                <c:pt idx="4646">
                  <c:v>157992929.59999999</c:v>
                </c:pt>
                <c:pt idx="4647">
                  <c:v>157992929.59999999</c:v>
                </c:pt>
                <c:pt idx="4648">
                  <c:v>157992929.59999999</c:v>
                </c:pt>
                <c:pt idx="4649">
                  <c:v>157992929.59999999</c:v>
                </c:pt>
                <c:pt idx="4650">
                  <c:v>157992929.59999999</c:v>
                </c:pt>
                <c:pt idx="4651">
                  <c:v>157992929.59999999</c:v>
                </c:pt>
                <c:pt idx="4652">
                  <c:v>157992929.59999999</c:v>
                </c:pt>
                <c:pt idx="4653">
                  <c:v>157992929.59999999</c:v>
                </c:pt>
                <c:pt idx="4654">
                  <c:v>157992929.59999999</c:v>
                </c:pt>
                <c:pt idx="4655">
                  <c:v>157992929.59999999</c:v>
                </c:pt>
                <c:pt idx="4656">
                  <c:v>157992929.59999999</c:v>
                </c:pt>
                <c:pt idx="4657">
                  <c:v>157992929.59999999</c:v>
                </c:pt>
                <c:pt idx="4658">
                  <c:v>157992929.59999999</c:v>
                </c:pt>
                <c:pt idx="4659">
                  <c:v>157992929.59999999</c:v>
                </c:pt>
                <c:pt idx="4660">
                  <c:v>157992929.59999999</c:v>
                </c:pt>
                <c:pt idx="4661">
                  <c:v>157992929.59999999</c:v>
                </c:pt>
                <c:pt idx="4662">
                  <c:v>157992929.59999999</c:v>
                </c:pt>
                <c:pt idx="4663">
                  <c:v>157992929.59999999</c:v>
                </c:pt>
                <c:pt idx="4664">
                  <c:v>157992929.59999999</c:v>
                </c:pt>
                <c:pt idx="4665">
                  <c:v>157992929.59999999</c:v>
                </c:pt>
                <c:pt idx="4666">
                  <c:v>157992929.59999999</c:v>
                </c:pt>
                <c:pt idx="4667">
                  <c:v>157992929.59999999</c:v>
                </c:pt>
                <c:pt idx="4668">
                  <c:v>157992929.59999999</c:v>
                </c:pt>
                <c:pt idx="4669">
                  <c:v>157992929.59999999</c:v>
                </c:pt>
                <c:pt idx="4670">
                  <c:v>157992929.59999999</c:v>
                </c:pt>
                <c:pt idx="4671">
                  <c:v>157992929.59999999</c:v>
                </c:pt>
                <c:pt idx="4672">
                  <c:v>157992929.59999999</c:v>
                </c:pt>
                <c:pt idx="4673">
                  <c:v>157992929.59999999</c:v>
                </c:pt>
                <c:pt idx="4674">
                  <c:v>157992929.59999999</c:v>
                </c:pt>
                <c:pt idx="4675">
                  <c:v>157992929.59999999</c:v>
                </c:pt>
                <c:pt idx="4676">
                  <c:v>157992929.59999999</c:v>
                </c:pt>
                <c:pt idx="4677">
                  <c:v>157992929.59999999</c:v>
                </c:pt>
                <c:pt idx="4678">
                  <c:v>157992929.59999999</c:v>
                </c:pt>
                <c:pt idx="4679">
                  <c:v>157992929.59999999</c:v>
                </c:pt>
                <c:pt idx="4680">
                  <c:v>157992929.59999999</c:v>
                </c:pt>
                <c:pt idx="4681">
                  <c:v>157992929.59999999</c:v>
                </c:pt>
                <c:pt idx="4682">
                  <c:v>157992929.59999999</c:v>
                </c:pt>
                <c:pt idx="4683">
                  <c:v>157992929.59999999</c:v>
                </c:pt>
                <c:pt idx="4684">
                  <c:v>157992929.59999999</c:v>
                </c:pt>
                <c:pt idx="4685">
                  <c:v>157992929.59999999</c:v>
                </c:pt>
                <c:pt idx="4686">
                  <c:v>157992929.59999999</c:v>
                </c:pt>
                <c:pt idx="4687">
                  <c:v>157992929.59999999</c:v>
                </c:pt>
                <c:pt idx="4688">
                  <c:v>157992929.59999999</c:v>
                </c:pt>
                <c:pt idx="4689">
                  <c:v>157992929.59999999</c:v>
                </c:pt>
                <c:pt idx="4690">
                  <c:v>157992929.59999999</c:v>
                </c:pt>
                <c:pt idx="4691">
                  <c:v>157992929.59999999</c:v>
                </c:pt>
                <c:pt idx="4692">
                  <c:v>157992929.59999999</c:v>
                </c:pt>
                <c:pt idx="4693">
                  <c:v>157992929.59999999</c:v>
                </c:pt>
                <c:pt idx="4694">
                  <c:v>157992929.59999999</c:v>
                </c:pt>
                <c:pt idx="4695">
                  <c:v>157992929.59999999</c:v>
                </c:pt>
                <c:pt idx="4696">
                  <c:v>157992929.59999999</c:v>
                </c:pt>
                <c:pt idx="4697">
                  <c:v>157992929.59999999</c:v>
                </c:pt>
                <c:pt idx="4698">
                  <c:v>157992929.59999999</c:v>
                </c:pt>
                <c:pt idx="4699">
                  <c:v>157992929.59999999</c:v>
                </c:pt>
                <c:pt idx="4700">
                  <c:v>157992929.59999999</c:v>
                </c:pt>
                <c:pt idx="4701">
                  <c:v>157992929.59999999</c:v>
                </c:pt>
                <c:pt idx="4702">
                  <c:v>157992929.59999999</c:v>
                </c:pt>
                <c:pt idx="4703">
                  <c:v>157992929.59999999</c:v>
                </c:pt>
                <c:pt idx="4704">
                  <c:v>157992929.59999999</c:v>
                </c:pt>
                <c:pt idx="4705">
                  <c:v>157992929.59999999</c:v>
                </c:pt>
                <c:pt idx="4706">
                  <c:v>157992929.59999999</c:v>
                </c:pt>
                <c:pt idx="4707">
                  <c:v>157992929.59999999</c:v>
                </c:pt>
                <c:pt idx="4708">
                  <c:v>157992929.59999999</c:v>
                </c:pt>
                <c:pt idx="4709">
                  <c:v>157992929.59999999</c:v>
                </c:pt>
                <c:pt idx="4710">
                  <c:v>157992929.59999999</c:v>
                </c:pt>
                <c:pt idx="4711">
                  <c:v>157992929.59999999</c:v>
                </c:pt>
                <c:pt idx="4712">
                  <c:v>157992929.59999999</c:v>
                </c:pt>
                <c:pt idx="4713">
                  <c:v>157992929.59999999</c:v>
                </c:pt>
                <c:pt idx="4714">
                  <c:v>157992929.59999999</c:v>
                </c:pt>
                <c:pt idx="4715">
                  <c:v>157992929.59999999</c:v>
                </c:pt>
                <c:pt idx="4716">
                  <c:v>157992929.59999999</c:v>
                </c:pt>
                <c:pt idx="4717">
                  <c:v>157992929.59999999</c:v>
                </c:pt>
                <c:pt idx="4718">
                  <c:v>157992929.59999999</c:v>
                </c:pt>
                <c:pt idx="4719">
                  <c:v>157992929.59999999</c:v>
                </c:pt>
                <c:pt idx="4720">
                  <c:v>157992929.59999999</c:v>
                </c:pt>
                <c:pt idx="4721">
                  <c:v>157992929.59999999</c:v>
                </c:pt>
                <c:pt idx="4722">
                  <c:v>157992929.59999999</c:v>
                </c:pt>
                <c:pt idx="4723">
                  <c:v>157992929.59999999</c:v>
                </c:pt>
                <c:pt idx="4724">
                  <c:v>157992929.59999999</c:v>
                </c:pt>
                <c:pt idx="4725">
                  <c:v>157992929.59999999</c:v>
                </c:pt>
                <c:pt idx="4726">
                  <c:v>157992929.59999999</c:v>
                </c:pt>
                <c:pt idx="4727">
                  <c:v>157992929.59999999</c:v>
                </c:pt>
                <c:pt idx="4728">
                  <c:v>157992929.59999999</c:v>
                </c:pt>
                <c:pt idx="4729">
                  <c:v>157992929.59999999</c:v>
                </c:pt>
                <c:pt idx="4730">
                  <c:v>157992929.59999999</c:v>
                </c:pt>
                <c:pt idx="4731">
                  <c:v>157992929.59999999</c:v>
                </c:pt>
                <c:pt idx="4732">
                  <c:v>157992929.59999999</c:v>
                </c:pt>
                <c:pt idx="4733">
                  <c:v>157992929.59999999</c:v>
                </c:pt>
                <c:pt idx="4734">
                  <c:v>157992929.59999999</c:v>
                </c:pt>
                <c:pt idx="4735">
                  <c:v>157992929.59999999</c:v>
                </c:pt>
                <c:pt idx="4736">
                  <c:v>157992929.59999999</c:v>
                </c:pt>
                <c:pt idx="4737">
                  <c:v>157992929.59999999</c:v>
                </c:pt>
                <c:pt idx="4738">
                  <c:v>157992929.59999999</c:v>
                </c:pt>
                <c:pt idx="4739">
                  <c:v>157992929.59999999</c:v>
                </c:pt>
                <c:pt idx="4740">
                  <c:v>157992929.59999999</c:v>
                </c:pt>
                <c:pt idx="4741">
                  <c:v>157992929.59999999</c:v>
                </c:pt>
                <c:pt idx="4742">
                  <c:v>157992929.59999999</c:v>
                </c:pt>
                <c:pt idx="4743">
                  <c:v>157992929.59999999</c:v>
                </c:pt>
                <c:pt idx="4744">
                  <c:v>157992929.59999999</c:v>
                </c:pt>
                <c:pt idx="4745">
                  <c:v>157992929.59999999</c:v>
                </c:pt>
                <c:pt idx="4746">
                  <c:v>157992929.59999999</c:v>
                </c:pt>
                <c:pt idx="4747">
                  <c:v>157992929.59999999</c:v>
                </c:pt>
                <c:pt idx="4748">
                  <c:v>157992929.59999999</c:v>
                </c:pt>
                <c:pt idx="4749">
                  <c:v>157992929.59999999</c:v>
                </c:pt>
                <c:pt idx="4750">
                  <c:v>157992929.59999999</c:v>
                </c:pt>
                <c:pt idx="4751">
                  <c:v>157992929.59999999</c:v>
                </c:pt>
                <c:pt idx="4752">
                  <c:v>157992929.59999999</c:v>
                </c:pt>
                <c:pt idx="4753">
                  <c:v>157992929.59999999</c:v>
                </c:pt>
                <c:pt idx="4754">
                  <c:v>157992929.59999999</c:v>
                </c:pt>
                <c:pt idx="4755">
                  <c:v>157992929.59999999</c:v>
                </c:pt>
                <c:pt idx="4756">
                  <c:v>157992929.59999999</c:v>
                </c:pt>
                <c:pt idx="4757">
                  <c:v>157992929.59999999</c:v>
                </c:pt>
                <c:pt idx="4758">
                  <c:v>157992929.59999999</c:v>
                </c:pt>
                <c:pt idx="4759">
                  <c:v>157992929.59999999</c:v>
                </c:pt>
                <c:pt idx="4760">
                  <c:v>157992929.59999999</c:v>
                </c:pt>
                <c:pt idx="4761">
                  <c:v>157992929.59999999</c:v>
                </c:pt>
                <c:pt idx="4762">
                  <c:v>157992929.59999999</c:v>
                </c:pt>
                <c:pt idx="4763">
                  <c:v>157992929.59999999</c:v>
                </c:pt>
                <c:pt idx="4764">
                  <c:v>157992929.59999999</c:v>
                </c:pt>
                <c:pt idx="4765">
                  <c:v>157992929.59999999</c:v>
                </c:pt>
                <c:pt idx="4766">
                  <c:v>157992929.59999999</c:v>
                </c:pt>
                <c:pt idx="4767">
                  <c:v>157992929.59999999</c:v>
                </c:pt>
                <c:pt idx="4768">
                  <c:v>157992929.59999999</c:v>
                </c:pt>
                <c:pt idx="4769">
                  <c:v>157992929.59999999</c:v>
                </c:pt>
                <c:pt idx="4770">
                  <c:v>157992929.59999999</c:v>
                </c:pt>
                <c:pt idx="4771">
                  <c:v>157992929.59999999</c:v>
                </c:pt>
                <c:pt idx="4772">
                  <c:v>157992929.59999999</c:v>
                </c:pt>
                <c:pt idx="4773">
                  <c:v>157992929.59999999</c:v>
                </c:pt>
                <c:pt idx="4774">
                  <c:v>157992929.59999999</c:v>
                </c:pt>
                <c:pt idx="4775">
                  <c:v>157992929.59999999</c:v>
                </c:pt>
                <c:pt idx="4776">
                  <c:v>157992929.59999999</c:v>
                </c:pt>
                <c:pt idx="4777">
                  <c:v>157992929.59999999</c:v>
                </c:pt>
                <c:pt idx="4778">
                  <c:v>157992929.59999999</c:v>
                </c:pt>
                <c:pt idx="4779">
                  <c:v>157992929.59999999</c:v>
                </c:pt>
                <c:pt idx="4780">
                  <c:v>157992929.59999999</c:v>
                </c:pt>
                <c:pt idx="4781">
                  <c:v>157992929.59999999</c:v>
                </c:pt>
                <c:pt idx="4782">
                  <c:v>157992929.59999999</c:v>
                </c:pt>
                <c:pt idx="4783">
                  <c:v>157992929.59999999</c:v>
                </c:pt>
                <c:pt idx="4784">
                  <c:v>157992929.59999999</c:v>
                </c:pt>
                <c:pt idx="4785">
                  <c:v>157992929.59999999</c:v>
                </c:pt>
                <c:pt idx="4786">
                  <c:v>157992929.59999999</c:v>
                </c:pt>
                <c:pt idx="4787">
                  <c:v>157992929.59999999</c:v>
                </c:pt>
                <c:pt idx="4788">
                  <c:v>157992929.59999999</c:v>
                </c:pt>
                <c:pt idx="4789">
                  <c:v>157992929.59999999</c:v>
                </c:pt>
                <c:pt idx="4790">
                  <c:v>157992929.59999999</c:v>
                </c:pt>
                <c:pt idx="4791">
                  <c:v>157992929.59999999</c:v>
                </c:pt>
                <c:pt idx="4792">
                  <c:v>157992929.59999999</c:v>
                </c:pt>
                <c:pt idx="4793">
                  <c:v>157992929.59999999</c:v>
                </c:pt>
                <c:pt idx="4794">
                  <c:v>157992929.59999999</c:v>
                </c:pt>
                <c:pt idx="4795">
                  <c:v>157992929.59999999</c:v>
                </c:pt>
                <c:pt idx="4796">
                  <c:v>157992929.59999999</c:v>
                </c:pt>
                <c:pt idx="4797">
                  <c:v>157992929.59999999</c:v>
                </c:pt>
                <c:pt idx="4798">
                  <c:v>157992929.59999999</c:v>
                </c:pt>
                <c:pt idx="4799">
                  <c:v>157992929.59999999</c:v>
                </c:pt>
                <c:pt idx="4800">
                  <c:v>157992929.59999999</c:v>
                </c:pt>
                <c:pt idx="4801">
                  <c:v>157992929.59999999</c:v>
                </c:pt>
                <c:pt idx="4802">
                  <c:v>157992929.59999999</c:v>
                </c:pt>
                <c:pt idx="4803">
                  <c:v>157992929.59999999</c:v>
                </c:pt>
                <c:pt idx="4804">
                  <c:v>157992929.59999999</c:v>
                </c:pt>
                <c:pt idx="4805">
                  <c:v>157992929.59999999</c:v>
                </c:pt>
                <c:pt idx="4806">
                  <c:v>157992929.59999999</c:v>
                </c:pt>
                <c:pt idx="4807">
                  <c:v>157992929.59999999</c:v>
                </c:pt>
                <c:pt idx="4808">
                  <c:v>157992929.59999999</c:v>
                </c:pt>
                <c:pt idx="4809">
                  <c:v>157992929.59999999</c:v>
                </c:pt>
                <c:pt idx="4810">
                  <c:v>157992929.59999999</c:v>
                </c:pt>
                <c:pt idx="4811">
                  <c:v>157992929.59999999</c:v>
                </c:pt>
                <c:pt idx="4812">
                  <c:v>157992929.59999999</c:v>
                </c:pt>
                <c:pt idx="4813">
                  <c:v>157992929.59999999</c:v>
                </c:pt>
                <c:pt idx="4814">
                  <c:v>157992929.59999999</c:v>
                </c:pt>
                <c:pt idx="4815">
                  <c:v>157992929.59999999</c:v>
                </c:pt>
                <c:pt idx="4816">
                  <c:v>157992929.59999999</c:v>
                </c:pt>
                <c:pt idx="4817">
                  <c:v>157992929.59999999</c:v>
                </c:pt>
                <c:pt idx="4818">
                  <c:v>157992929.59999999</c:v>
                </c:pt>
                <c:pt idx="4819">
                  <c:v>157992929.59999999</c:v>
                </c:pt>
                <c:pt idx="4820">
                  <c:v>157992929.59999999</c:v>
                </c:pt>
                <c:pt idx="4821">
                  <c:v>157992929.59999999</c:v>
                </c:pt>
                <c:pt idx="4822">
                  <c:v>157992929.59999999</c:v>
                </c:pt>
                <c:pt idx="4823">
                  <c:v>157992929.59999999</c:v>
                </c:pt>
                <c:pt idx="4824">
                  <c:v>157992929.59999999</c:v>
                </c:pt>
                <c:pt idx="4825">
                  <c:v>157992929.59999999</c:v>
                </c:pt>
                <c:pt idx="4826">
                  <c:v>157992929.59999999</c:v>
                </c:pt>
                <c:pt idx="4827">
                  <c:v>157992929.59999999</c:v>
                </c:pt>
                <c:pt idx="4828">
                  <c:v>157992929.59999999</c:v>
                </c:pt>
                <c:pt idx="4829">
                  <c:v>157992929.59999999</c:v>
                </c:pt>
                <c:pt idx="4830">
                  <c:v>157992929.59999999</c:v>
                </c:pt>
                <c:pt idx="4831">
                  <c:v>157992929.59999999</c:v>
                </c:pt>
                <c:pt idx="4832">
                  <c:v>157992929.59999999</c:v>
                </c:pt>
                <c:pt idx="4833">
                  <c:v>157992929.59999999</c:v>
                </c:pt>
                <c:pt idx="4834">
                  <c:v>157992929.59999999</c:v>
                </c:pt>
                <c:pt idx="4835">
                  <c:v>157992929.59999999</c:v>
                </c:pt>
                <c:pt idx="4836">
                  <c:v>157992929.59999999</c:v>
                </c:pt>
                <c:pt idx="4837">
                  <c:v>157992929.59999999</c:v>
                </c:pt>
                <c:pt idx="4838">
                  <c:v>157992929.59999999</c:v>
                </c:pt>
                <c:pt idx="4839">
                  <c:v>157992929.59999999</c:v>
                </c:pt>
                <c:pt idx="4840">
                  <c:v>157992929.59999999</c:v>
                </c:pt>
                <c:pt idx="4841">
                  <c:v>157992929.59999999</c:v>
                </c:pt>
                <c:pt idx="4842">
                  <c:v>157992929.59999999</c:v>
                </c:pt>
                <c:pt idx="4843">
                  <c:v>157992929.59999999</c:v>
                </c:pt>
                <c:pt idx="4844">
                  <c:v>157992929.59999999</c:v>
                </c:pt>
                <c:pt idx="4845">
                  <c:v>157992929.59999999</c:v>
                </c:pt>
                <c:pt idx="4846">
                  <c:v>157992929.59999999</c:v>
                </c:pt>
                <c:pt idx="4847">
                  <c:v>157992929.59999999</c:v>
                </c:pt>
                <c:pt idx="4848">
                  <c:v>157992929.59999999</c:v>
                </c:pt>
                <c:pt idx="4849">
                  <c:v>157992929.59999999</c:v>
                </c:pt>
                <c:pt idx="4850">
                  <c:v>157992929.59999999</c:v>
                </c:pt>
                <c:pt idx="4851">
                  <c:v>157992929.59999999</c:v>
                </c:pt>
                <c:pt idx="4852">
                  <c:v>157992929.59999999</c:v>
                </c:pt>
                <c:pt idx="4853">
                  <c:v>157992929.59999999</c:v>
                </c:pt>
                <c:pt idx="4854">
                  <c:v>157992929.59999999</c:v>
                </c:pt>
                <c:pt idx="4855">
                  <c:v>157992929.59999999</c:v>
                </c:pt>
                <c:pt idx="4856">
                  <c:v>157992929.59999999</c:v>
                </c:pt>
                <c:pt idx="4857">
                  <c:v>157992929.59999999</c:v>
                </c:pt>
                <c:pt idx="4858">
                  <c:v>157992929.59999999</c:v>
                </c:pt>
                <c:pt idx="4859">
                  <c:v>157992929.59999999</c:v>
                </c:pt>
                <c:pt idx="4860">
                  <c:v>157992929.59999999</c:v>
                </c:pt>
                <c:pt idx="4861">
                  <c:v>157992929.59999999</c:v>
                </c:pt>
                <c:pt idx="4862">
                  <c:v>157992929.59999999</c:v>
                </c:pt>
                <c:pt idx="4863">
                  <c:v>157992929.59999999</c:v>
                </c:pt>
                <c:pt idx="4864">
                  <c:v>157992929.59999999</c:v>
                </c:pt>
                <c:pt idx="4865">
                  <c:v>157992929.59999999</c:v>
                </c:pt>
                <c:pt idx="4866">
                  <c:v>157992929.59999999</c:v>
                </c:pt>
                <c:pt idx="4867">
                  <c:v>157992929.59999999</c:v>
                </c:pt>
                <c:pt idx="4868">
                  <c:v>157992929.59999999</c:v>
                </c:pt>
                <c:pt idx="4869">
                  <c:v>157992929.59999999</c:v>
                </c:pt>
                <c:pt idx="4870">
                  <c:v>157992929.59999999</c:v>
                </c:pt>
                <c:pt idx="4871">
                  <c:v>157992929.59999999</c:v>
                </c:pt>
                <c:pt idx="4872">
                  <c:v>157992929.59999999</c:v>
                </c:pt>
                <c:pt idx="4873">
                  <c:v>157992929.59999999</c:v>
                </c:pt>
                <c:pt idx="4874">
                  <c:v>157992929.59999999</c:v>
                </c:pt>
                <c:pt idx="4875">
                  <c:v>157992929.59999999</c:v>
                </c:pt>
                <c:pt idx="4876">
                  <c:v>157992929.59999999</c:v>
                </c:pt>
                <c:pt idx="4877">
                  <c:v>157992929.59999999</c:v>
                </c:pt>
                <c:pt idx="4878">
                  <c:v>157992929.59999999</c:v>
                </c:pt>
                <c:pt idx="4879">
                  <c:v>157992929.59999999</c:v>
                </c:pt>
                <c:pt idx="4880">
                  <c:v>157992929.59999999</c:v>
                </c:pt>
                <c:pt idx="4881">
                  <c:v>157992929.59999999</c:v>
                </c:pt>
                <c:pt idx="4882">
                  <c:v>157992929.59999999</c:v>
                </c:pt>
                <c:pt idx="4883">
                  <c:v>157992929.59999999</c:v>
                </c:pt>
                <c:pt idx="4884">
                  <c:v>157992929.59999999</c:v>
                </c:pt>
                <c:pt idx="4885">
                  <c:v>157992929.59999999</c:v>
                </c:pt>
                <c:pt idx="4886">
                  <c:v>157992929.59999999</c:v>
                </c:pt>
                <c:pt idx="4887">
                  <c:v>157992929.59999999</c:v>
                </c:pt>
                <c:pt idx="4888">
                  <c:v>157992929.59999999</c:v>
                </c:pt>
                <c:pt idx="4889">
                  <c:v>157992929.59999999</c:v>
                </c:pt>
                <c:pt idx="4890">
                  <c:v>157992929.59999999</c:v>
                </c:pt>
                <c:pt idx="4891">
                  <c:v>157992929.59999999</c:v>
                </c:pt>
                <c:pt idx="4892">
                  <c:v>157992929.59999999</c:v>
                </c:pt>
                <c:pt idx="4893">
                  <c:v>157992929.59999999</c:v>
                </c:pt>
                <c:pt idx="4894">
                  <c:v>157992929.59999999</c:v>
                </c:pt>
                <c:pt idx="4895">
                  <c:v>157992929.59999999</c:v>
                </c:pt>
                <c:pt idx="4896">
                  <c:v>157992929.59999999</c:v>
                </c:pt>
                <c:pt idx="4897">
                  <c:v>157992929.59999999</c:v>
                </c:pt>
                <c:pt idx="4898">
                  <c:v>157992929.59999999</c:v>
                </c:pt>
                <c:pt idx="4899">
                  <c:v>157992929.59999999</c:v>
                </c:pt>
                <c:pt idx="4900">
                  <c:v>157992929.59999999</c:v>
                </c:pt>
                <c:pt idx="4901">
                  <c:v>157992929.59999999</c:v>
                </c:pt>
                <c:pt idx="4902">
                  <c:v>157992929.59999999</c:v>
                </c:pt>
                <c:pt idx="4903">
                  <c:v>157992929.59999999</c:v>
                </c:pt>
                <c:pt idx="4904">
                  <c:v>157992929.59999999</c:v>
                </c:pt>
                <c:pt idx="4905">
                  <c:v>157992929.59999999</c:v>
                </c:pt>
                <c:pt idx="4906">
                  <c:v>157992929.59999999</c:v>
                </c:pt>
                <c:pt idx="4907">
                  <c:v>157992929.59999999</c:v>
                </c:pt>
                <c:pt idx="4908">
                  <c:v>157992929.59999999</c:v>
                </c:pt>
                <c:pt idx="4909">
                  <c:v>157992929.59999999</c:v>
                </c:pt>
                <c:pt idx="4910">
                  <c:v>157992929.59999999</c:v>
                </c:pt>
                <c:pt idx="4911">
                  <c:v>157992929.59999999</c:v>
                </c:pt>
                <c:pt idx="4912">
                  <c:v>157992929.59999999</c:v>
                </c:pt>
                <c:pt idx="4913">
                  <c:v>157992929.59999999</c:v>
                </c:pt>
                <c:pt idx="4914">
                  <c:v>157992929.59999999</c:v>
                </c:pt>
                <c:pt idx="4915">
                  <c:v>157992929.59999999</c:v>
                </c:pt>
                <c:pt idx="4916">
                  <c:v>157992929.59999999</c:v>
                </c:pt>
                <c:pt idx="4917">
                  <c:v>157992929.59999999</c:v>
                </c:pt>
                <c:pt idx="4918">
                  <c:v>157992929.59999999</c:v>
                </c:pt>
                <c:pt idx="4919">
                  <c:v>157992929.59999999</c:v>
                </c:pt>
                <c:pt idx="4920">
                  <c:v>157992929.59999999</c:v>
                </c:pt>
                <c:pt idx="4921">
                  <c:v>157992929.59999999</c:v>
                </c:pt>
                <c:pt idx="4922">
                  <c:v>157992929.59999999</c:v>
                </c:pt>
                <c:pt idx="4923">
                  <c:v>157992929.59999999</c:v>
                </c:pt>
                <c:pt idx="4924">
                  <c:v>157992929.59999999</c:v>
                </c:pt>
                <c:pt idx="4925">
                  <c:v>157992929.59999999</c:v>
                </c:pt>
                <c:pt idx="4926">
                  <c:v>157992929.59999999</c:v>
                </c:pt>
                <c:pt idx="4927">
                  <c:v>157992929.59999999</c:v>
                </c:pt>
                <c:pt idx="4928">
                  <c:v>157992929.59999999</c:v>
                </c:pt>
                <c:pt idx="4929">
                  <c:v>157992929.59999999</c:v>
                </c:pt>
                <c:pt idx="4930">
                  <c:v>157992929.59999999</c:v>
                </c:pt>
                <c:pt idx="4931">
                  <c:v>157992929.59999999</c:v>
                </c:pt>
                <c:pt idx="4932">
                  <c:v>157992929.59999999</c:v>
                </c:pt>
                <c:pt idx="4933">
                  <c:v>157992929.59999999</c:v>
                </c:pt>
                <c:pt idx="4934">
                  <c:v>157992929.59999999</c:v>
                </c:pt>
                <c:pt idx="4935">
                  <c:v>157992929.59999999</c:v>
                </c:pt>
                <c:pt idx="4936">
                  <c:v>157992929.59999999</c:v>
                </c:pt>
                <c:pt idx="4937">
                  <c:v>157992929.59999999</c:v>
                </c:pt>
                <c:pt idx="4938">
                  <c:v>157992929.59999999</c:v>
                </c:pt>
                <c:pt idx="4939">
                  <c:v>157992929.59999999</c:v>
                </c:pt>
                <c:pt idx="4940">
                  <c:v>157992929.59999999</c:v>
                </c:pt>
                <c:pt idx="4941">
                  <c:v>157992929.59999999</c:v>
                </c:pt>
                <c:pt idx="4942">
                  <c:v>157992929.59999999</c:v>
                </c:pt>
                <c:pt idx="4943">
                  <c:v>157992929.59999999</c:v>
                </c:pt>
                <c:pt idx="4944">
                  <c:v>157992929.59999999</c:v>
                </c:pt>
                <c:pt idx="4945">
                  <c:v>157992929.59999999</c:v>
                </c:pt>
                <c:pt idx="4946">
                  <c:v>157992929.59999999</c:v>
                </c:pt>
                <c:pt idx="4947">
                  <c:v>157992929.59999999</c:v>
                </c:pt>
                <c:pt idx="4948">
                  <c:v>157992929.59999999</c:v>
                </c:pt>
                <c:pt idx="4949">
                  <c:v>157992929.59999999</c:v>
                </c:pt>
                <c:pt idx="4950">
                  <c:v>157992929.59999999</c:v>
                </c:pt>
                <c:pt idx="4951">
                  <c:v>157992929.59999999</c:v>
                </c:pt>
                <c:pt idx="4952">
                  <c:v>157992929.59999999</c:v>
                </c:pt>
                <c:pt idx="4953">
                  <c:v>157992929.59999999</c:v>
                </c:pt>
                <c:pt idx="4954">
                  <c:v>157992929.59999999</c:v>
                </c:pt>
                <c:pt idx="4955">
                  <c:v>157992929.59999999</c:v>
                </c:pt>
                <c:pt idx="4956">
                  <c:v>157992929.59999999</c:v>
                </c:pt>
                <c:pt idx="4957">
                  <c:v>157992929.59999999</c:v>
                </c:pt>
                <c:pt idx="4958">
                  <c:v>157992929.59999999</c:v>
                </c:pt>
                <c:pt idx="4959">
                  <c:v>157992929.59999999</c:v>
                </c:pt>
                <c:pt idx="4960">
                  <c:v>157992929.59999999</c:v>
                </c:pt>
                <c:pt idx="4961">
                  <c:v>157992929.59999999</c:v>
                </c:pt>
                <c:pt idx="4962">
                  <c:v>157992929.59999999</c:v>
                </c:pt>
                <c:pt idx="4963">
                  <c:v>157992929.59999999</c:v>
                </c:pt>
                <c:pt idx="4964">
                  <c:v>157992929.59999999</c:v>
                </c:pt>
                <c:pt idx="4965">
                  <c:v>157992929.59999999</c:v>
                </c:pt>
                <c:pt idx="4966">
                  <c:v>157992929.59999999</c:v>
                </c:pt>
                <c:pt idx="4967">
                  <c:v>157992929.59999999</c:v>
                </c:pt>
                <c:pt idx="4968">
                  <c:v>157992929.59999999</c:v>
                </c:pt>
                <c:pt idx="4969">
                  <c:v>157992929.59999999</c:v>
                </c:pt>
                <c:pt idx="4970">
                  <c:v>157992929.59999999</c:v>
                </c:pt>
                <c:pt idx="4971">
                  <c:v>157992929.59999999</c:v>
                </c:pt>
                <c:pt idx="4972">
                  <c:v>157992929.59999999</c:v>
                </c:pt>
                <c:pt idx="4973">
                  <c:v>157992929.59999999</c:v>
                </c:pt>
                <c:pt idx="4974">
                  <c:v>157992929.59999999</c:v>
                </c:pt>
                <c:pt idx="4975">
                  <c:v>157992929.59999999</c:v>
                </c:pt>
                <c:pt idx="4976">
                  <c:v>157992929.59999999</c:v>
                </c:pt>
                <c:pt idx="4977">
                  <c:v>157992929.59999999</c:v>
                </c:pt>
                <c:pt idx="4978">
                  <c:v>157992929.59999999</c:v>
                </c:pt>
                <c:pt idx="4979">
                  <c:v>157992929.59999999</c:v>
                </c:pt>
                <c:pt idx="4980">
                  <c:v>157992929.59999999</c:v>
                </c:pt>
                <c:pt idx="4981">
                  <c:v>157992929.59999999</c:v>
                </c:pt>
                <c:pt idx="4982">
                  <c:v>157992929.59999999</c:v>
                </c:pt>
                <c:pt idx="4983">
                  <c:v>157992929.59999999</c:v>
                </c:pt>
                <c:pt idx="4984">
                  <c:v>157992929.59999999</c:v>
                </c:pt>
                <c:pt idx="4985">
                  <c:v>157992929.59999999</c:v>
                </c:pt>
                <c:pt idx="4986">
                  <c:v>157992929.59999999</c:v>
                </c:pt>
                <c:pt idx="4987">
                  <c:v>157992929.59999999</c:v>
                </c:pt>
                <c:pt idx="4988">
                  <c:v>157992929.59999999</c:v>
                </c:pt>
                <c:pt idx="4989">
                  <c:v>157992929.59999999</c:v>
                </c:pt>
                <c:pt idx="4990">
                  <c:v>157992929.59999999</c:v>
                </c:pt>
                <c:pt idx="4991">
                  <c:v>157992929.59999999</c:v>
                </c:pt>
                <c:pt idx="4992">
                  <c:v>157992929.59999999</c:v>
                </c:pt>
                <c:pt idx="4993">
                  <c:v>157992929.59999999</c:v>
                </c:pt>
                <c:pt idx="4994">
                  <c:v>157992929.59999999</c:v>
                </c:pt>
                <c:pt idx="4995">
                  <c:v>157992929.59999999</c:v>
                </c:pt>
                <c:pt idx="4996">
                  <c:v>157992929.59999999</c:v>
                </c:pt>
                <c:pt idx="4997">
                  <c:v>157992929.59999999</c:v>
                </c:pt>
                <c:pt idx="4998">
                  <c:v>157992929.59999999</c:v>
                </c:pt>
                <c:pt idx="4999">
                  <c:v>157992929.59999999</c:v>
                </c:pt>
                <c:pt idx="5000">
                  <c:v>157992929.59999999</c:v>
                </c:pt>
                <c:pt idx="5001">
                  <c:v>157992929.59999999</c:v>
                </c:pt>
                <c:pt idx="5002">
                  <c:v>157992929.59999999</c:v>
                </c:pt>
                <c:pt idx="5003">
                  <c:v>157992929.59999999</c:v>
                </c:pt>
                <c:pt idx="5004">
                  <c:v>157992929.59999999</c:v>
                </c:pt>
                <c:pt idx="5005">
                  <c:v>157992929.59999999</c:v>
                </c:pt>
                <c:pt idx="5006">
                  <c:v>157992929.59999999</c:v>
                </c:pt>
                <c:pt idx="5007">
                  <c:v>157992929.59999999</c:v>
                </c:pt>
                <c:pt idx="5008">
                  <c:v>157992929.59999999</c:v>
                </c:pt>
                <c:pt idx="5009">
                  <c:v>157992929.59999999</c:v>
                </c:pt>
                <c:pt idx="5010">
                  <c:v>157992929.59999999</c:v>
                </c:pt>
                <c:pt idx="5011">
                  <c:v>157992929.59999999</c:v>
                </c:pt>
                <c:pt idx="5012">
                  <c:v>157992929.59999999</c:v>
                </c:pt>
                <c:pt idx="5013">
                  <c:v>157992929.59999999</c:v>
                </c:pt>
                <c:pt idx="5014">
                  <c:v>157992929.59999999</c:v>
                </c:pt>
                <c:pt idx="5015">
                  <c:v>157992929.59999999</c:v>
                </c:pt>
                <c:pt idx="5016">
                  <c:v>157992929.59999999</c:v>
                </c:pt>
                <c:pt idx="5017">
                  <c:v>157992929.59999999</c:v>
                </c:pt>
                <c:pt idx="5018">
                  <c:v>157992929.59999999</c:v>
                </c:pt>
                <c:pt idx="5019">
                  <c:v>157992929.59999999</c:v>
                </c:pt>
                <c:pt idx="5020">
                  <c:v>157992929.59999999</c:v>
                </c:pt>
                <c:pt idx="5021">
                  <c:v>157992929.59999999</c:v>
                </c:pt>
                <c:pt idx="5022">
                  <c:v>157992929.59999999</c:v>
                </c:pt>
                <c:pt idx="5023">
                  <c:v>157992929.59999999</c:v>
                </c:pt>
                <c:pt idx="5024">
                  <c:v>157992929.59999999</c:v>
                </c:pt>
                <c:pt idx="5025">
                  <c:v>157992929.59999999</c:v>
                </c:pt>
                <c:pt idx="5026">
                  <c:v>157992929.59999999</c:v>
                </c:pt>
                <c:pt idx="5027">
                  <c:v>157992929.59999999</c:v>
                </c:pt>
                <c:pt idx="5028">
                  <c:v>157992929.59999999</c:v>
                </c:pt>
                <c:pt idx="5029">
                  <c:v>157992929.59999999</c:v>
                </c:pt>
                <c:pt idx="5030">
                  <c:v>157992929.59999999</c:v>
                </c:pt>
                <c:pt idx="5031">
                  <c:v>157992929.59999999</c:v>
                </c:pt>
                <c:pt idx="5032">
                  <c:v>157992929.59999999</c:v>
                </c:pt>
                <c:pt idx="5033">
                  <c:v>157992929.59999999</c:v>
                </c:pt>
                <c:pt idx="5034">
                  <c:v>157992929.59999999</c:v>
                </c:pt>
                <c:pt idx="5035">
                  <c:v>157992929.59999999</c:v>
                </c:pt>
                <c:pt idx="5036">
                  <c:v>157992929.59999999</c:v>
                </c:pt>
                <c:pt idx="5037">
                  <c:v>157992929.59999999</c:v>
                </c:pt>
                <c:pt idx="5038">
                  <c:v>157992929.59999999</c:v>
                </c:pt>
                <c:pt idx="5039">
                  <c:v>157992929.59999999</c:v>
                </c:pt>
                <c:pt idx="5040">
                  <c:v>157992929.59999999</c:v>
                </c:pt>
                <c:pt idx="5041">
                  <c:v>157992929.59999999</c:v>
                </c:pt>
                <c:pt idx="5042">
                  <c:v>157992929.59999999</c:v>
                </c:pt>
                <c:pt idx="5043">
                  <c:v>157992929.59999999</c:v>
                </c:pt>
                <c:pt idx="5044">
                  <c:v>157992929.59999999</c:v>
                </c:pt>
                <c:pt idx="5045">
                  <c:v>157992929.59999999</c:v>
                </c:pt>
                <c:pt idx="5046">
                  <c:v>157992929.59999999</c:v>
                </c:pt>
                <c:pt idx="5047">
                  <c:v>157992929.59999999</c:v>
                </c:pt>
                <c:pt idx="5048">
                  <c:v>157992929.59999999</c:v>
                </c:pt>
                <c:pt idx="5049">
                  <c:v>157992929.59999999</c:v>
                </c:pt>
                <c:pt idx="5050">
                  <c:v>157992929.59999999</c:v>
                </c:pt>
                <c:pt idx="5051">
                  <c:v>157992929.59999999</c:v>
                </c:pt>
                <c:pt idx="5052">
                  <c:v>157992929.59999999</c:v>
                </c:pt>
                <c:pt idx="5053">
                  <c:v>157992929.59999999</c:v>
                </c:pt>
                <c:pt idx="5054">
                  <c:v>157992929.59999999</c:v>
                </c:pt>
                <c:pt idx="5055">
                  <c:v>157992929.59999999</c:v>
                </c:pt>
                <c:pt idx="5056">
                  <c:v>157992929.59999999</c:v>
                </c:pt>
                <c:pt idx="5057">
                  <c:v>157992929.59999999</c:v>
                </c:pt>
                <c:pt idx="5058">
                  <c:v>157992929.59999999</c:v>
                </c:pt>
                <c:pt idx="5059">
                  <c:v>157992929.59999999</c:v>
                </c:pt>
                <c:pt idx="5060">
                  <c:v>157992929.59999999</c:v>
                </c:pt>
                <c:pt idx="5061">
                  <c:v>157992929.59999999</c:v>
                </c:pt>
                <c:pt idx="5062">
                  <c:v>157992929.59999999</c:v>
                </c:pt>
                <c:pt idx="5063">
                  <c:v>157992929.59999999</c:v>
                </c:pt>
                <c:pt idx="5064">
                  <c:v>157992929.59999999</c:v>
                </c:pt>
                <c:pt idx="5065">
                  <c:v>157992929.59999999</c:v>
                </c:pt>
                <c:pt idx="5066">
                  <c:v>157992929.59999999</c:v>
                </c:pt>
                <c:pt idx="5067">
                  <c:v>157992929.59999999</c:v>
                </c:pt>
                <c:pt idx="5068">
                  <c:v>157992929.59999999</c:v>
                </c:pt>
                <c:pt idx="5069">
                  <c:v>157992929.59999999</c:v>
                </c:pt>
                <c:pt idx="5070">
                  <c:v>157992929.59999999</c:v>
                </c:pt>
                <c:pt idx="5071">
                  <c:v>157992929.59999999</c:v>
                </c:pt>
                <c:pt idx="5072">
                  <c:v>157992929.59999999</c:v>
                </c:pt>
                <c:pt idx="5073">
                  <c:v>157992929.59999999</c:v>
                </c:pt>
                <c:pt idx="5074">
                  <c:v>157992929.59999999</c:v>
                </c:pt>
                <c:pt idx="5075">
                  <c:v>157992929.59999999</c:v>
                </c:pt>
                <c:pt idx="5076">
                  <c:v>157992929.59999999</c:v>
                </c:pt>
                <c:pt idx="5077">
                  <c:v>157992929.59999999</c:v>
                </c:pt>
                <c:pt idx="5078">
                  <c:v>157992929.59999999</c:v>
                </c:pt>
                <c:pt idx="5079">
                  <c:v>157992929.59999999</c:v>
                </c:pt>
                <c:pt idx="5080">
                  <c:v>157992929.59999999</c:v>
                </c:pt>
                <c:pt idx="5081">
                  <c:v>157992929.59999999</c:v>
                </c:pt>
                <c:pt idx="5082">
                  <c:v>157992929.59999999</c:v>
                </c:pt>
                <c:pt idx="5083">
                  <c:v>157992929.59999999</c:v>
                </c:pt>
                <c:pt idx="5084">
                  <c:v>157992929.59999999</c:v>
                </c:pt>
                <c:pt idx="5085">
                  <c:v>157992929.59999999</c:v>
                </c:pt>
                <c:pt idx="5086">
                  <c:v>157992929.59999999</c:v>
                </c:pt>
                <c:pt idx="5087">
                  <c:v>157992929.59999999</c:v>
                </c:pt>
                <c:pt idx="5088">
                  <c:v>157992929.59999999</c:v>
                </c:pt>
                <c:pt idx="5089">
                  <c:v>157992929.59999999</c:v>
                </c:pt>
                <c:pt idx="5090">
                  <c:v>157992929.59999999</c:v>
                </c:pt>
                <c:pt idx="5091">
                  <c:v>157992929.59999999</c:v>
                </c:pt>
                <c:pt idx="5092">
                  <c:v>157992929.59999999</c:v>
                </c:pt>
                <c:pt idx="5093">
                  <c:v>157992929.59999999</c:v>
                </c:pt>
                <c:pt idx="5094">
                  <c:v>157992929.59999999</c:v>
                </c:pt>
                <c:pt idx="5095">
                  <c:v>157992929.59999999</c:v>
                </c:pt>
                <c:pt idx="5096">
                  <c:v>157992929.59999999</c:v>
                </c:pt>
                <c:pt idx="5097">
                  <c:v>157992929.59999999</c:v>
                </c:pt>
                <c:pt idx="5098">
                  <c:v>157992929.59999999</c:v>
                </c:pt>
                <c:pt idx="5099">
                  <c:v>157992929.59999999</c:v>
                </c:pt>
                <c:pt idx="5100">
                  <c:v>157992929.59999999</c:v>
                </c:pt>
                <c:pt idx="5101">
                  <c:v>157992929.59999999</c:v>
                </c:pt>
                <c:pt idx="5102">
                  <c:v>157992929.59999999</c:v>
                </c:pt>
                <c:pt idx="5103">
                  <c:v>157992929.59999999</c:v>
                </c:pt>
                <c:pt idx="5104">
                  <c:v>157992929.59999999</c:v>
                </c:pt>
                <c:pt idx="5105">
                  <c:v>157992929.59999999</c:v>
                </c:pt>
                <c:pt idx="5106">
                  <c:v>157992929.59999999</c:v>
                </c:pt>
                <c:pt idx="5107">
                  <c:v>157992929.59999999</c:v>
                </c:pt>
                <c:pt idx="5108">
                  <c:v>157992929.59999999</c:v>
                </c:pt>
                <c:pt idx="5109">
                  <c:v>157992929.59999999</c:v>
                </c:pt>
                <c:pt idx="5110">
                  <c:v>157992929.59999999</c:v>
                </c:pt>
                <c:pt idx="5111">
                  <c:v>157992929.59999999</c:v>
                </c:pt>
                <c:pt idx="5112">
                  <c:v>157992929.59999999</c:v>
                </c:pt>
                <c:pt idx="5113">
                  <c:v>157992929.59999999</c:v>
                </c:pt>
                <c:pt idx="5114">
                  <c:v>157992929.59999999</c:v>
                </c:pt>
                <c:pt idx="5115">
                  <c:v>157992929.59999999</c:v>
                </c:pt>
                <c:pt idx="5116">
                  <c:v>157992929.59999999</c:v>
                </c:pt>
                <c:pt idx="5117">
                  <c:v>157992929.59999999</c:v>
                </c:pt>
                <c:pt idx="5118">
                  <c:v>157992929.59999999</c:v>
                </c:pt>
                <c:pt idx="5119">
                  <c:v>157992929.59999999</c:v>
                </c:pt>
                <c:pt idx="5120">
                  <c:v>157992929.59999999</c:v>
                </c:pt>
                <c:pt idx="5121">
                  <c:v>157992929.59999999</c:v>
                </c:pt>
                <c:pt idx="5122">
                  <c:v>157992929.59999999</c:v>
                </c:pt>
                <c:pt idx="5123">
                  <c:v>157992929.59999999</c:v>
                </c:pt>
                <c:pt idx="5124">
                  <c:v>157992929.59999999</c:v>
                </c:pt>
                <c:pt idx="5125">
                  <c:v>157992929.59999999</c:v>
                </c:pt>
                <c:pt idx="5126">
                  <c:v>157992929.59999999</c:v>
                </c:pt>
                <c:pt idx="5127">
                  <c:v>157992929.59999999</c:v>
                </c:pt>
                <c:pt idx="5128">
                  <c:v>157992929.59999999</c:v>
                </c:pt>
                <c:pt idx="5129">
                  <c:v>157992929.59999999</c:v>
                </c:pt>
                <c:pt idx="5130">
                  <c:v>157992929.59999999</c:v>
                </c:pt>
                <c:pt idx="5131">
                  <c:v>157992929.59999999</c:v>
                </c:pt>
                <c:pt idx="5132">
                  <c:v>157992929.59999999</c:v>
                </c:pt>
                <c:pt idx="5133">
                  <c:v>157992929.59999999</c:v>
                </c:pt>
                <c:pt idx="5134">
                  <c:v>157992929.59999999</c:v>
                </c:pt>
                <c:pt idx="5135">
                  <c:v>157992929.59999999</c:v>
                </c:pt>
                <c:pt idx="5136">
                  <c:v>157992929.59999999</c:v>
                </c:pt>
                <c:pt idx="5137">
                  <c:v>157992929.59999999</c:v>
                </c:pt>
                <c:pt idx="5138">
                  <c:v>157992929.59999999</c:v>
                </c:pt>
                <c:pt idx="5139">
                  <c:v>157992929.59999999</c:v>
                </c:pt>
                <c:pt idx="5140">
                  <c:v>157992929.59999999</c:v>
                </c:pt>
                <c:pt idx="5141">
                  <c:v>157992929.59999999</c:v>
                </c:pt>
                <c:pt idx="5142">
                  <c:v>157992929.59999999</c:v>
                </c:pt>
                <c:pt idx="5143">
                  <c:v>157992929.59999999</c:v>
                </c:pt>
                <c:pt idx="5144">
                  <c:v>157992929.59999999</c:v>
                </c:pt>
                <c:pt idx="5145">
                  <c:v>157992929.59999999</c:v>
                </c:pt>
                <c:pt idx="5146">
                  <c:v>157992929.59999999</c:v>
                </c:pt>
                <c:pt idx="5147">
                  <c:v>157992929.59999999</c:v>
                </c:pt>
                <c:pt idx="5148">
                  <c:v>157992929.59999999</c:v>
                </c:pt>
                <c:pt idx="5149">
                  <c:v>157992929.59999999</c:v>
                </c:pt>
                <c:pt idx="5150">
                  <c:v>157992929.59999999</c:v>
                </c:pt>
                <c:pt idx="5151">
                  <c:v>157992929.59999999</c:v>
                </c:pt>
                <c:pt idx="5152">
                  <c:v>157992929.59999999</c:v>
                </c:pt>
                <c:pt idx="5153">
                  <c:v>157992929.59999999</c:v>
                </c:pt>
                <c:pt idx="5154">
                  <c:v>157992929.59999999</c:v>
                </c:pt>
                <c:pt idx="5155">
                  <c:v>157992929.59999999</c:v>
                </c:pt>
                <c:pt idx="5156">
                  <c:v>157992929.59999999</c:v>
                </c:pt>
                <c:pt idx="5157">
                  <c:v>157992929.59999999</c:v>
                </c:pt>
                <c:pt idx="5158">
                  <c:v>157992929.59999999</c:v>
                </c:pt>
                <c:pt idx="5159">
                  <c:v>157992929.59999999</c:v>
                </c:pt>
                <c:pt idx="5160">
                  <c:v>157992929.59999999</c:v>
                </c:pt>
                <c:pt idx="5161">
                  <c:v>157992929.59999999</c:v>
                </c:pt>
                <c:pt idx="5162">
                  <c:v>157992929.59999999</c:v>
                </c:pt>
                <c:pt idx="5163">
                  <c:v>157992929.59999999</c:v>
                </c:pt>
                <c:pt idx="5164">
                  <c:v>157992929.59999999</c:v>
                </c:pt>
                <c:pt idx="5165">
                  <c:v>157992929.59999999</c:v>
                </c:pt>
                <c:pt idx="5166">
                  <c:v>157992929.59999999</c:v>
                </c:pt>
                <c:pt idx="5167">
                  <c:v>157992929.59999999</c:v>
                </c:pt>
                <c:pt idx="5168">
                  <c:v>157992929.59999999</c:v>
                </c:pt>
                <c:pt idx="5169">
                  <c:v>157992929.59999999</c:v>
                </c:pt>
                <c:pt idx="5170">
                  <c:v>157992929.59999999</c:v>
                </c:pt>
                <c:pt idx="5171">
                  <c:v>157992929.59999999</c:v>
                </c:pt>
                <c:pt idx="5172">
                  <c:v>157992929.59999999</c:v>
                </c:pt>
                <c:pt idx="5173">
                  <c:v>157992929.59999999</c:v>
                </c:pt>
                <c:pt idx="5174">
                  <c:v>157992929.59999999</c:v>
                </c:pt>
                <c:pt idx="5175">
                  <c:v>157992929.59999999</c:v>
                </c:pt>
                <c:pt idx="5176">
                  <c:v>157992929.59999999</c:v>
                </c:pt>
                <c:pt idx="5177">
                  <c:v>157992929.59999999</c:v>
                </c:pt>
                <c:pt idx="5178">
                  <c:v>157992929.59999999</c:v>
                </c:pt>
                <c:pt idx="5179">
                  <c:v>157992929.59999999</c:v>
                </c:pt>
                <c:pt idx="5180">
                  <c:v>157992929.59999999</c:v>
                </c:pt>
                <c:pt idx="5181">
                  <c:v>157992929.59999999</c:v>
                </c:pt>
                <c:pt idx="5182">
                  <c:v>157992929.59999999</c:v>
                </c:pt>
                <c:pt idx="5183">
                  <c:v>157992929.59999999</c:v>
                </c:pt>
                <c:pt idx="5184">
                  <c:v>157992929.59999999</c:v>
                </c:pt>
                <c:pt idx="5185">
                  <c:v>157992929.59999999</c:v>
                </c:pt>
                <c:pt idx="5186">
                  <c:v>157992929.59999999</c:v>
                </c:pt>
                <c:pt idx="5187">
                  <c:v>157992929.59999999</c:v>
                </c:pt>
                <c:pt idx="5188">
                  <c:v>157992929.59999999</c:v>
                </c:pt>
                <c:pt idx="5189">
                  <c:v>157992929.59999999</c:v>
                </c:pt>
                <c:pt idx="5190">
                  <c:v>157992929.59999999</c:v>
                </c:pt>
                <c:pt idx="5191">
                  <c:v>157992929.59999999</c:v>
                </c:pt>
                <c:pt idx="5192">
                  <c:v>157992929.59999999</c:v>
                </c:pt>
                <c:pt idx="5193">
                  <c:v>157992929.59999999</c:v>
                </c:pt>
                <c:pt idx="5194">
                  <c:v>157992929.59999999</c:v>
                </c:pt>
                <c:pt idx="5195">
                  <c:v>157992929.59999999</c:v>
                </c:pt>
                <c:pt idx="5196">
                  <c:v>157992929.59999999</c:v>
                </c:pt>
                <c:pt idx="5197">
                  <c:v>157992929.59999999</c:v>
                </c:pt>
                <c:pt idx="5198">
                  <c:v>157992929.59999999</c:v>
                </c:pt>
                <c:pt idx="5199">
                  <c:v>157992929.59999999</c:v>
                </c:pt>
                <c:pt idx="5200">
                  <c:v>157992929.59999999</c:v>
                </c:pt>
                <c:pt idx="5201">
                  <c:v>157992929.59999999</c:v>
                </c:pt>
                <c:pt idx="5202">
                  <c:v>157992929.59999999</c:v>
                </c:pt>
                <c:pt idx="5203">
                  <c:v>157992929.59999999</c:v>
                </c:pt>
                <c:pt idx="5204">
                  <c:v>157992929.59999999</c:v>
                </c:pt>
                <c:pt idx="5205">
                  <c:v>157992929.59999999</c:v>
                </c:pt>
                <c:pt idx="5206">
                  <c:v>157992929.59999999</c:v>
                </c:pt>
                <c:pt idx="5207">
                  <c:v>157992929.59999999</c:v>
                </c:pt>
                <c:pt idx="5208">
                  <c:v>157992929.59999999</c:v>
                </c:pt>
                <c:pt idx="5209">
                  <c:v>157992929.59999999</c:v>
                </c:pt>
                <c:pt idx="5210">
                  <c:v>157992929.59999999</c:v>
                </c:pt>
                <c:pt idx="5211">
                  <c:v>157992929.59999999</c:v>
                </c:pt>
                <c:pt idx="5212">
                  <c:v>157992929.59999999</c:v>
                </c:pt>
                <c:pt idx="5213">
                  <c:v>157992929.59999999</c:v>
                </c:pt>
                <c:pt idx="5214">
                  <c:v>157992929.59999999</c:v>
                </c:pt>
                <c:pt idx="5215">
                  <c:v>157992929.59999999</c:v>
                </c:pt>
                <c:pt idx="5216">
                  <c:v>157992929.59999999</c:v>
                </c:pt>
                <c:pt idx="5217">
                  <c:v>157992929.59999999</c:v>
                </c:pt>
                <c:pt idx="5218">
                  <c:v>157992929.59999999</c:v>
                </c:pt>
                <c:pt idx="5219">
                  <c:v>157992929.59999999</c:v>
                </c:pt>
                <c:pt idx="5220">
                  <c:v>157992929.59999999</c:v>
                </c:pt>
                <c:pt idx="5221">
                  <c:v>157992929.59999999</c:v>
                </c:pt>
                <c:pt idx="5222">
                  <c:v>157992929.59999999</c:v>
                </c:pt>
                <c:pt idx="5223">
                  <c:v>157992929.59999999</c:v>
                </c:pt>
                <c:pt idx="5224">
                  <c:v>157992929.59999999</c:v>
                </c:pt>
                <c:pt idx="5225">
                  <c:v>157992929.59999999</c:v>
                </c:pt>
                <c:pt idx="5226">
                  <c:v>157992929.59999999</c:v>
                </c:pt>
                <c:pt idx="5227">
                  <c:v>157992929.59999999</c:v>
                </c:pt>
                <c:pt idx="5228">
                  <c:v>157992929.59999999</c:v>
                </c:pt>
                <c:pt idx="5229">
                  <c:v>157992929.59999999</c:v>
                </c:pt>
                <c:pt idx="5230">
                  <c:v>157992929.59999999</c:v>
                </c:pt>
                <c:pt idx="5231">
                  <c:v>157992929.59999999</c:v>
                </c:pt>
                <c:pt idx="5232">
                  <c:v>157992929.59999999</c:v>
                </c:pt>
                <c:pt idx="5233">
                  <c:v>157992929.59999999</c:v>
                </c:pt>
                <c:pt idx="5234">
                  <c:v>157992929.59999999</c:v>
                </c:pt>
                <c:pt idx="5235">
                  <c:v>157992929.59999999</c:v>
                </c:pt>
                <c:pt idx="5236">
                  <c:v>157992929.59999999</c:v>
                </c:pt>
                <c:pt idx="5237">
                  <c:v>157992929.59999999</c:v>
                </c:pt>
                <c:pt idx="5238">
                  <c:v>157992929.59999999</c:v>
                </c:pt>
                <c:pt idx="5239">
                  <c:v>157992929.59999999</c:v>
                </c:pt>
                <c:pt idx="5240">
                  <c:v>157992929.59999999</c:v>
                </c:pt>
                <c:pt idx="5241">
                  <c:v>157992929.59999999</c:v>
                </c:pt>
                <c:pt idx="5242">
                  <c:v>157992929.59999999</c:v>
                </c:pt>
                <c:pt idx="5243">
                  <c:v>157992929.59999999</c:v>
                </c:pt>
                <c:pt idx="5244">
                  <c:v>157992929.59999999</c:v>
                </c:pt>
                <c:pt idx="5245">
                  <c:v>157992929.59999999</c:v>
                </c:pt>
                <c:pt idx="5246">
                  <c:v>157992929.59999999</c:v>
                </c:pt>
                <c:pt idx="5247">
                  <c:v>157992929.59999999</c:v>
                </c:pt>
                <c:pt idx="5248">
                  <c:v>157992929.59999999</c:v>
                </c:pt>
                <c:pt idx="5249">
                  <c:v>157992929.59999999</c:v>
                </c:pt>
                <c:pt idx="5250">
                  <c:v>157992929.59999999</c:v>
                </c:pt>
                <c:pt idx="5251">
                  <c:v>157992929.59999999</c:v>
                </c:pt>
                <c:pt idx="5252">
                  <c:v>157992929.59999999</c:v>
                </c:pt>
                <c:pt idx="5253">
                  <c:v>157992929.59999999</c:v>
                </c:pt>
                <c:pt idx="5254">
                  <c:v>157992929.59999999</c:v>
                </c:pt>
                <c:pt idx="5255">
                  <c:v>157992929.59999999</c:v>
                </c:pt>
                <c:pt idx="5256">
                  <c:v>157992929.59999999</c:v>
                </c:pt>
                <c:pt idx="5257">
                  <c:v>157992929.59999999</c:v>
                </c:pt>
                <c:pt idx="5258">
                  <c:v>157992929.59999999</c:v>
                </c:pt>
                <c:pt idx="5259">
                  <c:v>157992929.59999999</c:v>
                </c:pt>
                <c:pt idx="5260">
                  <c:v>157992929.59999999</c:v>
                </c:pt>
                <c:pt idx="5261">
                  <c:v>157992929.59999999</c:v>
                </c:pt>
                <c:pt idx="5262">
                  <c:v>157992929.59999999</c:v>
                </c:pt>
                <c:pt idx="5263">
                  <c:v>157992929.59999999</c:v>
                </c:pt>
                <c:pt idx="5264">
                  <c:v>157992929.59999999</c:v>
                </c:pt>
                <c:pt idx="5265">
                  <c:v>157992929.59999999</c:v>
                </c:pt>
                <c:pt idx="5266">
                  <c:v>157992929.59999999</c:v>
                </c:pt>
                <c:pt idx="5267">
                  <c:v>157992929.59999999</c:v>
                </c:pt>
                <c:pt idx="5268">
                  <c:v>157992929.59999999</c:v>
                </c:pt>
                <c:pt idx="5269">
                  <c:v>157992929.59999999</c:v>
                </c:pt>
                <c:pt idx="5270">
                  <c:v>157992929.59999999</c:v>
                </c:pt>
                <c:pt idx="5271">
                  <c:v>157992929.59999999</c:v>
                </c:pt>
                <c:pt idx="5272">
                  <c:v>157992929.59999999</c:v>
                </c:pt>
                <c:pt idx="5273">
                  <c:v>157992929.59999999</c:v>
                </c:pt>
                <c:pt idx="5274">
                  <c:v>157992929.59999999</c:v>
                </c:pt>
                <c:pt idx="5275">
                  <c:v>157992929.59999999</c:v>
                </c:pt>
                <c:pt idx="5276">
                  <c:v>157992929.59999999</c:v>
                </c:pt>
                <c:pt idx="5277">
                  <c:v>157992929.59999999</c:v>
                </c:pt>
                <c:pt idx="5278">
                  <c:v>157992929.59999999</c:v>
                </c:pt>
                <c:pt idx="5279">
                  <c:v>157992929.59999999</c:v>
                </c:pt>
                <c:pt idx="5280">
                  <c:v>157992929.59999999</c:v>
                </c:pt>
                <c:pt idx="5281">
                  <c:v>157992929.59999999</c:v>
                </c:pt>
                <c:pt idx="5282">
                  <c:v>157992929.59999999</c:v>
                </c:pt>
                <c:pt idx="5283">
                  <c:v>157992929.59999999</c:v>
                </c:pt>
                <c:pt idx="5284">
                  <c:v>157992929.59999999</c:v>
                </c:pt>
                <c:pt idx="5285">
                  <c:v>157992929.59999999</c:v>
                </c:pt>
                <c:pt idx="5286">
                  <c:v>157992929.59999999</c:v>
                </c:pt>
                <c:pt idx="5287">
                  <c:v>157992929.59999999</c:v>
                </c:pt>
                <c:pt idx="5288">
                  <c:v>157992929.59999999</c:v>
                </c:pt>
                <c:pt idx="5289">
                  <c:v>157992929.59999999</c:v>
                </c:pt>
                <c:pt idx="5290">
                  <c:v>157992929.59999999</c:v>
                </c:pt>
                <c:pt idx="5291">
                  <c:v>157992929.59999999</c:v>
                </c:pt>
                <c:pt idx="5292">
                  <c:v>157992929.59999999</c:v>
                </c:pt>
                <c:pt idx="5293">
                  <c:v>157992929.59999999</c:v>
                </c:pt>
                <c:pt idx="5294">
                  <c:v>157992929.59999999</c:v>
                </c:pt>
                <c:pt idx="5295">
                  <c:v>157992929.59999999</c:v>
                </c:pt>
                <c:pt idx="5296">
                  <c:v>157992929.59999999</c:v>
                </c:pt>
                <c:pt idx="5297">
                  <c:v>157992929.59999999</c:v>
                </c:pt>
                <c:pt idx="5298">
                  <c:v>157992929.59999999</c:v>
                </c:pt>
                <c:pt idx="5299">
                  <c:v>157992929.59999999</c:v>
                </c:pt>
                <c:pt idx="5300">
                  <c:v>157992929.59999999</c:v>
                </c:pt>
                <c:pt idx="5301">
                  <c:v>157992929.59999999</c:v>
                </c:pt>
                <c:pt idx="5302">
                  <c:v>157992929.59999999</c:v>
                </c:pt>
                <c:pt idx="5303">
                  <c:v>157992929.59999999</c:v>
                </c:pt>
                <c:pt idx="5304">
                  <c:v>157992929.59999999</c:v>
                </c:pt>
                <c:pt idx="5305">
                  <c:v>157992929.59999999</c:v>
                </c:pt>
                <c:pt idx="5306">
                  <c:v>157992929.59999999</c:v>
                </c:pt>
                <c:pt idx="5307">
                  <c:v>157992929.59999999</c:v>
                </c:pt>
                <c:pt idx="5308">
                  <c:v>157992929.59999999</c:v>
                </c:pt>
                <c:pt idx="5309">
                  <c:v>157992929.59999999</c:v>
                </c:pt>
                <c:pt idx="5310">
                  <c:v>157992929.59999999</c:v>
                </c:pt>
                <c:pt idx="5311">
                  <c:v>157992929.59999999</c:v>
                </c:pt>
                <c:pt idx="5312">
                  <c:v>157992929.59999999</c:v>
                </c:pt>
                <c:pt idx="5313">
                  <c:v>157992929.59999999</c:v>
                </c:pt>
                <c:pt idx="5314">
                  <c:v>157992929.59999999</c:v>
                </c:pt>
                <c:pt idx="5315">
                  <c:v>157992929.59999999</c:v>
                </c:pt>
                <c:pt idx="5316">
                  <c:v>157992929.59999999</c:v>
                </c:pt>
                <c:pt idx="5317">
                  <c:v>157992929.59999999</c:v>
                </c:pt>
                <c:pt idx="5318">
                  <c:v>157992929.59999999</c:v>
                </c:pt>
                <c:pt idx="5319">
                  <c:v>157992929.59999999</c:v>
                </c:pt>
                <c:pt idx="5320">
                  <c:v>157992929.59999999</c:v>
                </c:pt>
                <c:pt idx="5321">
                  <c:v>157992929.59999999</c:v>
                </c:pt>
                <c:pt idx="5322">
                  <c:v>157992929.59999999</c:v>
                </c:pt>
                <c:pt idx="5323">
                  <c:v>157992929.59999999</c:v>
                </c:pt>
                <c:pt idx="5324">
                  <c:v>157992929.59999999</c:v>
                </c:pt>
                <c:pt idx="5325">
                  <c:v>157992929.59999999</c:v>
                </c:pt>
                <c:pt idx="5326">
                  <c:v>157992929.59999999</c:v>
                </c:pt>
                <c:pt idx="5327">
                  <c:v>157992929.59999999</c:v>
                </c:pt>
                <c:pt idx="5328">
                  <c:v>157992929.59999999</c:v>
                </c:pt>
                <c:pt idx="5329">
                  <c:v>157992929.59999999</c:v>
                </c:pt>
                <c:pt idx="5330">
                  <c:v>157992929.59999999</c:v>
                </c:pt>
                <c:pt idx="5331">
                  <c:v>157992929.59999999</c:v>
                </c:pt>
                <c:pt idx="5332">
                  <c:v>157992929.59999999</c:v>
                </c:pt>
                <c:pt idx="5333">
                  <c:v>157992929.59999999</c:v>
                </c:pt>
                <c:pt idx="5334">
                  <c:v>157992929.59999999</c:v>
                </c:pt>
                <c:pt idx="5335">
                  <c:v>157992929.59999999</c:v>
                </c:pt>
                <c:pt idx="5336">
                  <c:v>157992929.59999999</c:v>
                </c:pt>
                <c:pt idx="5337">
                  <c:v>157992929.59999999</c:v>
                </c:pt>
                <c:pt idx="5338">
                  <c:v>157992929.59999999</c:v>
                </c:pt>
                <c:pt idx="5339">
                  <c:v>157992929.59999999</c:v>
                </c:pt>
                <c:pt idx="5340">
                  <c:v>157992929.59999999</c:v>
                </c:pt>
                <c:pt idx="5341">
                  <c:v>157992929.59999999</c:v>
                </c:pt>
                <c:pt idx="5342">
                  <c:v>157992929.59999999</c:v>
                </c:pt>
                <c:pt idx="5343">
                  <c:v>157992929.59999999</c:v>
                </c:pt>
                <c:pt idx="5344">
                  <c:v>157992929.59999999</c:v>
                </c:pt>
                <c:pt idx="5345">
                  <c:v>157992929.59999999</c:v>
                </c:pt>
                <c:pt idx="5346">
                  <c:v>157992929.59999999</c:v>
                </c:pt>
                <c:pt idx="5347">
                  <c:v>157992929.59999999</c:v>
                </c:pt>
                <c:pt idx="5348">
                  <c:v>157992929.59999999</c:v>
                </c:pt>
                <c:pt idx="5349">
                  <c:v>157992929.59999999</c:v>
                </c:pt>
                <c:pt idx="5350">
                  <c:v>157992929.59999999</c:v>
                </c:pt>
                <c:pt idx="5351">
                  <c:v>157992929.59999999</c:v>
                </c:pt>
                <c:pt idx="5352">
                  <c:v>157992929.59999999</c:v>
                </c:pt>
                <c:pt idx="5353">
                  <c:v>157992929.59999999</c:v>
                </c:pt>
                <c:pt idx="5354">
                  <c:v>157992929.59999999</c:v>
                </c:pt>
                <c:pt idx="5355">
                  <c:v>157992929.59999999</c:v>
                </c:pt>
                <c:pt idx="5356">
                  <c:v>157992929.59999999</c:v>
                </c:pt>
                <c:pt idx="5357">
                  <c:v>157992929.59999999</c:v>
                </c:pt>
                <c:pt idx="5358">
                  <c:v>157992929.59999999</c:v>
                </c:pt>
                <c:pt idx="5359">
                  <c:v>157992929.59999999</c:v>
                </c:pt>
                <c:pt idx="5360">
                  <c:v>157992929.59999999</c:v>
                </c:pt>
                <c:pt idx="5361">
                  <c:v>157992929.59999999</c:v>
                </c:pt>
                <c:pt idx="5362">
                  <c:v>157992929.59999999</c:v>
                </c:pt>
                <c:pt idx="5363">
                  <c:v>157992929.59999999</c:v>
                </c:pt>
                <c:pt idx="5364">
                  <c:v>157992929.59999999</c:v>
                </c:pt>
                <c:pt idx="5365">
                  <c:v>157992929.59999999</c:v>
                </c:pt>
                <c:pt idx="5366">
                  <c:v>157992929.59999999</c:v>
                </c:pt>
                <c:pt idx="5367">
                  <c:v>157992929.59999999</c:v>
                </c:pt>
                <c:pt idx="5368">
                  <c:v>157992929.59999999</c:v>
                </c:pt>
                <c:pt idx="5369">
                  <c:v>157992929.59999999</c:v>
                </c:pt>
                <c:pt idx="5370">
                  <c:v>157992929.59999999</c:v>
                </c:pt>
                <c:pt idx="5371">
                  <c:v>157992929.59999999</c:v>
                </c:pt>
                <c:pt idx="5372">
                  <c:v>157992929.59999999</c:v>
                </c:pt>
                <c:pt idx="5373">
                  <c:v>157992929.59999999</c:v>
                </c:pt>
                <c:pt idx="5374">
                  <c:v>157992929.59999999</c:v>
                </c:pt>
                <c:pt idx="5375">
                  <c:v>157992929.59999999</c:v>
                </c:pt>
                <c:pt idx="5376">
                  <c:v>157992929.59999999</c:v>
                </c:pt>
                <c:pt idx="5377">
                  <c:v>157992929.59999999</c:v>
                </c:pt>
                <c:pt idx="5378">
                  <c:v>157992929.59999999</c:v>
                </c:pt>
                <c:pt idx="5379">
                  <c:v>157992929.59999999</c:v>
                </c:pt>
                <c:pt idx="5380">
                  <c:v>157992929.59999999</c:v>
                </c:pt>
                <c:pt idx="5381">
                  <c:v>157992929.59999999</c:v>
                </c:pt>
                <c:pt idx="5382">
                  <c:v>157992929.59999999</c:v>
                </c:pt>
                <c:pt idx="5383">
                  <c:v>157992929.59999999</c:v>
                </c:pt>
                <c:pt idx="5384">
                  <c:v>157992929.59999999</c:v>
                </c:pt>
                <c:pt idx="5385">
                  <c:v>157992929.59999999</c:v>
                </c:pt>
                <c:pt idx="5386">
                  <c:v>157992929.59999999</c:v>
                </c:pt>
                <c:pt idx="5387">
                  <c:v>157992929.59999999</c:v>
                </c:pt>
                <c:pt idx="5388">
                  <c:v>157992929.59999999</c:v>
                </c:pt>
                <c:pt idx="5389">
                  <c:v>157992929.59999999</c:v>
                </c:pt>
                <c:pt idx="5390">
                  <c:v>157992929.59999999</c:v>
                </c:pt>
                <c:pt idx="5391">
                  <c:v>157992929.59999999</c:v>
                </c:pt>
                <c:pt idx="5392">
                  <c:v>157992929.59999999</c:v>
                </c:pt>
                <c:pt idx="5393">
                  <c:v>157992929.59999999</c:v>
                </c:pt>
                <c:pt idx="5394">
                  <c:v>157992929.59999999</c:v>
                </c:pt>
                <c:pt idx="5395">
                  <c:v>157992929.59999999</c:v>
                </c:pt>
                <c:pt idx="5396">
                  <c:v>157992929.59999999</c:v>
                </c:pt>
                <c:pt idx="5397">
                  <c:v>157992929.59999999</c:v>
                </c:pt>
                <c:pt idx="5398">
                  <c:v>157992929.59999999</c:v>
                </c:pt>
                <c:pt idx="5399">
                  <c:v>157992929.59999999</c:v>
                </c:pt>
                <c:pt idx="5400">
                  <c:v>157992929.59999999</c:v>
                </c:pt>
                <c:pt idx="5401">
                  <c:v>157992929.59999999</c:v>
                </c:pt>
                <c:pt idx="5402">
                  <c:v>157992929.59999999</c:v>
                </c:pt>
                <c:pt idx="5403">
                  <c:v>157992929.59999999</c:v>
                </c:pt>
                <c:pt idx="5404">
                  <c:v>157992929.59999999</c:v>
                </c:pt>
                <c:pt idx="5405">
                  <c:v>157992929.59999999</c:v>
                </c:pt>
                <c:pt idx="5406">
                  <c:v>157992929.59999999</c:v>
                </c:pt>
                <c:pt idx="5407">
                  <c:v>157992929.59999999</c:v>
                </c:pt>
                <c:pt idx="5408">
                  <c:v>157992929.59999999</c:v>
                </c:pt>
                <c:pt idx="5409">
                  <c:v>157992929.59999999</c:v>
                </c:pt>
                <c:pt idx="5410">
                  <c:v>157992929.59999999</c:v>
                </c:pt>
                <c:pt idx="5411">
                  <c:v>157992929.59999999</c:v>
                </c:pt>
                <c:pt idx="5412">
                  <c:v>157992929.59999999</c:v>
                </c:pt>
                <c:pt idx="5413">
                  <c:v>157992929.59999999</c:v>
                </c:pt>
                <c:pt idx="5414">
                  <c:v>157992929.59999999</c:v>
                </c:pt>
                <c:pt idx="5415">
                  <c:v>157992929.59999999</c:v>
                </c:pt>
                <c:pt idx="5416">
                  <c:v>157992929.59999999</c:v>
                </c:pt>
                <c:pt idx="5417">
                  <c:v>157992929.59999999</c:v>
                </c:pt>
                <c:pt idx="5418">
                  <c:v>157992929.59999999</c:v>
                </c:pt>
                <c:pt idx="5419">
                  <c:v>157992929.59999999</c:v>
                </c:pt>
                <c:pt idx="5420">
                  <c:v>157992929.59999999</c:v>
                </c:pt>
                <c:pt idx="5421">
                  <c:v>157992929.59999999</c:v>
                </c:pt>
                <c:pt idx="5422">
                  <c:v>157992929.59999999</c:v>
                </c:pt>
                <c:pt idx="5423">
                  <c:v>157992929.59999999</c:v>
                </c:pt>
                <c:pt idx="5424">
                  <c:v>157992929.59999999</c:v>
                </c:pt>
                <c:pt idx="5425">
                  <c:v>157992929.59999999</c:v>
                </c:pt>
                <c:pt idx="5426">
                  <c:v>157992929.59999999</c:v>
                </c:pt>
                <c:pt idx="5427">
                  <c:v>157992929.59999999</c:v>
                </c:pt>
                <c:pt idx="5428">
                  <c:v>157992929.59999999</c:v>
                </c:pt>
                <c:pt idx="5429">
                  <c:v>157992929.59999999</c:v>
                </c:pt>
                <c:pt idx="5430">
                  <c:v>157992929.59999999</c:v>
                </c:pt>
                <c:pt idx="5431">
                  <c:v>157992929.59999999</c:v>
                </c:pt>
                <c:pt idx="5432">
                  <c:v>157992929.59999999</c:v>
                </c:pt>
                <c:pt idx="5433">
                  <c:v>157992929.59999999</c:v>
                </c:pt>
                <c:pt idx="5434">
                  <c:v>157992929.59999999</c:v>
                </c:pt>
                <c:pt idx="5435">
                  <c:v>157992929.59999999</c:v>
                </c:pt>
                <c:pt idx="5436">
                  <c:v>157992929.59999999</c:v>
                </c:pt>
                <c:pt idx="5437">
                  <c:v>157992929.59999999</c:v>
                </c:pt>
                <c:pt idx="5438">
                  <c:v>157992929.59999999</c:v>
                </c:pt>
                <c:pt idx="5439">
                  <c:v>157992929.59999999</c:v>
                </c:pt>
                <c:pt idx="5440">
                  <c:v>157992929.59999999</c:v>
                </c:pt>
                <c:pt idx="5441">
                  <c:v>157992929.59999999</c:v>
                </c:pt>
                <c:pt idx="5442">
                  <c:v>157992929.59999999</c:v>
                </c:pt>
                <c:pt idx="5443">
                  <c:v>157992929.59999999</c:v>
                </c:pt>
                <c:pt idx="5444">
                  <c:v>157992929.59999999</c:v>
                </c:pt>
                <c:pt idx="5445">
                  <c:v>157992929.59999999</c:v>
                </c:pt>
                <c:pt idx="5446">
                  <c:v>157992929.59999999</c:v>
                </c:pt>
                <c:pt idx="5447">
                  <c:v>157992929.59999999</c:v>
                </c:pt>
                <c:pt idx="5448">
                  <c:v>157992929.59999999</c:v>
                </c:pt>
                <c:pt idx="5449">
                  <c:v>157992929.59999999</c:v>
                </c:pt>
                <c:pt idx="5450">
                  <c:v>157992929.59999999</c:v>
                </c:pt>
                <c:pt idx="5451">
                  <c:v>157992929.59999999</c:v>
                </c:pt>
                <c:pt idx="5452">
                  <c:v>157992929.59999999</c:v>
                </c:pt>
                <c:pt idx="5453">
                  <c:v>157992929.59999999</c:v>
                </c:pt>
                <c:pt idx="5454">
                  <c:v>157992929.59999999</c:v>
                </c:pt>
                <c:pt idx="5455">
                  <c:v>157992929.59999999</c:v>
                </c:pt>
                <c:pt idx="5456">
                  <c:v>157992929.59999999</c:v>
                </c:pt>
                <c:pt idx="5457">
                  <c:v>157992929.59999999</c:v>
                </c:pt>
                <c:pt idx="5458">
                  <c:v>157992929.59999999</c:v>
                </c:pt>
                <c:pt idx="5459">
                  <c:v>157992929.59999999</c:v>
                </c:pt>
                <c:pt idx="5460">
                  <c:v>157992929.59999999</c:v>
                </c:pt>
                <c:pt idx="5461">
                  <c:v>157992929.59999999</c:v>
                </c:pt>
                <c:pt idx="5462">
                  <c:v>157992929.59999999</c:v>
                </c:pt>
                <c:pt idx="5463">
                  <c:v>157992929.59999999</c:v>
                </c:pt>
                <c:pt idx="5464">
                  <c:v>157992929.59999999</c:v>
                </c:pt>
                <c:pt idx="5465">
                  <c:v>157992929.59999999</c:v>
                </c:pt>
                <c:pt idx="5466">
                  <c:v>157992929.59999999</c:v>
                </c:pt>
                <c:pt idx="5467">
                  <c:v>157992929.59999999</c:v>
                </c:pt>
                <c:pt idx="5468">
                  <c:v>157992929.59999999</c:v>
                </c:pt>
                <c:pt idx="5469">
                  <c:v>157992929.59999999</c:v>
                </c:pt>
                <c:pt idx="5470">
                  <c:v>157992929.59999999</c:v>
                </c:pt>
                <c:pt idx="5471">
                  <c:v>157992929.59999999</c:v>
                </c:pt>
                <c:pt idx="5472">
                  <c:v>157992929.59999999</c:v>
                </c:pt>
                <c:pt idx="5473">
                  <c:v>157992929.59999999</c:v>
                </c:pt>
                <c:pt idx="5474">
                  <c:v>157992929.59999999</c:v>
                </c:pt>
                <c:pt idx="5475">
                  <c:v>157992929.59999999</c:v>
                </c:pt>
                <c:pt idx="5476">
                  <c:v>157992929.59999999</c:v>
                </c:pt>
                <c:pt idx="5477">
                  <c:v>157992929.59999999</c:v>
                </c:pt>
                <c:pt idx="5478">
                  <c:v>157992929.59999999</c:v>
                </c:pt>
                <c:pt idx="5479">
                  <c:v>157992929.59999999</c:v>
                </c:pt>
                <c:pt idx="5480">
                  <c:v>157992929.59999999</c:v>
                </c:pt>
                <c:pt idx="5481">
                  <c:v>157992929.59999999</c:v>
                </c:pt>
                <c:pt idx="5482">
                  <c:v>157992929.59999999</c:v>
                </c:pt>
                <c:pt idx="5483">
                  <c:v>157992929.59999999</c:v>
                </c:pt>
                <c:pt idx="5484">
                  <c:v>157992929.59999999</c:v>
                </c:pt>
                <c:pt idx="5485">
                  <c:v>157992929.59999999</c:v>
                </c:pt>
                <c:pt idx="5486">
                  <c:v>157992929.59999999</c:v>
                </c:pt>
                <c:pt idx="5487">
                  <c:v>157992929.59999999</c:v>
                </c:pt>
                <c:pt idx="5488">
                  <c:v>157992929.59999999</c:v>
                </c:pt>
                <c:pt idx="5489">
                  <c:v>157992929.59999999</c:v>
                </c:pt>
                <c:pt idx="5490">
                  <c:v>157992929.59999999</c:v>
                </c:pt>
                <c:pt idx="5491">
                  <c:v>157992929.59999999</c:v>
                </c:pt>
                <c:pt idx="5492">
                  <c:v>157992929.59999999</c:v>
                </c:pt>
                <c:pt idx="5493">
                  <c:v>157992929.59999999</c:v>
                </c:pt>
                <c:pt idx="5494">
                  <c:v>157992929.59999999</c:v>
                </c:pt>
                <c:pt idx="5495">
                  <c:v>157992929.59999999</c:v>
                </c:pt>
                <c:pt idx="5496">
                  <c:v>157992929.59999999</c:v>
                </c:pt>
                <c:pt idx="5497">
                  <c:v>157992929.59999999</c:v>
                </c:pt>
                <c:pt idx="5498">
                  <c:v>157992929.59999999</c:v>
                </c:pt>
                <c:pt idx="5499">
                  <c:v>157992929.59999999</c:v>
                </c:pt>
                <c:pt idx="5500">
                  <c:v>157992929.59999999</c:v>
                </c:pt>
                <c:pt idx="5501">
                  <c:v>157992929.59999999</c:v>
                </c:pt>
                <c:pt idx="5502">
                  <c:v>157992929.59999999</c:v>
                </c:pt>
                <c:pt idx="5503">
                  <c:v>157992929.59999999</c:v>
                </c:pt>
                <c:pt idx="5504">
                  <c:v>157992929.59999999</c:v>
                </c:pt>
                <c:pt idx="5505">
                  <c:v>157992929.59999999</c:v>
                </c:pt>
                <c:pt idx="5506">
                  <c:v>157992929.59999999</c:v>
                </c:pt>
                <c:pt idx="5507">
                  <c:v>157992929.59999999</c:v>
                </c:pt>
                <c:pt idx="5508">
                  <c:v>157992929.59999999</c:v>
                </c:pt>
                <c:pt idx="5509">
                  <c:v>157992929.59999999</c:v>
                </c:pt>
                <c:pt idx="5510">
                  <c:v>157992929.59999999</c:v>
                </c:pt>
                <c:pt idx="5511">
                  <c:v>157992929.59999999</c:v>
                </c:pt>
                <c:pt idx="5512">
                  <c:v>157992929.59999999</c:v>
                </c:pt>
                <c:pt idx="5513">
                  <c:v>157992929.59999999</c:v>
                </c:pt>
                <c:pt idx="5514">
                  <c:v>157992929.59999999</c:v>
                </c:pt>
                <c:pt idx="5515">
                  <c:v>157992929.59999999</c:v>
                </c:pt>
                <c:pt idx="5516">
                  <c:v>157992929.59999999</c:v>
                </c:pt>
                <c:pt idx="5517">
                  <c:v>157992929.59999999</c:v>
                </c:pt>
                <c:pt idx="5518">
                  <c:v>157992929.59999999</c:v>
                </c:pt>
                <c:pt idx="5519">
                  <c:v>157992929.59999999</c:v>
                </c:pt>
                <c:pt idx="5520">
                  <c:v>157992929.59999999</c:v>
                </c:pt>
                <c:pt idx="5521">
                  <c:v>157992929.59999999</c:v>
                </c:pt>
                <c:pt idx="5522">
                  <c:v>157992929.59999999</c:v>
                </c:pt>
                <c:pt idx="5523">
                  <c:v>157992929.59999999</c:v>
                </c:pt>
                <c:pt idx="5524">
                  <c:v>157992929.59999999</c:v>
                </c:pt>
                <c:pt idx="5525">
                  <c:v>157992929.59999999</c:v>
                </c:pt>
                <c:pt idx="5526">
                  <c:v>157992929.59999999</c:v>
                </c:pt>
                <c:pt idx="5527">
                  <c:v>157992929.59999999</c:v>
                </c:pt>
                <c:pt idx="5528">
                  <c:v>157992929.59999999</c:v>
                </c:pt>
                <c:pt idx="5529">
                  <c:v>157992929.59999999</c:v>
                </c:pt>
                <c:pt idx="5530">
                  <c:v>157992929.59999999</c:v>
                </c:pt>
                <c:pt idx="5531">
                  <c:v>157992929.59999999</c:v>
                </c:pt>
                <c:pt idx="5532">
                  <c:v>157992929.59999999</c:v>
                </c:pt>
                <c:pt idx="5533">
                  <c:v>157992929.59999999</c:v>
                </c:pt>
                <c:pt idx="5534">
                  <c:v>157992929.59999999</c:v>
                </c:pt>
                <c:pt idx="5535">
                  <c:v>157992929.59999999</c:v>
                </c:pt>
                <c:pt idx="5536">
                  <c:v>157992929.59999999</c:v>
                </c:pt>
                <c:pt idx="5537">
                  <c:v>157992929.59999999</c:v>
                </c:pt>
                <c:pt idx="5538">
                  <c:v>157992929.59999999</c:v>
                </c:pt>
                <c:pt idx="5539">
                  <c:v>157992929.59999999</c:v>
                </c:pt>
                <c:pt idx="5540">
                  <c:v>157992929.59999999</c:v>
                </c:pt>
                <c:pt idx="5541">
                  <c:v>157992929.59999999</c:v>
                </c:pt>
                <c:pt idx="5542">
                  <c:v>157992929.59999999</c:v>
                </c:pt>
                <c:pt idx="5543">
                  <c:v>157992929.59999999</c:v>
                </c:pt>
                <c:pt idx="5544">
                  <c:v>157992929.59999999</c:v>
                </c:pt>
                <c:pt idx="5545">
                  <c:v>157992929.59999999</c:v>
                </c:pt>
                <c:pt idx="5546">
                  <c:v>157992929.59999999</c:v>
                </c:pt>
                <c:pt idx="5547">
                  <c:v>157992929.59999999</c:v>
                </c:pt>
                <c:pt idx="5548">
                  <c:v>157992929.59999999</c:v>
                </c:pt>
                <c:pt idx="5549">
                  <c:v>157992929.59999999</c:v>
                </c:pt>
                <c:pt idx="5550">
                  <c:v>157992929.59999999</c:v>
                </c:pt>
                <c:pt idx="5551">
                  <c:v>157992929.59999999</c:v>
                </c:pt>
                <c:pt idx="5552">
                  <c:v>157992929.59999999</c:v>
                </c:pt>
                <c:pt idx="5553">
                  <c:v>157992929.59999999</c:v>
                </c:pt>
                <c:pt idx="5554">
                  <c:v>157992929.59999999</c:v>
                </c:pt>
                <c:pt idx="5555">
                  <c:v>157992929.59999999</c:v>
                </c:pt>
                <c:pt idx="5556">
                  <c:v>157992929.59999999</c:v>
                </c:pt>
                <c:pt idx="5557">
                  <c:v>157992929.59999999</c:v>
                </c:pt>
                <c:pt idx="5558">
                  <c:v>157992929.59999999</c:v>
                </c:pt>
                <c:pt idx="5559">
                  <c:v>157992929.59999999</c:v>
                </c:pt>
                <c:pt idx="5560">
                  <c:v>157992929.59999999</c:v>
                </c:pt>
                <c:pt idx="5561">
                  <c:v>157992929.59999999</c:v>
                </c:pt>
                <c:pt idx="5562">
                  <c:v>157992929.59999999</c:v>
                </c:pt>
                <c:pt idx="5563">
                  <c:v>157992929.59999999</c:v>
                </c:pt>
                <c:pt idx="5564">
                  <c:v>157992929.59999999</c:v>
                </c:pt>
                <c:pt idx="5565">
                  <c:v>157992929.59999999</c:v>
                </c:pt>
                <c:pt idx="5566">
                  <c:v>157992929.59999999</c:v>
                </c:pt>
                <c:pt idx="5567">
                  <c:v>157992929.59999999</c:v>
                </c:pt>
                <c:pt idx="5568">
                  <c:v>157992929.59999999</c:v>
                </c:pt>
                <c:pt idx="5569">
                  <c:v>157992929.59999999</c:v>
                </c:pt>
                <c:pt idx="5570">
                  <c:v>157992929.59999999</c:v>
                </c:pt>
                <c:pt idx="5571">
                  <c:v>157992929.59999999</c:v>
                </c:pt>
                <c:pt idx="5572">
                  <c:v>157992929.59999999</c:v>
                </c:pt>
                <c:pt idx="5573">
                  <c:v>157992929.59999999</c:v>
                </c:pt>
                <c:pt idx="5574">
                  <c:v>157992929.59999999</c:v>
                </c:pt>
                <c:pt idx="5575">
                  <c:v>157992929.59999999</c:v>
                </c:pt>
                <c:pt idx="5576">
                  <c:v>157992929.59999999</c:v>
                </c:pt>
                <c:pt idx="5577">
                  <c:v>157992929.59999999</c:v>
                </c:pt>
                <c:pt idx="5578">
                  <c:v>157992929.59999999</c:v>
                </c:pt>
                <c:pt idx="5579">
                  <c:v>157992929.59999999</c:v>
                </c:pt>
                <c:pt idx="5580">
                  <c:v>157992929.59999999</c:v>
                </c:pt>
                <c:pt idx="5581">
                  <c:v>157992929.59999999</c:v>
                </c:pt>
                <c:pt idx="5582">
                  <c:v>157992929.59999999</c:v>
                </c:pt>
                <c:pt idx="5583">
                  <c:v>157992929.59999999</c:v>
                </c:pt>
                <c:pt idx="5584">
                  <c:v>157992929.59999999</c:v>
                </c:pt>
                <c:pt idx="5585">
                  <c:v>157992929.59999999</c:v>
                </c:pt>
                <c:pt idx="5586">
                  <c:v>157992929.59999999</c:v>
                </c:pt>
                <c:pt idx="5587">
                  <c:v>157992929.59999999</c:v>
                </c:pt>
                <c:pt idx="5588">
                  <c:v>157992929.59999999</c:v>
                </c:pt>
                <c:pt idx="5589">
                  <c:v>157992929.59999999</c:v>
                </c:pt>
                <c:pt idx="5590">
                  <c:v>157992929.59999999</c:v>
                </c:pt>
                <c:pt idx="5591">
                  <c:v>157992929.59999999</c:v>
                </c:pt>
                <c:pt idx="5592">
                  <c:v>157992929.59999999</c:v>
                </c:pt>
                <c:pt idx="5593">
                  <c:v>157992929.59999999</c:v>
                </c:pt>
                <c:pt idx="5594">
                  <c:v>157992929.59999999</c:v>
                </c:pt>
                <c:pt idx="5595">
                  <c:v>157992929.59999999</c:v>
                </c:pt>
                <c:pt idx="5596">
                  <c:v>157992929.59999999</c:v>
                </c:pt>
                <c:pt idx="5597">
                  <c:v>157992929.59999999</c:v>
                </c:pt>
                <c:pt idx="5598">
                  <c:v>157992929.59999999</c:v>
                </c:pt>
                <c:pt idx="5599">
                  <c:v>157992929.59999999</c:v>
                </c:pt>
                <c:pt idx="5600">
                  <c:v>157992929.59999999</c:v>
                </c:pt>
                <c:pt idx="5601">
                  <c:v>157992929.59999999</c:v>
                </c:pt>
                <c:pt idx="5602">
                  <c:v>157992929.59999999</c:v>
                </c:pt>
                <c:pt idx="5603">
                  <c:v>157992929.59999999</c:v>
                </c:pt>
                <c:pt idx="5604">
                  <c:v>157992929.59999999</c:v>
                </c:pt>
                <c:pt idx="5605">
                  <c:v>157992929.59999999</c:v>
                </c:pt>
                <c:pt idx="5606">
                  <c:v>157992929.59999999</c:v>
                </c:pt>
                <c:pt idx="5607">
                  <c:v>157992929.59999999</c:v>
                </c:pt>
                <c:pt idx="5608">
                  <c:v>157992929.59999999</c:v>
                </c:pt>
                <c:pt idx="5609">
                  <c:v>157992929.59999999</c:v>
                </c:pt>
                <c:pt idx="5610">
                  <c:v>157992929.59999999</c:v>
                </c:pt>
                <c:pt idx="5611">
                  <c:v>157992929.59999999</c:v>
                </c:pt>
                <c:pt idx="5612">
                  <c:v>157992929.59999999</c:v>
                </c:pt>
                <c:pt idx="5613">
                  <c:v>157992929.59999999</c:v>
                </c:pt>
                <c:pt idx="5614">
                  <c:v>157992929.59999999</c:v>
                </c:pt>
                <c:pt idx="5615">
                  <c:v>157992929.59999999</c:v>
                </c:pt>
                <c:pt idx="5616">
                  <c:v>157992929.59999999</c:v>
                </c:pt>
                <c:pt idx="5617">
                  <c:v>157992929.59999999</c:v>
                </c:pt>
                <c:pt idx="5618">
                  <c:v>157992929.59999999</c:v>
                </c:pt>
                <c:pt idx="5619">
                  <c:v>157992929.59999999</c:v>
                </c:pt>
                <c:pt idx="5620">
                  <c:v>157992929.59999999</c:v>
                </c:pt>
                <c:pt idx="5621">
                  <c:v>157992929.59999999</c:v>
                </c:pt>
                <c:pt idx="5622">
                  <c:v>157992929.59999999</c:v>
                </c:pt>
                <c:pt idx="5623">
                  <c:v>157992929.59999999</c:v>
                </c:pt>
                <c:pt idx="5624">
                  <c:v>157992929.59999999</c:v>
                </c:pt>
                <c:pt idx="5625">
                  <c:v>157992929.59999999</c:v>
                </c:pt>
                <c:pt idx="5626">
                  <c:v>157992929.59999999</c:v>
                </c:pt>
                <c:pt idx="5627">
                  <c:v>157992929.59999999</c:v>
                </c:pt>
                <c:pt idx="5628">
                  <c:v>157992929.59999999</c:v>
                </c:pt>
                <c:pt idx="5629">
                  <c:v>157992929.59999999</c:v>
                </c:pt>
                <c:pt idx="5630">
                  <c:v>157992929.59999999</c:v>
                </c:pt>
                <c:pt idx="5631">
                  <c:v>157992929.59999999</c:v>
                </c:pt>
                <c:pt idx="5632">
                  <c:v>157992929.59999999</c:v>
                </c:pt>
                <c:pt idx="5633">
                  <c:v>157992929.59999999</c:v>
                </c:pt>
                <c:pt idx="5634">
                  <c:v>157992929.59999999</c:v>
                </c:pt>
                <c:pt idx="5635">
                  <c:v>157992929.59999999</c:v>
                </c:pt>
                <c:pt idx="5636">
                  <c:v>157992929.59999999</c:v>
                </c:pt>
                <c:pt idx="5637">
                  <c:v>157992929.59999999</c:v>
                </c:pt>
                <c:pt idx="5638">
                  <c:v>157992929.59999999</c:v>
                </c:pt>
                <c:pt idx="5639">
                  <c:v>157992929.59999999</c:v>
                </c:pt>
                <c:pt idx="5640">
                  <c:v>157992929.59999999</c:v>
                </c:pt>
                <c:pt idx="5641">
                  <c:v>157992929.59999999</c:v>
                </c:pt>
                <c:pt idx="5642">
                  <c:v>157992929.59999999</c:v>
                </c:pt>
                <c:pt idx="5643">
                  <c:v>157992929.59999999</c:v>
                </c:pt>
                <c:pt idx="5644">
                  <c:v>157992929.59999999</c:v>
                </c:pt>
                <c:pt idx="5645">
                  <c:v>157992929.59999999</c:v>
                </c:pt>
                <c:pt idx="5646">
                  <c:v>157992929.59999999</c:v>
                </c:pt>
                <c:pt idx="5647">
                  <c:v>157992929.59999999</c:v>
                </c:pt>
                <c:pt idx="5648">
                  <c:v>157992929.59999999</c:v>
                </c:pt>
                <c:pt idx="5649">
                  <c:v>157992929.59999999</c:v>
                </c:pt>
                <c:pt idx="5650">
                  <c:v>157992929.59999999</c:v>
                </c:pt>
                <c:pt idx="5651">
                  <c:v>157992929.59999999</c:v>
                </c:pt>
                <c:pt idx="5652">
                  <c:v>157992929.59999999</c:v>
                </c:pt>
                <c:pt idx="5653">
                  <c:v>157992929.59999999</c:v>
                </c:pt>
                <c:pt idx="5654">
                  <c:v>157992929.59999999</c:v>
                </c:pt>
                <c:pt idx="5655">
                  <c:v>157992929.59999999</c:v>
                </c:pt>
                <c:pt idx="5656">
                  <c:v>157992929.59999999</c:v>
                </c:pt>
                <c:pt idx="5657">
                  <c:v>157992929.59999999</c:v>
                </c:pt>
                <c:pt idx="5658">
                  <c:v>157992929.59999999</c:v>
                </c:pt>
                <c:pt idx="5659">
                  <c:v>157992929.59999999</c:v>
                </c:pt>
                <c:pt idx="5660">
                  <c:v>157992929.59999999</c:v>
                </c:pt>
                <c:pt idx="5661">
                  <c:v>157992929.59999999</c:v>
                </c:pt>
                <c:pt idx="5662">
                  <c:v>157992929.59999999</c:v>
                </c:pt>
                <c:pt idx="5663">
                  <c:v>157992929.59999999</c:v>
                </c:pt>
                <c:pt idx="5664">
                  <c:v>157992929.59999999</c:v>
                </c:pt>
                <c:pt idx="5665">
                  <c:v>157992929.59999999</c:v>
                </c:pt>
                <c:pt idx="5666">
                  <c:v>157992929.59999999</c:v>
                </c:pt>
                <c:pt idx="5667">
                  <c:v>157992929.59999999</c:v>
                </c:pt>
                <c:pt idx="5668">
                  <c:v>157992929.59999999</c:v>
                </c:pt>
                <c:pt idx="5669">
                  <c:v>157992929.59999999</c:v>
                </c:pt>
                <c:pt idx="5670">
                  <c:v>157992929.59999999</c:v>
                </c:pt>
                <c:pt idx="5671">
                  <c:v>157992929.59999999</c:v>
                </c:pt>
                <c:pt idx="5672">
                  <c:v>157992929.59999999</c:v>
                </c:pt>
                <c:pt idx="5673">
                  <c:v>157992929.59999999</c:v>
                </c:pt>
                <c:pt idx="5674">
                  <c:v>157992929.59999999</c:v>
                </c:pt>
                <c:pt idx="5675">
                  <c:v>157992929.59999999</c:v>
                </c:pt>
                <c:pt idx="5676">
                  <c:v>157992929.59999999</c:v>
                </c:pt>
                <c:pt idx="5677">
                  <c:v>157992929.59999999</c:v>
                </c:pt>
                <c:pt idx="5678">
                  <c:v>157992929.59999999</c:v>
                </c:pt>
                <c:pt idx="5679">
                  <c:v>157992929.59999999</c:v>
                </c:pt>
                <c:pt idx="5680">
                  <c:v>157992929.59999999</c:v>
                </c:pt>
                <c:pt idx="5681">
                  <c:v>157992929.59999999</c:v>
                </c:pt>
                <c:pt idx="5682">
                  <c:v>157992929.59999999</c:v>
                </c:pt>
                <c:pt idx="5683">
                  <c:v>157992929.59999999</c:v>
                </c:pt>
                <c:pt idx="5684">
                  <c:v>157992929.59999999</c:v>
                </c:pt>
                <c:pt idx="5685">
                  <c:v>157992929.59999999</c:v>
                </c:pt>
                <c:pt idx="5686">
                  <c:v>157992929.59999999</c:v>
                </c:pt>
                <c:pt idx="5687">
                  <c:v>157992929.59999999</c:v>
                </c:pt>
                <c:pt idx="5688">
                  <c:v>157992929.59999999</c:v>
                </c:pt>
                <c:pt idx="5689">
                  <c:v>157992929.59999999</c:v>
                </c:pt>
                <c:pt idx="5690">
                  <c:v>157992929.59999999</c:v>
                </c:pt>
                <c:pt idx="5691">
                  <c:v>157992929.59999999</c:v>
                </c:pt>
                <c:pt idx="5692">
                  <c:v>157992929.59999999</c:v>
                </c:pt>
                <c:pt idx="5693">
                  <c:v>157992929.59999999</c:v>
                </c:pt>
                <c:pt idx="5694">
                  <c:v>157992929.59999999</c:v>
                </c:pt>
                <c:pt idx="5695">
                  <c:v>157992929.59999999</c:v>
                </c:pt>
                <c:pt idx="5696">
                  <c:v>157992929.59999999</c:v>
                </c:pt>
                <c:pt idx="5697">
                  <c:v>157992929.59999999</c:v>
                </c:pt>
                <c:pt idx="5698">
                  <c:v>157992929.59999999</c:v>
                </c:pt>
                <c:pt idx="5699">
                  <c:v>157992929.59999999</c:v>
                </c:pt>
                <c:pt idx="5700">
                  <c:v>157992929.59999999</c:v>
                </c:pt>
                <c:pt idx="5701">
                  <c:v>157992929.59999999</c:v>
                </c:pt>
                <c:pt idx="5702">
                  <c:v>157992929.59999999</c:v>
                </c:pt>
                <c:pt idx="5703">
                  <c:v>157992929.59999999</c:v>
                </c:pt>
                <c:pt idx="5704">
                  <c:v>157992929.59999999</c:v>
                </c:pt>
                <c:pt idx="5705">
                  <c:v>157992929.59999999</c:v>
                </c:pt>
                <c:pt idx="5706">
                  <c:v>157992929.59999999</c:v>
                </c:pt>
                <c:pt idx="5707">
                  <c:v>157992929.59999999</c:v>
                </c:pt>
                <c:pt idx="5708">
                  <c:v>157992929.59999999</c:v>
                </c:pt>
                <c:pt idx="5709">
                  <c:v>157992929.59999999</c:v>
                </c:pt>
                <c:pt idx="5710">
                  <c:v>157992929.59999999</c:v>
                </c:pt>
                <c:pt idx="5711">
                  <c:v>157992929.59999999</c:v>
                </c:pt>
                <c:pt idx="5712">
                  <c:v>157992929.59999999</c:v>
                </c:pt>
                <c:pt idx="5713">
                  <c:v>157992929.59999999</c:v>
                </c:pt>
                <c:pt idx="5714">
                  <c:v>157992929.59999999</c:v>
                </c:pt>
                <c:pt idx="5715">
                  <c:v>157992929.59999999</c:v>
                </c:pt>
                <c:pt idx="5716">
                  <c:v>157992929.59999999</c:v>
                </c:pt>
                <c:pt idx="5717">
                  <c:v>157992929.59999999</c:v>
                </c:pt>
                <c:pt idx="5718">
                  <c:v>157992929.59999999</c:v>
                </c:pt>
                <c:pt idx="5719">
                  <c:v>157992929.59999999</c:v>
                </c:pt>
                <c:pt idx="5720">
                  <c:v>157992929.59999999</c:v>
                </c:pt>
                <c:pt idx="5721">
                  <c:v>157992929.59999999</c:v>
                </c:pt>
                <c:pt idx="5722">
                  <c:v>157992929.59999999</c:v>
                </c:pt>
                <c:pt idx="5723">
                  <c:v>157992929.59999999</c:v>
                </c:pt>
                <c:pt idx="5724">
                  <c:v>157992929.59999999</c:v>
                </c:pt>
                <c:pt idx="5725">
                  <c:v>157992929.59999999</c:v>
                </c:pt>
                <c:pt idx="5726">
                  <c:v>157992929.59999999</c:v>
                </c:pt>
                <c:pt idx="5727">
                  <c:v>157992929.59999999</c:v>
                </c:pt>
                <c:pt idx="5728">
                  <c:v>157992929.59999999</c:v>
                </c:pt>
                <c:pt idx="5729">
                  <c:v>157992929.59999999</c:v>
                </c:pt>
                <c:pt idx="5730">
                  <c:v>157992929.59999999</c:v>
                </c:pt>
                <c:pt idx="5731">
                  <c:v>157992929.59999999</c:v>
                </c:pt>
                <c:pt idx="5732">
                  <c:v>157992929.59999999</c:v>
                </c:pt>
                <c:pt idx="5733">
                  <c:v>157992929.59999999</c:v>
                </c:pt>
                <c:pt idx="5734">
                  <c:v>157992929.59999999</c:v>
                </c:pt>
                <c:pt idx="5735">
                  <c:v>157992929.59999999</c:v>
                </c:pt>
                <c:pt idx="5736">
                  <c:v>157992929.59999999</c:v>
                </c:pt>
                <c:pt idx="5737">
                  <c:v>157992929.59999999</c:v>
                </c:pt>
                <c:pt idx="5738">
                  <c:v>157992929.59999999</c:v>
                </c:pt>
                <c:pt idx="5739">
                  <c:v>157992929.59999999</c:v>
                </c:pt>
                <c:pt idx="5740">
                  <c:v>157992929.59999999</c:v>
                </c:pt>
                <c:pt idx="5741">
                  <c:v>157992929.59999999</c:v>
                </c:pt>
                <c:pt idx="5742">
                  <c:v>157992929.59999999</c:v>
                </c:pt>
                <c:pt idx="5743">
                  <c:v>157992929.59999999</c:v>
                </c:pt>
                <c:pt idx="5744">
                  <c:v>157992929.59999999</c:v>
                </c:pt>
                <c:pt idx="5745">
                  <c:v>157992929.59999999</c:v>
                </c:pt>
                <c:pt idx="5746">
                  <c:v>157992929.59999999</c:v>
                </c:pt>
                <c:pt idx="5747">
                  <c:v>157992929.59999999</c:v>
                </c:pt>
                <c:pt idx="5748">
                  <c:v>157992929.59999999</c:v>
                </c:pt>
                <c:pt idx="5749">
                  <c:v>157992929.59999999</c:v>
                </c:pt>
                <c:pt idx="5750">
                  <c:v>157992929.59999999</c:v>
                </c:pt>
                <c:pt idx="5751">
                  <c:v>157992929.59999999</c:v>
                </c:pt>
                <c:pt idx="5752">
                  <c:v>157992929.59999999</c:v>
                </c:pt>
                <c:pt idx="5753">
                  <c:v>157992929.59999999</c:v>
                </c:pt>
                <c:pt idx="5754">
                  <c:v>157992929.59999999</c:v>
                </c:pt>
                <c:pt idx="5755">
                  <c:v>157992929.59999999</c:v>
                </c:pt>
                <c:pt idx="5756">
                  <c:v>157992929.59999999</c:v>
                </c:pt>
                <c:pt idx="5757">
                  <c:v>157992929.59999999</c:v>
                </c:pt>
                <c:pt idx="5758">
                  <c:v>157992929.59999999</c:v>
                </c:pt>
                <c:pt idx="5759">
                  <c:v>157992929.59999999</c:v>
                </c:pt>
                <c:pt idx="5760">
                  <c:v>157992929.59999999</c:v>
                </c:pt>
                <c:pt idx="5761">
                  <c:v>157992929.59999999</c:v>
                </c:pt>
                <c:pt idx="5762">
                  <c:v>157992929.59999999</c:v>
                </c:pt>
                <c:pt idx="5763">
                  <c:v>157992929.59999999</c:v>
                </c:pt>
                <c:pt idx="5764">
                  <c:v>157992929.59999999</c:v>
                </c:pt>
                <c:pt idx="5765">
                  <c:v>157992929.59999999</c:v>
                </c:pt>
                <c:pt idx="5766">
                  <c:v>157992929.59999999</c:v>
                </c:pt>
                <c:pt idx="5767">
                  <c:v>157992929.59999999</c:v>
                </c:pt>
                <c:pt idx="5768">
                  <c:v>157992929.59999999</c:v>
                </c:pt>
                <c:pt idx="5769">
                  <c:v>157992929.59999999</c:v>
                </c:pt>
                <c:pt idx="5770">
                  <c:v>157992929.59999999</c:v>
                </c:pt>
                <c:pt idx="5771">
                  <c:v>157992929.59999999</c:v>
                </c:pt>
                <c:pt idx="5772">
                  <c:v>157992929.59999999</c:v>
                </c:pt>
                <c:pt idx="5773">
                  <c:v>157992929.59999999</c:v>
                </c:pt>
                <c:pt idx="5774">
                  <c:v>157992929.59999999</c:v>
                </c:pt>
                <c:pt idx="5775">
                  <c:v>157992929.59999999</c:v>
                </c:pt>
                <c:pt idx="5776">
                  <c:v>157992929.59999999</c:v>
                </c:pt>
                <c:pt idx="5777">
                  <c:v>157992929.59999999</c:v>
                </c:pt>
                <c:pt idx="5778">
                  <c:v>157992929.59999999</c:v>
                </c:pt>
                <c:pt idx="5779">
                  <c:v>157992929.59999999</c:v>
                </c:pt>
                <c:pt idx="5780">
                  <c:v>157992929.59999999</c:v>
                </c:pt>
                <c:pt idx="5781">
                  <c:v>157992929.59999999</c:v>
                </c:pt>
                <c:pt idx="5782">
                  <c:v>157992929.59999999</c:v>
                </c:pt>
                <c:pt idx="5783">
                  <c:v>157992929.59999999</c:v>
                </c:pt>
                <c:pt idx="5784">
                  <c:v>157992929.59999999</c:v>
                </c:pt>
                <c:pt idx="5785">
                  <c:v>157992929.59999999</c:v>
                </c:pt>
                <c:pt idx="5786">
                  <c:v>157992929.59999999</c:v>
                </c:pt>
                <c:pt idx="5787">
                  <c:v>157992929.59999999</c:v>
                </c:pt>
                <c:pt idx="5788">
                  <c:v>157992929.59999999</c:v>
                </c:pt>
                <c:pt idx="5789">
                  <c:v>157992929.59999999</c:v>
                </c:pt>
                <c:pt idx="5790">
                  <c:v>157992929.59999999</c:v>
                </c:pt>
                <c:pt idx="5791">
                  <c:v>157992929.59999999</c:v>
                </c:pt>
                <c:pt idx="5792">
                  <c:v>157992929.59999999</c:v>
                </c:pt>
                <c:pt idx="5793">
                  <c:v>157992929.59999999</c:v>
                </c:pt>
                <c:pt idx="5794">
                  <c:v>157992929.59999999</c:v>
                </c:pt>
                <c:pt idx="5795">
                  <c:v>157992929.59999999</c:v>
                </c:pt>
                <c:pt idx="5796">
                  <c:v>157992929.59999999</c:v>
                </c:pt>
                <c:pt idx="5797">
                  <c:v>157992929.59999999</c:v>
                </c:pt>
                <c:pt idx="5798">
                  <c:v>157992929.59999999</c:v>
                </c:pt>
                <c:pt idx="5799">
                  <c:v>157992929.59999999</c:v>
                </c:pt>
                <c:pt idx="5800">
                  <c:v>157992929.59999999</c:v>
                </c:pt>
                <c:pt idx="5801">
                  <c:v>157992929.59999999</c:v>
                </c:pt>
                <c:pt idx="5802">
                  <c:v>157992929.59999999</c:v>
                </c:pt>
                <c:pt idx="5803">
                  <c:v>157992929.59999999</c:v>
                </c:pt>
                <c:pt idx="5804">
                  <c:v>157992929.59999999</c:v>
                </c:pt>
                <c:pt idx="5805">
                  <c:v>157992929.59999999</c:v>
                </c:pt>
                <c:pt idx="5806">
                  <c:v>157992929.59999999</c:v>
                </c:pt>
                <c:pt idx="5807">
                  <c:v>157992929.59999999</c:v>
                </c:pt>
                <c:pt idx="5808">
                  <c:v>157992929.59999999</c:v>
                </c:pt>
                <c:pt idx="5809">
                  <c:v>157992929.59999999</c:v>
                </c:pt>
                <c:pt idx="5810">
                  <c:v>157992929.59999999</c:v>
                </c:pt>
                <c:pt idx="5811">
                  <c:v>157992929.59999999</c:v>
                </c:pt>
                <c:pt idx="5812">
                  <c:v>157992929.59999999</c:v>
                </c:pt>
                <c:pt idx="5813">
                  <c:v>157992929.59999999</c:v>
                </c:pt>
                <c:pt idx="5814">
                  <c:v>157992929.59999999</c:v>
                </c:pt>
                <c:pt idx="5815">
                  <c:v>157992929.59999999</c:v>
                </c:pt>
                <c:pt idx="5816">
                  <c:v>157992929.59999999</c:v>
                </c:pt>
                <c:pt idx="5817">
                  <c:v>157992929.59999999</c:v>
                </c:pt>
                <c:pt idx="5818">
                  <c:v>157992929.59999999</c:v>
                </c:pt>
                <c:pt idx="5819">
                  <c:v>157992929.59999999</c:v>
                </c:pt>
                <c:pt idx="5820">
                  <c:v>157992929.59999999</c:v>
                </c:pt>
                <c:pt idx="5821">
                  <c:v>157992929.59999999</c:v>
                </c:pt>
                <c:pt idx="5822">
                  <c:v>157992929.59999999</c:v>
                </c:pt>
                <c:pt idx="5823">
                  <c:v>157992929.59999999</c:v>
                </c:pt>
                <c:pt idx="5824">
                  <c:v>157992929.59999999</c:v>
                </c:pt>
                <c:pt idx="5825">
                  <c:v>157992929.59999999</c:v>
                </c:pt>
                <c:pt idx="5826">
                  <c:v>157992929.59999999</c:v>
                </c:pt>
                <c:pt idx="5827">
                  <c:v>157992929.59999999</c:v>
                </c:pt>
                <c:pt idx="5828">
                  <c:v>157992929.59999999</c:v>
                </c:pt>
                <c:pt idx="5829">
                  <c:v>157992929.59999999</c:v>
                </c:pt>
                <c:pt idx="5830">
                  <c:v>157992929.59999999</c:v>
                </c:pt>
                <c:pt idx="5831">
                  <c:v>157992929.59999999</c:v>
                </c:pt>
                <c:pt idx="5832">
                  <c:v>157992929.59999999</c:v>
                </c:pt>
                <c:pt idx="5833">
                  <c:v>157992929.59999999</c:v>
                </c:pt>
                <c:pt idx="5834">
                  <c:v>157992929.59999999</c:v>
                </c:pt>
                <c:pt idx="5835">
                  <c:v>157992929.59999999</c:v>
                </c:pt>
                <c:pt idx="5836">
                  <c:v>157992929.59999999</c:v>
                </c:pt>
                <c:pt idx="5837">
                  <c:v>157992929.59999999</c:v>
                </c:pt>
                <c:pt idx="5838">
                  <c:v>157992929.59999999</c:v>
                </c:pt>
                <c:pt idx="5839">
                  <c:v>157992929.59999999</c:v>
                </c:pt>
                <c:pt idx="5840">
                  <c:v>157992929.59999999</c:v>
                </c:pt>
                <c:pt idx="5841">
                  <c:v>157992929.59999999</c:v>
                </c:pt>
                <c:pt idx="5842">
                  <c:v>157992929.59999999</c:v>
                </c:pt>
                <c:pt idx="5843">
                  <c:v>157992929.59999999</c:v>
                </c:pt>
                <c:pt idx="5844">
                  <c:v>157992929.59999999</c:v>
                </c:pt>
                <c:pt idx="5845">
                  <c:v>157992929.59999999</c:v>
                </c:pt>
                <c:pt idx="5846">
                  <c:v>157992929.59999999</c:v>
                </c:pt>
                <c:pt idx="5847">
                  <c:v>157992929.59999999</c:v>
                </c:pt>
                <c:pt idx="5848">
                  <c:v>157992929.59999999</c:v>
                </c:pt>
                <c:pt idx="5849">
                  <c:v>157992929.59999999</c:v>
                </c:pt>
                <c:pt idx="5850">
                  <c:v>157992929.59999999</c:v>
                </c:pt>
                <c:pt idx="5851">
                  <c:v>157992929.59999999</c:v>
                </c:pt>
                <c:pt idx="5852">
                  <c:v>157992929.59999999</c:v>
                </c:pt>
                <c:pt idx="5853">
                  <c:v>157992929.59999999</c:v>
                </c:pt>
                <c:pt idx="5854">
                  <c:v>157992929.59999999</c:v>
                </c:pt>
                <c:pt idx="5855">
                  <c:v>157992929.59999999</c:v>
                </c:pt>
                <c:pt idx="5856">
                  <c:v>157992929.59999999</c:v>
                </c:pt>
                <c:pt idx="5857">
                  <c:v>157992929.59999999</c:v>
                </c:pt>
                <c:pt idx="5858">
                  <c:v>157992929.59999999</c:v>
                </c:pt>
                <c:pt idx="5859">
                  <c:v>157992929.59999999</c:v>
                </c:pt>
                <c:pt idx="5860">
                  <c:v>157992929.59999999</c:v>
                </c:pt>
                <c:pt idx="5861">
                  <c:v>157992929.59999999</c:v>
                </c:pt>
                <c:pt idx="5862">
                  <c:v>157992929.59999999</c:v>
                </c:pt>
                <c:pt idx="5863">
                  <c:v>157992929.59999999</c:v>
                </c:pt>
                <c:pt idx="5864">
                  <c:v>157992929.59999999</c:v>
                </c:pt>
                <c:pt idx="5865">
                  <c:v>157992929.59999999</c:v>
                </c:pt>
                <c:pt idx="5866">
                  <c:v>157992929.59999999</c:v>
                </c:pt>
                <c:pt idx="5867">
                  <c:v>157992929.59999999</c:v>
                </c:pt>
                <c:pt idx="5868">
                  <c:v>157992929.59999999</c:v>
                </c:pt>
                <c:pt idx="5869">
                  <c:v>157992929.59999999</c:v>
                </c:pt>
                <c:pt idx="5870">
                  <c:v>157992929.59999999</c:v>
                </c:pt>
                <c:pt idx="5871">
                  <c:v>157992929.59999999</c:v>
                </c:pt>
                <c:pt idx="5872">
                  <c:v>157992929.59999999</c:v>
                </c:pt>
                <c:pt idx="5873">
                  <c:v>157992929.59999999</c:v>
                </c:pt>
                <c:pt idx="5874">
                  <c:v>157992929.59999999</c:v>
                </c:pt>
                <c:pt idx="5875">
                  <c:v>157992929.59999999</c:v>
                </c:pt>
                <c:pt idx="5876">
                  <c:v>157992929.59999999</c:v>
                </c:pt>
                <c:pt idx="5877">
                  <c:v>157992929.59999999</c:v>
                </c:pt>
                <c:pt idx="5878">
                  <c:v>157992929.59999999</c:v>
                </c:pt>
                <c:pt idx="5879">
                  <c:v>157992929.59999999</c:v>
                </c:pt>
                <c:pt idx="5880">
                  <c:v>157992929.59999999</c:v>
                </c:pt>
                <c:pt idx="5881">
                  <c:v>157992929.59999999</c:v>
                </c:pt>
                <c:pt idx="5882">
                  <c:v>157992929.59999999</c:v>
                </c:pt>
                <c:pt idx="5883">
                  <c:v>157992929.59999999</c:v>
                </c:pt>
                <c:pt idx="5884">
                  <c:v>157992929.59999999</c:v>
                </c:pt>
                <c:pt idx="5885">
                  <c:v>157992929.59999999</c:v>
                </c:pt>
                <c:pt idx="5886">
                  <c:v>157992929.59999999</c:v>
                </c:pt>
                <c:pt idx="5887">
                  <c:v>157992929.59999999</c:v>
                </c:pt>
                <c:pt idx="5888">
                  <c:v>157992929.59999999</c:v>
                </c:pt>
                <c:pt idx="5889">
                  <c:v>157992929.59999999</c:v>
                </c:pt>
                <c:pt idx="5890">
                  <c:v>157992929.59999999</c:v>
                </c:pt>
                <c:pt idx="5891">
                  <c:v>157992929.59999999</c:v>
                </c:pt>
                <c:pt idx="5892">
                  <c:v>157992929.59999999</c:v>
                </c:pt>
                <c:pt idx="5893">
                  <c:v>157992929.59999999</c:v>
                </c:pt>
                <c:pt idx="5894">
                  <c:v>157992929.59999999</c:v>
                </c:pt>
                <c:pt idx="5895">
                  <c:v>157992929.59999999</c:v>
                </c:pt>
                <c:pt idx="5896">
                  <c:v>157992929.59999999</c:v>
                </c:pt>
                <c:pt idx="5897">
                  <c:v>157992929.59999999</c:v>
                </c:pt>
                <c:pt idx="5898">
                  <c:v>157992929.59999999</c:v>
                </c:pt>
                <c:pt idx="5899">
                  <c:v>157992929.59999999</c:v>
                </c:pt>
                <c:pt idx="5900">
                  <c:v>157992929.59999999</c:v>
                </c:pt>
                <c:pt idx="5901">
                  <c:v>157992929.59999999</c:v>
                </c:pt>
                <c:pt idx="5902">
                  <c:v>157992929.59999999</c:v>
                </c:pt>
                <c:pt idx="5903">
                  <c:v>157992929.59999999</c:v>
                </c:pt>
                <c:pt idx="5904">
                  <c:v>157992929.59999999</c:v>
                </c:pt>
                <c:pt idx="5905">
                  <c:v>157992929.59999999</c:v>
                </c:pt>
                <c:pt idx="5906">
                  <c:v>157992929.59999999</c:v>
                </c:pt>
                <c:pt idx="5907">
                  <c:v>157992929.59999999</c:v>
                </c:pt>
                <c:pt idx="5908">
                  <c:v>157992929.59999999</c:v>
                </c:pt>
                <c:pt idx="5909">
                  <c:v>157992929.59999999</c:v>
                </c:pt>
                <c:pt idx="5910">
                  <c:v>157992929.59999999</c:v>
                </c:pt>
                <c:pt idx="5911">
                  <c:v>157992929.59999999</c:v>
                </c:pt>
                <c:pt idx="5912">
                  <c:v>157992929.59999999</c:v>
                </c:pt>
                <c:pt idx="5913">
                  <c:v>157992929.59999999</c:v>
                </c:pt>
                <c:pt idx="5914">
                  <c:v>157992929.59999999</c:v>
                </c:pt>
                <c:pt idx="5915">
                  <c:v>157992929.59999999</c:v>
                </c:pt>
                <c:pt idx="5916">
                  <c:v>157992929.59999999</c:v>
                </c:pt>
                <c:pt idx="5917">
                  <c:v>157992929.59999999</c:v>
                </c:pt>
                <c:pt idx="5918">
                  <c:v>157992929.59999999</c:v>
                </c:pt>
                <c:pt idx="5919">
                  <c:v>157992929.59999999</c:v>
                </c:pt>
                <c:pt idx="5920">
                  <c:v>157992929.59999999</c:v>
                </c:pt>
                <c:pt idx="5921">
                  <c:v>157992929.59999999</c:v>
                </c:pt>
                <c:pt idx="5922">
                  <c:v>157992929.59999999</c:v>
                </c:pt>
                <c:pt idx="5923">
                  <c:v>157992929.59999999</c:v>
                </c:pt>
                <c:pt idx="5924">
                  <c:v>157992929.59999999</c:v>
                </c:pt>
                <c:pt idx="5925">
                  <c:v>157992929.59999999</c:v>
                </c:pt>
                <c:pt idx="5926">
                  <c:v>157992929.59999999</c:v>
                </c:pt>
                <c:pt idx="5927">
                  <c:v>157992929.59999999</c:v>
                </c:pt>
                <c:pt idx="5928">
                  <c:v>157992929.59999999</c:v>
                </c:pt>
                <c:pt idx="5929">
                  <c:v>157992929.59999999</c:v>
                </c:pt>
                <c:pt idx="5930">
                  <c:v>157992929.59999999</c:v>
                </c:pt>
                <c:pt idx="5931">
                  <c:v>157992929.59999999</c:v>
                </c:pt>
                <c:pt idx="5932">
                  <c:v>157992929.59999999</c:v>
                </c:pt>
                <c:pt idx="5933">
                  <c:v>157992929.59999999</c:v>
                </c:pt>
                <c:pt idx="5934">
                  <c:v>157992929.59999999</c:v>
                </c:pt>
                <c:pt idx="5935">
                  <c:v>157992929.59999999</c:v>
                </c:pt>
                <c:pt idx="5936">
                  <c:v>157992929.59999999</c:v>
                </c:pt>
                <c:pt idx="5937">
                  <c:v>157992929.59999999</c:v>
                </c:pt>
                <c:pt idx="5938">
                  <c:v>157992929.59999999</c:v>
                </c:pt>
                <c:pt idx="5939">
                  <c:v>157992929.59999999</c:v>
                </c:pt>
                <c:pt idx="5940">
                  <c:v>157992929.59999999</c:v>
                </c:pt>
                <c:pt idx="5941">
                  <c:v>157992929.59999999</c:v>
                </c:pt>
                <c:pt idx="5942">
                  <c:v>157992929.59999999</c:v>
                </c:pt>
                <c:pt idx="5943">
                  <c:v>157992929.59999999</c:v>
                </c:pt>
                <c:pt idx="5944">
                  <c:v>157992929.59999999</c:v>
                </c:pt>
                <c:pt idx="5945">
                  <c:v>157992929.59999999</c:v>
                </c:pt>
                <c:pt idx="5946">
                  <c:v>157992929.59999999</c:v>
                </c:pt>
                <c:pt idx="5947">
                  <c:v>157992929.59999999</c:v>
                </c:pt>
                <c:pt idx="5948">
                  <c:v>157992929.59999999</c:v>
                </c:pt>
                <c:pt idx="5949">
                  <c:v>157992929.59999999</c:v>
                </c:pt>
                <c:pt idx="5950">
                  <c:v>157992929.59999999</c:v>
                </c:pt>
                <c:pt idx="5951">
                  <c:v>157992929.59999999</c:v>
                </c:pt>
                <c:pt idx="5952">
                  <c:v>157992929.59999999</c:v>
                </c:pt>
                <c:pt idx="5953">
                  <c:v>157992929.59999999</c:v>
                </c:pt>
                <c:pt idx="5954">
                  <c:v>157992929.59999999</c:v>
                </c:pt>
                <c:pt idx="5955">
                  <c:v>157992929.59999999</c:v>
                </c:pt>
                <c:pt idx="5956">
                  <c:v>157992929.59999999</c:v>
                </c:pt>
                <c:pt idx="5957">
                  <c:v>157992929.59999999</c:v>
                </c:pt>
                <c:pt idx="5958">
                  <c:v>157992929.59999999</c:v>
                </c:pt>
                <c:pt idx="5959">
                  <c:v>157992929.59999999</c:v>
                </c:pt>
                <c:pt idx="5960">
                  <c:v>157992929.59999999</c:v>
                </c:pt>
                <c:pt idx="5961">
                  <c:v>157992929.59999999</c:v>
                </c:pt>
                <c:pt idx="5962">
                  <c:v>157992929.59999999</c:v>
                </c:pt>
                <c:pt idx="5963">
                  <c:v>157992929.59999999</c:v>
                </c:pt>
                <c:pt idx="5964">
                  <c:v>157992929.59999999</c:v>
                </c:pt>
                <c:pt idx="5965">
                  <c:v>157992929.59999999</c:v>
                </c:pt>
                <c:pt idx="5966">
                  <c:v>157992929.59999999</c:v>
                </c:pt>
                <c:pt idx="5967">
                  <c:v>157992929.59999999</c:v>
                </c:pt>
                <c:pt idx="5968">
                  <c:v>157992929.59999999</c:v>
                </c:pt>
                <c:pt idx="5969">
                  <c:v>157992929.59999999</c:v>
                </c:pt>
                <c:pt idx="5970">
                  <c:v>157992929.59999999</c:v>
                </c:pt>
                <c:pt idx="5971">
                  <c:v>157992929.59999999</c:v>
                </c:pt>
                <c:pt idx="5972">
                  <c:v>157992929.59999999</c:v>
                </c:pt>
                <c:pt idx="5973">
                  <c:v>157992929.59999999</c:v>
                </c:pt>
                <c:pt idx="5974">
                  <c:v>157992929.59999999</c:v>
                </c:pt>
                <c:pt idx="5975">
                  <c:v>157992929.59999999</c:v>
                </c:pt>
                <c:pt idx="5976">
                  <c:v>157992929.59999999</c:v>
                </c:pt>
                <c:pt idx="5977">
                  <c:v>157992929.59999999</c:v>
                </c:pt>
                <c:pt idx="5978">
                  <c:v>157992929.59999999</c:v>
                </c:pt>
                <c:pt idx="5979">
                  <c:v>157992929.59999999</c:v>
                </c:pt>
                <c:pt idx="5980">
                  <c:v>157992929.59999999</c:v>
                </c:pt>
                <c:pt idx="5981">
                  <c:v>157992929.59999999</c:v>
                </c:pt>
                <c:pt idx="5982">
                  <c:v>157992929.59999999</c:v>
                </c:pt>
                <c:pt idx="5983">
                  <c:v>157992929.59999999</c:v>
                </c:pt>
                <c:pt idx="5984">
                  <c:v>157992929.59999999</c:v>
                </c:pt>
                <c:pt idx="5985">
                  <c:v>157992929.59999999</c:v>
                </c:pt>
                <c:pt idx="5986">
                  <c:v>157992929.59999999</c:v>
                </c:pt>
                <c:pt idx="5987">
                  <c:v>157992929.59999999</c:v>
                </c:pt>
                <c:pt idx="5988">
                  <c:v>157992929.59999999</c:v>
                </c:pt>
                <c:pt idx="5989">
                  <c:v>157992929.59999999</c:v>
                </c:pt>
                <c:pt idx="5990">
                  <c:v>157992929.59999999</c:v>
                </c:pt>
                <c:pt idx="5991">
                  <c:v>157992929.59999999</c:v>
                </c:pt>
                <c:pt idx="5992">
                  <c:v>157992929.59999999</c:v>
                </c:pt>
                <c:pt idx="5993">
                  <c:v>157992929.59999999</c:v>
                </c:pt>
                <c:pt idx="5994">
                  <c:v>157992929.59999999</c:v>
                </c:pt>
                <c:pt idx="5995">
                  <c:v>157992929.59999999</c:v>
                </c:pt>
                <c:pt idx="5996">
                  <c:v>157992929.59999999</c:v>
                </c:pt>
                <c:pt idx="5997">
                  <c:v>157992929.59999999</c:v>
                </c:pt>
                <c:pt idx="5998">
                  <c:v>157992929.59999999</c:v>
                </c:pt>
                <c:pt idx="5999">
                  <c:v>157992929.59999999</c:v>
                </c:pt>
                <c:pt idx="6000">
                  <c:v>157992929.59999999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Equilibrio'!$B$4:$B$6004</c:f>
              <c:numCache>
                <c:formatCode>General</c:formatCode>
                <c:ptCount val="6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</c:numCache>
            </c:numRef>
          </c:cat>
          <c:val>
            <c:numRef>
              <c:f>'Grafica Punto de Equilibrio'!$D$4:$D$6004</c:f>
              <c:numCache>
                <c:formatCode>"$"\ #,##0</c:formatCode>
                <c:ptCount val="6001"/>
                <c:pt idx="0">
                  <c:v>0</c:v>
                </c:pt>
                <c:pt idx="1">
                  <c:v>33027</c:v>
                </c:pt>
                <c:pt idx="2">
                  <c:v>66054</c:v>
                </c:pt>
                <c:pt idx="3">
                  <c:v>99081</c:v>
                </c:pt>
                <c:pt idx="4">
                  <c:v>132108</c:v>
                </c:pt>
                <c:pt idx="5">
                  <c:v>165135</c:v>
                </c:pt>
                <c:pt idx="6">
                  <c:v>198162</c:v>
                </c:pt>
                <c:pt idx="7">
                  <c:v>231189</c:v>
                </c:pt>
                <c:pt idx="8">
                  <c:v>264216</c:v>
                </c:pt>
                <c:pt idx="9">
                  <c:v>297243</c:v>
                </c:pt>
                <c:pt idx="10">
                  <c:v>330270</c:v>
                </c:pt>
                <c:pt idx="11">
                  <c:v>363297</c:v>
                </c:pt>
                <c:pt idx="12">
                  <c:v>396324</c:v>
                </c:pt>
                <c:pt idx="13">
                  <c:v>429351</c:v>
                </c:pt>
                <c:pt idx="14">
                  <c:v>462378</c:v>
                </c:pt>
                <c:pt idx="15">
                  <c:v>495405</c:v>
                </c:pt>
                <c:pt idx="16">
                  <c:v>528432</c:v>
                </c:pt>
                <c:pt idx="17">
                  <c:v>561459</c:v>
                </c:pt>
                <c:pt idx="18">
                  <c:v>594486</c:v>
                </c:pt>
                <c:pt idx="19">
                  <c:v>627513</c:v>
                </c:pt>
                <c:pt idx="20">
                  <c:v>660540</c:v>
                </c:pt>
                <c:pt idx="21">
                  <c:v>693567</c:v>
                </c:pt>
                <c:pt idx="22">
                  <c:v>726594</c:v>
                </c:pt>
                <c:pt idx="23">
                  <c:v>759621</c:v>
                </c:pt>
                <c:pt idx="24">
                  <c:v>792648</c:v>
                </c:pt>
                <c:pt idx="25">
                  <c:v>825675</c:v>
                </c:pt>
                <c:pt idx="26">
                  <c:v>858702</c:v>
                </c:pt>
                <c:pt idx="27">
                  <c:v>891729</c:v>
                </c:pt>
                <c:pt idx="28">
                  <c:v>924756</c:v>
                </c:pt>
                <c:pt idx="29">
                  <c:v>957783</c:v>
                </c:pt>
                <c:pt idx="30">
                  <c:v>990810</c:v>
                </c:pt>
                <c:pt idx="31">
                  <c:v>1023837</c:v>
                </c:pt>
                <c:pt idx="32">
                  <c:v>1056864</c:v>
                </c:pt>
                <c:pt idx="33">
                  <c:v>1089891</c:v>
                </c:pt>
                <c:pt idx="34">
                  <c:v>1122918</c:v>
                </c:pt>
                <c:pt idx="35">
                  <c:v>1155945</c:v>
                </c:pt>
                <c:pt idx="36">
                  <c:v>1188972</c:v>
                </c:pt>
                <c:pt idx="37">
                  <c:v>1221999</c:v>
                </c:pt>
                <c:pt idx="38">
                  <c:v>1255026</c:v>
                </c:pt>
                <c:pt idx="39">
                  <c:v>1288053</c:v>
                </c:pt>
                <c:pt idx="40">
                  <c:v>1321080</c:v>
                </c:pt>
                <c:pt idx="41">
                  <c:v>1354107</c:v>
                </c:pt>
                <c:pt idx="42">
                  <c:v>1387134</c:v>
                </c:pt>
                <c:pt idx="43">
                  <c:v>1420161</c:v>
                </c:pt>
                <c:pt idx="44">
                  <c:v>1453188</c:v>
                </c:pt>
                <c:pt idx="45">
                  <c:v>1486215</c:v>
                </c:pt>
                <c:pt idx="46">
                  <c:v>1519242</c:v>
                </c:pt>
                <c:pt idx="47">
                  <c:v>1552269</c:v>
                </c:pt>
                <c:pt idx="48">
                  <c:v>1585296</c:v>
                </c:pt>
                <c:pt idx="49">
                  <c:v>1618323</c:v>
                </c:pt>
                <c:pt idx="50">
                  <c:v>1651350</c:v>
                </c:pt>
                <c:pt idx="51">
                  <c:v>1684377</c:v>
                </c:pt>
                <c:pt idx="52">
                  <c:v>1717404</c:v>
                </c:pt>
                <c:pt idx="53">
                  <c:v>1750431</c:v>
                </c:pt>
                <c:pt idx="54">
                  <c:v>1783458</c:v>
                </c:pt>
                <c:pt idx="55">
                  <c:v>1816485</c:v>
                </c:pt>
                <c:pt idx="56">
                  <c:v>1849512</c:v>
                </c:pt>
                <c:pt idx="57">
                  <c:v>1882539</c:v>
                </c:pt>
                <c:pt idx="58">
                  <c:v>1915566</c:v>
                </c:pt>
                <c:pt idx="59">
                  <c:v>1948593</c:v>
                </c:pt>
                <c:pt idx="60">
                  <c:v>1981620</c:v>
                </c:pt>
                <c:pt idx="61">
                  <c:v>2014647</c:v>
                </c:pt>
                <c:pt idx="62">
                  <c:v>2047674</c:v>
                </c:pt>
                <c:pt idx="63">
                  <c:v>2080701</c:v>
                </c:pt>
                <c:pt idx="64">
                  <c:v>2113728</c:v>
                </c:pt>
                <c:pt idx="65">
                  <c:v>2146755</c:v>
                </c:pt>
                <c:pt idx="66">
                  <c:v>2179782</c:v>
                </c:pt>
                <c:pt idx="67">
                  <c:v>2212809</c:v>
                </c:pt>
                <c:pt idx="68">
                  <c:v>2245836</c:v>
                </c:pt>
                <c:pt idx="69">
                  <c:v>2278863</c:v>
                </c:pt>
                <c:pt idx="70">
                  <c:v>2311890</c:v>
                </c:pt>
                <c:pt idx="71">
                  <c:v>2344917</c:v>
                </c:pt>
                <c:pt idx="72">
                  <c:v>2377944</c:v>
                </c:pt>
                <c:pt idx="73">
                  <c:v>2410971</c:v>
                </c:pt>
                <c:pt idx="74">
                  <c:v>2443998</c:v>
                </c:pt>
                <c:pt idx="75">
                  <c:v>2477025</c:v>
                </c:pt>
                <c:pt idx="76">
                  <c:v>2510052</c:v>
                </c:pt>
                <c:pt idx="77">
                  <c:v>2543079</c:v>
                </c:pt>
                <c:pt idx="78">
                  <c:v>2576106</c:v>
                </c:pt>
                <c:pt idx="79">
                  <c:v>2609133</c:v>
                </c:pt>
                <c:pt idx="80">
                  <c:v>2642160</c:v>
                </c:pt>
                <c:pt idx="81">
                  <c:v>2675187</c:v>
                </c:pt>
                <c:pt idx="82">
                  <c:v>2708214</c:v>
                </c:pt>
                <c:pt idx="83">
                  <c:v>2741241</c:v>
                </c:pt>
                <c:pt idx="84">
                  <c:v>2774268</c:v>
                </c:pt>
                <c:pt idx="85">
                  <c:v>2807295</c:v>
                </c:pt>
                <c:pt idx="86">
                  <c:v>2840322</c:v>
                </c:pt>
                <c:pt idx="87">
                  <c:v>2873349</c:v>
                </c:pt>
                <c:pt idx="88">
                  <c:v>2906376</c:v>
                </c:pt>
                <c:pt idx="89">
                  <c:v>2939403</c:v>
                </c:pt>
                <c:pt idx="90">
                  <c:v>2972430</c:v>
                </c:pt>
                <c:pt idx="91">
                  <c:v>3005457</c:v>
                </c:pt>
                <c:pt idx="92">
                  <c:v>3038484</c:v>
                </c:pt>
                <c:pt idx="93">
                  <c:v>3071511</c:v>
                </c:pt>
                <c:pt idx="94">
                  <c:v>3104538</c:v>
                </c:pt>
                <c:pt idx="95">
                  <c:v>3137565</c:v>
                </c:pt>
                <c:pt idx="96">
                  <c:v>3170592</c:v>
                </c:pt>
                <c:pt idx="97">
                  <c:v>3203619</c:v>
                </c:pt>
                <c:pt idx="98">
                  <c:v>3236646</c:v>
                </c:pt>
                <c:pt idx="99">
                  <c:v>3269673</c:v>
                </c:pt>
                <c:pt idx="100">
                  <c:v>3302700</c:v>
                </c:pt>
                <c:pt idx="101">
                  <c:v>3335727</c:v>
                </c:pt>
                <c:pt idx="102">
                  <c:v>3368754</c:v>
                </c:pt>
                <c:pt idx="103">
                  <c:v>3401781</c:v>
                </c:pt>
                <c:pt idx="104">
                  <c:v>3434808</c:v>
                </c:pt>
                <c:pt idx="105">
                  <c:v>3467835</c:v>
                </c:pt>
                <c:pt idx="106">
                  <c:v>3500862</c:v>
                </c:pt>
                <c:pt idx="107">
                  <c:v>3533889</c:v>
                </c:pt>
                <c:pt idx="108">
                  <c:v>3566916</c:v>
                </c:pt>
                <c:pt idx="109">
                  <c:v>3599943</c:v>
                </c:pt>
                <c:pt idx="110">
                  <c:v>3632970</c:v>
                </c:pt>
                <c:pt idx="111">
                  <c:v>3665997</c:v>
                </c:pt>
                <c:pt idx="112">
                  <c:v>3699024</c:v>
                </c:pt>
                <c:pt idx="113">
                  <c:v>3732051</c:v>
                </c:pt>
                <c:pt idx="114">
                  <c:v>3765078</c:v>
                </c:pt>
                <c:pt idx="115">
                  <c:v>3798105</c:v>
                </c:pt>
                <c:pt idx="116">
                  <c:v>3831132</c:v>
                </c:pt>
                <c:pt idx="117">
                  <c:v>3864159</c:v>
                </c:pt>
                <c:pt idx="118">
                  <c:v>3897186</c:v>
                </c:pt>
                <c:pt idx="119">
                  <c:v>3930213</c:v>
                </c:pt>
                <c:pt idx="120">
                  <c:v>3963240</c:v>
                </c:pt>
                <c:pt idx="121">
                  <c:v>3996267</c:v>
                </c:pt>
                <c:pt idx="122">
                  <c:v>4029294</c:v>
                </c:pt>
                <c:pt idx="123">
                  <c:v>4062321</c:v>
                </c:pt>
                <c:pt idx="124">
                  <c:v>4095348</c:v>
                </c:pt>
                <c:pt idx="125">
                  <c:v>4128375</c:v>
                </c:pt>
                <c:pt idx="126">
                  <c:v>4161402</c:v>
                </c:pt>
                <c:pt idx="127">
                  <c:v>4194429</c:v>
                </c:pt>
                <c:pt idx="128">
                  <c:v>4227456</c:v>
                </c:pt>
                <c:pt idx="129">
                  <c:v>4260483</c:v>
                </c:pt>
                <c:pt idx="130">
                  <c:v>4293510</c:v>
                </c:pt>
                <c:pt idx="131">
                  <c:v>4326537</c:v>
                </c:pt>
                <c:pt idx="132">
                  <c:v>4359564</c:v>
                </c:pt>
                <c:pt idx="133">
                  <c:v>4392591</c:v>
                </c:pt>
                <c:pt idx="134">
                  <c:v>4425618</c:v>
                </c:pt>
                <c:pt idx="135">
                  <c:v>4458645</c:v>
                </c:pt>
                <c:pt idx="136">
                  <c:v>4491672</c:v>
                </c:pt>
                <c:pt idx="137">
                  <c:v>4524699</c:v>
                </c:pt>
                <c:pt idx="138">
                  <c:v>4557726</c:v>
                </c:pt>
                <c:pt idx="139">
                  <c:v>4590753</c:v>
                </c:pt>
                <c:pt idx="140">
                  <c:v>4623780</c:v>
                </c:pt>
                <c:pt idx="141">
                  <c:v>4656807</c:v>
                </c:pt>
                <c:pt idx="142">
                  <c:v>4689834</c:v>
                </c:pt>
                <c:pt idx="143">
                  <c:v>4722861</c:v>
                </c:pt>
                <c:pt idx="144">
                  <c:v>4755888</c:v>
                </c:pt>
                <c:pt idx="145">
                  <c:v>4788915</c:v>
                </c:pt>
                <c:pt idx="146">
                  <c:v>4821942</c:v>
                </c:pt>
                <c:pt idx="147">
                  <c:v>4854969</c:v>
                </c:pt>
                <c:pt idx="148">
                  <c:v>4887996</c:v>
                </c:pt>
                <c:pt idx="149">
                  <c:v>4921023</c:v>
                </c:pt>
                <c:pt idx="150">
                  <c:v>4954050</c:v>
                </c:pt>
                <c:pt idx="151">
                  <c:v>4987077</c:v>
                </c:pt>
                <c:pt idx="152">
                  <c:v>5020104</c:v>
                </c:pt>
                <c:pt idx="153">
                  <c:v>5053131</c:v>
                </c:pt>
                <c:pt idx="154">
                  <c:v>5086158</c:v>
                </c:pt>
                <c:pt idx="155">
                  <c:v>5119185</c:v>
                </c:pt>
                <c:pt idx="156">
                  <c:v>5152212</c:v>
                </c:pt>
                <c:pt idx="157">
                  <c:v>5185239</c:v>
                </c:pt>
                <c:pt idx="158">
                  <c:v>5218266</c:v>
                </c:pt>
                <c:pt idx="159">
                  <c:v>5251293</c:v>
                </c:pt>
                <c:pt idx="160">
                  <c:v>5284320</c:v>
                </c:pt>
                <c:pt idx="161">
                  <c:v>5317347</c:v>
                </c:pt>
                <c:pt idx="162">
                  <c:v>5350374</c:v>
                </c:pt>
                <c:pt idx="163">
                  <c:v>5383401</c:v>
                </c:pt>
                <c:pt idx="164">
                  <c:v>5416428</c:v>
                </c:pt>
                <c:pt idx="165">
                  <c:v>5449455</c:v>
                </c:pt>
                <c:pt idx="166">
                  <c:v>5482482</c:v>
                </c:pt>
                <c:pt idx="167">
                  <c:v>5515509</c:v>
                </c:pt>
                <c:pt idx="168">
                  <c:v>5548536</c:v>
                </c:pt>
                <c:pt idx="169">
                  <c:v>5581563</c:v>
                </c:pt>
                <c:pt idx="170">
                  <c:v>5614590</c:v>
                </c:pt>
                <c:pt idx="171">
                  <c:v>5647617</c:v>
                </c:pt>
                <c:pt idx="172">
                  <c:v>5680644</c:v>
                </c:pt>
                <c:pt idx="173">
                  <c:v>5713671</c:v>
                </c:pt>
                <c:pt idx="174">
                  <c:v>5746698</c:v>
                </c:pt>
                <c:pt idx="175">
                  <c:v>5779725</c:v>
                </c:pt>
                <c:pt idx="176">
                  <c:v>5812752</c:v>
                </c:pt>
                <c:pt idx="177">
                  <c:v>5845779</c:v>
                </c:pt>
                <c:pt idx="178">
                  <c:v>5878806</c:v>
                </c:pt>
                <c:pt idx="179">
                  <c:v>5911833</c:v>
                </c:pt>
                <c:pt idx="180">
                  <c:v>5944860</c:v>
                </c:pt>
                <c:pt idx="181">
                  <c:v>5977887</c:v>
                </c:pt>
                <c:pt idx="182">
                  <c:v>6010914</c:v>
                </c:pt>
                <c:pt idx="183">
                  <c:v>6043941</c:v>
                </c:pt>
                <c:pt idx="184">
                  <c:v>6076968</c:v>
                </c:pt>
                <c:pt idx="185">
                  <c:v>6109995</c:v>
                </c:pt>
                <c:pt idx="186">
                  <c:v>6143022</c:v>
                </c:pt>
                <c:pt idx="187">
                  <c:v>6176049</c:v>
                </c:pt>
                <c:pt idx="188">
                  <c:v>6209076</c:v>
                </c:pt>
                <c:pt idx="189">
                  <c:v>6242103</c:v>
                </c:pt>
                <c:pt idx="190">
                  <c:v>6275130</c:v>
                </c:pt>
                <c:pt idx="191">
                  <c:v>6308157</c:v>
                </c:pt>
                <c:pt idx="192">
                  <c:v>6341184</c:v>
                </c:pt>
                <c:pt idx="193">
                  <c:v>6374211</c:v>
                </c:pt>
                <c:pt idx="194">
                  <c:v>6407238</c:v>
                </c:pt>
                <c:pt idx="195">
                  <c:v>6440265</c:v>
                </c:pt>
                <c:pt idx="196">
                  <c:v>6473292</c:v>
                </c:pt>
                <c:pt idx="197">
                  <c:v>6506319</c:v>
                </c:pt>
                <c:pt idx="198">
                  <c:v>6539346</c:v>
                </c:pt>
                <c:pt idx="199">
                  <c:v>6572373</c:v>
                </c:pt>
                <c:pt idx="200">
                  <c:v>6605400</c:v>
                </c:pt>
                <c:pt idx="201">
                  <c:v>6638427</c:v>
                </c:pt>
                <c:pt idx="202">
                  <c:v>6671454</c:v>
                </c:pt>
                <c:pt idx="203">
                  <c:v>6704481</c:v>
                </c:pt>
                <c:pt idx="204">
                  <c:v>6737508</c:v>
                </c:pt>
                <c:pt idx="205">
                  <c:v>6770535</c:v>
                </c:pt>
                <c:pt idx="206">
                  <c:v>6803562</c:v>
                </c:pt>
                <c:pt idx="207">
                  <c:v>6836589</c:v>
                </c:pt>
                <c:pt idx="208">
                  <c:v>6869616</c:v>
                </c:pt>
                <c:pt idx="209">
                  <c:v>6902643</c:v>
                </c:pt>
                <c:pt idx="210">
                  <c:v>6935670</c:v>
                </c:pt>
                <c:pt idx="211">
                  <c:v>6968697</c:v>
                </c:pt>
                <c:pt idx="212">
                  <c:v>7001724</c:v>
                </c:pt>
                <c:pt idx="213">
                  <c:v>7034751</c:v>
                </c:pt>
                <c:pt idx="214">
                  <c:v>7067778</c:v>
                </c:pt>
                <c:pt idx="215">
                  <c:v>7100805</c:v>
                </c:pt>
                <c:pt idx="216">
                  <c:v>7133832</c:v>
                </c:pt>
                <c:pt idx="217">
                  <c:v>7166859</c:v>
                </c:pt>
                <c:pt idx="218">
                  <c:v>7199886</c:v>
                </c:pt>
                <c:pt idx="219">
                  <c:v>7232913</c:v>
                </c:pt>
                <c:pt idx="220">
                  <c:v>7265940</c:v>
                </c:pt>
                <c:pt idx="221">
                  <c:v>7298967</c:v>
                </c:pt>
                <c:pt idx="222">
                  <c:v>7331994</c:v>
                </c:pt>
                <c:pt idx="223">
                  <c:v>7365021</c:v>
                </c:pt>
                <c:pt idx="224">
                  <c:v>7398048</c:v>
                </c:pt>
                <c:pt idx="225">
                  <c:v>7431075</c:v>
                </c:pt>
                <c:pt idx="226">
                  <c:v>7464102</c:v>
                </c:pt>
                <c:pt idx="227">
                  <c:v>7497129</c:v>
                </c:pt>
                <c:pt idx="228">
                  <c:v>7530156</c:v>
                </c:pt>
                <c:pt idx="229">
                  <c:v>7563183</c:v>
                </c:pt>
                <c:pt idx="230">
                  <c:v>7596210</c:v>
                </c:pt>
                <c:pt idx="231">
                  <c:v>7629237</c:v>
                </c:pt>
                <c:pt idx="232">
                  <c:v>7662264</c:v>
                </c:pt>
                <c:pt idx="233">
                  <c:v>7695291</c:v>
                </c:pt>
                <c:pt idx="234">
                  <c:v>7728318</c:v>
                </c:pt>
                <c:pt idx="235">
                  <c:v>7761345</c:v>
                </c:pt>
                <c:pt idx="236">
                  <c:v>7794372</c:v>
                </c:pt>
                <c:pt idx="237">
                  <c:v>7827399</c:v>
                </c:pt>
                <c:pt idx="238">
                  <c:v>7860426</c:v>
                </c:pt>
                <c:pt idx="239">
                  <c:v>7893453</c:v>
                </c:pt>
                <c:pt idx="240">
                  <c:v>7926480</c:v>
                </c:pt>
                <c:pt idx="241">
                  <c:v>7959507</c:v>
                </c:pt>
                <c:pt idx="242">
                  <c:v>7992534</c:v>
                </c:pt>
                <c:pt idx="243">
                  <c:v>8025561</c:v>
                </c:pt>
                <c:pt idx="244">
                  <c:v>8058588</c:v>
                </c:pt>
                <c:pt idx="245">
                  <c:v>8091615</c:v>
                </c:pt>
                <c:pt idx="246">
                  <c:v>8124642</c:v>
                </c:pt>
                <c:pt idx="247">
                  <c:v>8157669</c:v>
                </c:pt>
                <c:pt idx="248">
                  <c:v>8190696</c:v>
                </c:pt>
                <c:pt idx="249">
                  <c:v>8223723</c:v>
                </c:pt>
                <c:pt idx="250">
                  <c:v>8256750</c:v>
                </c:pt>
                <c:pt idx="251">
                  <c:v>8289777</c:v>
                </c:pt>
                <c:pt idx="252">
                  <c:v>8322804</c:v>
                </c:pt>
                <c:pt idx="253">
                  <c:v>8355831</c:v>
                </c:pt>
                <c:pt idx="254">
                  <c:v>8388858</c:v>
                </c:pt>
                <c:pt idx="255">
                  <c:v>8421885</c:v>
                </c:pt>
                <c:pt idx="256">
                  <c:v>8454912</c:v>
                </c:pt>
                <c:pt idx="257">
                  <c:v>8487939</c:v>
                </c:pt>
                <c:pt idx="258">
                  <c:v>8520966</c:v>
                </c:pt>
                <c:pt idx="259">
                  <c:v>8553993</c:v>
                </c:pt>
                <c:pt idx="260">
                  <c:v>8587020</c:v>
                </c:pt>
                <c:pt idx="261">
                  <c:v>8620047</c:v>
                </c:pt>
                <c:pt idx="262">
                  <c:v>8653074</c:v>
                </c:pt>
                <c:pt idx="263">
                  <c:v>8686101</c:v>
                </c:pt>
                <c:pt idx="264">
                  <c:v>8719128</c:v>
                </c:pt>
                <c:pt idx="265">
                  <c:v>8752155</c:v>
                </c:pt>
                <c:pt idx="266">
                  <c:v>8785182</c:v>
                </c:pt>
                <c:pt idx="267">
                  <c:v>8818209</c:v>
                </c:pt>
                <c:pt idx="268">
                  <c:v>8851236</c:v>
                </c:pt>
                <c:pt idx="269">
                  <c:v>8884263</c:v>
                </c:pt>
                <c:pt idx="270">
                  <c:v>8917290</c:v>
                </c:pt>
                <c:pt idx="271">
                  <c:v>8950317</c:v>
                </c:pt>
                <c:pt idx="272">
                  <c:v>8983344</c:v>
                </c:pt>
                <c:pt idx="273">
                  <c:v>9016371</c:v>
                </c:pt>
                <c:pt idx="274">
                  <c:v>9049398</c:v>
                </c:pt>
                <c:pt idx="275">
                  <c:v>9082425</c:v>
                </c:pt>
                <c:pt idx="276">
                  <c:v>9115452</c:v>
                </c:pt>
                <c:pt idx="277">
                  <c:v>9148479</c:v>
                </c:pt>
                <c:pt idx="278">
                  <c:v>9181506</c:v>
                </c:pt>
                <c:pt idx="279">
                  <c:v>9214533</c:v>
                </c:pt>
                <c:pt idx="280">
                  <c:v>9247560</c:v>
                </c:pt>
                <c:pt idx="281">
                  <c:v>9280587</c:v>
                </c:pt>
                <c:pt idx="282">
                  <c:v>9313614</c:v>
                </c:pt>
                <c:pt idx="283">
                  <c:v>9346641</c:v>
                </c:pt>
                <c:pt idx="284">
                  <c:v>9379668</c:v>
                </c:pt>
                <c:pt idx="285">
                  <c:v>9412695</c:v>
                </c:pt>
                <c:pt idx="286">
                  <c:v>9445722</c:v>
                </c:pt>
                <c:pt idx="287">
                  <c:v>9478749</c:v>
                </c:pt>
                <c:pt idx="288">
                  <c:v>9511776</c:v>
                </c:pt>
                <c:pt idx="289">
                  <c:v>9544803</c:v>
                </c:pt>
                <c:pt idx="290">
                  <c:v>9577830</c:v>
                </c:pt>
                <c:pt idx="291">
                  <c:v>9610857</c:v>
                </c:pt>
                <c:pt idx="292">
                  <c:v>9643884</c:v>
                </c:pt>
                <c:pt idx="293">
                  <c:v>9676911</c:v>
                </c:pt>
                <c:pt idx="294">
                  <c:v>9709938</c:v>
                </c:pt>
                <c:pt idx="295">
                  <c:v>9742965</c:v>
                </c:pt>
                <c:pt idx="296">
                  <c:v>9775992</c:v>
                </c:pt>
                <c:pt idx="297">
                  <c:v>9809019</c:v>
                </c:pt>
                <c:pt idx="298">
                  <c:v>9842046</c:v>
                </c:pt>
                <c:pt idx="299">
                  <c:v>9875073</c:v>
                </c:pt>
                <c:pt idx="300">
                  <c:v>9908100</c:v>
                </c:pt>
                <c:pt idx="301">
                  <c:v>9941127</c:v>
                </c:pt>
                <c:pt idx="302">
                  <c:v>9974154</c:v>
                </c:pt>
                <c:pt idx="303">
                  <c:v>10007181</c:v>
                </c:pt>
                <c:pt idx="304">
                  <c:v>10040208</c:v>
                </c:pt>
                <c:pt idx="305">
                  <c:v>10073235</c:v>
                </c:pt>
                <c:pt idx="306">
                  <c:v>10106262</c:v>
                </c:pt>
                <c:pt idx="307">
                  <c:v>10139289</c:v>
                </c:pt>
                <c:pt idx="308">
                  <c:v>10172316</c:v>
                </c:pt>
                <c:pt idx="309">
                  <c:v>10205343</c:v>
                </c:pt>
                <c:pt idx="310">
                  <c:v>10238370</c:v>
                </c:pt>
                <c:pt idx="311">
                  <c:v>10271397</c:v>
                </c:pt>
                <c:pt idx="312">
                  <c:v>10304424</c:v>
                </c:pt>
                <c:pt idx="313">
                  <c:v>10337451</c:v>
                </c:pt>
                <c:pt idx="314">
                  <c:v>10370478</c:v>
                </c:pt>
                <c:pt idx="315">
                  <c:v>10403505</c:v>
                </c:pt>
                <c:pt idx="316">
                  <c:v>10436532</c:v>
                </c:pt>
                <c:pt idx="317">
                  <c:v>10469559</c:v>
                </c:pt>
                <c:pt idx="318">
                  <c:v>10502586</c:v>
                </c:pt>
                <c:pt idx="319">
                  <c:v>10535613</c:v>
                </c:pt>
                <c:pt idx="320">
                  <c:v>10568640</c:v>
                </c:pt>
                <c:pt idx="321">
                  <c:v>10601667</c:v>
                </c:pt>
                <c:pt idx="322">
                  <c:v>10634694</c:v>
                </c:pt>
                <c:pt idx="323">
                  <c:v>10667721</c:v>
                </c:pt>
                <c:pt idx="324">
                  <c:v>10700748</c:v>
                </c:pt>
                <c:pt idx="325">
                  <c:v>10733775</c:v>
                </c:pt>
                <c:pt idx="326">
                  <c:v>10766802</c:v>
                </c:pt>
                <c:pt idx="327">
                  <c:v>10799829</c:v>
                </c:pt>
                <c:pt idx="328">
                  <c:v>10832856</c:v>
                </c:pt>
                <c:pt idx="329">
                  <c:v>10865883</c:v>
                </c:pt>
                <c:pt idx="330">
                  <c:v>10898910</c:v>
                </c:pt>
                <c:pt idx="331">
                  <c:v>10931937</c:v>
                </c:pt>
                <c:pt idx="332">
                  <c:v>10964964</c:v>
                </c:pt>
                <c:pt idx="333">
                  <c:v>10997991</c:v>
                </c:pt>
                <c:pt idx="334">
                  <c:v>11031018</c:v>
                </c:pt>
                <c:pt idx="335">
                  <c:v>11064045</c:v>
                </c:pt>
                <c:pt idx="336">
                  <c:v>11097072</c:v>
                </c:pt>
                <c:pt idx="337">
                  <c:v>11130099</c:v>
                </c:pt>
                <c:pt idx="338">
                  <c:v>11163126</c:v>
                </c:pt>
                <c:pt idx="339">
                  <c:v>11196153</c:v>
                </c:pt>
                <c:pt idx="340">
                  <c:v>11229180</c:v>
                </c:pt>
                <c:pt idx="341">
                  <c:v>11262207</c:v>
                </c:pt>
                <c:pt idx="342">
                  <c:v>11295234</c:v>
                </c:pt>
                <c:pt idx="343">
                  <c:v>11328261</c:v>
                </c:pt>
                <c:pt idx="344">
                  <c:v>11361288</c:v>
                </c:pt>
                <c:pt idx="345">
                  <c:v>11394315</c:v>
                </c:pt>
                <c:pt idx="346">
                  <c:v>11427342</c:v>
                </c:pt>
                <c:pt idx="347">
                  <c:v>11460369</c:v>
                </c:pt>
                <c:pt idx="348">
                  <c:v>11493396</c:v>
                </c:pt>
                <c:pt idx="349">
                  <c:v>11526423</c:v>
                </c:pt>
                <c:pt idx="350">
                  <c:v>11559450</c:v>
                </c:pt>
                <c:pt idx="351">
                  <c:v>11592477</c:v>
                </c:pt>
                <c:pt idx="352">
                  <c:v>11625504</c:v>
                </c:pt>
                <c:pt idx="353">
                  <c:v>11658531</c:v>
                </c:pt>
                <c:pt idx="354">
                  <c:v>11691558</c:v>
                </c:pt>
                <c:pt idx="355">
                  <c:v>11724585</c:v>
                </c:pt>
                <c:pt idx="356">
                  <c:v>11757612</c:v>
                </c:pt>
                <c:pt idx="357">
                  <c:v>11790639</c:v>
                </c:pt>
                <c:pt idx="358">
                  <c:v>11823666</c:v>
                </c:pt>
                <c:pt idx="359">
                  <c:v>11856693</c:v>
                </c:pt>
                <c:pt idx="360">
                  <c:v>11889720</c:v>
                </c:pt>
                <c:pt idx="361">
                  <c:v>11922747</c:v>
                </c:pt>
                <c:pt idx="362">
                  <c:v>11955774</c:v>
                </c:pt>
                <c:pt idx="363">
                  <c:v>11988801</c:v>
                </c:pt>
                <c:pt idx="364">
                  <c:v>12021828</c:v>
                </c:pt>
                <c:pt idx="365">
                  <c:v>12054855</c:v>
                </c:pt>
                <c:pt idx="366">
                  <c:v>12087882</c:v>
                </c:pt>
                <c:pt idx="367">
                  <c:v>12120909</c:v>
                </c:pt>
                <c:pt idx="368">
                  <c:v>12153936</c:v>
                </c:pt>
                <c:pt idx="369">
                  <c:v>12186963</c:v>
                </c:pt>
                <c:pt idx="370">
                  <c:v>12219990</c:v>
                </c:pt>
                <c:pt idx="371">
                  <c:v>12253017</c:v>
                </c:pt>
                <c:pt idx="372">
                  <c:v>12286044</c:v>
                </c:pt>
                <c:pt idx="373">
                  <c:v>12319071</c:v>
                </c:pt>
                <c:pt idx="374">
                  <c:v>12352098</c:v>
                </c:pt>
                <c:pt idx="375">
                  <c:v>12385125</c:v>
                </c:pt>
                <c:pt idx="376">
                  <c:v>12418152</c:v>
                </c:pt>
                <c:pt idx="377">
                  <c:v>12451179</c:v>
                </c:pt>
                <c:pt idx="378">
                  <c:v>12484206</c:v>
                </c:pt>
                <c:pt idx="379">
                  <c:v>12517233</c:v>
                </c:pt>
                <c:pt idx="380">
                  <c:v>12550260</c:v>
                </c:pt>
                <c:pt idx="381">
                  <c:v>12583287</c:v>
                </c:pt>
                <c:pt idx="382">
                  <c:v>12616314</c:v>
                </c:pt>
                <c:pt idx="383">
                  <c:v>12649341</c:v>
                </c:pt>
                <c:pt idx="384">
                  <c:v>12682368</c:v>
                </c:pt>
                <c:pt idx="385">
                  <c:v>12715395</c:v>
                </c:pt>
                <c:pt idx="386">
                  <c:v>12748422</c:v>
                </c:pt>
                <c:pt idx="387">
                  <c:v>12781449</c:v>
                </c:pt>
                <c:pt idx="388">
                  <c:v>12814476</c:v>
                </c:pt>
                <c:pt idx="389">
                  <c:v>12847503</c:v>
                </c:pt>
                <c:pt idx="390">
                  <c:v>12880530</c:v>
                </c:pt>
                <c:pt idx="391">
                  <c:v>12913557</c:v>
                </c:pt>
                <c:pt idx="392">
                  <c:v>12946584</c:v>
                </c:pt>
                <c:pt idx="393">
                  <c:v>12979611</c:v>
                </c:pt>
                <c:pt idx="394">
                  <c:v>13012638</c:v>
                </c:pt>
                <c:pt idx="395">
                  <c:v>13045665</c:v>
                </c:pt>
                <c:pt idx="396">
                  <c:v>13078692</c:v>
                </c:pt>
                <c:pt idx="397">
                  <c:v>13111719</c:v>
                </c:pt>
                <c:pt idx="398">
                  <c:v>13144746</c:v>
                </c:pt>
                <c:pt idx="399">
                  <c:v>13177773</c:v>
                </c:pt>
                <c:pt idx="400">
                  <c:v>13210800</c:v>
                </c:pt>
                <c:pt idx="401">
                  <c:v>13243827</c:v>
                </c:pt>
                <c:pt idx="402">
                  <c:v>13276854</c:v>
                </c:pt>
                <c:pt idx="403">
                  <c:v>13309881</c:v>
                </c:pt>
                <c:pt idx="404">
                  <c:v>13342908</c:v>
                </c:pt>
                <c:pt idx="405">
                  <c:v>13375935</c:v>
                </c:pt>
                <c:pt idx="406">
                  <c:v>13408962</c:v>
                </c:pt>
                <c:pt idx="407">
                  <c:v>13441989</c:v>
                </c:pt>
                <c:pt idx="408">
                  <c:v>13475016</c:v>
                </c:pt>
                <c:pt idx="409">
                  <c:v>13508043</c:v>
                </c:pt>
                <c:pt idx="410">
                  <c:v>13541070</c:v>
                </c:pt>
                <c:pt idx="411">
                  <c:v>13574097</c:v>
                </c:pt>
                <c:pt idx="412">
                  <c:v>13607124</c:v>
                </c:pt>
                <c:pt idx="413">
                  <c:v>13640151</c:v>
                </c:pt>
                <c:pt idx="414">
                  <c:v>13673178</c:v>
                </c:pt>
                <c:pt idx="415">
                  <c:v>13706205</c:v>
                </c:pt>
                <c:pt idx="416">
                  <c:v>13739232</c:v>
                </c:pt>
                <c:pt idx="417">
                  <c:v>13772259</c:v>
                </c:pt>
                <c:pt idx="418">
                  <c:v>13805286</c:v>
                </c:pt>
                <c:pt idx="419">
                  <c:v>13838313</c:v>
                </c:pt>
                <c:pt idx="420">
                  <c:v>13871340</c:v>
                </c:pt>
                <c:pt idx="421">
                  <c:v>13904367</c:v>
                </c:pt>
                <c:pt idx="422">
                  <c:v>13937394</c:v>
                </c:pt>
                <c:pt idx="423">
                  <c:v>13970421</c:v>
                </c:pt>
                <c:pt idx="424">
                  <c:v>14003448</c:v>
                </c:pt>
                <c:pt idx="425">
                  <c:v>14036475</c:v>
                </c:pt>
                <c:pt idx="426">
                  <c:v>14069502</c:v>
                </c:pt>
                <c:pt idx="427">
                  <c:v>14102529</c:v>
                </c:pt>
                <c:pt idx="428">
                  <c:v>14135556</c:v>
                </c:pt>
                <c:pt idx="429">
                  <c:v>14168583</c:v>
                </c:pt>
                <c:pt idx="430">
                  <c:v>14201610</c:v>
                </c:pt>
                <c:pt idx="431">
                  <c:v>14234637</c:v>
                </c:pt>
                <c:pt idx="432">
                  <c:v>14267664</c:v>
                </c:pt>
                <c:pt idx="433">
                  <c:v>14300691</c:v>
                </c:pt>
                <c:pt idx="434">
                  <c:v>14333718</c:v>
                </c:pt>
                <c:pt idx="435">
                  <c:v>14366745</c:v>
                </c:pt>
                <c:pt idx="436">
                  <c:v>14399772</c:v>
                </c:pt>
                <c:pt idx="437">
                  <c:v>14432799</c:v>
                </c:pt>
                <c:pt idx="438">
                  <c:v>14465826</c:v>
                </c:pt>
                <c:pt idx="439">
                  <c:v>14498853</c:v>
                </c:pt>
                <c:pt idx="440">
                  <c:v>14531880</c:v>
                </c:pt>
                <c:pt idx="441">
                  <c:v>14564907</c:v>
                </c:pt>
                <c:pt idx="442">
                  <c:v>14597934</c:v>
                </c:pt>
                <c:pt idx="443">
                  <c:v>14630961</c:v>
                </c:pt>
                <c:pt idx="444">
                  <c:v>14663988</c:v>
                </c:pt>
                <c:pt idx="445">
                  <c:v>14697015</c:v>
                </c:pt>
                <c:pt idx="446">
                  <c:v>14730042</c:v>
                </c:pt>
                <c:pt idx="447">
                  <c:v>14763069</c:v>
                </c:pt>
                <c:pt idx="448">
                  <c:v>14796096</c:v>
                </c:pt>
                <c:pt idx="449">
                  <c:v>14829123</c:v>
                </c:pt>
                <c:pt idx="450">
                  <c:v>14862150</c:v>
                </c:pt>
                <c:pt idx="451">
                  <c:v>14895177</c:v>
                </c:pt>
                <c:pt idx="452">
                  <c:v>14928204</c:v>
                </c:pt>
                <c:pt idx="453">
                  <c:v>14961231</c:v>
                </c:pt>
                <c:pt idx="454">
                  <c:v>14994258</c:v>
                </c:pt>
                <c:pt idx="455">
                  <c:v>15027285</c:v>
                </c:pt>
                <c:pt idx="456">
                  <c:v>15060312</c:v>
                </c:pt>
                <c:pt idx="457">
                  <c:v>15093339</c:v>
                </c:pt>
                <c:pt idx="458">
                  <c:v>15126366</c:v>
                </c:pt>
                <c:pt idx="459">
                  <c:v>15159393</c:v>
                </c:pt>
                <c:pt idx="460">
                  <c:v>15192420</c:v>
                </c:pt>
                <c:pt idx="461">
                  <c:v>15225447</c:v>
                </c:pt>
                <c:pt idx="462">
                  <c:v>15258474</c:v>
                </c:pt>
                <c:pt idx="463">
                  <c:v>15291501</c:v>
                </c:pt>
                <c:pt idx="464">
                  <c:v>15324528</c:v>
                </c:pt>
                <c:pt idx="465">
                  <c:v>15357555</c:v>
                </c:pt>
                <c:pt idx="466">
                  <c:v>15390582</c:v>
                </c:pt>
                <c:pt idx="467">
                  <c:v>15423609</c:v>
                </c:pt>
                <c:pt idx="468">
                  <c:v>15456636</c:v>
                </c:pt>
                <c:pt idx="469">
                  <c:v>15489663</c:v>
                </c:pt>
                <c:pt idx="470">
                  <c:v>15522690</c:v>
                </c:pt>
                <c:pt idx="471">
                  <c:v>15555717</c:v>
                </c:pt>
                <c:pt idx="472">
                  <c:v>15588744</c:v>
                </c:pt>
                <c:pt idx="473">
                  <c:v>15621771</c:v>
                </c:pt>
                <c:pt idx="474">
                  <c:v>15654798</c:v>
                </c:pt>
                <c:pt idx="475">
                  <c:v>15687825</c:v>
                </c:pt>
                <c:pt idx="476">
                  <c:v>15720852</c:v>
                </c:pt>
                <c:pt idx="477">
                  <c:v>15753879</c:v>
                </c:pt>
                <c:pt idx="478">
                  <c:v>15786906</c:v>
                </c:pt>
                <c:pt idx="479">
                  <c:v>15819933</c:v>
                </c:pt>
                <c:pt idx="480">
                  <c:v>15852960</c:v>
                </c:pt>
                <c:pt idx="481">
                  <c:v>15885987</c:v>
                </c:pt>
                <c:pt idx="482">
                  <c:v>15919014</c:v>
                </c:pt>
                <c:pt idx="483">
                  <c:v>15952041</c:v>
                </c:pt>
                <c:pt idx="484">
                  <c:v>15985068</c:v>
                </c:pt>
                <c:pt idx="485">
                  <c:v>16018095</c:v>
                </c:pt>
                <c:pt idx="486">
                  <c:v>16051122</c:v>
                </c:pt>
                <c:pt idx="487">
                  <c:v>16084149</c:v>
                </c:pt>
                <c:pt idx="488">
                  <c:v>16117176</c:v>
                </c:pt>
                <c:pt idx="489">
                  <c:v>16150203</c:v>
                </c:pt>
                <c:pt idx="490">
                  <c:v>16183230</c:v>
                </c:pt>
                <c:pt idx="491">
                  <c:v>16216257</c:v>
                </c:pt>
                <c:pt idx="492">
                  <c:v>16249284</c:v>
                </c:pt>
                <c:pt idx="493">
                  <c:v>16282311</c:v>
                </c:pt>
                <c:pt idx="494">
                  <c:v>16315338</c:v>
                </c:pt>
                <c:pt idx="495">
                  <c:v>16348365</c:v>
                </c:pt>
                <c:pt idx="496">
                  <c:v>16381392</c:v>
                </c:pt>
                <c:pt idx="497">
                  <c:v>16414419</c:v>
                </c:pt>
                <c:pt idx="498">
                  <c:v>16447446</c:v>
                </c:pt>
                <c:pt idx="499">
                  <c:v>16480473</c:v>
                </c:pt>
                <c:pt idx="500">
                  <c:v>16513500</c:v>
                </c:pt>
                <c:pt idx="501">
                  <c:v>16546527</c:v>
                </c:pt>
                <c:pt idx="502">
                  <c:v>16579554</c:v>
                </c:pt>
                <c:pt idx="503">
                  <c:v>16612581</c:v>
                </c:pt>
                <c:pt idx="504">
                  <c:v>16645608</c:v>
                </c:pt>
                <c:pt idx="505">
                  <c:v>16678635</c:v>
                </c:pt>
                <c:pt idx="506">
                  <c:v>16711662</c:v>
                </c:pt>
                <c:pt idx="507">
                  <c:v>16744689</c:v>
                </c:pt>
                <c:pt idx="508">
                  <c:v>16777716</c:v>
                </c:pt>
                <c:pt idx="509">
                  <c:v>16810743</c:v>
                </c:pt>
                <c:pt idx="510">
                  <c:v>16843770</c:v>
                </c:pt>
                <c:pt idx="511">
                  <c:v>16876797</c:v>
                </c:pt>
                <c:pt idx="512">
                  <c:v>16909824</c:v>
                </c:pt>
                <c:pt idx="513">
                  <c:v>16942851</c:v>
                </c:pt>
                <c:pt idx="514">
                  <c:v>16975878</c:v>
                </c:pt>
                <c:pt idx="515">
                  <c:v>17008905</c:v>
                </c:pt>
                <c:pt idx="516">
                  <c:v>17041932</c:v>
                </c:pt>
                <c:pt idx="517">
                  <c:v>17074959</c:v>
                </c:pt>
                <c:pt idx="518">
                  <c:v>17107986</c:v>
                </c:pt>
                <c:pt idx="519">
                  <c:v>17141013</c:v>
                </c:pt>
                <c:pt idx="520">
                  <c:v>17174040</c:v>
                </c:pt>
                <c:pt idx="521">
                  <c:v>17207067</c:v>
                </c:pt>
                <c:pt idx="522">
                  <c:v>17240094</c:v>
                </c:pt>
                <c:pt idx="523">
                  <c:v>17273121</c:v>
                </c:pt>
                <c:pt idx="524">
                  <c:v>17306148</c:v>
                </c:pt>
                <c:pt idx="525">
                  <c:v>17339175</c:v>
                </c:pt>
                <c:pt idx="526">
                  <c:v>17372202</c:v>
                </c:pt>
                <c:pt idx="527">
                  <c:v>17405229</c:v>
                </c:pt>
                <c:pt idx="528">
                  <c:v>17438256</c:v>
                </c:pt>
                <c:pt idx="529">
                  <c:v>17471283</c:v>
                </c:pt>
                <c:pt idx="530">
                  <c:v>17504310</c:v>
                </c:pt>
                <c:pt idx="531">
                  <c:v>17537337</c:v>
                </c:pt>
                <c:pt idx="532">
                  <c:v>17570364</c:v>
                </c:pt>
                <c:pt idx="533">
                  <c:v>17603391</c:v>
                </c:pt>
                <c:pt idx="534">
                  <c:v>17636418</c:v>
                </c:pt>
                <c:pt idx="535">
                  <c:v>17669445</c:v>
                </c:pt>
                <c:pt idx="536">
                  <c:v>17702472</c:v>
                </c:pt>
                <c:pt idx="537">
                  <c:v>17735499</c:v>
                </c:pt>
                <c:pt idx="538">
                  <c:v>17768526</c:v>
                </c:pt>
                <c:pt idx="539">
                  <c:v>17801553</c:v>
                </c:pt>
                <c:pt idx="540">
                  <c:v>17834580</c:v>
                </c:pt>
                <c:pt idx="541">
                  <c:v>17867607</c:v>
                </c:pt>
                <c:pt idx="542">
                  <c:v>17900634</c:v>
                </c:pt>
                <c:pt idx="543">
                  <c:v>17933661</c:v>
                </c:pt>
                <c:pt idx="544">
                  <c:v>17966688</c:v>
                </c:pt>
                <c:pt idx="545">
                  <c:v>17999715</c:v>
                </c:pt>
                <c:pt idx="546">
                  <c:v>18032742</c:v>
                </c:pt>
                <c:pt idx="547">
                  <c:v>18065769</c:v>
                </c:pt>
                <c:pt idx="548">
                  <c:v>18098796</c:v>
                </c:pt>
                <c:pt idx="549">
                  <c:v>18131823</c:v>
                </c:pt>
                <c:pt idx="550">
                  <c:v>18164850</c:v>
                </c:pt>
                <c:pt idx="551">
                  <c:v>18197877</c:v>
                </c:pt>
                <c:pt idx="552">
                  <c:v>18230904</c:v>
                </c:pt>
                <c:pt idx="553">
                  <c:v>18263931</c:v>
                </c:pt>
                <c:pt idx="554">
                  <c:v>18296958</c:v>
                </c:pt>
                <c:pt idx="555">
                  <c:v>18329985</c:v>
                </c:pt>
                <c:pt idx="556">
                  <c:v>18363012</c:v>
                </c:pt>
                <c:pt idx="557">
                  <c:v>18396039</c:v>
                </c:pt>
                <c:pt idx="558">
                  <c:v>18429066</c:v>
                </c:pt>
                <c:pt idx="559">
                  <c:v>18462093</c:v>
                </c:pt>
                <c:pt idx="560">
                  <c:v>18495120</c:v>
                </c:pt>
                <c:pt idx="561">
                  <c:v>18528147</c:v>
                </c:pt>
                <c:pt idx="562">
                  <c:v>18561174</c:v>
                </c:pt>
                <c:pt idx="563">
                  <c:v>18594201</c:v>
                </c:pt>
                <c:pt idx="564">
                  <c:v>18627228</c:v>
                </c:pt>
                <c:pt idx="565">
                  <c:v>18660255</c:v>
                </c:pt>
                <c:pt idx="566">
                  <c:v>18693282</c:v>
                </c:pt>
                <c:pt idx="567">
                  <c:v>18726309</c:v>
                </c:pt>
                <c:pt idx="568">
                  <c:v>18759336</c:v>
                </c:pt>
                <c:pt idx="569">
                  <c:v>18792363</c:v>
                </c:pt>
                <c:pt idx="570">
                  <c:v>18825390</c:v>
                </c:pt>
                <c:pt idx="571">
                  <c:v>18858417</c:v>
                </c:pt>
                <c:pt idx="572">
                  <c:v>18891444</c:v>
                </c:pt>
                <c:pt idx="573">
                  <c:v>18924471</c:v>
                </c:pt>
                <c:pt idx="574">
                  <c:v>18957498</c:v>
                </c:pt>
                <c:pt idx="575">
                  <c:v>18990525</c:v>
                </c:pt>
                <c:pt idx="576">
                  <c:v>19023552</c:v>
                </c:pt>
                <c:pt idx="577">
                  <c:v>19056579</c:v>
                </c:pt>
                <c:pt idx="578">
                  <c:v>19089606</c:v>
                </c:pt>
                <c:pt idx="579">
                  <c:v>19122633</c:v>
                </c:pt>
                <c:pt idx="580">
                  <c:v>19155660</c:v>
                </c:pt>
                <c:pt idx="581">
                  <c:v>19188687</c:v>
                </c:pt>
                <c:pt idx="582">
                  <c:v>19221714</c:v>
                </c:pt>
                <c:pt idx="583">
                  <c:v>19254741</c:v>
                </c:pt>
                <c:pt idx="584">
                  <c:v>19287768</c:v>
                </c:pt>
                <c:pt idx="585">
                  <c:v>19320795</c:v>
                </c:pt>
                <c:pt idx="586">
                  <c:v>19353822</c:v>
                </c:pt>
                <c:pt idx="587">
                  <c:v>19386849</c:v>
                </c:pt>
                <c:pt idx="588">
                  <c:v>19419876</c:v>
                </c:pt>
                <c:pt idx="589">
                  <c:v>19452903</c:v>
                </c:pt>
                <c:pt idx="590">
                  <c:v>19485930</c:v>
                </c:pt>
                <c:pt idx="591">
                  <c:v>19518957</c:v>
                </c:pt>
                <c:pt idx="592">
                  <c:v>19551984</c:v>
                </c:pt>
                <c:pt idx="593">
                  <c:v>19585011</c:v>
                </c:pt>
                <c:pt idx="594">
                  <c:v>19618038</c:v>
                </c:pt>
                <c:pt idx="595">
                  <c:v>19651065</c:v>
                </c:pt>
                <c:pt idx="596">
                  <c:v>19684092</c:v>
                </c:pt>
                <c:pt idx="597">
                  <c:v>19717119</c:v>
                </c:pt>
                <c:pt idx="598">
                  <c:v>19750146</c:v>
                </c:pt>
                <c:pt idx="599">
                  <c:v>19783173</c:v>
                </c:pt>
                <c:pt idx="600">
                  <c:v>19816200</c:v>
                </c:pt>
                <c:pt idx="601">
                  <c:v>19849227</c:v>
                </c:pt>
                <c:pt idx="602">
                  <c:v>19882254</c:v>
                </c:pt>
                <c:pt idx="603">
                  <c:v>19915281</c:v>
                </c:pt>
                <c:pt idx="604">
                  <c:v>19948308</c:v>
                </c:pt>
                <c:pt idx="605">
                  <c:v>19981335</c:v>
                </c:pt>
                <c:pt idx="606">
                  <c:v>20014362</c:v>
                </c:pt>
                <c:pt idx="607">
                  <c:v>20047389</c:v>
                </c:pt>
                <c:pt idx="608">
                  <c:v>20080416</c:v>
                </c:pt>
                <c:pt idx="609">
                  <c:v>20113443</c:v>
                </c:pt>
                <c:pt idx="610">
                  <c:v>20146470</c:v>
                </c:pt>
                <c:pt idx="611">
                  <c:v>20179497</c:v>
                </c:pt>
                <c:pt idx="612">
                  <c:v>20212524</c:v>
                </c:pt>
                <c:pt idx="613">
                  <c:v>20245551</c:v>
                </c:pt>
                <c:pt idx="614">
                  <c:v>20278578</c:v>
                </c:pt>
                <c:pt idx="615">
                  <c:v>20311605</c:v>
                </c:pt>
                <c:pt idx="616">
                  <c:v>20344632</c:v>
                </c:pt>
                <c:pt idx="617">
                  <c:v>20377659</c:v>
                </c:pt>
                <c:pt idx="618">
                  <c:v>20410686</c:v>
                </c:pt>
                <c:pt idx="619">
                  <c:v>20443713</c:v>
                </c:pt>
                <c:pt idx="620">
                  <c:v>20476740</c:v>
                </c:pt>
                <c:pt idx="621">
                  <c:v>20509767</c:v>
                </c:pt>
                <c:pt idx="622">
                  <c:v>20542794</c:v>
                </c:pt>
                <c:pt idx="623">
                  <c:v>20575821</c:v>
                </c:pt>
                <c:pt idx="624">
                  <c:v>20608848</c:v>
                </c:pt>
                <c:pt idx="625">
                  <c:v>20641875</c:v>
                </c:pt>
                <c:pt idx="626">
                  <c:v>20674902</c:v>
                </c:pt>
                <c:pt idx="627">
                  <c:v>20707929</c:v>
                </c:pt>
                <c:pt idx="628">
                  <c:v>20740956</c:v>
                </c:pt>
                <c:pt idx="629">
                  <c:v>20773983</c:v>
                </c:pt>
                <c:pt idx="630">
                  <c:v>20807010</c:v>
                </c:pt>
                <c:pt idx="631">
                  <c:v>20840037</c:v>
                </c:pt>
                <c:pt idx="632">
                  <c:v>20873064</c:v>
                </c:pt>
                <c:pt idx="633">
                  <c:v>20906091</c:v>
                </c:pt>
                <c:pt idx="634">
                  <c:v>20939118</c:v>
                </c:pt>
                <c:pt idx="635">
                  <c:v>20972145</c:v>
                </c:pt>
                <c:pt idx="636">
                  <c:v>21005172</c:v>
                </c:pt>
                <c:pt idx="637">
                  <c:v>21038199</c:v>
                </c:pt>
                <c:pt idx="638">
                  <c:v>21071226</c:v>
                </c:pt>
                <c:pt idx="639">
                  <c:v>21104253</c:v>
                </c:pt>
                <c:pt idx="640">
                  <c:v>21137280</c:v>
                </c:pt>
                <c:pt idx="641">
                  <c:v>21170307</c:v>
                </c:pt>
                <c:pt idx="642">
                  <c:v>21203334</c:v>
                </c:pt>
                <c:pt idx="643">
                  <c:v>21236361</c:v>
                </c:pt>
                <c:pt idx="644">
                  <c:v>21269388</c:v>
                </c:pt>
                <c:pt idx="645">
                  <c:v>21302415</c:v>
                </c:pt>
                <c:pt idx="646">
                  <c:v>21335442</c:v>
                </c:pt>
                <c:pt idx="647">
                  <c:v>21368469</c:v>
                </c:pt>
                <c:pt idx="648">
                  <c:v>21401496</c:v>
                </c:pt>
                <c:pt idx="649">
                  <c:v>21434523</c:v>
                </c:pt>
                <c:pt idx="650">
                  <c:v>21467550</c:v>
                </c:pt>
                <c:pt idx="651">
                  <c:v>21500577</c:v>
                </c:pt>
                <c:pt idx="652">
                  <c:v>21533604</c:v>
                </c:pt>
                <c:pt idx="653">
                  <c:v>21566631</c:v>
                </c:pt>
                <c:pt idx="654">
                  <c:v>21599658</c:v>
                </c:pt>
                <c:pt idx="655">
                  <c:v>21632685</c:v>
                </c:pt>
                <c:pt idx="656">
                  <c:v>21665712</c:v>
                </c:pt>
                <c:pt idx="657">
                  <c:v>21698739</c:v>
                </c:pt>
                <c:pt idx="658">
                  <c:v>21731766</c:v>
                </c:pt>
                <c:pt idx="659">
                  <c:v>21764793</c:v>
                </c:pt>
                <c:pt idx="660">
                  <c:v>21797820</c:v>
                </c:pt>
                <c:pt idx="661">
                  <c:v>21830847</c:v>
                </c:pt>
                <c:pt idx="662">
                  <c:v>21863874</c:v>
                </c:pt>
                <c:pt idx="663">
                  <c:v>21896901</c:v>
                </c:pt>
                <c:pt idx="664">
                  <c:v>21929928</c:v>
                </c:pt>
                <c:pt idx="665">
                  <c:v>21962955</c:v>
                </c:pt>
                <c:pt idx="666">
                  <c:v>21995982</c:v>
                </c:pt>
                <c:pt idx="667">
                  <c:v>22029009</c:v>
                </c:pt>
                <c:pt idx="668">
                  <c:v>22062036</c:v>
                </c:pt>
                <c:pt idx="669">
                  <c:v>22095063</c:v>
                </c:pt>
                <c:pt idx="670">
                  <c:v>22128090</c:v>
                </c:pt>
                <c:pt idx="671">
                  <c:v>22161117</c:v>
                </c:pt>
                <c:pt idx="672">
                  <c:v>22194144</c:v>
                </c:pt>
                <c:pt idx="673">
                  <c:v>22227171</c:v>
                </c:pt>
                <c:pt idx="674">
                  <c:v>22260198</c:v>
                </c:pt>
                <c:pt idx="675">
                  <c:v>22293225</c:v>
                </c:pt>
                <c:pt idx="676">
                  <c:v>22326252</c:v>
                </c:pt>
                <c:pt idx="677">
                  <c:v>22359279</c:v>
                </c:pt>
                <c:pt idx="678">
                  <c:v>22392306</c:v>
                </c:pt>
                <c:pt idx="679">
                  <c:v>22425333</c:v>
                </c:pt>
                <c:pt idx="680">
                  <c:v>22458360</c:v>
                </c:pt>
                <c:pt idx="681">
                  <c:v>22491387</c:v>
                </c:pt>
                <c:pt idx="682">
                  <c:v>22524414</c:v>
                </c:pt>
                <c:pt idx="683">
                  <c:v>22557441</c:v>
                </c:pt>
                <c:pt idx="684">
                  <c:v>22590468</c:v>
                </c:pt>
                <c:pt idx="685">
                  <c:v>22623495</c:v>
                </c:pt>
                <c:pt idx="686">
                  <c:v>22656522</c:v>
                </c:pt>
                <c:pt idx="687">
                  <c:v>22689549</c:v>
                </c:pt>
                <c:pt idx="688">
                  <c:v>22722576</c:v>
                </c:pt>
                <c:pt idx="689">
                  <c:v>22755603</c:v>
                </c:pt>
                <c:pt idx="690">
                  <c:v>22788630</c:v>
                </c:pt>
                <c:pt idx="691">
                  <c:v>22821657</c:v>
                </c:pt>
                <c:pt idx="692">
                  <c:v>22854684</c:v>
                </c:pt>
                <c:pt idx="693">
                  <c:v>22887711</c:v>
                </c:pt>
                <c:pt idx="694">
                  <c:v>22920738</c:v>
                </c:pt>
                <c:pt idx="695">
                  <c:v>22953765</c:v>
                </c:pt>
                <c:pt idx="696">
                  <c:v>22986792</c:v>
                </c:pt>
                <c:pt idx="697">
                  <c:v>23019819</c:v>
                </c:pt>
                <c:pt idx="698">
                  <c:v>23052846</c:v>
                </c:pt>
                <c:pt idx="699">
                  <c:v>23085873</c:v>
                </c:pt>
                <c:pt idx="700">
                  <c:v>23118900</c:v>
                </c:pt>
                <c:pt idx="701">
                  <c:v>23151927</c:v>
                </c:pt>
                <c:pt idx="702">
                  <c:v>23184954</c:v>
                </c:pt>
                <c:pt idx="703">
                  <c:v>23217981</c:v>
                </c:pt>
                <c:pt idx="704">
                  <c:v>23251008</c:v>
                </c:pt>
                <c:pt idx="705">
                  <c:v>23284035</c:v>
                </c:pt>
                <c:pt idx="706">
                  <c:v>23317062</c:v>
                </c:pt>
                <c:pt idx="707">
                  <c:v>23350089</c:v>
                </c:pt>
                <c:pt idx="708">
                  <c:v>23383116</c:v>
                </c:pt>
                <c:pt idx="709">
                  <c:v>23416143</c:v>
                </c:pt>
                <c:pt idx="710">
                  <c:v>23449170</c:v>
                </c:pt>
                <c:pt idx="711">
                  <c:v>23482197</c:v>
                </c:pt>
                <c:pt idx="712">
                  <c:v>23515224</c:v>
                </c:pt>
                <c:pt idx="713">
                  <c:v>23548251</c:v>
                </c:pt>
                <c:pt idx="714">
                  <c:v>23581278</c:v>
                </c:pt>
                <c:pt idx="715">
                  <c:v>23614305</c:v>
                </c:pt>
                <c:pt idx="716">
                  <c:v>23647332</c:v>
                </c:pt>
                <c:pt idx="717">
                  <c:v>23680359</c:v>
                </c:pt>
                <c:pt idx="718">
                  <c:v>23713386</c:v>
                </c:pt>
                <c:pt idx="719">
                  <c:v>23746413</c:v>
                </c:pt>
                <c:pt idx="720">
                  <c:v>23779440</c:v>
                </c:pt>
                <c:pt idx="721">
                  <c:v>23812467</c:v>
                </c:pt>
                <c:pt idx="722">
                  <c:v>23845494</c:v>
                </c:pt>
                <c:pt idx="723">
                  <c:v>23878521</c:v>
                </c:pt>
                <c:pt idx="724">
                  <c:v>23911548</c:v>
                </c:pt>
                <c:pt idx="725">
                  <c:v>23944575</c:v>
                </c:pt>
                <c:pt idx="726">
                  <c:v>23977602</c:v>
                </c:pt>
                <c:pt idx="727">
                  <c:v>24010629</c:v>
                </c:pt>
                <c:pt idx="728">
                  <c:v>24043656</c:v>
                </c:pt>
                <c:pt idx="729">
                  <c:v>24076683</c:v>
                </c:pt>
                <c:pt idx="730">
                  <c:v>24109710</c:v>
                </c:pt>
                <c:pt idx="731">
                  <c:v>24142737</c:v>
                </c:pt>
                <c:pt idx="732">
                  <c:v>24175764</c:v>
                </c:pt>
                <c:pt idx="733">
                  <c:v>24208791</c:v>
                </c:pt>
                <c:pt idx="734">
                  <c:v>24241818</c:v>
                </c:pt>
                <c:pt idx="735">
                  <c:v>24274845</c:v>
                </c:pt>
                <c:pt idx="736">
                  <c:v>24307872</c:v>
                </c:pt>
                <c:pt idx="737">
                  <c:v>24340899</c:v>
                </c:pt>
                <c:pt idx="738">
                  <c:v>24373926</c:v>
                </c:pt>
                <c:pt idx="739">
                  <c:v>24406953</c:v>
                </c:pt>
                <c:pt idx="740">
                  <c:v>24439980</c:v>
                </c:pt>
                <c:pt idx="741">
                  <c:v>24473007</c:v>
                </c:pt>
                <c:pt idx="742">
                  <c:v>24506034</c:v>
                </c:pt>
                <c:pt idx="743">
                  <c:v>24539061</c:v>
                </c:pt>
                <c:pt idx="744">
                  <c:v>24572088</c:v>
                </c:pt>
                <c:pt idx="745">
                  <c:v>24605115</c:v>
                </c:pt>
                <c:pt idx="746">
                  <c:v>24638142</c:v>
                </c:pt>
                <c:pt idx="747">
                  <c:v>24671169</c:v>
                </c:pt>
                <c:pt idx="748">
                  <c:v>24704196</c:v>
                </c:pt>
                <c:pt idx="749">
                  <c:v>24737223</c:v>
                </c:pt>
                <c:pt idx="750">
                  <c:v>24770250</c:v>
                </c:pt>
                <c:pt idx="751">
                  <c:v>24803277</c:v>
                </c:pt>
                <c:pt idx="752">
                  <c:v>24836304</c:v>
                </c:pt>
                <c:pt idx="753">
                  <c:v>24869331</c:v>
                </c:pt>
                <c:pt idx="754">
                  <c:v>24902358</c:v>
                </c:pt>
                <c:pt idx="755">
                  <c:v>24935385</c:v>
                </c:pt>
                <c:pt idx="756">
                  <c:v>24968412</c:v>
                </c:pt>
                <c:pt idx="757">
                  <c:v>25001439</c:v>
                </c:pt>
                <c:pt idx="758">
                  <c:v>25034466</c:v>
                </c:pt>
                <c:pt idx="759">
                  <c:v>25067493</c:v>
                </c:pt>
                <c:pt idx="760">
                  <c:v>25100520</c:v>
                </c:pt>
                <c:pt idx="761">
                  <c:v>25133547</c:v>
                </c:pt>
                <c:pt idx="762">
                  <c:v>25166574</c:v>
                </c:pt>
                <c:pt idx="763">
                  <c:v>25199601</c:v>
                </c:pt>
                <c:pt idx="764">
                  <c:v>25232628</c:v>
                </c:pt>
                <c:pt idx="765">
                  <c:v>25265655</c:v>
                </c:pt>
                <c:pt idx="766">
                  <c:v>25298682</c:v>
                </c:pt>
                <c:pt idx="767">
                  <c:v>25331709</c:v>
                </c:pt>
                <c:pt idx="768">
                  <c:v>25364736</c:v>
                </c:pt>
                <c:pt idx="769">
                  <c:v>25397763</c:v>
                </c:pt>
                <c:pt idx="770">
                  <c:v>25430790</c:v>
                </c:pt>
                <c:pt idx="771">
                  <c:v>25463817</c:v>
                </c:pt>
                <c:pt idx="772">
                  <c:v>25496844</c:v>
                </c:pt>
                <c:pt idx="773">
                  <c:v>25529871</c:v>
                </c:pt>
                <c:pt idx="774">
                  <c:v>25562898</c:v>
                </c:pt>
                <c:pt idx="775">
                  <c:v>25595925</c:v>
                </c:pt>
                <c:pt idx="776">
                  <c:v>25628952</c:v>
                </c:pt>
                <c:pt idx="777">
                  <c:v>25661979</c:v>
                </c:pt>
                <c:pt idx="778">
                  <c:v>25695006</c:v>
                </c:pt>
                <c:pt idx="779">
                  <c:v>25728033</c:v>
                </c:pt>
                <c:pt idx="780">
                  <c:v>25761060</c:v>
                </c:pt>
                <c:pt idx="781">
                  <c:v>25794087</c:v>
                </c:pt>
                <c:pt idx="782">
                  <c:v>25827114</c:v>
                </c:pt>
                <c:pt idx="783">
                  <c:v>25860141</c:v>
                </c:pt>
                <c:pt idx="784">
                  <c:v>25893168</c:v>
                </c:pt>
                <c:pt idx="785">
                  <c:v>25926195</c:v>
                </c:pt>
                <c:pt idx="786">
                  <c:v>25959222</c:v>
                </c:pt>
                <c:pt idx="787">
                  <c:v>25992249</c:v>
                </c:pt>
                <c:pt idx="788">
                  <c:v>26025276</c:v>
                </c:pt>
                <c:pt idx="789">
                  <c:v>26058303</c:v>
                </c:pt>
                <c:pt idx="790">
                  <c:v>26091330</c:v>
                </c:pt>
                <c:pt idx="791">
                  <c:v>26124357</c:v>
                </c:pt>
                <c:pt idx="792">
                  <c:v>26157384</c:v>
                </c:pt>
                <c:pt idx="793">
                  <c:v>26190411</c:v>
                </c:pt>
                <c:pt idx="794">
                  <c:v>26223438</c:v>
                </c:pt>
                <c:pt idx="795">
                  <c:v>26256465</c:v>
                </c:pt>
                <c:pt idx="796">
                  <c:v>26289492</c:v>
                </c:pt>
                <c:pt idx="797">
                  <c:v>26322519</c:v>
                </c:pt>
                <c:pt idx="798">
                  <c:v>26355546</c:v>
                </c:pt>
                <c:pt idx="799">
                  <c:v>26388573</c:v>
                </c:pt>
                <c:pt idx="800">
                  <c:v>26421600</c:v>
                </c:pt>
                <c:pt idx="801">
                  <c:v>26454627</c:v>
                </c:pt>
                <c:pt idx="802">
                  <c:v>26487654</c:v>
                </c:pt>
                <c:pt idx="803">
                  <c:v>26520681</c:v>
                </c:pt>
                <c:pt idx="804">
                  <c:v>26553708</c:v>
                </c:pt>
                <c:pt idx="805">
                  <c:v>26586735</c:v>
                </c:pt>
                <c:pt idx="806">
                  <c:v>26619762</c:v>
                </c:pt>
                <c:pt idx="807">
                  <c:v>26652789</c:v>
                </c:pt>
                <c:pt idx="808">
                  <c:v>26685816</c:v>
                </c:pt>
                <c:pt idx="809">
                  <c:v>26718843</c:v>
                </c:pt>
                <c:pt idx="810">
                  <c:v>26751870</c:v>
                </c:pt>
                <c:pt idx="811">
                  <c:v>26784897</c:v>
                </c:pt>
                <c:pt idx="812">
                  <c:v>26817924</c:v>
                </c:pt>
                <c:pt idx="813">
                  <c:v>26850951</c:v>
                </c:pt>
                <c:pt idx="814">
                  <c:v>26883978</c:v>
                </c:pt>
                <c:pt idx="815">
                  <c:v>26917005</c:v>
                </c:pt>
                <c:pt idx="816">
                  <c:v>26950032</c:v>
                </c:pt>
                <c:pt idx="817">
                  <c:v>26983059</c:v>
                </c:pt>
                <c:pt idx="818">
                  <c:v>27016086</c:v>
                </c:pt>
                <c:pt idx="819">
                  <c:v>27049113</c:v>
                </c:pt>
                <c:pt idx="820">
                  <c:v>27082140</c:v>
                </c:pt>
                <c:pt idx="821">
                  <c:v>27115167</c:v>
                </c:pt>
                <c:pt idx="822">
                  <c:v>27148194</c:v>
                </c:pt>
                <c:pt idx="823">
                  <c:v>27181221</c:v>
                </c:pt>
                <c:pt idx="824">
                  <c:v>27214248</c:v>
                </c:pt>
                <c:pt idx="825">
                  <c:v>27247275</c:v>
                </c:pt>
                <c:pt idx="826">
                  <c:v>27280302</c:v>
                </c:pt>
                <c:pt idx="827">
                  <c:v>27313329</c:v>
                </c:pt>
                <c:pt idx="828">
                  <c:v>27346356</c:v>
                </c:pt>
                <c:pt idx="829">
                  <c:v>27379383</c:v>
                </c:pt>
                <c:pt idx="830">
                  <c:v>27412410</c:v>
                </c:pt>
                <c:pt idx="831">
                  <c:v>27445437</c:v>
                </c:pt>
                <c:pt idx="832">
                  <c:v>27478464</c:v>
                </c:pt>
                <c:pt idx="833">
                  <c:v>27511491</c:v>
                </c:pt>
                <c:pt idx="834">
                  <c:v>27544518</c:v>
                </c:pt>
                <c:pt idx="835">
                  <c:v>27577545</c:v>
                </c:pt>
                <c:pt idx="836">
                  <c:v>27610572</c:v>
                </c:pt>
                <c:pt idx="837">
                  <c:v>27643599</c:v>
                </c:pt>
                <c:pt idx="838">
                  <c:v>27676626</c:v>
                </c:pt>
                <c:pt idx="839">
                  <c:v>27709653</c:v>
                </c:pt>
                <c:pt idx="840">
                  <c:v>27742680</c:v>
                </c:pt>
                <c:pt idx="841">
                  <c:v>27775707</c:v>
                </c:pt>
                <c:pt idx="842">
                  <c:v>27808734</c:v>
                </c:pt>
                <c:pt idx="843">
                  <c:v>27841761</c:v>
                </c:pt>
                <c:pt idx="844">
                  <c:v>27874788</c:v>
                </c:pt>
                <c:pt idx="845">
                  <c:v>27907815</c:v>
                </c:pt>
                <c:pt idx="846">
                  <c:v>27940842</c:v>
                </c:pt>
                <c:pt idx="847">
                  <c:v>27973869</c:v>
                </c:pt>
                <c:pt idx="848">
                  <c:v>28006896</c:v>
                </c:pt>
                <c:pt idx="849">
                  <c:v>28039923</c:v>
                </c:pt>
                <c:pt idx="850">
                  <c:v>28072950</c:v>
                </c:pt>
                <c:pt idx="851">
                  <c:v>28105977</c:v>
                </c:pt>
                <c:pt idx="852">
                  <c:v>28139004</c:v>
                </c:pt>
                <c:pt idx="853">
                  <c:v>28172031</c:v>
                </c:pt>
                <c:pt idx="854">
                  <c:v>28205058</c:v>
                </c:pt>
                <c:pt idx="855">
                  <c:v>28238085</c:v>
                </c:pt>
                <c:pt idx="856">
                  <c:v>28271112</c:v>
                </c:pt>
                <c:pt idx="857">
                  <c:v>28304139</c:v>
                </c:pt>
                <c:pt idx="858">
                  <c:v>28337166</c:v>
                </c:pt>
                <c:pt idx="859">
                  <c:v>28370193</c:v>
                </c:pt>
                <c:pt idx="860">
                  <c:v>28403220</c:v>
                </c:pt>
                <c:pt idx="861">
                  <c:v>28436247</c:v>
                </c:pt>
                <c:pt idx="862">
                  <c:v>28469274</c:v>
                </c:pt>
                <c:pt idx="863">
                  <c:v>28502301</c:v>
                </c:pt>
                <c:pt idx="864">
                  <c:v>28535328</c:v>
                </c:pt>
                <c:pt idx="865">
                  <c:v>28568355</c:v>
                </c:pt>
                <c:pt idx="866">
                  <c:v>28601382</c:v>
                </c:pt>
                <c:pt idx="867">
                  <c:v>28634409</c:v>
                </c:pt>
                <c:pt idx="868">
                  <c:v>28667436</c:v>
                </c:pt>
                <c:pt idx="869">
                  <c:v>28700463</c:v>
                </c:pt>
                <c:pt idx="870">
                  <c:v>28733490</c:v>
                </c:pt>
                <c:pt idx="871">
                  <c:v>28766517</c:v>
                </c:pt>
                <c:pt idx="872">
                  <c:v>28799544</c:v>
                </c:pt>
                <c:pt idx="873">
                  <c:v>28832571</c:v>
                </c:pt>
                <c:pt idx="874">
                  <c:v>28865598</c:v>
                </c:pt>
                <c:pt idx="875">
                  <c:v>28898625</c:v>
                </c:pt>
                <c:pt idx="876">
                  <c:v>28931652</c:v>
                </c:pt>
                <c:pt idx="877">
                  <c:v>28964679</c:v>
                </c:pt>
                <c:pt idx="878">
                  <c:v>28997706</c:v>
                </c:pt>
                <c:pt idx="879">
                  <c:v>29030733</c:v>
                </c:pt>
                <c:pt idx="880">
                  <c:v>29063760</c:v>
                </c:pt>
                <c:pt idx="881">
                  <c:v>29096787</c:v>
                </c:pt>
                <c:pt idx="882">
                  <c:v>29129814</c:v>
                </c:pt>
                <c:pt idx="883">
                  <c:v>29162841</c:v>
                </c:pt>
                <c:pt idx="884">
                  <c:v>29195868</c:v>
                </c:pt>
                <c:pt idx="885">
                  <c:v>29228895</c:v>
                </c:pt>
                <c:pt idx="886">
                  <c:v>29261922</c:v>
                </c:pt>
                <c:pt idx="887">
                  <c:v>29294949</c:v>
                </c:pt>
                <c:pt idx="888">
                  <c:v>29327976</c:v>
                </c:pt>
                <c:pt idx="889">
                  <c:v>29361003</c:v>
                </c:pt>
                <c:pt idx="890">
                  <c:v>29394030</c:v>
                </c:pt>
                <c:pt idx="891">
                  <c:v>29427057</c:v>
                </c:pt>
                <c:pt idx="892">
                  <c:v>29460084</c:v>
                </c:pt>
                <c:pt idx="893">
                  <c:v>29493111</c:v>
                </c:pt>
                <c:pt idx="894">
                  <c:v>29526138</c:v>
                </c:pt>
                <c:pt idx="895">
                  <c:v>29559165</c:v>
                </c:pt>
                <c:pt idx="896">
                  <c:v>29592192</c:v>
                </c:pt>
                <c:pt idx="897">
                  <c:v>29625219</c:v>
                </c:pt>
                <c:pt idx="898">
                  <c:v>29658246</c:v>
                </c:pt>
                <c:pt idx="899">
                  <c:v>29691273</c:v>
                </c:pt>
                <c:pt idx="900">
                  <c:v>29724300</c:v>
                </c:pt>
                <c:pt idx="901">
                  <c:v>29757327</c:v>
                </c:pt>
                <c:pt idx="902">
                  <c:v>29790354</c:v>
                </c:pt>
                <c:pt idx="903">
                  <c:v>29823381</c:v>
                </c:pt>
                <c:pt idx="904">
                  <c:v>29856408</c:v>
                </c:pt>
                <c:pt idx="905">
                  <c:v>29889435</c:v>
                </c:pt>
                <c:pt idx="906">
                  <c:v>29922462</c:v>
                </c:pt>
                <c:pt idx="907">
                  <c:v>29955489</c:v>
                </c:pt>
                <c:pt idx="908">
                  <c:v>29988516</c:v>
                </c:pt>
                <c:pt idx="909">
                  <c:v>30021543</c:v>
                </c:pt>
                <c:pt idx="910">
                  <c:v>30054570</c:v>
                </c:pt>
                <c:pt idx="911">
                  <c:v>30087597</c:v>
                </c:pt>
                <c:pt idx="912">
                  <c:v>30120624</c:v>
                </c:pt>
                <c:pt idx="913">
                  <c:v>30153651</c:v>
                </c:pt>
                <c:pt idx="914">
                  <c:v>30186678</c:v>
                </c:pt>
                <c:pt idx="915">
                  <c:v>30219705</c:v>
                </c:pt>
                <c:pt idx="916">
                  <c:v>30252732</c:v>
                </c:pt>
                <c:pt idx="917">
                  <c:v>30285759</c:v>
                </c:pt>
                <c:pt idx="918">
                  <c:v>30318786</c:v>
                </c:pt>
                <c:pt idx="919">
                  <c:v>30351813</c:v>
                </c:pt>
                <c:pt idx="920">
                  <c:v>30384840</c:v>
                </c:pt>
                <c:pt idx="921">
                  <c:v>30417867</c:v>
                </c:pt>
                <c:pt idx="922">
                  <c:v>30450894</c:v>
                </c:pt>
                <c:pt idx="923">
                  <c:v>30483921</c:v>
                </c:pt>
                <c:pt idx="924">
                  <c:v>30516948</c:v>
                </c:pt>
                <c:pt idx="925">
                  <c:v>30549975</c:v>
                </c:pt>
                <c:pt idx="926">
                  <c:v>30583002</c:v>
                </c:pt>
                <c:pt idx="927">
                  <c:v>30616029</c:v>
                </c:pt>
                <c:pt idx="928">
                  <c:v>30649056</c:v>
                </c:pt>
                <c:pt idx="929">
                  <c:v>30682083</c:v>
                </c:pt>
                <c:pt idx="930">
                  <c:v>30715110</c:v>
                </c:pt>
                <c:pt idx="931">
                  <c:v>30748137</c:v>
                </c:pt>
                <c:pt idx="932">
                  <c:v>30781164</c:v>
                </c:pt>
                <c:pt idx="933">
                  <c:v>30814191</c:v>
                </c:pt>
                <c:pt idx="934">
                  <c:v>30847218</c:v>
                </c:pt>
                <c:pt idx="935">
                  <c:v>30880245</c:v>
                </c:pt>
                <c:pt idx="936">
                  <c:v>30913272</c:v>
                </c:pt>
                <c:pt idx="937">
                  <c:v>30946299</c:v>
                </c:pt>
                <c:pt idx="938">
                  <c:v>30979326</c:v>
                </c:pt>
                <c:pt idx="939">
                  <c:v>31012353</c:v>
                </c:pt>
                <c:pt idx="940">
                  <c:v>31045380</c:v>
                </c:pt>
                <c:pt idx="941">
                  <c:v>31078407</c:v>
                </c:pt>
                <c:pt idx="942">
                  <c:v>31111434</c:v>
                </c:pt>
                <c:pt idx="943">
                  <c:v>31144461</c:v>
                </c:pt>
                <c:pt idx="944">
                  <c:v>31177488</c:v>
                </c:pt>
                <c:pt idx="945">
                  <c:v>31210515</c:v>
                </c:pt>
                <c:pt idx="946">
                  <c:v>31243542</c:v>
                </c:pt>
                <c:pt idx="947">
                  <c:v>31276569</c:v>
                </c:pt>
                <c:pt idx="948">
                  <c:v>31309596</c:v>
                </c:pt>
                <c:pt idx="949">
                  <c:v>31342623</c:v>
                </c:pt>
                <c:pt idx="950">
                  <c:v>31375650</c:v>
                </c:pt>
                <c:pt idx="951">
                  <c:v>31408677</c:v>
                </c:pt>
                <c:pt idx="952">
                  <c:v>31441704</c:v>
                </c:pt>
                <c:pt idx="953">
                  <c:v>31474731</c:v>
                </c:pt>
                <c:pt idx="954">
                  <c:v>31507758</c:v>
                </c:pt>
                <c:pt idx="955">
                  <c:v>31540785</c:v>
                </c:pt>
                <c:pt idx="956">
                  <c:v>31573812</c:v>
                </c:pt>
                <c:pt idx="957">
                  <c:v>31606839</c:v>
                </c:pt>
                <c:pt idx="958">
                  <c:v>31639866</c:v>
                </c:pt>
                <c:pt idx="959">
                  <c:v>31672893</c:v>
                </c:pt>
                <c:pt idx="960">
                  <c:v>31705920</c:v>
                </c:pt>
                <c:pt idx="961">
                  <c:v>31738947</c:v>
                </c:pt>
                <c:pt idx="962">
                  <c:v>31771974</c:v>
                </c:pt>
                <c:pt idx="963">
                  <c:v>31805001</c:v>
                </c:pt>
                <c:pt idx="964">
                  <c:v>31838028</c:v>
                </c:pt>
                <c:pt idx="965">
                  <c:v>31871055</c:v>
                </c:pt>
                <c:pt idx="966">
                  <c:v>31904082</c:v>
                </c:pt>
                <c:pt idx="967">
                  <c:v>31937109</c:v>
                </c:pt>
                <c:pt idx="968">
                  <c:v>31970136</c:v>
                </c:pt>
                <c:pt idx="969">
                  <c:v>32003163</c:v>
                </c:pt>
                <c:pt idx="970">
                  <c:v>32036190</c:v>
                </c:pt>
                <c:pt idx="971">
                  <c:v>32069217</c:v>
                </c:pt>
                <c:pt idx="972">
                  <c:v>32102244</c:v>
                </c:pt>
                <c:pt idx="973">
                  <c:v>32135271</c:v>
                </c:pt>
                <c:pt idx="974">
                  <c:v>32168298</c:v>
                </c:pt>
                <c:pt idx="975">
                  <c:v>32201325</c:v>
                </c:pt>
                <c:pt idx="976">
                  <c:v>32234352</c:v>
                </c:pt>
                <c:pt idx="977">
                  <c:v>32267379</c:v>
                </c:pt>
                <c:pt idx="978">
                  <c:v>32300406</c:v>
                </c:pt>
                <c:pt idx="979">
                  <c:v>32333433</c:v>
                </c:pt>
                <c:pt idx="980">
                  <c:v>32366460</c:v>
                </c:pt>
                <c:pt idx="981">
                  <c:v>32399487</c:v>
                </c:pt>
                <c:pt idx="982">
                  <c:v>32432514</c:v>
                </c:pt>
                <c:pt idx="983">
                  <c:v>32465541</c:v>
                </c:pt>
                <c:pt idx="984">
                  <c:v>32498568</c:v>
                </c:pt>
                <c:pt idx="985">
                  <c:v>32531595</c:v>
                </c:pt>
                <c:pt idx="986">
                  <c:v>32564622</c:v>
                </c:pt>
                <c:pt idx="987">
                  <c:v>32597649</c:v>
                </c:pt>
                <c:pt idx="988">
                  <c:v>32630676</c:v>
                </c:pt>
                <c:pt idx="989">
                  <c:v>32663703</c:v>
                </c:pt>
                <c:pt idx="990">
                  <c:v>32696730</c:v>
                </c:pt>
                <c:pt idx="991">
                  <c:v>32729757</c:v>
                </c:pt>
                <c:pt idx="992">
                  <c:v>32762784</c:v>
                </c:pt>
                <c:pt idx="993">
                  <c:v>32795811</c:v>
                </c:pt>
                <c:pt idx="994">
                  <c:v>32828838</c:v>
                </c:pt>
                <c:pt idx="995">
                  <c:v>32861865</c:v>
                </c:pt>
                <c:pt idx="996">
                  <c:v>32894892</c:v>
                </c:pt>
                <c:pt idx="997">
                  <c:v>32927919</c:v>
                </c:pt>
                <c:pt idx="998">
                  <c:v>32960946</c:v>
                </c:pt>
                <c:pt idx="999">
                  <c:v>32993973</c:v>
                </c:pt>
                <c:pt idx="1000">
                  <c:v>33027000</c:v>
                </c:pt>
                <c:pt idx="1001">
                  <c:v>33060027</c:v>
                </c:pt>
                <c:pt idx="1002">
                  <c:v>33093054</c:v>
                </c:pt>
                <c:pt idx="1003">
                  <c:v>33126081</c:v>
                </c:pt>
                <c:pt idx="1004">
                  <c:v>33159108</c:v>
                </c:pt>
                <c:pt idx="1005">
                  <c:v>33192135</c:v>
                </c:pt>
                <c:pt idx="1006">
                  <c:v>33225162</c:v>
                </c:pt>
                <c:pt idx="1007">
                  <c:v>33258189</c:v>
                </c:pt>
                <c:pt idx="1008">
                  <c:v>33291216</c:v>
                </c:pt>
                <c:pt idx="1009">
                  <c:v>33324243</c:v>
                </c:pt>
                <c:pt idx="1010">
                  <c:v>33357270</c:v>
                </c:pt>
                <c:pt idx="1011">
                  <c:v>33390297</c:v>
                </c:pt>
                <c:pt idx="1012">
                  <c:v>33423324</c:v>
                </c:pt>
                <c:pt idx="1013">
                  <c:v>33456351</c:v>
                </c:pt>
                <c:pt idx="1014">
                  <c:v>33489378</c:v>
                </c:pt>
                <c:pt idx="1015">
                  <c:v>33522405</c:v>
                </c:pt>
                <c:pt idx="1016">
                  <c:v>33555432</c:v>
                </c:pt>
                <c:pt idx="1017">
                  <c:v>33588459</c:v>
                </c:pt>
                <c:pt idx="1018">
                  <c:v>33621486</c:v>
                </c:pt>
                <c:pt idx="1019">
                  <c:v>33654513</c:v>
                </c:pt>
                <c:pt idx="1020">
                  <c:v>33687540</c:v>
                </c:pt>
                <c:pt idx="1021">
                  <c:v>33720567</c:v>
                </c:pt>
                <c:pt idx="1022">
                  <c:v>33753594</c:v>
                </c:pt>
                <c:pt idx="1023">
                  <c:v>33786621</c:v>
                </c:pt>
                <c:pt idx="1024">
                  <c:v>33819648</c:v>
                </c:pt>
                <c:pt idx="1025">
                  <c:v>33852675</c:v>
                </c:pt>
                <c:pt idx="1026">
                  <c:v>33885702</c:v>
                </c:pt>
                <c:pt idx="1027">
                  <c:v>33918729</c:v>
                </c:pt>
                <c:pt idx="1028">
                  <c:v>33951756</c:v>
                </c:pt>
                <c:pt idx="1029">
                  <c:v>33984783</c:v>
                </c:pt>
                <c:pt idx="1030">
                  <c:v>34017810</c:v>
                </c:pt>
                <c:pt idx="1031">
                  <c:v>34050837</c:v>
                </c:pt>
                <c:pt idx="1032">
                  <c:v>34083864</c:v>
                </c:pt>
                <c:pt idx="1033">
                  <c:v>34116891</c:v>
                </c:pt>
                <c:pt idx="1034">
                  <c:v>34149918</c:v>
                </c:pt>
                <c:pt idx="1035">
                  <c:v>34182945</c:v>
                </c:pt>
                <c:pt idx="1036">
                  <c:v>34215972</c:v>
                </c:pt>
                <c:pt idx="1037">
                  <c:v>34248999</c:v>
                </c:pt>
                <c:pt idx="1038">
                  <c:v>34282026</c:v>
                </c:pt>
                <c:pt idx="1039">
                  <c:v>34315053</c:v>
                </c:pt>
                <c:pt idx="1040">
                  <c:v>34348080</c:v>
                </c:pt>
                <c:pt idx="1041">
                  <c:v>34381107</c:v>
                </c:pt>
                <c:pt idx="1042">
                  <c:v>34414134</c:v>
                </c:pt>
                <c:pt idx="1043">
                  <c:v>34447161</c:v>
                </c:pt>
                <c:pt idx="1044">
                  <c:v>34480188</c:v>
                </c:pt>
                <c:pt idx="1045">
                  <c:v>34513215</c:v>
                </c:pt>
                <c:pt idx="1046">
                  <c:v>34546242</c:v>
                </c:pt>
                <c:pt idx="1047">
                  <c:v>34579269</c:v>
                </c:pt>
                <c:pt idx="1048">
                  <c:v>34612296</c:v>
                </c:pt>
                <c:pt idx="1049">
                  <c:v>34645323</c:v>
                </c:pt>
                <c:pt idx="1050">
                  <c:v>34678350</c:v>
                </c:pt>
                <c:pt idx="1051">
                  <c:v>34711377</c:v>
                </c:pt>
                <c:pt idx="1052">
                  <c:v>34744404</c:v>
                </c:pt>
                <c:pt idx="1053">
                  <c:v>34777431</c:v>
                </c:pt>
                <c:pt idx="1054">
                  <c:v>34810458</c:v>
                </c:pt>
                <c:pt idx="1055">
                  <c:v>34843485</c:v>
                </c:pt>
                <c:pt idx="1056">
                  <c:v>34876512</c:v>
                </c:pt>
                <c:pt idx="1057">
                  <c:v>34909539</c:v>
                </c:pt>
                <c:pt idx="1058">
                  <c:v>34942566</c:v>
                </c:pt>
                <c:pt idx="1059">
                  <c:v>34975593</c:v>
                </c:pt>
                <c:pt idx="1060">
                  <c:v>35008620</c:v>
                </c:pt>
                <c:pt idx="1061">
                  <c:v>35041647</c:v>
                </c:pt>
                <c:pt idx="1062">
                  <c:v>35074674</c:v>
                </c:pt>
                <c:pt idx="1063">
                  <c:v>35107701</c:v>
                </c:pt>
                <c:pt idx="1064">
                  <c:v>35140728</c:v>
                </c:pt>
                <c:pt idx="1065">
                  <c:v>35173755</c:v>
                </c:pt>
                <c:pt idx="1066">
                  <c:v>35206782</c:v>
                </c:pt>
                <c:pt idx="1067">
                  <c:v>35239809</c:v>
                </c:pt>
                <c:pt idx="1068">
                  <c:v>35272836</c:v>
                </c:pt>
                <c:pt idx="1069">
                  <c:v>35305863</c:v>
                </c:pt>
                <c:pt idx="1070">
                  <c:v>35338890</c:v>
                </c:pt>
                <c:pt idx="1071">
                  <c:v>35371917</c:v>
                </c:pt>
                <c:pt idx="1072">
                  <c:v>35404944</c:v>
                </c:pt>
                <c:pt idx="1073">
                  <c:v>35437971</c:v>
                </c:pt>
                <c:pt idx="1074">
                  <c:v>35470998</c:v>
                </c:pt>
                <c:pt idx="1075">
                  <c:v>35504025</c:v>
                </c:pt>
                <c:pt idx="1076">
                  <c:v>35537052</c:v>
                </c:pt>
                <c:pt idx="1077">
                  <c:v>35570079</c:v>
                </c:pt>
                <c:pt idx="1078">
                  <c:v>35603106</c:v>
                </c:pt>
                <c:pt idx="1079">
                  <c:v>35636133</c:v>
                </c:pt>
                <c:pt idx="1080">
                  <c:v>35669160</c:v>
                </c:pt>
                <c:pt idx="1081">
                  <c:v>35702187</c:v>
                </c:pt>
                <c:pt idx="1082">
                  <c:v>35735214</c:v>
                </c:pt>
                <c:pt idx="1083">
                  <c:v>35768241</c:v>
                </c:pt>
                <c:pt idx="1084">
                  <c:v>35801268</c:v>
                </c:pt>
                <c:pt idx="1085">
                  <c:v>35834295</c:v>
                </c:pt>
                <c:pt idx="1086">
                  <c:v>35867322</c:v>
                </c:pt>
                <c:pt idx="1087">
                  <c:v>35900349</c:v>
                </c:pt>
                <c:pt idx="1088">
                  <c:v>35933376</c:v>
                </c:pt>
                <c:pt idx="1089">
                  <c:v>35966403</c:v>
                </c:pt>
                <c:pt idx="1090">
                  <c:v>35999430</c:v>
                </c:pt>
                <c:pt idx="1091">
                  <c:v>36032457</c:v>
                </c:pt>
                <c:pt idx="1092">
                  <c:v>36065484</c:v>
                </c:pt>
                <c:pt idx="1093">
                  <c:v>36098511</c:v>
                </c:pt>
                <c:pt idx="1094">
                  <c:v>36131538</c:v>
                </c:pt>
                <c:pt idx="1095">
                  <c:v>36164565</c:v>
                </c:pt>
                <c:pt idx="1096">
                  <c:v>36197592</c:v>
                </c:pt>
                <c:pt idx="1097">
                  <c:v>36230619</c:v>
                </c:pt>
                <c:pt idx="1098">
                  <c:v>36263646</c:v>
                </c:pt>
                <c:pt idx="1099">
                  <c:v>36296673</c:v>
                </c:pt>
                <c:pt idx="1100">
                  <c:v>36329700</c:v>
                </c:pt>
                <c:pt idx="1101">
                  <c:v>36362727</c:v>
                </c:pt>
                <c:pt idx="1102">
                  <c:v>36395754</c:v>
                </c:pt>
                <c:pt idx="1103">
                  <c:v>36428781</c:v>
                </c:pt>
                <c:pt idx="1104">
                  <c:v>36461808</c:v>
                </c:pt>
                <c:pt idx="1105">
                  <c:v>36494835</c:v>
                </c:pt>
                <c:pt idx="1106">
                  <c:v>36527862</c:v>
                </c:pt>
                <c:pt idx="1107">
                  <c:v>36560889</c:v>
                </c:pt>
                <c:pt idx="1108">
                  <c:v>36593916</c:v>
                </c:pt>
                <c:pt idx="1109">
                  <c:v>36626943</c:v>
                </c:pt>
                <c:pt idx="1110">
                  <c:v>36659970</c:v>
                </c:pt>
                <c:pt idx="1111">
                  <c:v>36692997</c:v>
                </c:pt>
                <c:pt idx="1112">
                  <c:v>36726024</c:v>
                </c:pt>
                <c:pt idx="1113">
                  <c:v>36759051</c:v>
                </c:pt>
                <c:pt idx="1114">
                  <c:v>36792078</c:v>
                </c:pt>
                <c:pt idx="1115">
                  <c:v>36825105</c:v>
                </c:pt>
                <c:pt idx="1116">
                  <c:v>36858132</c:v>
                </c:pt>
                <c:pt idx="1117">
                  <c:v>36891159</c:v>
                </c:pt>
                <c:pt idx="1118">
                  <c:v>36924186</c:v>
                </c:pt>
                <c:pt idx="1119">
                  <c:v>36957213</c:v>
                </c:pt>
                <c:pt idx="1120">
                  <c:v>36990240</c:v>
                </c:pt>
                <c:pt idx="1121">
                  <c:v>37023267</c:v>
                </c:pt>
                <c:pt idx="1122">
                  <c:v>37056294</c:v>
                </c:pt>
                <c:pt idx="1123">
                  <c:v>37089321</c:v>
                </c:pt>
                <c:pt idx="1124">
                  <c:v>37122348</c:v>
                </c:pt>
                <c:pt idx="1125">
                  <c:v>37155375</c:v>
                </c:pt>
                <c:pt idx="1126">
                  <c:v>37188402</c:v>
                </c:pt>
                <c:pt idx="1127">
                  <c:v>37221429</c:v>
                </c:pt>
                <c:pt idx="1128">
                  <c:v>37254456</c:v>
                </c:pt>
                <c:pt idx="1129">
                  <c:v>37287483</c:v>
                </c:pt>
                <c:pt idx="1130">
                  <c:v>37320510</c:v>
                </c:pt>
                <c:pt idx="1131">
                  <c:v>37353537</c:v>
                </c:pt>
                <c:pt idx="1132">
                  <c:v>37386564</c:v>
                </c:pt>
                <c:pt idx="1133">
                  <c:v>37419591</c:v>
                </c:pt>
                <c:pt idx="1134">
                  <c:v>37452618</c:v>
                </c:pt>
                <c:pt idx="1135">
                  <c:v>37485645</c:v>
                </c:pt>
                <c:pt idx="1136">
                  <c:v>37518672</c:v>
                </c:pt>
                <c:pt idx="1137">
                  <c:v>37551699</c:v>
                </c:pt>
                <c:pt idx="1138">
                  <c:v>37584726</c:v>
                </c:pt>
                <c:pt idx="1139">
                  <c:v>37617753</c:v>
                </c:pt>
                <c:pt idx="1140">
                  <c:v>37650780</c:v>
                </c:pt>
                <c:pt idx="1141">
                  <c:v>37683807</c:v>
                </c:pt>
                <c:pt idx="1142">
                  <c:v>37716834</c:v>
                </c:pt>
                <c:pt idx="1143">
                  <c:v>37749861</c:v>
                </c:pt>
                <c:pt idx="1144">
                  <c:v>37782888</c:v>
                </c:pt>
                <c:pt idx="1145">
                  <c:v>37815915</c:v>
                </c:pt>
                <c:pt idx="1146">
                  <c:v>37848942</c:v>
                </c:pt>
                <c:pt idx="1147">
                  <c:v>37881969</c:v>
                </c:pt>
                <c:pt idx="1148">
                  <c:v>37914996</c:v>
                </c:pt>
                <c:pt idx="1149">
                  <c:v>37948023</c:v>
                </c:pt>
                <c:pt idx="1150">
                  <c:v>37981050</c:v>
                </c:pt>
                <c:pt idx="1151">
                  <c:v>38014077</c:v>
                </c:pt>
                <c:pt idx="1152">
                  <c:v>38047104</c:v>
                </c:pt>
                <c:pt idx="1153">
                  <c:v>38080131</c:v>
                </c:pt>
                <c:pt idx="1154">
                  <c:v>38113158</c:v>
                </c:pt>
                <c:pt idx="1155">
                  <c:v>38146185</c:v>
                </c:pt>
                <c:pt idx="1156">
                  <c:v>38179212</c:v>
                </c:pt>
                <c:pt idx="1157">
                  <c:v>38212239</c:v>
                </c:pt>
                <c:pt idx="1158">
                  <c:v>38245266</c:v>
                </c:pt>
                <c:pt idx="1159">
                  <c:v>38278293</c:v>
                </c:pt>
                <c:pt idx="1160">
                  <c:v>38311320</c:v>
                </c:pt>
                <c:pt idx="1161">
                  <c:v>38344347</c:v>
                </c:pt>
                <c:pt idx="1162">
                  <c:v>38377374</c:v>
                </c:pt>
                <c:pt idx="1163">
                  <c:v>38410401</c:v>
                </c:pt>
                <c:pt idx="1164">
                  <c:v>38443428</c:v>
                </c:pt>
                <c:pt idx="1165">
                  <c:v>38476455</c:v>
                </c:pt>
                <c:pt idx="1166">
                  <c:v>38509482</c:v>
                </c:pt>
                <c:pt idx="1167">
                  <c:v>38542509</c:v>
                </c:pt>
                <c:pt idx="1168">
                  <c:v>38575536</c:v>
                </c:pt>
                <c:pt idx="1169">
                  <c:v>38608563</c:v>
                </c:pt>
                <c:pt idx="1170">
                  <c:v>38641590</c:v>
                </c:pt>
                <c:pt idx="1171">
                  <c:v>38674617</c:v>
                </c:pt>
                <c:pt idx="1172">
                  <c:v>38707644</c:v>
                </c:pt>
                <c:pt idx="1173">
                  <c:v>38740671</c:v>
                </c:pt>
                <c:pt idx="1174">
                  <c:v>38773698</c:v>
                </c:pt>
                <c:pt idx="1175">
                  <c:v>38806725</c:v>
                </c:pt>
                <c:pt idx="1176">
                  <c:v>38839752</c:v>
                </c:pt>
                <c:pt idx="1177">
                  <c:v>38872779</c:v>
                </c:pt>
                <c:pt idx="1178">
                  <c:v>38905806</c:v>
                </c:pt>
                <c:pt idx="1179">
                  <c:v>38938833</c:v>
                </c:pt>
                <c:pt idx="1180">
                  <c:v>38971860</c:v>
                </c:pt>
                <c:pt idx="1181">
                  <c:v>39004887</c:v>
                </c:pt>
                <c:pt idx="1182">
                  <c:v>39037914</c:v>
                </c:pt>
                <c:pt idx="1183">
                  <c:v>39070941</c:v>
                </c:pt>
                <c:pt idx="1184">
                  <c:v>39103968</c:v>
                </c:pt>
                <c:pt idx="1185">
                  <c:v>39136995</c:v>
                </c:pt>
                <c:pt idx="1186">
                  <c:v>39170022</c:v>
                </c:pt>
                <c:pt idx="1187">
                  <c:v>39203049</c:v>
                </c:pt>
                <c:pt idx="1188">
                  <c:v>39236076</c:v>
                </c:pt>
                <c:pt idx="1189">
                  <c:v>39269103</c:v>
                </c:pt>
                <c:pt idx="1190">
                  <c:v>39302130</c:v>
                </c:pt>
                <c:pt idx="1191">
                  <c:v>39335157</c:v>
                </c:pt>
                <c:pt idx="1192">
                  <c:v>39368184</c:v>
                </c:pt>
                <c:pt idx="1193">
                  <c:v>39401211</c:v>
                </c:pt>
                <c:pt idx="1194">
                  <c:v>39434238</c:v>
                </c:pt>
                <c:pt idx="1195">
                  <c:v>39467265</c:v>
                </c:pt>
                <c:pt idx="1196">
                  <c:v>39500292</c:v>
                </c:pt>
                <c:pt idx="1197">
                  <c:v>39533319</c:v>
                </c:pt>
                <c:pt idx="1198">
                  <c:v>39566346</c:v>
                </c:pt>
                <c:pt idx="1199">
                  <c:v>39599373</c:v>
                </c:pt>
                <c:pt idx="1200">
                  <c:v>39632400</c:v>
                </c:pt>
                <c:pt idx="1201">
                  <c:v>39665427</c:v>
                </c:pt>
                <c:pt idx="1202">
                  <c:v>39698454</c:v>
                </c:pt>
                <c:pt idx="1203">
                  <c:v>39731481</c:v>
                </c:pt>
                <c:pt idx="1204">
                  <c:v>39764508</c:v>
                </c:pt>
                <c:pt idx="1205">
                  <c:v>39797535</c:v>
                </c:pt>
                <c:pt idx="1206">
                  <c:v>39830562</c:v>
                </c:pt>
                <c:pt idx="1207">
                  <c:v>39863589</c:v>
                </c:pt>
                <c:pt idx="1208">
                  <c:v>39896616</c:v>
                </c:pt>
                <c:pt idx="1209">
                  <c:v>39929643</c:v>
                </c:pt>
                <c:pt idx="1210">
                  <c:v>39962670</c:v>
                </c:pt>
                <c:pt idx="1211">
                  <c:v>39995697</c:v>
                </c:pt>
                <c:pt idx="1212">
                  <c:v>40028724</c:v>
                </c:pt>
                <c:pt idx="1213">
                  <c:v>40061751</c:v>
                </c:pt>
                <c:pt idx="1214">
                  <c:v>40094778</c:v>
                </c:pt>
                <c:pt idx="1215">
                  <c:v>40127805</c:v>
                </c:pt>
                <c:pt idx="1216">
                  <c:v>40160832</c:v>
                </c:pt>
                <c:pt idx="1217">
                  <c:v>40193859</c:v>
                </c:pt>
                <c:pt idx="1218">
                  <c:v>40226886</c:v>
                </c:pt>
                <c:pt idx="1219">
                  <c:v>40259913</c:v>
                </c:pt>
                <c:pt idx="1220">
                  <c:v>40292940</c:v>
                </c:pt>
                <c:pt idx="1221">
                  <c:v>40325967</c:v>
                </c:pt>
                <c:pt idx="1222">
                  <c:v>40358994</c:v>
                </c:pt>
                <c:pt idx="1223">
                  <c:v>40392021</c:v>
                </c:pt>
                <c:pt idx="1224">
                  <c:v>40425048</c:v>
                </c:pt>
                <c:pt idx="1225">
                  <c:v>40458075</c:v>
                </c:pt>
                <c:pt idx="1226">
                  <c:v>40491102</c:v>
                </c:pt>
                <c:pt idx="1227">
                  <c:v>40524129</c:v>
                </c:pt>
                <c:pt idx="1228">
                  <c:v>40557156</c:v>
                </c:pt>
                <c:pt idx="1229">
                  <c:v>40590183</c:v>
                </c:pt>
                <c:pt idx="1230">
                  <c:v>40623210</c:v>
                </c:pt>
                <c:pt idx="1231">
                  <c:v>40656237</c:v>
                </c:pt>
                <c:pt idx="1232">
                  <c:v>40689264</c:v>
                </c:pt>
                <c:pt idx="1233">
                  <c:v>40722291</c:v>
                </c:pt>
                <c:pt idx="1234">
                  <c:v>40755318</c:v>
                </c:pt>
                <c:pt idx="1235">
                  <c:v>40788345</c:v>
                </c:pt>
                <c:pt idx="1236">
                  <c:v>40821372</c:v>
                </c:pt>
                <c:pt idx="1237">
                  <c:v>40854399</c:v>
                </c:pt>
                <c:pt idx="1238">
                  <c:v>40887426</c:v>
                </c:pt>
                <c:pt idx="1239">
                  <c:v>40920453</c:v>
                </c:pt>
                <c:pt idx="1240">
                  <c:v>40953480</c:v>
                </c:pt>
                <c:pt idx="1241">
                  <c:v>40986507</c:v>
                </c:pt>
                <c:pt idx="1242">
                  <c:v>41019534</c:v>
                </c:pt>
                <c:pt idx="1243">
                  <c:v>41052561</c:v>
                </c:pt>
                <c:pt idx="1244">
                  <c:v>41085588</c:v>
                </c:pt>
                <c:pt idx="1245">
                  <c:v>41118615</c:v>
                </c:pt>
                <c:pt idx="1246">
                  <c:v>41151642</c:v>
                </c:pt>
                <c:pt idx="1247">
                  <c:v>41184669</c:v>
                </c:pt>
                <c:pt idx="1248">
                  <c:v>41217696</c:v>
                </c:pt>
                <c:pt idx="1249">
                  <c:v>41250723</c:v>
                </c:pt>
                <c:pt idx="1250">
                  <c:v>41283750</c:v>
                </c:pt>
                <c:pt idx="1251">
                  <c:v>41316777</c:v>
                </c:pt>
                <c:pt idx="1252">
                  <c:v>41349804</c:v>
                </c:pt>
                <c:pt idx="1253">
                  <c:v>41382831</c:v>
                </c:pt>
                <c:pt idx="1254">
                  <c:v>41415858</c:v>
                </c:pt>
                <c:pt idx="1255">
                  <c:v>41448885</c:v>
                </c:pt>
                <c:pt idx="1256">
                  <c:v>41481912</c:v>
                </c:pt>
                <c:pt idx="1257">
                  <c:v>41514939</c:v>
                </c:pt>
                <c:pt idx="1258">
                  <c:v>41547966</c:v>
                </c:pt>
                <c:pt idx="1259">
                  <c:v>41580993</c:v>
                </c:pt>
                <c:pt idx="1260">
                  <c:v>41614020</c:v>
                </c:pt>
                <c:pt idx="1261">
                  <c:v>41647047</c:v>
                </c:pt>
                <c:pt idx="1262">
                  <c:v>41680074</c:v>
                </c:pt>
                <c:pt idx="1263">
                  <c:v>41713101</c:v>
                </c:pt>
                <c:pt idx="1264">
                  <c:v>41746128</c:v>
                </c:pt>
                <c:pt idx="1265">
                  <c:v>41779155</c:v>
                </c:pt>
                <c:pt idx="1266">
                  <c:v>41812182</c:v>
                </c:pt>
                <c:pt idx="1267">
                  <c:v>41845209</c:v>
                </c:pt>
                <c:pt idx="1268">
                  <c:v>41878236</c:v>
                </c:pt>
                <c:pt idx="1269">
                  <c:v>41911263</c:v>
                </c:pt>
                <c:pt idx="1270">
                  <c:v>41944290</c:v>
                </c:pt>
                <c:pt idx="1271">
                  <c:v>41977317</c:v>
                </c:pt>
                <c:pt idx="1272">
                  <c:v>42010344</c:v>
                </c:pt>
                <c:pt idx="1273">
                  <c:v>42043371</c:v>
                </c:pt>
                <c:pt idx="1274">
                  <c:v>42076398</c:v>
                </c:pt>
                <c:pt idx="1275">
                  <c:v>42109425</c:v>
                </c:pt>
                <c:pt idx="1276">
                  <c:v>42142452</c:v>
                </c:pt>
                <c:pt idx="1277">
                  <c:v>42175479</c:v>
                </c:pt>
                <c:pt idx="1278">
                  <c:v>42208506</c:v>
                </c:pt>
                <c:pt idx="1279">
                  <c:v>42241533</c:v>
                </c:pt>
                <c:pt idx="1280">
                  <c:v>42274560</c:v>
                </c:pt>
                <c:pt idx="1281">
                  <c:v>42307587</c:v>
                </c:pt>
                <c:pt idx="1282">
                  <c:v>42340614</c:v>
                </c:pt>
                <c:pt idx="1283">
                  <c:v>42373641</c:v>
                </c:pt>
                <c:pt idx="1284">
                  <c:v>42406668</c:v>
                </c:pt>
                <c:pt idx="1285">
                  <c:v>42439695</c:v>
                </c:pt>
                <c:pt idx="1286">
                  <c:v>42472722</c:v>
                </c:pt>
                <c:pt idx="1287">
                  <c:v>42505749</c:v>
                </c:pt>
                <c:pt idx="1288">
                  <c:v>42538776</c:v>
                </c:pt>
                <c:pt idx="1289">
                  <c:v>42571803</c:v>
                </c:pt>
                <c:pt idx="1290">
                  <c:v>42604830</c:v>
                </c:pt>
                <c:pt idx="1291">
                  <c:v>42637857</c:v>
                </c:pt>
                <c:pt idx="1292">
                  <c:v>42670884</c:v>
                </c:pt>
                <c:pt idx="1293">
                  <c:v>42703911</c:v>
                </c:pt>
                <c:pt idx="1294">
                  <c:v>42736938</c:v>
                </c:pt>
                <c:pt idx="1295">
                  <c:v>42769965</c:v>
                </c:pt>
                <c:pt idx="1296">
                  <c:v>42802992</c:v>
                </c:pt>
                <c:pt idx="1297">
                  <c:v>42836019</c:v>
                </c:pt>
                <c:pt idx="1298">
                  <c:v>42869046</c:v>
                </c:pt>
                <c:pt idx="1299">
                  <c:v>42902073</c:v>
                </c:pt>
                <c:pt idx="1300">
                  <c:v>42935100</c:v>
                </c:pt>
                <c:pt idx="1301">
                  <c:v>42968127</c:v>
                </c:pt>
                <c:pt idx="1302">
                  <c:v>43001154</c:v>
                </c:pt>
                <c:pt idx="1303">
                  <c:v>43034181</c:v>
                </c:pt>
                <c:pt idx="1304">
                  <c:v>43067208</c:v>
                </c:pt>
                <c:pt idx="1305">
                  <c:v>43100235</c:v>
                </c:pt>
                <c:pt idx="1306">
                  <c:v>43133262</c:v>
                </c:pt>
                <c:pt idx="1307">
                  <c:v>43166289</c:v>
                </c:pt>
                <c:pt idx="1308">
                  <c:v>43199316</c:v>
                </c:pt>
                <c:pt idx="1309">
                  <c:v>43232343</c:v>
                </c:pt>
                <c:pt idx="1310">
                  <c:v>43265370</c:v>
                </c:pt>
                <c:pt idx="1311">
                  <c:v>43298397</c:v>
                </c:pt>
                <c:pt idx="1312">
                  <c:v>43331424</c:v>
                </c:pt>
                <c:pt idx="1313">
                  <c:v>43364451</c:v>
                </c:pt>
                <c:pt idx="1314">
                  <c:v>43397478</c:v>
                </c:pt>
                <c:pt idx="1315">
                  <c:v>43430505</c:v>
                </c:pt>
                <c:pt idx="1316">
                  <c:v>43463532</c:v>
                </c:pt>
                <c:pt idx="1317">
                  <c:v>43496559</c:v>
                </c:pt>
                <c:pt idx="1318">
                  <c:v>43529586</c:v>
                </c:pt>
                <c:pt idx="1319">
                  <c:v>43562613</c:v>
                </c:pt>
                <c:pt idx="1320">
                  <c:v>43595640</c:v>
                </c:pt>
                <c:pt idx="1321">
                  <c:v>43628667</c:v>
                </c:pt>
                <c:pt idx="1322">
                  <c:v>43661694</c:v>
                </c:pt>
                <c:pt idx="1323">
                  <c:v>43694721</c:v>
                </c:pt>
                <c:pt idx="1324">
                  <c:v>43727748</c:v>
                </c:pt>
                <c:pt idx="1325">
                  <c:v>43760775</c:v>
                </c:pt>
                <c:pt idx="1326">
                  <c:v>43793802</c:v>
                </c:pt>
                <c:pt idx="1327">
                  <c:v>43826829</c:v>
                </c:pt>
                <c:pt idx="1328">
                  <c:v>43859856</c:v>
                </c:pt>
                <c:pt idx="1329">
                  <c:v>43892883</c:v>
                </c:pt>
                <c:pt idx="1330">
                  <c:v>43925910</c:v>
                </c:pt>
                <c:pt idx="1331">
                  <c:v>43958937</c:v>
                </c:pt>
                <c:pt idx="1332">
                  <c:v>43991964</c:v>
                </c:pt>
                <c:pt idx="1333">
                  <c:v>44024991</c:v>
                </c:pt>
                <c:pt idx="1334">
                  <c:v>44058018</c:v>
                </c:pt>
                <c:pt idx="1335">
                  <c:v>44091045</c:v>
                </c:pt>
                <c:pt idx="1336">
                  <c:v>44124072</c:v>
                </c:pt>
                <c:pt idx="1337">
                  <c:v>44157099</c:v>
                </c:pt>
                <c:pt idx="1338">
                  <c:v>44190126</c:v>
                </c:pt>
                <c:pt idx="1339">
                  <c:v>44223153</c:v>
                </c:pt>
                <c:pt idx="1340">
                  <c:v>44256180</c:v>
                </c:pt>
                <c:pt idx="1341">
                  <c:v>44289207</c:v>
                </c:pt>
                <c:pt idx="1342">
                  <c:v>44322234</c:v>
                </c:pt>
                <c:pt idx="1343">
                  <c:v>44355261</c:v>
                </c:pt>
                <c:pt idx="1344">
                  <c:v>44388288</c:v>
                </c:pt>
                <c:pt idx="1345">
                  <c:v>44421315</c:v>
                </c:pt>
                <c:pt idx="1346">
                  <c:v>44454342</c:v>
                </c:pt>
                <c:pt idx="1347">
                  <c:v>44487369</c:v>
                </c:pt>
                <c:pt idx="1348">
                  <c:v>44520396</c:v>
                </c:pt>
                <c:pt idx="1349">
                  <c:v>44553423</c:v>
                </c:pt>
                <c:pt idx="1350">
                  <c:v>44586450</c:v>
                </c:pt>
                <c:pt idx="1351">
                  <c:v>44619477</c:v>
                </c:pt>
                <c:pt idx="1352">
                  <c:v>44652504</c:v>
                </c:pt>
                <c:pt idx="1353">
                  <c:v>44685531</c:v>
                </c:pt>
                <c:pt idx="1354">
                  <c:v>44718558</c:v>
                </c:pt>
                <c:pt idx="1355">
                  <c:v>44751585</c:v>
                </c:pt>
                <c:pt idx="1356">
                  <c:v>44784612</c:v>
                </c:pt>
                <c:pt idx="1357">
                  <c:v>44817639</c:v>
                </c:pt>
                <c:pt idx="1358">
                  <c:v>44850666</c:v>
                </c:pt>
                <c:pt idx="1359">
                  <c:v>44883693</c:v>
                </c:pt>
                <c:pt idx="1360">
                  <c:v>44916720</c:v>
                </c:pt>
                <c:pt idx="1361">
                  <c:v>44949747</c:v>
                </c:pt>
                <c:pt idx="1362">
                  <c:v>44982774</c:v>
                </c:pt>
                <c:pt idx="1363">
                  <c:v>45015801</c:v>
                </c:pt>
                <c:pt idx="1364">
                  <c:v>45048828</c:v>
                </c:pt>
                <c:pt idx="1365">
                  <c:v>45081855</c:v>
                </c:pt>
                <c:pt idx="1366">
                  <c:v>45114882</c:v>
                </c:pt>
                <c:pt idx="1367">
                  <c:v>45147909</c:v>
                </c:pt>
                <c:pt idx="1368">
                  <c:v>45180936</c:v>
                </c:pt>
                <c:pt idx="1369">
                  <c:v>45213963</c:v>
                </c:pt>
                <c:pt idx="1370">
                  <c:v>45246990</c:v>
                </c:pt>
                <c:pt idx="1371">
                  <c:v>45280017</c:v>
                </c:pt>
                <c:pt idx="1372">
                  <c:v>45313044</c:v>
                </c:pt>
                <c:pt idx="1373">
                  <c:v>45346071</c:v>
                </c:pt>
                <c:pt idx="1374">
                  <c:v>45379098</c:v>
                </c:pt>
                <c:pt idx="1375">
                  <c:v>45412125</c:v>
                </c:pt>
                <c:pt idx="1376">
                  <c:v>45445152</c:v>
                </c:pt>
                <c:pt idx="1377">
                  <c:v>45478179</c:v>
                </c:pt>
                <c:pt idx="1378">
                  <c:v>45511206</c:v>
                </c:pt>
                <c:pt idx="1379">
                  <c:v>45544233</c:v>
                </c:pt>
                <c:pt idx="1380">
                  <c:v>45577260</c:v>
                </c:pt>
                <c:pt idx="1381">
                  <c:v>45610287</c:v>
                </c:pt>
                <c:pt idx="1382">
                  <c:v>45643314</c:v>
                </c:pt>
                <c:pt idx="1383">
                  <c:v>45676341</c:v>
                </c:pt>
                <c:pt idx="1384">
                  <c:v>45709368</c:v>
                </c:pt>
                <c:pt idx="1385">
                  <c:v>45742395</c:v>
                </c:pt>
                <c:pt idx="1386">
                  <c:v>45775422</c:v>
                </c:pt>
                <c:pt idx="1387">
                  <c:v>45808449</c:v>
                </c:pt>
                <c:pt idx="1388">
                  <c:v>45841476</c:v>
                </c:pt>
                <c:pt idx="1389">
                  <c:v>45874503</c:v>
                </c:pt>
                <c:pt idx="1390">
                  <c:v>45907530</c:v>
                </c:pt>
                <c:pt idx="1391">
                  <c:v>45940557</c:v>
                </c:pt>
                <c:pt idx="1392">
                  <c:v>45973584</c:v>
                </c:pt>
                <c:pt idx="1393">
                  <c:v>46006611</c:v>
                </c:pt>
                <c:pt idx="1394">
                  <c:v>46039638</c:v>
                </c:pt>
                <c:pt idx="1395">
                  <c:v>46072665</c:v>
                </c:pt>
                <c:pt idx="1396">
                  <c:v>46105692</c:v>
                </c:pt>
                <c:pt idx="1397">
                  <c:v>46138719</c:v>
                </c:pt>
                <c:pt idx="1398">
                  <c:v>46171746</c:v>
                </c:pt>
                <c:pt idx="1399">
                  <c:v>46204773</c:v>
                </c:pt>
                <c:pt idx="1400">
                  <c:v>46237800</c:v>
                </c:pt>
                <c:pt idx="1401">
                  <c:v>46270827</c:v>
                </c:pt>
                <c:pt idx="1402">
                  <c:v>46303854</c:v>
                </c:pt>
                <c:pt idx="1403">
                  <c:v>46336881</c:v>
                </c:pt>
                <c:pt idx="1404">
                  <c:v>46369908</c:v>
                </c:pt>
                <c:pt idx="1405">
                  <c:v>46402935</c:v>
                </c:pt>
                <c:pt idx="1406">
                  <c:v>46435962</c:v>
                </c:pt>
                <c:pt idx="1407">
                  <c:v>46468989</c:v>
                </c:pt>
                <c:pt idx="1408">
                  <c:v>46502016</c:v>
                </c:pt>
                <c:pt idx="1409">
                  <c:v>46535043</c:v>
                </c:pt>
                <c:pt idx="1410">
                  <c:v>46568070</c:v>
                </c:pt>
                <c:pt idx="1411">
                  <c:v>46601097</c:v>
                </c:pt>
                <c:pt idx="1412">
                  <c:v>46634124</c:v>
                </c:pt>
                <c:pt idx="1413">
                  <c:v>46667151</c:v>
                </c:pt>
                <c:pt idx="1414">
                  <c:v>46700178</c:v>
                </c:pt>
                <c:pt idx="1415">
                  <c:v>46733205</c:v>
                </c:pt>
                <c:pt idx="1416">
                  <c:v>46766232</c:v>
                </c:pt>
                <c:pt idx="1417">
                  <c:v>46799259</c:v>
                </c:pt>
                <c:pt idx="1418">
                  <c:v>46832286</c:v>
                </c:pt>
                <c:pt idx="1419">
                  <c:v>46865313</c:v>
                </c:pt>
                <c:pt idx="1420">
                  <c:v>46898340</c:v>
                </c:pt>
                <c:pt idx="1421">
                  <c:v>46931367</c:v>
                </c:pt>
                <c:pt idx="1422">
                  <c:v>46964394</c:v>
                </c:pt>
                <c:pt idx="1423">
                  <c:v>46997421</c:v>
                </c:pt>
                <c:pt idx="1424">
                  <c:v>47030448</c:v>
                </c:pt>
                <c:pt idx="1425">
                  <c:v>47063475</c:v>
                </c:pt>
                <c:pt idx="1426">
                  <c:v>47096502</c:v>
                </c:pt>
                <c:pt idx="1427">
                  <c:v>47129529</c:v>
                </c:pt>
                <c:pt idx="1428">
                  <c:v>47162556</c:v>
                </c:pt>
                <c:pt idx="1429">
                  <c:v>47195583</c:v>
                </c:pt>
                <c:pt idx="1430">
                  <c:v>47228610</c:v>
                </c:pt>
                <c:pt idx="1431">
                  <c:v>47261637</c:v>
                </c:pt>
                <c:pt idx="1432">
                  <c:v>47294664</c:v>
                </c:pt>
                <c:pt idx="1433">
                  <c:v>47327691</c:v>
                </c:pt>
                <c:pt idx="1434">
                  <c:v>47360718</c:v>
                </c:pt>
                <c:pt idx="1435">
                  <c:v>47393745</c:v>
                </c:pt>
                <c:pt idx="1436">
                  <c:v>47426772</c:v>
                </c:pt>
                <c:pt idx="1437">
                  <c:v>47459799</c:v>
                </c:pt>
                <c:pt idx="1438">
                  <c:v>47492826</c:v>
                </c:pt>
                <c:pt idx="1439">
                  <c:v>47525853</c:v>
                </c:pt>
                <c:pt idx="1440">
                  <c:v>47558880</c:v>
                </c:pt>
                <c:pt idx="1441">
                  <c:v>47591907</c:v>
                </c:pt>
                <c:pt idx="1442">
                  <c:v>47624934</c:v>
                </c:pt>
                <c:pt idx="1443">
                  <c:v>47657961</c:v>
                </c:pt>
                <c:pt idx="1444">
                  <c:v>47690988</c:v>
                </c:pt>
                <c:pt idx="1445">
                  <c:v>47724015</c:v>
                </c:pt>
                <c:pt idx="1446">
                  <c:v>47757042</c:v>
                </c:pt>
                <c:pt idx="1447">
                  <c:v>47790069</c:v>
                </c:pt>
                <c:pt idx="1448">
                  <c:v>47823096</c:v>
                </c:pt>
                <c:pt idx="1449">
                  <c:v>47856123</c:v>
                </c:pt>
                <c:pt idx="1450">
                  <c:v>47889150</c:v>
                </c:pt>
                <c:pt idx="1451">
                  <c:v>47922177</c:v>
                </c:pt>
                <c:pt idx="1452">
                  <c:v>47955204</c:v>
                </c:pt>
                <c:pt idx="1453">
                  <c:v>47988231</c:v>
                </c:pt>
                <c:pt idx="1454">
                  <c:v>48021258</c:v>
                </c:pt>
                <c:pt idx="1455">
                  <c:v>48054285</c:v>
                </c:pt>
                <c:pt idx="1456">
                  <c:v>48087312</c:v>
                </c:pt>
                <c:pt idx="1457">
                  <c:v>48120339</c:v>
                </c:pt>
                <c:pt idx="1458">
                  <c:v>48153366</c:v>
                </c:pt>
                <c:pt idx="1459">
                  <c:v>48186393</c:v>
                </c:pt>
                <c:pt idx="1460">
                  <c:v>48219420</c:v>
                </c:pt>
                <c:pt idx="1461">
                  <c:v>48252447</c:v>
                </c:pt>
                <c:pt idx="1462">
                  <c:v>48285474</c:v>
                </c:pt>
                <c:pt idx="1463">
                  <c:v>48318501</c:v>
                </c:pt>
                <c:pt idx="1464">
                  <c:v>48351528</c:v>
                </c:pt>
                <c:pt idx="1465">
                  <c:v>48384555</c:v>
                </c:pt>
                <c:pt idx="1466">
                  <c:v>48417582</c:v>
                </c:pt>
                <c:pt idx="1467">
                  <c:v>48450609</c:v>
                </c:pt>
                <c:pt idx="1468">
                  <c:v>48483636</c:v>
                </c:pt>
                <c:pt idx="1469">
                  <c:v>48516663</c:v>
                </c:pt>
                <c:pt idx="1470">
                  <c:v>48549690</c:v>
                </c:pt>
                <c:pt idx="1471">
                  <c:v>48582717</c:v>
                </c:pt>
                <c:pt idx="1472">
                  <c:v>48615744</c:v>
                </c:pt>
                <c:pt idx="1473">
                  <c:v>48648771</c:v>
                </c:pt>
                <c:pt idx="1474">
                  <c:v>48681798</c:v>
                </c:pt>
                <c:pt idx="1475">
                  <c:v>48714825</c:v>
                </c:pt>
                <c:pt idx="1476">
                  <c:v>48747852</c:v>
                </c:pt>
                <c:pt idx="1477">
                  <c:v>48780879</c:v>
                </c:pt>
                <c:pt idx="1478">
                  <c:v>48813906</c:v>
                </c:pt>
                <c:pt idx="1479">
                  <c:v>48846933</c:v>
                </c:pt>
                <c:pt idx="1480">
                  <c:v>48879960</c:v>
                </c:pt>
                <c:pt idx="1481">
                  <c:v>48912987</c:v>
                </c:pt>
                <c:pt idx="1482">
                  <c:v>48946014</c:v>
                </c:pt>
                <c:pt idx="1483">
                  <c:v>48979041</c:v>
                </c:pt>
                <c:pt idx="1484">
                  <c:v>49012068</c:v>
                </c:pt>
                <c:pt idx="1485">
                  <c:v>49045095</c:v>
                </c:pt>
                <c:pt idx="1486">
                  <c:v>49078122</c:v>
                </c:pt>
                <c:pt idx="1487">
                  <c:v>49111149</c:v>
                </c:pt>
                <c:pt idx="1488">
                  <c:v>49144176</c:v>
                </c:pt>
                <c:pt idx="1489">
                  <c:v>49177203</c:v>
                </c:pt>
                <c:pt idx="1490">
                  <c:v>49210230</c:v>
                </c:pt>
                <c:pt idx="1491">
                  <c:v>49243257</c:v>
                </c:pt>
                <c:pt idx="1492">
                  <c:v>49276284</c:v>
                </c:pt>
                <c:pt idx="1493">
                  <c:v>49309311</c:v>
                </c:pt>
                <c:pt idx="1494">
                  <c:v>49342338</c:v>
                </c:pt>
                <c:pt idx="1495">
                  <c:v>49375365</c:v>
                </c:pt>
                <c:pt idx="1496">
                  <c:v>49408392</c:v>
                </c:pt>
                <c:pt idx="1497">
                  <c:v>49441419</c:v>
                </c:pt>
                <c:pt idx="1498">
                  <c:v>49474446</c:v>
                </c:pt>
                <c:pt idx="1499">
                  <c:v>49507473</c:v>
                </c:pt>
                <c:pt idx="1500">
                  <c:v>49540500</c:v>
                </c:pt>
                <c:pt idx="1501">
                  <c:v>49573527</c:v>
                </c:pt>
                <c:pt idx="1502">
                  <c:v>49606554</c:v>
                </c:pt>
                <c:pt idx="1503">
                  <c:v>49639581</c:v>
                </c:pt>
                <c:pt idx="1504">
                  <c:v>49672608</c:v>
                </c:pt>
                <c:pt idx="1505">
                  <c:v>49705635</c:v>
                </c:pt>
                <c:pt idx="1506">
                  <c:v>49738662</c:v>
                </c:pt>
                <c:pt idx="1507">
                  <c:v>49771689</c:v>
                </c:pt>
                <c:pt idx="1508">
                  <c:v>49804716</c:v>
                </c:pt>
                <c:pt idx="1509">
                  <c:v>49837743</c:v>
                </c:pt>
                <c:pt idx="1510">
                  <c:v>49870770</c:v>
                </c:pt>
                <c:pt idx="1511">
                  <c:v>49903797</c:v>
                </c:pt>
                <c:pt idx="1512">
                  <c:v>49936824</c:v>
                </c:pt>
                <c:pt idx="1513">
                  <c:v>49969851</c:v>
                </c:pt>
                <c:pt idx="1514">
                  <c:v>50002878</c:v>
                </c:pt>
                <c:pt idx="1515">
                  <c:v>50035905</c:v>
                </c:pt>
                <c:pt idx="1516">
                  <c:v>50068932</c:v>
                </c:pt>
                <c:pt idx="1517">
                  <c:v>50101959</c:v>
                </c:pt>
                <c:pt idx="1518">
                  <c:v>50134986</c:v>
                </c:pt>
                <c:pt idx="1519">
                  <c:v>50168013</c:v>
                </c:pt>
                <c:pt idx="1520">
                  <c:v>50201040</c:v>
                </c:pt>
                <c:pt idx="1521">
                  <c:v>50234067</c:v>
                </c:pt>
                <c:pt idx="1522">
                  <c:v>50267094</c:v>
                </c:pt>
                <c:pt idx="1523">
                  <c:v>50300121</c:v>
                </c:pt>
                <c:pt idx="1524">
                  <c:v>50333148</c:v>
                </c:pt>
                <c:pt idx="1525">
                  <c:v>50366175</c:v>
                </c:pt>
                <c:pt idx="1526">
                  <c:v>50399202</c:v>
                </c:pt>
                <c:pt idx="1527">
                  <c:v>50432229</c:v>
                </c:pt>
                <c:pt idx="1528">
                  <c:v>50465256</c:v>
                </c:pt>
                <c:pt idx="1529">
                  <c:v>50498283</c:v>
                </c:pt>
                <c:pt idx="1530">
                  <c:v>50531310</c:v>
                </c:pt>
                <c:pt idx="1531">
                  <c:v>50564337</c:v>
                </c:pt>
                <c:pt idx="1532">
                  <c:v>50597364</c:v>
                </c:pt>
                <c:pt idx="1533">
                  <c:v>50630391</c:v>
                </c:pt>
                <c:pt idx="1534">
                  <c:v>50663418</c:v>
                </c:pt>
                <c:pt idx="1535">
                  <c:v>50696445</c:v>
                </c:pt>
                <c:pt idx="1536">
                  <c:v>50729472</c:v>
                </c:pt>
                <c:pt idx="1537">
                  <c:v>50762499</c:v>
                </c:pt>
                <c:pt idx="1538">
                  <c:v>50795526</c:v>
                </c:pt>
                <c:pt idx="1539">
                  <c:v>50828553</c:v>
                </c:pt>
                <c:pt idx="1540">
                  <c:v>50861580</c:v>
                </c:pt>
                <c:pt idx="1541">
                  <c:v>50894607</c:v>
                </c:pt>
                <c:pt idx="1542">
                  <c:v>50927634</c:v>
                </c:pt>
                <c:pt idx="1543">
                  <c:v>50960661</c:v>
                </c:pt>
                <c:pt idx="1544">
                  <c:v>50993688</c:v>
                </c:pt>
                <c:pt idx="1545">
                  <c:v>51026715</c:v>
                </c:pt>
                <c:pt idx="1546">
                  <c:v>51059742</c:v>
                </c:pt>
                <c:pt idx="1547">
                  <c:v>51092769</c:v>
                </c:pt>
                <c:pt idx="1548">
                  <c:v>51125796</c:v>
                </c:pt>
                <c:pt idx="1549">
                  <c:v>51158823</c:v>
                </c:pt>
                <c:pt idx="1550">
                  <c:v>51191850</c:v>
                </c:pt>
                <c:pt idx="1551">
                  <c:v>51224877</c:v>
                </c:pt>
                <c:pt idx="1552">
                  <c:v>51257904</c:v>
                </c:pt>
                <c:pt idx="1553">
                  <c:v>51290931</c:v>
                </c:pt>
                <c:pt idx="1554">
                  <c:v>51323958</c:v>
                </c:pt>
                <c:pt idx="1555">
                  <c:v>51356985</c:v>
                </c:pt>
                <c:pt idx="1556">
                  <c:v>51390012</c:v>
                </c:pt>
                <c:pt idx="1557">
                  <c:v>51423039</c:v>
                </c:pt>
                <c:pt idx="1558">
                  <c:v>51456066</c:v>
                </c:pt>
                <c:pt idx="1559">
                  <c:v>51489093</c:v>
                </c:pt>
                <c:pt idx="1560">
                  <c:v>51522120</c:v>
                </c:pt>
                <c:pt idx="1561">
                  <c:v>51555147</c:v>
                </c:pt>
                <c:pt idx="1562">
                  <c:v>51588174</c:v>
                </c:pt>
                <c:pt idx="1563">
                  <c:v>51621201</c:v>
                </c:pt>
                <c:pt idx="1564">
                  <c:v>51654228</c:v>
                </c:pt>
                <c:pt idx="1565">
                  <c:v>51687255</c:v>
                </c:pt>
                <c:pt idx="1566">
                  <c:v>51720282</c:v>
                </c:pt>
                <c:pt idx="1567">
                  <c:v>51753309</c:v>
                </c:pt>
                <c:pt idx="1568">
                  <c:v>51786336</c:v>
                </c:pt>
                <c:pt idx="1569">
                  <c:v>51819363</c:v>
                </c:pt>
                <c:pt idx="1570">
                  <c:v>51852390</c:v>
                </c:pt>
                <c:pt idx="1571">
                  <c:v>51885417</c:v>
                </c:pt>
                <c:pt idx="1572">
                  <c:v>51918444</c:v>
                </c:pt>
                <c:pt idx="1573">
                  <c:v>51951471</c:v>
                </c:pt>
                <c:pt idx="1574">
                  <c:v>51984498</c:v>
                </c:pt>
                <c:pt idx="1575">
                  <c:v>52017525</c:v>
                </c:pt>
                <c:pt idx="1576">
                  <c:v>52050552</c:v>
                </c:pt>
                <c:pt idx="1577">
                  <c:v>52083579</c:v>
                </c:pt>
                <c:pt idx="1578">
                  <c:v>52116606</c:v>
                </c:pt>
                <c:pt idx="1579">
                  <c:v>52149633</c:v>
                </c:pt>
                <c:pt idx="1580">
                  <c:v>52182660</c:v>
                </c:pt>
                <c:pt idx="1581">
                  <c:v>52215687</c:v>
                </c:pt>
                <c:pt idx="1582">
                  <c:v>52248714</c:v>
                </c:pt>
                <c:pt idx="1583">
                  <c:v>52281741</c:v>
                </c:pt>
                <c:pt idx="1584">
                  <c:v>52314768</c:v>
                </c:pt>
                <c:pt idx="1585">
                  <c:v>52347795</c:v>
                </c:pt>
                <c:pt idx="1586">
                  <c:v>52380822</c:v>
                </c:pt>
                <c:pt idx="1587">
                  <c:v>52413849</c:v>
                </c:pt>
                <c:pt idx="1588">
                  <c:v>52446876</c:v>
                </c:pt>
                <c:pt idx="1589">
                  <c:v>52479903</c:v>
                </c:pt>
                <c:pt idx="1590">
                  <c:v>52512930</c:v>
                </c:pt>
                <c:pt idx="1591">
                  <c:v>52545957</c:v>
                </c:pt>
                <c:pt idx="1592">
                  <c:v>52578984</c:v>
                </c:pt>
                <c:pt idx="1593">
                  <c:v>52612011</c:v>
                </c:pt>
                <c:pt idx="1594">
                  <c:v>52645038</c:v>
                </c:pt>
                <c:pt idx="1595">
                  <c:v>52678065</c:v>
                </c:pt>
                <c:pt idx="1596">
                  <c:v>52711092</c:v>
                </c:pt>
                <c:pt idx="1597">
                  <c:v>52744119</c:v>
                </c:pt>
                <c:pt idx="1598">
                  <c:v>52777146</c:v>
                </c:pt>
                <c:pt idx="1599">
                  <c:v>52810173</c:v>
                </c:pt>
                <c:pt idx="1600">
                  <c:v>52843200</c:v>
                </c:pt>
                <c:pt idx="1601">
                  <c:v>52876227</c:v>
                </c:pt>
                <c:pt idx="1602">
                  <c:v>52909254</c:v>
                </c:pt>
                <c:pt idx="1603">
                  <c:v>52942281</c:v>
                </c:pt>
                <c:pt idx="1604">
                  <c:v>52975308</c:v>
                </c:pt>
                <c:pt idx="1605">
                  <c:v>53008335</c:v>
                </c:pt>
                <c:pt idx="1606">
                  <c:v>53041362</c:v>
                </c:pt>
                <c:pt idx="1607">
                  <c:v>53074389</c:v>
                </c:pt>
                <c:pt idx="1608">
                  <c:v>53107416</c:v>
                </c:pt>
                <c:pt idx="1609">
                  <c:v>53140443</c:v>
                </c:pt>
                <c:pt idx="1610">
                  <c:v>53173470</c:v>
                </c:pt>
                <c:pt idx="1611">
                  <c:v>53206497</c:v>
                </c:pt>
                <c:pt idx="1612">
                  <c:v>53239524</c:v>
                </c:pt>
                <c:pt idx="1613">
                  <c:v>53272551</c:v>
                </c:pt>
                <c:pt idx="1614">
                  <c:v>53305578</c:v>
                </c:pt>
                <c:pt idx="1615">
                  <c:v>53338605</c:v>
                </c:pt>
                <c:pt idx="1616">
                  <c:v>53371632</c:v>
                </c:pt>
                <c:pt idx="1617">
                  <c:v>53404659</c:v>
                </c:pt>
                <c:pt idx="1618">
                  <c:v>53437686</c:v>
                </c:pt>
                <c:pt idx="1619">
                  <c:v>53470713</c:v>
                </c:pt>
                <c:pt idx="1620">
                  <c:v>53503740</c:v>
                </c:pt>
                <c:pt idx="1621">
                  <c:v>53536767</c:v>
                </c:pt>
                <c:pt idx="1622">
                  <c:v>53569794</c:v>
                </c:pt>
                <c:pt idx="1623">
                  <c:v>53602821</c:v>
                </c:pt>
                <c:pt idx="1624">
                  <c:v>53635848</c:v>
                </c:pt>
                <c:pt idx="1625">
                  <c:v>53668875</c:v>
                </c:pt>
                <c:pt idx="1626">
                  <c:v>53701902</c:v>
                </c:pt>
                <c:pt idx="1627">
                  <c:v>53734929</c:v>
                </c:pt>
                <c:pt idx="1628">
                  <c:v>53767956</c:v>
                </c:pt>
                <c:pt idx="1629">
                  <c:v>53800983</c:v>
                </c:pt>
                <c:pt idx="1630">
                  <c:v>53834010</c:v>
                </c:pt>
                <c:pt idx="1631">
                  <c:v>53867037</c:v>
                </c:pt>
                <c:pt idx="1632">
                  <c:v>53900064</c:v>
                </c:pt>
                <c:pt idx="1633">
                  <c:v>53933091</c:v>
                </c:pt>
                <c:pt idx="1634">
                  <c:v>53966118</c:v>
                </c:pt>
                <c:pt idx="1635">
                  <c:v>53999145</c:v>
                </c:pt>
                <c:pt idx="1636">
                  <c:v>54032172</c:v>
                </c:pt>
                <c:pt idx="1637">
                  <c:v>54065199</c:v>
                </c:pt>
                <c:pt idx="1638">
                  <c:v>54098226</c:v>
                </c:pt>
                <c:pt idx="1639">
                  <c:v>54131253</c:v>
                </c:pt>
                <c:pt idx="1640">
                  <c:v>54164280</c:v>
                </c:pt>
                <c:pt idx="1641">
                  <c:v>54197307</c:v>
                </c:pt>
                <c:pt idx="1642">
                  <c:v>54230334</c:v>
                </c:pt>
                <c:pt idx="1643">
                  <c:v>54263361</c:v>
                </c:pt>
                <c:pt idx="1644">
                  <c:v>54296388</c:v>
                </c:pt>
                <c:pt idx="1645">
                  <c:v>54329415</c:v>
                </c:pt>
                <c:pt idx="1646">
                  <c:v>54362442</c:v>
                </c:pt>
                <c:pt idx="1647">
                  <c:v>54395469</c:v>
                </c:pt>
                <c:pt idx="1648">
                  <c:v>54428496</c:v>
                </c:pt>
                <c:pt idx="1649">
                  <c:v>54461523</c:v>
                </c:pt>
                <c:pt idx="1650">
                  <c:v>54494550</c:v>
                </c:pt>
                <c:pt idx="1651">
                  <c:v>54527577</c:v>
                </c:pt>
                <c:pt idx="1652">
                  <c:v>54560604</c:v>
                </c:pt>
                <c:pt idx="1653">
                  <c:v>54593631</c:v>
                </c:pt>
                <c:pt idx="1654">
                  <c:v>54626658</c:v>
                </c:pt>
                <c:pt idx="1655">
                  <c:v>54659685</c:v>
                </c:pt>
                <c:pt idx="1656">
                  <c:v>54692712</c:v>
                </c:pt>
                <c:pt idx="1657">
                  <c:v>54725739</c:v>
                </c:pt>
                <c:pt idx="1658">
                  <c:v>54758766</c:v>
                </c:pt>
                <c:pt idx="1659">
                  <c:v>54791793</c:v>
                </c:pt>
                <c:pt idx="1660">
                  <c:v>54824820</c:v>
                </c:pt>
                <c:pt idx="1661">
                  <c:v>54857847</c:v>
                </c:pt>
                <c:pt idx="1662">
                  <c:v>54890874</c:v>
                </c:pt>
                <c:pt idx="1663">
                  <c:v>54923901</c:v>
                </c:pt>
                <c:pt idx="1664">
                  <c:v>54956928</c:v>
                </c:pt>
                <c:pt idx="1665">
                  <c:v>54989955</c:v>
                </c:pt>
                <c:pt idx="1666">
                  <c:v>55022982</c:v>
                </c:pt>
                <c:pt idx="1667">
                  <c:v>55056009</c:v>
                </c:pt>
                <c:pt idx="1668">
                  <c:v>55089036</c:v>
                </c:pt>
                <c:pt idx="1669">
                  <c:v>55122063</c:v>
                </c:pt>
                <c:pt idx="1670">
                  <c:v>55155090</c:v>
                </c:pt>
                <c:pt idx="1671">
                  <c:v>55188117</c:v>
                </c:pt>
                <c:pt idx="1672">
                  <c:v>55221144</c:v>
                </c:pt>
                <c:pt idx="1673">
                  <c:v>55254171</c:v>
                </c:pt>
                <c:pt idx="1674">
                  <c:v>55287198</c:v>
                </c:pt>
                <c:pt idx="1675">
                  <c:v>55320225</c:v>
                </c:pt>
                <c:pt idx="1676">
                  <c:v>55353252</c:v>
                </c:pt>
                <c:pt idx="1677">
                  <c:v>55386279</c:v>
                </c:pt>
                <c:pt idx="1678">
                  <c:v>55419306</c:v>
                </c:pt>
                <c:pt idx="1679">
                  <c:v>55452333</c:v>
                </c:pt>
                <c:pt idx="1680">
                  <c:v>55485360</c:v>
                </c:pt>
                <c:pt idx="1681">
                  <c:v>55518387</c:v>
                </c:pt>
                <c:pt idx="1682">
                  <c:v>55551414</c:v>
                </c:pt>
                <c:pt idx="1683">
                  <c:v>55584441</c:v>
                </c:pt>
                <c:pt idx="1684">
                  <c:v>55617468</c:v>
                </c:pt>
                <c:pt idx="1685">
                  <c:v>55650495</c:v>
                </c:pt>
                <c:pt idx="1686">
                  <c:v>55683522</c:v>
                </c:pt>
                <c:pt idx="1687">
                  <c:v>55716549</c:v>
                </c:pt>
                <c:pt idx="1688">
                  <c:v>55749576</c:v>
                </c:pt>
                <c:pt idx="1689">
                  <c:v>55782603</c:v>
                </c:pt>
                <c:pt idx="1690">
                  <c:v>55815630</c:v>
                </c:pt>
                <c:pt idx="1691">
                  <c:v>55848657</c:v>
                </c:pt>
                <c:pt idx="1692">
                  <c:v>55881684</c:v>
                </c:pt>
                <c:pt idx="1693">
                  <c:v>55914711</c:v>
                </c:pt>
                <c:pt idx="1694">
                  <c:v>55947738</c:v>
                </c:pt>
                <c:pt idx="1695">
                  <c:v>55980765</c:v>
                </c:pt>
                <c:pt idx="1696">
                  <c:v>56013792</c:v>
                </c:pt>
                <c:pt idx="1697">
                  <c:v>56046819</c:v>
                </c:pt>
                <c:pt idx="1698">
                  <c:v>56079846</c:v>
                </c:pt>
                <c:pt idx="1699">
                  <c:v>56112873</c:v>
                </c:pt>
                <c:pt idx="1700">
                  <c:v>56145900</c:v>
                </c:pt>
                <c:pt idx="1701">
                  <c:v>56178927</c:v>
                </c:pt>
                <c:pt idx="1702">
                  <c:v>56211954</c:v>
                </c:pt>
                <c:pt idx="1703">
                  <c:v>56244981</c:v>
                </c:pt>
                <c:pt idx="1704">
                  <c:v>56278008</c:v>
                </c:pt>
                <c:pt idx="1705">
                  <c:v>56311035</c:v>
                </c:pt>
                <c:pt idx="1706">
                  <c:v>56344062</c:v>
                </c:pt>
                <c:pt idx="1707">
                  <c:v>56377089</c:v>
                </c:pt>
                <c:pt idx="1708">
                  <c:v>56410116</c:v>
                </c:pt>
                <c:pt idx="1709">
                  <c:v>56443143</c:v>
                </c:pt>
                <c:pt idx="1710">
                  <c:v>56476170</c:v>
                </c:pt>
                <c:pt idx="1711">
                  <c:v>56509197</c:v>
                </c:pt>
                <c:pt idx="1712">
                  <c:v>56542224</c:v>
                </c:pt>
                <c:pt idx="1713">
                  <c:v>56575251</c:v>
                </c:pt>
                <c:pt idx="1714">
                  <c:v>56608278</c:v>
                </c:pt>
                <c:pt idx="1715">
                  <c:v>56641305</c:v>
                </c:pt>
                <c:pt idx="1716">
                  <c:v>56674332</c:v>
                </c:pt>
                <c:pt idx="1717">
                  <c:v>56707359</c:v>
                </c:pt>
                <c:pt idx="1718">
                  <c:v>56740386</c:v>
                </c:pt>
                <c:pt idx="1719">
                  <c:v>56773413</c:v>
                </c:pt>
                <c:pt idx="1720">
                  <c:v>56806440</c:v>
                </c:pt>
                <c:pt idx="1721">
                  <c:v>56839467</c:v>
                </c:pt>
                <c:pt idx="1722">
                  <c:v>56872494</c:v>
                </c:pt>
                <c:pt idx="1723">
                  <c:v>56905521</c:v>
                </c:pt>
                <c:pt idx="1724">
                  <c:v>56938548</c:v>
                </c:pt>
                <c:pt idx="1725">
                  <c:v>56971575</c:v>
                </c:pt>
                <c:pt idx="1726">
                  <c:v>57004602</c:v>
                </c:pt>
                <c:pt idx="1727">
                  <c:v>57037629</c:v>
                </c:pt>
                <c:pt idx="1728">
                  <c:v>57070656</c:v>
                </c:pt>
                <c:pt idx="1729">
                  <c:v>57103683</c:v>
                </c:pt>
                <c:pt idx="1730">
                  <c:v>57136710</c:v>
                </c:pt>
                <c:pt idx="1731">
                  <c:v>57169737</c:v>
                </c:pt>
                <c:pt idx="1732">
                  <c:v>57202764</c:v>
                </c:pt>
                <c:pt idx="1733">
                  <c:v>57235791</c:v>
                </c:pt>
                <c:pt idx="1734">
                  <c:v>57268818</c:v>
                </c:pt>
                <c:pt idx="1735">
                  <c:v>57301845</c:v>
                </c:pt>
                <c:pt idx="1736">
                  <c:v>57334872</c:v>
                </c:pt>
                <c:pt idx="1737">
                  <c:v>57367899</c:v>
                </c:pt>
                <c:pt idx="1738">
                  <c:v>57400926</c:v>
                </c:pt>
                <c:pt idx="1739">
                  <c:v>57433953</c:v>
                </c:pt>
                <c:pt idx="1740">
                  <c:v>57466980</c:v>
                </c:pt>
                <c:pt idx="1741">
                  <c:v>57500007</c:v>
                </c:pt>
                <c:pt idx="1742">
                  <c:v>57533034</c:v>
                </c:pt>
                <c:pt idx="1743">
                  <c:v>57566061</c:v>
                </c:pt>
                <c:pt idx="1744">
                  <c:v>57599088</c:v>
                </c:pt>
                <c:pt idx="1745">
                  <c:v>57632115</c:v>
                </c:pt>
                <c:pt idx="1746">
                  <c:v>57665142</c:v>
                </c:pt>
                <c:pt idx="1747">
                  <c:v>57698169</c:v>
                </c:pt>
                <c:pt idx="1748">
                  <c:v>57731196</c:v>
                </c:pt>
                <c:pt idx="1749">
                  <c:v>57764223</c:v>
                </c:pt>
                <c:pt idx="1750">
                  <c:v>57797250</c:v>
                </c:pt>
                <c:pt idx="1751">
                  <c:v>57830277</c:v>
                </c:pt>
                <c:pt idx="1752">
                  <c:v>57863304</c:v>
                </c:pt>
                <c:pt idx="1753">
                  <c:v>57896331</c:v>
                </c:pt>
                <c:pt idx="1754">
                  <c:v>57929358</c:v>
                </c:pt>
                <c:pt idx="1755">
                  <c:v>57962385</c:v>
                </c:pt>
                <c:pt idx="1756">
                  <c:v>57995412</c:v>
                </c:pt>
                <c:pt idx="1757">
                  <c:v>58028439</c:v>
                </c:pt>
                <c:pt idx="1758">
                  <c:v>58061466</c:v>
                </c:pt>
                <c:pt idx="1759">
                  <c:v>58094493</c:v>
                </c:pt>
                <c:pt idx="1760">
                  <c:v>58127520</c:v>
                </c:pt>
                <c:pt idx="1761">
                  <c:v>58160547</c:v>
                </c:pt>
                <c:pt idx="1762">
                  <c:v>58193574</c:v>
                </c:pt>
                <c:pt idx="1763">
                  <c:v>58226601</c:v>
                </c:pt>
                <c:pt idx="1764">
                  <c:v>58259628</c:v>
                </c:pt>
                <c:pt idx="1765">
                  <c:v>58292655</c:v>
                </c:pt>
                <c:pt idx="1766">
                  <c:v>58325682</c:v>
                </c:pt>
                <c:pt idx="1767">
                  <c:v>58358709</c:v>
                </c:pt>
                <c:pt idx="1768">
                  <c:v>58391736</c:v>
                </c:pt>
                <c:pt idx="1769">
                  <c:v>58424763</c:v>
                </c:pt>
                <c:pt idx="1770">
                  <c:v>58457790</c:v>
                </c:pt>
                <c:pt idx="1771">
                  <c:v>58490817</c:v>
                </c:pt>
                <c:pt idx="1772">
                  <c:v>58523844</c:v>
                </c:pt>
                <c:pt idx="1773">
                  <c:v>58556871</c:v>
                </c:pt>
                <c:pt idx="1774">
                  <c:v>58589898</c:v>
                </c:pt>
                <c:pt idx="1775">
                  <c:v>58622925</c:v>
                </c:pt>
                <c:pt idx="1776">
                  <c:v>58655952</c:v>
                </c:pt>
                <c:pt idx="1777">
                  <c:v>58688979</c:v>
                </c:pt>
                <c:pt idx="1778">
                  <c:v>58722006</c:v>
                </c:pt>
                <c:pt idx="1779">
                  <c:v>58755033</c:v>
                </c:pt>
                <c:pt idx="1780">
                  <c:v>58788060</c:v>
                </c:pt>
                <c:pt idx="1781">
                  <c:v>58821087</c:v>
                </c:pt>
                <c:pt idx="1782">
                  <c:v>58854114</c:v>
                </c:pt>
                <c:pt idx="1783">
                  <c:v>58887141</c:v>
                </c:pt>
                <c:pt idx="1784">
                  <c:v>58920168</c:v>
                </c:pt>
                <c:pt idx="1785">
                  <c:v>58953195</c:v>
                </c:pt>
                <c:pt idx="1786">
                  <c:v>58986222</c:v>
                </c:pt>
                <c:pt idx="1787">
                  <c:v>59019249</c:v>
                </c:pt>
                <c:pt idx="1788">
                  <c:v>59052276</c:v>
                </c:pt>
                <c:pt idx="1789">
                  <c:v>59085303</c:v>
                </c:pt>
                <c:pt idx="1790">
                  <c:v>59118330</c:v>
                </c:pt>
                <c:pt idx="1791">
                  <c:v>59151357</c:v>
                </c:pt>
                <c:pt idx="1792">
                  <c:v>59184384</c:v>
                </c:pt>
                <c:pt idx="1793">
                  <c:v>59217411</c:v>
                </c:pt>
                <c:pt idx="1794">
                  <c:v>59250438</c:v>
                </c:pt>
                <c:pt idx="1795">
                  <c:v>59283465</c:v>
                </c:pt>
                <c:pt idx="1796">
                  <c:v>59316492</c:v>
                </c:pt>
                <c:pt idx="1797">
                  <c:v>59349519</c:v>
                </c:pt>
                <c:pt idx="1798">
                  <c:v>59382546</c:v>
                </c:pt>
                <c:pt idx="1799">
                  <c:v>59415573</c:v>
                </c:pt>
                <c:pt idx="1800">
                  <c:v>59448600</c:v>
                </c:pt>
                <c:pt idx="1801">
                  <c:v>59481627</c:v>
                </c:pt>
                <c:pt idx="1802">
                  <c:v>59514654</c:v>
                </c:pt>
                <c:pt idx="1803">
                  <c:v>59547681</c:v>
                </c:pt>
                <c:pt idx="1804">
                  <c:v>59580708</c:v>
                </c:pt>
                <c:pt idx="1805">
                  <c:v>59613735</c:v>
                </c:pt>
                <c:pt idx="1806">
                  <c:v>59646762</c:v>
                </c:pt>
                <c:pt idx="1807">
                  <c:v>59679789</c:v>
                </c:pt>
                <c:pt idx="1808">
                  <c:v>59712816</c:v>
                </c:pt>
                <c:pt idx="1809">
                  <c:v>59745843</c:v>
                </c:pt>
                <c:pt idx="1810">
                  <c:v>59778870</c:v>
                </c:pt>
                <c:pt idx="1811">
                  <c:v>59811897</c:v>
                </c:pt>
                <c:pt idx="1812">
                  <c:v>59844924</c:v>
                </c:pt>
                <c:pt idx="1813">
                  <c:v>59877951</c:v>
                </c:pt>
                <c:pt idx="1814">
                  <c:v>59910978</c:v>
                </c:pt>
                <c:pt idx="1815">
                  <c:v>59944005</c:v>
                </c:pt>
                <c:pt idx="1816">
                  <c:v>59977032</c:v>
                </c:pt>
                <c:pt idx="1817">
                  <c:v>60010059</c:v>
                </c:pt>
                <c:pt idx="1818">
                  <c:v>60043086</c:v>
                </c:pt>
                <c:pt idx="1819">
                  <c:v>60076113</c:v>
                </c:pt>
                <c:pt idx="1820">
                  <c:v>60109140</c:v>
                </c:pt>
                <c:pt idx="1821">
                  <c:v>60142167</c:v>
                </c:pt>
                <c:pt idx="1822">
                  <c:v>60175194</c:v>
                </c:pt>
                <c:pt idx="1823">
                  <c:v>60208221</c:v>
                </c:pt>
                <c:pt idx="1824">
                  <c:v>60241248</c:v>
                </c:pt>
                <c:pt idx="1825">
                  <c:v>60274275</c:v>
                </c:pt>
                <c:pt idx="1826">
                  <c:v>60307302</c:v>
                </c:pt>
                <c:pt idx="1827">
                  <c:v>60340329</c:v>
                </c:pt>
                <c:pt idx="1828">
                  <c:v>60373356</c:v>
                </c:pt>
                <c:pt idx="1829">
                  <c:v>60406383</c:v>
                </c:pt>
                <c:pt idx="1830">
                  <c:v>60439410</c:v>
                </c:pt>
                <c:pt idx="1831">
                  <c:v>60472437</c:v>
                </c:pt>
                <c:pt idx="1832">
                  <c:v>60505464</c:v>
                </c:pt>
                <c:pt idx="1833">
                  <c:v>60538491</c:v>
                </c:pt>
                <c:pt idx="1834">
                  <c:v>60571518</c:v>
                </c:pt>
                <c:pt idx="1835">
                  <c:v>60604545</c:v>
                </c:pt>
                <c:pt idx="1836">
                  <c:v>60637572</c:v>
                </c:pt>
                <c:pt idx="1837">
                  <c:v>60670599</c:v>
                </c:pt>
                <c:pt idx="1838">
                  <c:v>60703626</c:v>
                </c:pt>
                <c:pt idx="1839">
                  <c:v>60736653</c:v>
                </c:pt>
                <c:pt idx="1840">
                  <c:v>60769680</c:v>
                </c:pt>
                <c:pt idx="1841">
                  <c:v>60802707</c:v>
                </c:pt>
                <c:pt idx="1842">
                  <c:v>60835734</c:v>
                </c:pt>
                <c:pt idx="1843">
                  <c:v>60868761</c:v>
                </c:pt>
                <c:pt idx="1844">
                  <c:v>60901788</c:v>
                </c:pt>
                <c:pt idx="1845">
                  <c:v>60934815</c:v>
                </c:pt>
                <c:pt idx="1846">
                  <c:v>60967842</c:v>
                </c:pt>
                <c:pt idx="1847">
                  <c:v>61000869</c:v>
                </c:pt>
                <c:pt idx="1848">
                  <c:v>61033896</c:v>
                </c:pt>
                <c:pt idx="1849">
                  <c:v>61066923</c:v>
                </c:pt>
                <c:pt idx="1850">
                  <c:v>61099950</c:v>
                </c:pt>
                <c:pt idx="1851">
                  <c:v>61132977</c:v>
                </c:pt>
                <c:pt idx="1852">
                  <c:v>61166004</c:v>
                </c:pt>
                <c:pt idx="1853">
                  <c:v>61199031</c:v>
                </c:pt>
                <c:pt idx="1854">
                  <c:v>61232058</c:v>
                </c:pt>
                <c:pt idx="1855">
                  <c:v>61265085</c:v>
                </c:pt>
                <c:pt idx="1856">
                  <c:v>61298112</c:v>
                </c:pt>
                <c:pt idx="1857">
                  <c:v>61331139</c:v>
                </c:pt>
                <c:pt idx="1858">
                  <c:v>61364166</c:v>
                </c:pt>
                <c:pt idx="1859">
                  <c:v>61397193</c:v>
                </c:pt>
                <c:pt idx="1860">
                  <c:v>61430220</c:v>
                </c:pt>
                <c:pt idx="1861">
                  <c:v>61463247</c:v>
                </c:pt>
                <c:pt idx="1862">
                  <c:v>61496274</c:v>
                </c:pt>
                <c:pt idx="1863">
                  <c:v>61529301</c:v>
                </c:pt>
                <c:pt idx="1864">
                  <c:v>61562328</c:v>
                </c:pt>
                <c:pt idx="1865">
                  <c:v>61595355</c:v>
                </c:pt>
                <c:pt idx="1866">
                  <c:v>61628382</c:v>
                </c:pt>
                <c:pt idx="1867">
                  <c:v>61661409</c:v>
                </c:pt>
                <c:pt idx="1868">
                  <c:v>61694436</c:v>
                </c:pt>
                <c:pt idx="1869">
                  <c:v>61727463</c:v>
                </c:pt>
                <c:pt idx="1870">
                  <c:v>61760490</c:v>
                </c:pt>
                <c:pt idx="1871">
                  <c:v>61793517</c:v>
                </c:pt>
                <c:pt idx="1872">
                  <c:v>61826544</c:v>
                </c:pt>
                <c:pt idx="1873">
                  <c:v>61859571</c:v>
                </c:pt>
                <c:pt idx="1874">
                  <c:v>61892598</c:v>
                </c:pt>
                <c:pt idx="1875">
                  <c:v>61925625</c:v>
                </c:pt>
                <c:pt idx="1876">
                  <c:v>61958652</c:v>
                </c:pt>
                <c:pt idx="1877">
                  <c:v>61991679</c:v>
                </c:pt>
                <c:pt idx="1878">
                  <c:v>62024706</c:v>
                </c:pt>
                <c:pt idx="1879">
                  <c:v>62057733</c:v>
                </c:pt>
                <c:pt idx="1880">
                  <c:v>62090760</c:v>
                </c:pt>
                <c:pt idx="1881">
                  <c:v>62123787</c:v>
                </c:pt>
                <c:pt idx="1882">
                  <c:v>62156814</c:v>
                </c:pt>
                <c:pt idx="1883">
                  <c:v>62189841</c:v>
                </c:pt>
                <c:pt idx="1884">
                  <c:v>62222868</c:v>
                </c:pt>
                <c:pt idx="1885">
                  <c:v>62255895</c:v>
                </c:pt>
                <c:pt idx="1886">
                  <c:v>62288922</c:v>
                </c:pt>
                <c:pt idx="1887">
                  <c:v>62321949</c:v>
                </c:pt>
                <c:pt idx="1888">
                  <c:v>62354976</c:v>
                </c:pt>
                <c:pt idx="1889">
                  <c:v>62388003</c:v>
                </c:pt>
                <c:pt idx="1890">
                  <c:v>62421030</c:v>
                </c:pt>
                <c:pt idx="1891">
                  <c:v>62454057</c:v>
                </c:pt>
                <c:pt idx="1892">
                  <c:v>62487084</c:v>
                </c:pt>
                <c:pt idx="1893">
                  <c:v>62520111</c:v>
                </c:pt>
                <c:pt idx="1894">
                  <c:v>62553138</c:v>
                </c:pt>
                <c:pt idx="1895">
                  <c:v>62586165</c:v>
                </c:pt>
                <c:pt idx="1896">
                  <c:v>62619192</c:v>
                </c:pt>
                <c:pt idx="1897">
                  <c:v>62652219</c:v>
                </c:pt>
                <c:pt idx="1898">
                  <c:v>62685246</c:v>
                </c:pt>
                <c:pt idx="1899">
                  <c:v>62718273</c:v>
                </c:pt>
                <c:pt idx="1900">
                  <c:v>62751300</c:v>
                </c:pt>
                <c:pt idx="1901">
                  <c:v>62784327</c:v>
                </c:pt>
                <c:pt idx="1902">
                  <c:v>62817354</c:v>
                </c:pt>
                <c:pt idx="1903">
                  <c:v>62850381</c:v>
                </c:pt>
                <c:pt idx="1904">
                  <c:v>62883408</c:v>
                </c:pt>
                <c:pt idx="1905">
                  <c:v>62916435</c:v>
                </c:pt>
                <c:pt idx="1906">
                  <c:v>62949462</c:v>
                </c:pt>
                <c:pt idx="1907">
                  <c:v>62982489</c:v>
                </c:pt>
                <c:pt idx="1908">
                  <c:v>63015516</c:v>
                </c:pt>
                <c:pt idx="1909">
                  <c:v>63048543</c:v>
                </c:pt>
                <c:pt idx="1910">
                  <c:v>63081570</c:v>
                </c:pt>
                <c:pt idx="1911">
                  <c:v>63114597</c:v>
                </c:pt>
                <c:pt idx="1912">
                  <c:v>63147624</c:v>
                </c:pt>
                <c:pt idx="1913">
                  <c:v>63180651</c:v>
                </c:pt>
                <c:pt idx="1914">
                  <c:v>63213678</c:v>
                </c:pt>
                <c:pt idx="1915">
                  <c:v>63246705</c:v>
                </c:pt>
                <c:pt idx="1916">
                  <c:v>63279732</c:v>
                </c:pt>
                <c:pt idx="1917">
                  <c:v>63312759</c:v>
                </c:pt>
                <c:pt idx="1918">
                  <c:v>63345786</c:v>
                </c:pt>
                <c:pt idx="1919">
                  <c:v>63378813</c:v>
                </c:pt>
                <c:pt idx="1920">
                  <c:v>63411840</c:v>
                </c:pt>
                <c:pt idx="1921">
                  <c:v>63444867</c:v>
                </c:pt>
                <c:pt idx="1922">
                  <c:v>63477894</c:v>
                </c:pt>
                <c:pt idx="1923">
                  <c:v>63510921</c:v>
                </c:pt>
                <c:pt idx="1924">
                  <c:v>63543948</c:v>
                </c:pt>
                <c:pt idx="1925">
                  <c:v>63576975</c:v>
                </c:pt>
                <c:pt idx="1926">
                  <c:v>63610002</c:v>
                </c:pt>
                <c:pt idx="1927">
                  <c:v>63643029</c:v>
                </c:pt>
                <c:pt idx="1928">
                  <c:v>63676056</c:v>
                </c:pt>
                <c:pt idx="1929">
                  <c:v>63709083</c:v>
                </c:pt>
                <c:pt idx="1930">
                  <c:v>63742110</c:v>
                </c:pt>
                <c:pt idx="1931">
                  <c:v>63775137</c:v>
                </c:pt>
                <c:pt idx="1932">
                  <c:v>63808164</c:v>
                </c:pt>
                <c:pt idx="1933">
                  <c:v>63841191</c:v>
                </c:pt>
                <c:pt idx="1934">
                  <c:v>63874218</c:v>
                </c:pt>
                <c:pt idx="1935">
                  <c:v>63907245</c:v>
                </c:pt>
                <c:pt idx="1936">
                  <c:v>63940272</c:v>
                </c:pt>
                <c:pt idx="1937">
                  <c:v>63973299</c:v>
                </c:pt>
                <c:pt idx="1938">
                  <c:v>64006326</c:v>
                </c:pt>
                <c:pt idx="1939">
                  <c:v>64039353</c:v>
                </c:pt>
                <c:pt idx="1940">
                  <c:v>64072380</c:v>
                </c:pt>
                <c:pt idx="1941">
                  <c:v>64105407</c:v>
                </c:pt>
                <c:pt idx="1942">
                  <c:v>64138434</c:v>
                </c:pt>
                <c:pt idx="1943">
                  <c:v>64171461</c:v>
                </c:pt>
                <c:pt idx="1944">
                  <c:v>64204488</c:v>
                </c:pt>
                <c:pt idx="1945">
                  <c:v>64237515</c:v>
                </c:pt>
                <c:pt idx="1946">
                  <c:v>64270542</c:v>
                </c:pt>
                <c:pt idx="1947">
                  <c:v>64303569</c:v>
                </c:pt>
                <c:pt idx="1948">
                  <c:v>64336596</c:v>
                </c:pt>
                <c:pt idx="1949">
                  <c:v>64369623</c:v>
                </c:pt>
                <c:pt idx="1950">
                  <c:v>64402650</c:v>
                </c:pt>
                <c:pt idx="1951">
                  <c:v>64435677</c:v>
                </c:pt>
                <c:pt idx="1952">
                  <c:v>64468704</c:v>
                </c:pt>
                <c:pt idx="1953">
                  <c:v>64501731</c:v>
                </c:pt>
                <c:pt idx="1954">
                  <c:v>64534758</c:v>
                </c:pt>
                <c:pt idx="1955">
                  <c:v>64567785</c:v>
                </c:pt>
                <c:pt idx="1956">
                  <c:v>64600812</c:v>
                </c:pt>
                <c:pt idx="1957">
                  <c:v>64633839</c:v>
                </c:pt>
                <c:pt idx="1958">
                  <c:v>64666866</c:v>
                </c:pt>
                <c:pt idx="1959">
                  <c:v>64699893</c:v>
                </c:pt>
                <c:pt idx="1960">
                  <c:v>64732920</c:v>
                </c:pt>
                <c:pt idx="1961">
                  <c:v>64765947</c:v>
                </c:pt>
                <c:pt idx="1962">
                  <c:v>64798974</c:v>
                </c:pt>
                <c:pt idx="1963">
                  <c:v>64832001</c:v>
                </c:pt>
                <c:pt idx="1964">
                  <c:v>64865028</c:v>
                </c:pt>
                <c:pt idx="1965">
                  <c:v>64898055</c:v>
                </c:pt>
                <c:pt idx="1966">
                  <c:v>64931082</c:v>
                </c:pt>
                <c:pt idx="1967">
                  <c:v>64964109</c:v>
                </c:pt>
                <c:pt idx="1968">
                  <c:v>64997136</c:v>
                </c:pt>
                <c:pt idx="1969">
                  <c:v>65030163</c:v>
                </c:pt>
                <c:pt idx="1970">
                  <c:v>65063190</c:v>
                </c:pt>
                <c:pt idx="1971">
                  <c:v>65096217</c:v>
                </c:pt>
                <c:pt idx="1972">
                  <c:v>65129244</c:v>
                </c:pt>
                <c:pt idx="1973">
                  <c:v>65162271</c:v>
                </c:pt>
                <c:pt idx="1974">
                  <c:v>65195298</c:v>
                </c:pt>
                <c:pt idx="1975">
                  <c:v>65228325</c:v>
                </c:pt>
                <c:pt idx="1976">
                  <c:v>65261352</c:v>
                </c:pt>
                <c:pt idx="1977">
                  <c:v>65294379</c:v>
                </c:pt>
                <c:pt idx="1978">
                  <c:v>65327406</c:v>
                </c:pt>
                <c:pt idx="1979">
                  <c:v>65360433</c:v>
                </c:pt>
                <c:pt idx="1980">
                  <c:v>65393460</c:v>
                </c:pt>
                <c:pt idx="1981">
                  <c:v>65426487</c:v>
                </c:pt>
                <c:pt idx="1982">
                  <c:v>65459514</c:v>
                </c:pt>
                <c:pt idx="1983">
                  <c:v>65492541</c:v>
                </c:pt>
                <c:pt idx="1984">
                  <c:v>65525568</c:v>
                </c:pt>
                <c:pt idx="1985">
                  <c:v>65558595</c:v>
                </c:pt>
                <c:pt idx="1986">
                  <c:v>65591622</c:v>
                </c:pt>
                <c:pt idx="1987">
                  <c:v>65624649</c:v>
                </c:pt>
                <c:pt idx="1988">
                  <c:v>65657676</c:v>
                </c:pt>
                <c:pt idx="1989">
                  <c:v>65690703</c:v>
                </c:pt>
                <c:pt idx="1990">
                  <c:v>65723730</c:v>
                </c:pt>
                <c:pt idx="1991">
                  <c:v>65756757</c:v>
                </c:pt>
                <c:pt idx="1992">
                  <c:v>65789784</c:v>
                </c:pt>
                <c:pt idx="1993">
                  <c:v>65822811</c:v>
                </c:pt>
                <c:pt idx="1994">
                  <c:v>65855838</c:v>
                </c:pt>
                <c:pt idx="1995">
                  <c:v>65888865</c:v>
                </c:pt>
                <c:pt idx="1996">
                  <c:v>65921892</c:v>
                </c:pt>
                <c:pt idx="1997">
                  <c:v>65954919</c:v>
                </c:pt>
                <c:pt idx="1998">
                  <c:v>65987946</c:v>
                </c:pt>
                <c:pt idx="1999">
                  <c:v>66020973</c:v>
                </c:pt>
                <c:pt idx="2000">
                  <c:v>66054000</c:v>
                </c:pt>
                <c:pt idx="2001">
                  <c:v>66087027</c:v>
                </c:pt>
                <c:pt idx="2002">
                  <c:v>66120054</c:v>
                </c:pt>
                <c:pt idx="2003">
                  <c:v>66153081</c:v>
                </c:pt>
                <c:pt idx="2004">
                  <c:v>66186108</c:v>
                </c:pt>
                <c:pt idx="2005">
                  <c:v>66219135</c:v>
                </c:pt>
                <c:pt idx="2006">
                  <c:v>66252162</c:v>
                </c:pt>
                <c:pt idx="2007">
                  <c:v>66285189</c:v>
                </c:pt>
                <c:pt idx="2008">
                  <c:v>66318216</c:v>
                </c:pt>
                <c:pt idx="2009">
                  <c:v>66351243</c:v>
                </c:pt>
                <c:pt idx="2010">
                  <c:v>66384270</c:v>
                </c:pt>
                <c:pt idx="2011">
                  <c:v>66417297</c:v>
                </c:pt>
                <c:pt idx="2012">
                  <c:v>66450324</c:v>
                </c:pt>
                <c:pt idx="2013">
                  <c:v>66483351</c:v>
                </c:pt>
                <c:pt idx="2014">
                  <c:v>66516378</c:v>
                </c:pt>
                <c:pt idx="2015">
                  <c:v>66549405</c:v>
                </c:pt>
                <c:pt idx="2016">
                  <c:v>66582432</c:v>
                </c:pt>
                <c:pt idx="2017">
                  <c:v>66615459</c:v>
                </c:pt>
                <c:pt idx="2018">
                  <c:v>66648486</c:v>
                </c:pt>
                <c:pt idx="2019">
                  <c:v>66681513</c:v>
                </c:pt>
                <c:pt idx="2020">
                  <c:v>66714540</c:v>
                </c:pt>
                <c:pt idx="2021">
                  <c:v>66747567</c:v>
                </c:pt>
                <c:pt idx="2022">
                  <c:v>66780594</c:v>
                </c:pt>
                <c:pt idx="2023">
                  <c:v>66813621</c:v>
                </c:pt>
                <c:pt idx="2024">
                  <c:v>66846648</c:v>
                </c:pt>
                <c:pt idx="2025">
                  <c:v>66879675</c:v>
                </c:pt>
                <c:pt idx="2026">
                  <c:v>66912702</c:v>
                </c:pt>
                <c:pt idx="2027">
                  <c:v>66945729</c:v>
                </c:pt>
                <c:pt idx="2028">
                  <c:v>66978756</c:v>
                </c:pt>
                <c:pt idx="2029">
                  <c:v>67011783</c:v>
                </c:pt>
                <c:pt idx="2030">
                  <c:v>67044810</c:v>
                </c:pt>
                <c:pt idx="2031">
                  <c:v>67077837</c:v>
                </c:pt>
                <c:pt idx="2032">
                  <c:v>67110864</c:v>
                </c:pt>
                <c:pt idx="2033">
                  <c:v>67143891</c:v>
                </c:pt>
                <c:pt idx="2034">
                  <c:v>67176918</c:v>
                </c:pt>
                <c:pt idx="2035">
                  <c:v>67209945</c:v>
                </c:pt>
                <c:pt idx="2036">
                  <c:v>67242972</c:v>
                </c:pt>
                <c:pt idx="2037">
                  <c:v>67275999</c:v>
                </c:pt>
                <c:pt idx="2038">
                  <c:v>67309026</c:v>
                </c:pt>
                <c:pt idx="2039">
                  <c:v>67342053</c:v>
                </c:pt>
                <c:pt idx="2040">
                  <c:v>67375080</c:v>
                </c:pt>
                <c:pt idx="2041">
                  <c:v>67408107</c:v>
                </c:pt>
                <c:pt idx="2042">
                  <c:v>67441134</c:v>
                </c:pt>
                <c:pt idx="2043">
                  <c:v>67474161</c:v>
                </c:pt>
                <c:pt idx="2044">
                  <c:v>67507188</c:v>
                </c:pt>
                <c:pt idx="2045">
                  <c:v>67540215</c:v>
                </c:pt>
                <c:pt idx="2046">
                  <c:v>67573242</c:v>
                </c:pt>
                <c:pt idx="2047">
                  <c:v>67606269</c:v>
                </c:pt>
                <c:pt idx="2048">
                  <c:v>67639296</c:v>
                </c:pt>
                <c:pt idx="2049">
                  <c:v>67672323</c:v>
                </c:pt>
                <c:pt idx="2050">
                  <c:v>67705350</c:v>
                </c:pt>
                <c:pt idx="2051">
                  <c:v>67738377</c:v>
                </c:pt>
                <c:pt idx="2052">
                  <c:v>67771404</c:v>
                </c:pt>
                <c:pt idx="2053">
                  <c:v>67804431</c:v>
                </c:pt>
                <c:pt idx="2054">
                  <c:v>67837458</c:v>
                </c:pt>
                <c:pt idx="2055">
                  <c:v>67870485</c:v>
                </c:pt>
                <c:pt idx="2056">
                  <c:v>67903512</c:v>
                </c:pt>
                <c:pt idx="2057">
                  <c:v>67936539</c:v>
                </c:pt>
                <c:pt idx="2058">
                  <c:v>67969566</c:v>
                </c:pt>
                <c:pt idx="2059">
                  <c:v>68002593</c:v>
                </c:pt>
                <c:pt idx="2060">
                  <c:v>68035620</c:v>
                </c:pt>
                <c:pt idx="2061">
                  <c:v>68068647</c:v>
                </c:pt>
                <c:pt idx="2062">
                  <c:v>68101674</c:v>
                </c:pt>
                <c:pt idx="2063">
                  <c:v>68134701</c:v>
                </c:pt>
                <c:pt idx="2064">
                  <c:v>68167728</c:v>
                </c:pt>
                <c:pt idx="2065">
                  <c:v>68200755</c:v>
                </c:pt>
                <c:pt idx="2066">
                  <c:v>68233782</c:v>
                </c:pt>
                <c:pt idx="2067">
                  <c:v>68266809</c:v>
                </c:pt>
                <c:pt idx="2068">
                  <c:v>68299836</c:v>
                </c:pt>
                <c:pt idx="2069">
                  <c:v>68332863</c:v>
                </c:pt>
                <c:pt idx="2070">
                  <c:v>68365890</c:v>
                </c:pt>
                <c:pt idx="2071">
                  <c:v>68398917</c:v>
                </c:pt>
                <c:pt idx="2072">
                  <c:v>68431944</c:v>
                </c:pt>
                <c:pt idx="2073">
                  <c:v>68464971</c:v>
                </c:pt>
                <c:pt idx="2074">
                  <c:v>68497998</c:v>
                </c:pt>
                <c:pt idx="2075">
                  <c:v>68531025</c:v>
                </c:pt>
                <c:pt idx="2076">
                  <c:v>68564052</c:v>
                </c:pt>
                <c:pt idx="2077">
                  <c:v>68597079</c:v>
                </c:pt>
                <c:pt idx="2078">
                  <c:v>68630106</c:v>
                </c:pt>
                <c:pt idx="2079">
                  <c:v>68663133</c:v>
                </c:pt>
                <c:pt idx="2080">
                  <c:v>68696160</c:v>
                </c:pt>
                <c:pt idx="2081">
                  <c:v>68729187</c:v>
                </c:pt>
                <c:pt idx="2082">
                  <c:v>68762214</c:v>
                </c:pt>
                <c:pt idx="2083">
                  <c:v>68795241</c:v>
                </c:pt>
                <c:pt idx="2084">
                  <c:v>68828268</c:v>
                </c:pt>
                <c:pt idx="2085">
                  <c:v>68861295</c:v>
                </c:pt>
                <c:pt idx="2086">
                  <c:v>68894322</c:v>
                </c:pt>
                <c:pt idx="2087">
                  <c:v>68927349</c:v>
                </c:pt>
                <c:pt idx="2088">
                  <c:v>68960376</c:v>
                </c:pt>
                <c:pt idx="2089">
                  <c:v>68993403</c:v>
                </c:pt>
                <c:pt idx="2090">
                  <c:v>69026430</c:v>
                </c:pt>
                <c:pt idx="2091">
                  <c:v>69059457</c:v>
                </c:pt>
                <c:pt idx="2092">
                  <c:v>69092484</c:v>
                </c:pt>
                <c:pt idx="2093">
                  <c:v>69125511</c:v>
                </c:pt>
                <c:pt idx="2094">
                  <c:v>69158538</c:v>
                </c:pt>
                <c:pt idx="2095">
                  <c:v>69191565</c:v>
                </c:pt>
                <c:pt idx="2096">
                  <c:v>69224592</c:v>
                </c:pt>
                <c:pt idx="2097">
                  <c:v>69257619</c:v>
                </c:pt>
                <c:pt idx="2098">
                  <c:v>69290646</c:v>
                </c:pt>
                <c:pt idx="2099">
                  <c:v>69323673</c:v>
                </c:pt>
                <c:pt idx="2100">
                  <c:v>69356700</c:v>
                </c:pt>
                <c:pt idx="2101">
                  <c:v>69389727</c:v>
                </c:pt>
                <c:pt idx="2102">
                  <c:v>69422754</c:v>
                </c:pt>
                <c:pt idx="2103">
                  <c:v>69455781</c:v>
                </c:pt>
                <c:pt idx="2104">
                  <c:v>69488808</c:v>
                </c:pt>
                <c:pt idx="2105">
                  <c:v>69521835</c:v>
                </c:pt>
                <c:pt idx="2106">
                  <c:v>69554862</c:v>
                </c:pt>
                <c:pt idx="2107">
                  <c:v>69587889</c:v>
                </c:pt>
                <c:pt idx="2108">
                  <c:v>69620916</c:v>
                </c:pt>
                <c:pt idx="2109">
                  <c:v>69653943</c:v>
                </c:pt>
                <c:pt idx="2110">
                  <c:v>69686970</c:v>
                </c:pt>
                <c:pt idx="2111">
                  <c:v>69719997</c:v>
                </c:pt>
                <c:pt idx="2112">
                  <c:v>69753024</c:v>
                </c:pt>
                <c:pt idx="2113">
                  <c:v>69786051</c:v>
                </c:pt>
                <c:pt idx="2114">
                  <c:v>69819078</c:v>
                </c:pt>
                <c:pt idx="2115">
                  <c:v>69852105</c:v>
                </c:pt>
                <c:pt idx="2116">
                  <c:v>69885132</c:v>
                </c:pt>
                <c:pt idx="2117">
                  <c:v>69918159</c:v>
                </c:pt>
                <c:pt idx="2118">
                  <c:v>69951186</c:v>
                </c:pt>
                <c:pt idx="2119">
                  <c:v>69984213</c:v>
                </c:pt>
                <c:pt idx="2120">
                  <c:v>70017240</c:v>
                </c:pt>
                <c:pt idx="2121">
                  <c:v>70050267</c:v>
                </c:pt>
                <c:pt idx="2122">
                  <c:v>70083294</c:v>
                </c:pt>
                <c:pt idx="2123">
                  <c:v>70116321</c:v>
                </c:pt>
                <c:pt idx="2124">
                  <c:v>70149348</c:v>
                </c:pt>
                <c:pt idx="2125">
                  <c:v>70182375</c:v>
                </c:pt>
                <c:pt idx="2126">
                  <c:v>70215402</c:v>
                </c:pt>
                <c:pt idx="2127">
                  <c:v>70248429</c:v>
                </c:pt>
                <c:pt idx="2128">
                  <c:v>70281456</c:v>
                </c:pt>
                <c:pt idx="2129">
                  <c:v>70314483</c:v>
                </c:pt>
                <c:pt idx="2130">
                  <c:v>70347510</c:v>
                </c:pt>
                <c:pt idx="2131">
                  <c:v>70380537</c:v>
                </c:pt>
                <c:pt idx="2132">
                  <c:v>70413564</c:v>
                </c:pt>
                <c:pt idx="2133">
                  <c:v>70446591</c:v>
                </c:pt>
                <c:pt idx="2134">
                  <c:v>70479618</c:v>
                </c:pt>
                <c:pt idx="2135">
                  <c:v>70512645</c:v>
                </c:pt>
                <c:pt idx="2136">
                  <c:v>70545672</c:v>
                </c:pt>
                <c:pt idx="2137">
                  <c:v>70578699</c:v>
                </c:pt>
                <c:pt idx="2138">
                  <c:v>70611726</c:v>
                </c:pt>
                <c:pt idx="2139">
                  <c:v>70644753</c:v>
                </c:pt>
                <c:pt idx="2140">
                  <c:v>70677780</c:v>
                </c:pt>
                <c:pt idx="2141">
                  <c:v>70710807</c:v>
                </c:pt>
                <c:pt idx="2142">
                  <c:v>70743834</c:v>
                </c:pt>
                <c:pt idx="2143">
                  <c:v>70776861</c:v>
                </c:pt>
                <c:pt idx="2144">
                  <c:v>70809888</c:v>
                </c:pt>
                <c:pt idx="2145">
                  <c:v>70842915</c:v>
                </c:pt>
                <c:pt idx="2146">
                  <c:v>70875942</c:v>
                </c:pt>
                <c:pt idx="2147">
                  <c:v>70908969</c:v>
                </c:pt>
                <c:pt idx="2148">
                  <c:v>70941996</c:v>
                </c:pt>
                <c:pt idx="2149">
                  <c:v>70975023</c:v>
                </c:pt>
                <c:pt idx="2150">
                  <c:v>71008050</c:v>
                </c:pt>
                <c:pt idx="2151">
                  <c:v>71041077</c:v>
                </c:pt>
                <c:pt idx="2152">
                  <c:v>71074104</c:v>
                </c:pt>
                <c:pt idx="2153">
                  <c:v>71107131</c:v>
                </c:pt>
                <c:pt idx="2154">
                  <c:v>71140158</c:v>
                </c:pt>
                <c:pt idx="2155">
                  <c:v>71173185</c:v>
                </c:pt>
                <c:pt idx="2156">
                  <c:v>71206212</c:v>
                </c:pt>
                <c:pt idx="2157">
                  <c:v>71239239</c:v>
                </c:pt>
                <c:pt idx="2158">
                  <c:v>71272266</c:v>
                </c:pt>
                <c:pt idx="2159">
                  <c:v>71305293</c:v>
                </c:pt>
                <c:pt idx="2160">
                  <c:v>71338320</c:v>
                </c:pt>
                <c:pt idx="2161">
                  <c:v>71371347</c:v>
                </c:pt>
                <c:pt idx="2162">
                  <c:v>71404374</c:v>
                </c:pt>
                <c:pt idx="2163">
                  <c:v>71437401</c:v>
                </c:pt>
                <c:pt idx="2164">
                  <c:v>71470428</c:v>
                </c:pt>
                <c:pt idx="2165">
                  <c:v>71503455</c:v>
                </c:pt>
                <c:pt idx="2166">
                  <c:v>71536482</c:v>
                </c:pt>
                <c:pt idx="2167">
                  <c:v>71569509</c:v>
                </c:pt>
                <c:pt idx="2168">
                  <c:v>71602536</c:v>
                </c:pt>
                <c:pt idx="2169">
                  <c:v>71635563</c:v>
                </c:pt>
                <c:pt idx="2170">
                  <c:v>71668590</c:v>
                </c:pt>
                <c:pt idx="2171">
                  <c:v>71701617</c:v>
                </c:pt>
                <c:pt idx="2172">
                  <c:v>71734644</c:v>
                </c:pt>
                <c:pt idx="2173">
                  <c:v>71767671</c:v>
                </c:pt>
                <c:pt idx="2174">
                  <c:v>71800698</c:v>
                </c:pt>
                <c:pt idx="2175">
                  <c:v>71833725</c:v>
                </c:pt>
                <c:pt idx="2176">
                  <c:v>71866752</c:v>
                </c:pt>
                <c:pt idx="2177">
                  <c:v>71899779</c:v>
                </c:pt>
                <c:pt idx="2178">
                  <c:v>71932806</c:v>
                </c:pt>
                <c:pt idx="2179">
                  <c:v>71965833</c:v>
                </c:pt>
                <c:pt idx="2180">
                  <c:v>71998860</c:v>
                </c:pt>
                <c:pt idx="2181">
                  <c:v>72031887</c:v>
                </c:pt>
                <c:pt idx="2182">
                  <c:v>72064914</c:v>
                </c:pt>
                <c:pt idx="2183">
                  <c:v>72097941</c:v>
                </c:pt>
                <c:pt idx="2184">
                  <c:v>72130968</c:v>
                </c:pt>
                <c:pt idx="2185">
                  <c:v>72163995</c:v>
                </c:pt>
                <c:pt idx="2186">
                  <c:v>72197022</c:v>
                </c:pt>
                <c:pt idx="2187">
                  <c:v>72230049</c:v>
                </c:pt>
                <c:pt idx="2188">
                  <c:v>72263076</c:v>
                </c:pt>
                <c:pt idx="2189">
                  <c:v>72296103</c:v>
                </c:pt>
                <c:pt idx="2190">
                  <c:v>72329130</c:v>
                </c:pt>
                <c:pt idx="2191">
                  <c:v>72362157</c:v>
                </c:pt>
                <c:pt idx="2192">
                  <c:v>72395184</c:v>
                </c:pt>
                <c:pt idx="2193">
                  <c:v>72428211</c:v>
                </c:pt>
                <c:pt idx="2194">
                  <c:v>72461238</c:v>
                </c:pt>
                <c:pt idx="2195">
                  <c:v>72494265</c:v>
                </c:pt>
                <c:pt idx="2196">
                  <c:v>72527292</c:v>
                </c:pt>
                <c:pt idx="2197">
                  <c:v>72560319</c:v>
                </c:pt>
                <c:pt idx="2198">
                  <c:v>72593346</c:v>
                </c:pt>
                <c:pt idx="2199">
                  <c:v>72626373</c:v>
                </c:pt>
                <c:pt idx="2200">
                  <c:v>72659400</c:v>
                </c:pt>
                <c:pt idx="2201">
                  <c:v>72692427</c:v>
                </c:pt>
                <c:pt idx="2202">
                  <c:v>72725454</c:v>
                </c:pt>
                <c:pt idx="2203">
                  <c:v>72758481</c:v>
                </c:pt>
                <c:pt idx="2204">
                  <c:v>72791508</c:v>
                </c:pt>
                <c:pt idx="2205">
                  <c:v>72824535</c:v>
                </c:pt>
                <c:pt idx="2206">
                  <c:v>72857562</c:v>
                </c:pt>
                <c:pt idx="2207">
                  <c:v>72890589</c:v>
                </c:pt>
                <c:pt idx="2208">
                  <c:v>72923616</c:v>
                </c:pt>
                <c:pt idx="2209">
                  <c:v>72956643</c:v>
                </c:pt>
                <c:pt idx="2210">
                  <c:v>72989670</c:v>
                </c:pt>
                <c:pt idx="2211">
                  <c:v>73022697</c:v>
                </c:pt>
                <c:pt idx="2212">
                  <c:v>73055724</c:v>
                </c:pt>
                <c:pt idx="2213">
                  <c:v>73088751</c:v>
                </c:pt>
                <c:pt idx="2214">
                  <c:v>73121778</c:v>
                </c:pt>
                <c:pt idx="2215">
                  <c:v>73154805</c:v>
                </c:pt>
                <c:pt idx="2216">
                  <c:v>73187832</c:v>
                </c:pt>
                <c:pt idx="2217">
                  <c:v>73220859</c:v>
                </c:pt>
                <c:pt idx="2218">
                  <c:v>73253886</c:v>
                </c:pt>
                <c:pt idx="2219">
                  <c:v>73286913</c:v>
                </c:pt>
                <c:pt idx="2220">
                  <c:v>73319940</c:v>
                </c:pt>
                <c:pt idx="2221">
                  <c:v>73352967</c:v>
                </c:pt>
                <c:pt idx="2222">
                  <c:v>73385994</c:v>
                </c:pt>
                <c:pt idx="2223">
                  <c:v>73419021</c:v>
                </c:pt>
                <c:pt idx="2224">
                  <c:v>73452048</c:v>
                </c:pt>
                <c:pt idx="2225">
                  <c:v>73485075</c:v>
                </c:pt>
                <c:pt idx="2226">
                  <c:v>73518102</c:v>
                </c:pt>
                <c:pt idx="2227">
                  <c:v>73551129</c:v>
                </c:pt>
                <c:pt idx="2228">
                  <c:v>73584156</c:v>
                </c:pt>
                <c:pt idx="2229">
                  <c:v>73617183</c:v>
                </c:pt>
                <c:pt idx="2230">
                  <c:v>73650210</c:v>
                </c:pt>
                <c:pt idx="2231">
                  <c:v>73683237</c:v>
                </c:pt>
                <c:pt idx="2232">
                  <c:v>73716264</c:v>
                </c:pt>
                <c:pt idx="2233">
                  <c:v>73749291</c:v>
                </c:pt>
                <c:pt idx="2234">
                  <c:v>73782318</c:v>
                </c:pt>
                <c:pt idx="2235">
                  <c:v>73815345</c:v>
                </c:pt>
                <c:pt idx="2236">
                  <c:v>73848372</c:v>
                </c:pt>
                <c:pt idx="2237">
                  <c:v>73881399</c:v>
                </c:pt>
                <c:pt idx="2238">
                  <c:v>73914426</c:v>
                </c:pt>
                <c:pt idx="2239">
                  <c:v>73947453</c:v>
                </c:pt>
                <c:pt idx="2240">
                  <c:v>73980480</c:v>
                </c:pt>
                <c:pt idx="2241">
                  <c:v>74013507</c:v>
                </c:pt>
                <c:pt idx="2242">
                  <c:v>74046534</c:v>
                </c:pt>
                <c:pt idx="2243">
                  <c:v>74079561</c:v>
                </c:pt>
                <c:pt idx="2244">
                  <c:v>74112588</c:v>
                </c:pt>
                <c:pt idx="2245">
                  <c:v>74145615</c:v>
                </c:pt>
                <c:pt idx="2246">
                  <c:v>74178642</c:v>
                </c:pt>
                <c:pt idx="2247">
                  <c:v>74211669</c:v>
                </c:pt>
                <c:pt idx="2248">
                  <c:v>74244696</c:v>
                </c:pt>
                <c:pt idx="2249">
                  <c:v>74277723</c:v>
                </c:pt>
                <c:pt idx="2250">
                  <c:v>74310750</c:v>
                </c:pt>
                <c:pt idx="2251">
                  <c:v>74343777</c:v>
                </c:pt>
                <c:pt idx="2252">
                  <c:v>74376804</c:v>
                </c:pt>
                <c:pt idx="2253">
                  <c:v>74409831</c:v>
                </c:pt>
                <c:pt idx="2254">
                  <c:v>74442858</c:v>
                </c:pt>
                <c:pt idx="2255">
                  <c:v>74475885</c:v>
                </c:pt>
                <c:pt idx="2256">
                  <c:v>74508912</c:v>
                </c:pt>
                <c:pt idx="2257">
                  <c:v>74541939</c:v>
                </c:pt>
                <c:pt idx="2258">
                  <c:v>74574966</c:v>
                </c:pt>
                <c:pt idx="2259">
                  <c:v>74607993</c:v>
                </c:pt>
                <c:pt idx="2260">
                  <c:v>74641020</c:v>
                </c:pt>
                <c:pt idx="2261">
                  <c:v>74674047</c:v>
                </c:pt>
                <c:pt idx="2262">
                  <c:v>74707074</c:v>
                </c:pt>
                <c:pt idx="2263">
                  <c:v>74740101</c:v>
                </c:pt>
                <c:pt idx="2264">
                  <c:v>74773128</c:v>
                </c:pt>
                <c:pt idx="2265">
                  <c:v>74806155</c:v>
                </c:pt>
                <c:pt idx="2266">
                  <c:v>74839182</c:v>
                </c:pt>
                <c:pt idx="2267">
                  <c:v>74872209</c:v>
                </c:pt>
                <c:pt idx="2268">
                  <c:v>74905236</c:v>
                </c:pt>
                <c:pt idx="2269">
                  <c:v>74938263</c:v>
                </c:pt>
                <c:pt idx="2270">
                  <c:v>74971290</c:v>
                </c:pt>
                <c:pt idx="2271">
                  <c:v>75004317</c:v>
                </c:pt>
                <c:pt idx="2272">
                  <c:v>75037344</c:v>
                </c:pt>
                <c:pt idx="2273">
                  <c:v>75070371</c:v>
                </c:pt>
                <c:pt idx="2274">
                  <c:v>75103398</c:v>
                </c:pt>
                <c:pt idx="2275">
                  <c:v>75136425</c:v>
                </c:pt>
                <c:pt idx="2276">
                  <c:v>75169452</c:v>
                </c:pt>
                <c:pt idx="2277">
                  <c:v>75202479</c:v>
                </c:pt>
                <c:pt idx="2278">
                  <c:v>75235506</c:v>
                </c:pt>
                <c:pt idx="2279">
                  <c:v>75268533</c:v>
                </c:pt>
                <c:pt idx="2280">
                  <c:v>75301560</c:v>
                </c:pt>
                <c:pt idx="2281">
                  <c:v>75334587</c:v>
                </c:pt>
                <c:pt idx="2282">
                  <c:v>75367614</c:v>
                </c:pt>
                <c:pt idx="2283">
                  <c:v>75400641</c:v>
                </c:pt>
                <c:pt idx="2284">
                  <c:v>75433668</c:v>
                </c:pt>
                <c:pt idx="2285">
                  <c:v>75466695</c:v>
                </c:pt>
                <c:pt idx="2286">
                  <c:v>75499722</c:v>
                </c:pt>
                <c:pt idx="2287">
                  <c:v>75532749</c:v>
                </c:pt>
                <c:pt idx="2288">
                  <c:v>75565776</c:v>
                </c:pt>
                <c:pt idx="2289">
                  <c:v>75598803</c:v>
                </c:pt>
                <c:pt idx="2290">
                  <c:v>75631830</c:v>
                </c:pt>
                <c:pt idx="2291">
                  <c:v>75664857</c:v>
                </c:pt>
                <c:pt idx="2292">
                  <c:v>75697884</c:v>
                </c:pt>
                <c:pt idx="2293">
                  <c:v>75730911</c:v>
                </c:pt>
                <c:pt idx="2294">
                  <c:v>75763938</c:v>
                </c:pt>
                <c:pt idx="2295">
                  <c:v>75796965</c:v>
                </c:pt>
                <c:pt idx="2296">
                  <c:v>75829992</c:v>
                </c:pt>
                <c:pt idx="2297">
                  <c:v>75863019</c:v>
                </c:pt>
                <c:pt idx="2298">
                  <c:v>75896046</c:v>
                </c:pt>
                <c:pt idx="2299">
                  <c:v>75929073</c:v>
                </c:pt>
                <c:pt idx="2300">
                  <c:v>75962100</c:v>
                </c:pt>
                <c:pt idx="2301">
                  <c:v>75995127</c:v>
                </c:pt>
                <c:pt idx="2302">
                  <c:v>76028154</c:v>
                </c:pt>
                <c:pt idx="2303">
                  <c:v>76061181</c:v>
                </c:pt>
                <c:pt idx="2304">
                  <c:v>76094208</c:v>
                </c:pt>
                <c:pt idx="2305">
                  <c:v>76127235</c:v>
                </c:pt>
                <c:pt idx="2306">
                  <c:v>76160262</c:v>
                </c:pt>
                <c:pt idx="2307">
                  <c:v>76193289</c:v>
                </c:pt>
                <c:pt idx="2308">
                  <c:v>76226316</c:v>
                </c:pt>
                <c:pt idx="2309">
                  <c:v>76259343</c:v>
                </c:pt>
                <c:pt idx="2310">
                  <c:v>76292370</c:v>
                </c:pt>
                <c:pt idx="2311">
                  <c:v>76325397</c:v>
                </c:pt>
                <c:pt idx="2312">
                  <c:v>76358424</c:v>
                </c:pt>
                <c:pt idx="2313">
                  <c:v>76391451</c:v>
                </c:pt>
                <c:pt idx="2314">
                  <c:v>76424478</c:v>
                </c:pt>
                <c:pt idx="2315">
                  <c:v>76457505</c:v>
                </c:pt>
                <c:pt idx="2316">
                  <c:v>76490532</c:v>
                </c:pt>
                <c:pt idx="2317">
                  <c:v>76523559</c:v>
                </c:pt>
                <c:pt idx="2318">
                  <c:v>76556586</c:v>
                </c:pt>
                <c:pt idx="2319">
                  <c:v>76589613</c:v>
                </c:pt>
                <c:pt idx="2320">
                  <c:v>76622640</c:v>
                </c:pt>
                <c:pt idx="2321">
                  <c:v>76655667</c:v>
                </c:pt>
                <c:pt idx="2322">
                  <c:v>76688694</c:v>
                </c:pt>
                <c:pt idx="2323">
                  <c:v>76721721</c:v>
                </c:pt>
                <c:pt idx="2324">
                  <c:v>76754748</c:v>
                </c:pt>
                <c:pt idx="2325">
                  <c:v>76787775</c:v>
                </c:pt>
                <c:pt idx="2326">
                  <c:v>76820802</c:v>
                </c:pt>
                <c:pt idx="2327">
                  <c:v>76853829</c:v>
                </c:pt>
                <c:pt idx="2328">
                  <c:v>76886856</c:v>
                </c:pt>
                <c:pt idx="2329">
                  <c:v>76919883</c:v>
                </c:pt>
                <c:pt idx="2330">
                  <c:v>76952910</c:v>
                </c:pt>
                <c:pt idx="2331">
                  <c:v>76985937</c:v>
                </c:pt>
                <c:pt idx="2332">
                  <c:v>77018964</c:v>
                </c:pt>
                <c:pt idx="2333">
                  <c:v>77051991</c:v>
                </c:pt>
                <c:pt idx="2334">
                  <c:v>77085018</c:v>
                </c:pt>
                <c:pt idx="2335">
                  <c:v>77118045</c:v>
                </c:pt>
                <c:pt idx="2336">
                  <c:v>77151072</c:v>
                </c:pt>
                <c:pt idx="2337">
                  <c:v>77184099</c:v>
                </c:pt>
                <c:pt idx="2338">
                  <c:v>77217126</c:v>
                </c:pt>
                <c:pt idx="2339">
                  <c:v>77250153</c:v>
                </c:pt>
                <c:pt idx="2340">
                  <c:v>77283180</c:v>
                </c:pt>
                <c:pt idx="2341">
                  <c:v>77316207</c:v>
                </c:pt>
                <c:pt idx="2342">
                  <c:v>77349234</c:v>
                </c:pt>
                <c:pt idx="2343">
                  <c:v>77382261</c:v>
                </c:pt>
                <c:pt idx="2344">
                  <c:v>77415288</c:v>
                </c:pt>
                <c:pt idx="2345">
                  <c:v>77448315</c:v>
                </c:pt>
                <c:pt idx="2346">
                  <c:v>77481342</c:v>
                </c:pt>
                <c:pt idx="2347">
                  <c:v>77514369</c:v>
                </c:pt>
                <c:pt idx="2348">
                  <c:v>77547396</c:v>
                </c:pt>
                <c:pt idx="2349">
                  <c:v>77580423</c:v>
                </c:pt>
                <c:pt idx="2350">
                  <c:v>77613450</c:v>
                </c:pt>
                <c:pt idx="2351">
                  <c:v>77646477</c:v>
                </c:pt>
                <c:pt idx="2352">
                  <c:v>77679504</c:v>
                </c:pt>
                <c:pt idx="2353">
                  <c:v>77712531</c:v>
                </c:pt>
                <c:pt idx="2354">
                  <c:v>77745558</c:v>
                </c:pt>
                <c:pt idx="2355">
                  <c:v>77778585</c:v>
                </c:pt>
                <c:pt idx="2356">
                  <c:v>77811612</c:v>
                </c:pt>
                <c:pt idx="2357">
                  <c:v>77844639</c:v>
                </c:pt>
                <c:pt idx="2358">
                  <c:v>77877666</c:v>
                </c:pt>
                <c:pt idx="2359">
                  <c:v>77910693</c:v>
                </c:pt>
                <c:pt idx="2360">
                  <c:v>77943720</c:v>
                </c:pt>
                <c:pt idx="2361">
                  <c:v>77976747</c:v>
                </c:pt>
                <c:pt idx="2362">
                  <c:v>78009774</c:v>
                </c:pt>
                <c:pt idx="2363">
                  <c:v>78042801</c:v>
                </c:pt>
                <c:pt idx="2364">
                  <c:v>78075828</c:v>
                </c:pt>
                <c:pt idx="2365">
                  <c:v>78108855</c:v>
                </c:pt>
                <c:pt idx="2366">
                  <c:v>78141882</c:v>
                </c:pt>
                <c:pt idx="2367">
                  <c:v>78174909</c:v>
                </c:pt>
                <c:pt idx="2368">
                  <c:v>78207936</c:v>
                </c:pt>
                <c:pt idx="2369">
                  <c:v>78240963</c:v>
                </c:pt>
                <c:pt idx="2370">
                  <c:v>78273990</c:v>
                </c:pt>
                <c:pt idx="2371">
                  <c:v>78307017</c:v>
                </c:pt>
                <c:pt idx="2372">
                  <c:v>78340044</c:v>
                </c:pt>
                <c:pt idx="2373">
                  <c:v>78373071</c:v>
                </c:pt>
                <c:pt idx="2374">
                  <c:v>78406098</c:v>
                </c:pt>
                <c:pt idx="2375">
                  <c:v>78439125</c:v>
                </c:pt>
                <c:pt idx="2376">
                  <c:v>78472152</c:v>
                </c:pt>
                <c:pt idx="2377">
                  <c:v>78505179</c:v>
                </c:pt>
                <c:pt idx="2378">
                  <c:v>78538206</c:v>
                </c:pt>
                <c:pt idx="2379">
                  <c:v>78571233</c:v>
                </c:pt>
                <c:pt idx="2380">
                  <c:v>78604260</c:v>
                </c:pt>
                <c:pt idx="2381">
                  <c:v>78637287</c:v>
                </c:pt>
                <c:pt idx="2382">
                  <c:v>78670314</c:v>
                </c:pt>
                <c:pt idx="2383">
                  <c:v>78703341</c:v>
                </c:pt>
                <c:pt idx="2384">
                  <c:v>78736368</c:v>
                </c:pt>
                <c:pt idx="2385">
                  <c:v>78769395</c:v>
                </c:pt>
                <c:pt idx="2386">
                  <c:v>78802422</c:v>
                </c:pt>
                <c:pt idx="2387">
                  <c:v>78835449</c:v>
                </c:pt>
                <c:pt idx="2388">
                  <c:v>78868476</c:v>
                </c:pt>
                <c:pt idx="2389">
                  <c:v>78901503</c:v>
                </c:pt>
                <c:pt idx="2390">
                  <c:v>78934530</c:v>
                </c:pt>
                <c:pt idx="2391">
                  <c:v>78967557</c:v>
                </c:pt>
                <c:pt idx="2392">
                  <c:v>79000584</c:v>
                </c:pt>
                <c:pt idx="2393">
                  <c:v>79033611</c:v>
                </c:pt>
                <c:pt idx="2394">
                  <c:v>79066638</c:v>
                </c:pt>
                <c:pt idx="2395">
                  <c:v>79099665</c:v>
                </c:pt>
                <c:pt idx="2396">
                  <c:v>79132692</c:v>
                </c:pt>
                <c:pt idx="2397">
                  <c:v>79165719</c:v>
                </c:pt>
                <c:pt idx="2398">
                  <c:v>79198746</c:v>
                </c:pt>
                <c:pt idx="2399">
                  <c:v>79231773</c:v>
                </c:pt>
                <c:pt idx="2400">
                  <c:v>79264800</c:v>
                </c:pt>
                <c:pt idx="2401">
                  <c:v>79297827</c:v>
                </c:pt>
                <c:pt idx="2402">
                  <c:v>79330854</c:v>
                </c:pt>
                <c:pt idx="2403">
                  <c:v>79363881</c:v>
                </c:pt>
                <c:pt idx="2404">
                  <c:v>79396908</c:v>
                </c:pt>
                <c:pt idx="2405">
                  <c:v>79429935</c:v>
                </c:pt>
                <c:pt idx="2406">
                  <c:v>79462962</c:v>
                </c:pt>
                <c:pt idx="2407">
                  <c:v>79495989</c:v>
                </c:pt>
                <c:pt idx="2408">
                  <c:v>79529016</c:v>
                </c:pt>
                <c:pt idx="2409">
                  <c:v>79562043</c:v>
                </c:pt>
                <c:pt idx="2410">
                  <c:v>79595070</c:v>
                </c:pt>
                <c:pt idx="2411">
                  <c:v>79628097</c:v>
                </c:pt>
                <c:pt idx="2412">
                  <c:v>79661124</c:v>
                </c:pt>
                <c:pt idx="2413">
                  <c:v>79694151</c:v>
                </c:pt>
                <c:pt idx="2414">
                  <c:v>79727178</c:v>
                </c:pt>
                <c:pt idx="2415">
                  <c:v>79760205</c:v>
                </c:pt>
                <c:pt idx="2416">
                  <c:v>79793232</c:v>
                </c:pt>
                <c:pt idx="2417">
                  <c:v>79826259</c:v>
                </c:pt>
                <c:pt idx="2418">
                  <c:v>79859286</c:v>
                </c:pt>
                <c:pt idx="2419">
                  <c:v>79892313</c:v>
                </c:pt>
                <c:pt idx="2420">
                  <c:v>79925340</c:v>
                </c:pt>
                <c:pt idx="2421">
                  <c:v>79958367</c:v>
                </c:pt>
                <c:pt idx="2422">
                  <c:v>79991394</c:v>
                </c:pt>
                <c:pt idx="2423">
                  <c:v>80024421</c:v>
                </c:pt>
                <c:pt idx="2424">
                  <c:v>80057448</c:v>
                </c:pt>
                <c:pt idx="2425">
                  <c:v>80090475</c:v>
                </c:pt>
                <c:pt idx="2426">
                  <c:v>80123502</c:v>
                </c:pt>
                <c:pt idx="2427">
                  <c:v>80156529</c:v>
                </c:pt>
                <c:pt idx="2428">
                  <c:v>80189556</c:v>
                </c:pt>
                <c:pt idx="2429">
                  <c:v>80222583</c:v>
                </c:pt>
                <c:pt idx="2430">
                  <c:v>80255610</c:v>
                </c:pt>
                <c:pt idx="2431">
                  <c:v>80288637</c:v>
                </c:pt>
                <c:pt idx="2432">
                  <c:v>80321664</c:v>
                </c:pt>
                <c:pt idx="2433">
                  <c:v>80354691</c:v>
                </c:pt>
                <c:pt idx="2434">
                  <c:v>80387718</c:v>
                </c:pt>
                <c:pt idx="2435">
                  <c:v>80420745</c:v>
                </c:pt>
                <c:pt idx="2436">
                  <c:v>80453772</c:v>
                </c:pt>
                <c:pt idx="2437">
                  <c:v>80486799</c:v>
                </c:pt>
                <c:pt idx="2438">
                  <c:v>80519826</c:v>
                </c:pt>
                <c:pt idx="2439">
                  <c:v>80552853</c:v>
                </c:pt>
                <c:pt idx="2440">
                  <c:v>80585880</c:v>
                </c:pt>
                <c:pt idx="2441">
                  <c:v>80618907</c:v>
                </c:pt>
                <c:pt idx="2442">
                  <c:v>80651934</c:v>
                </c:pt>
                <c:pt idx="2443">
                  <c:v>80684961</c:v>
                </c:pt>
                <c:pt idx="2444">
                  <c:v>80717988</c:v>
                </c:pt>
                <c:pt idx="2445">
                  <c:v>80751015</c:v>
                </c:pt>
                <c:pt idx="2446">
                  <c:v>80784042</c:v>
                </c:pt>
                <c:pt idx="2447">
                  <c:v>80817069</c:v>
                </c:pt>
                <c:pt idx="2448">
                  <c:v>80850096</c:v>
                </c:pt>
                <c:pt idx="2449">
                  <c:v>80883123</c:v>
                </c:pt>
                <c:pt idx="2450">
                  <c:v>80916150</c:v>
                </c:pt>
                <c:pt idx="2451">
                  <c:v>80949177</c:v>
                </c:pt>
                <c:pt idx="2452">
                  <c:v>80982204</c:v>
                </c:pt>
                <c:pt idx="2453">
                  <c:v>81015231</c:v>
                </c:pt>
                <c:pt idx="2454">
                  <c:v>81048258</c:v>
                </c:pt>
                <c:pt idx="2455">
                  <c:v>81081285</c:v>
                </c:pt>
                <c:pt idx="2456">
                  <c:v>81114312</c:v>
                </c:pt>
                <c:pt idx="2457">
                  <c:v>81147339</c:v>
                </c:pt>
                <c:pt idx="2458">
                  <c:v>81180366</c:v>
                </c:pt>
                <c:pt idx="2459">
                  <c:v>81213393</c:v>
                </c:pt>
                <c:pt idx="2460">
                  <c:v>81246420</c:v>
                </c:pt>
                <c:pt idx="2461">
                  <c:v>81279447</c:v>
                </c:pt>
                <c:pt idx="2462">
                  <c:v>81312474</c:v>
                </c:pt>
                <c:pt idx="2463">
                  <c:v>81345501</c:v>
                </c:pt>
                <c:pt idx="2464">
                  <c:v>81378528</c:v>
                </c:pt>
                <c:pt idx="2465">
                  <c:v>81411555</c:v>
                </c:pt>
                <c:pt idx="2466">
                  <c:v>81444582</c:v>
                </c:pt>
                <c:pt idx="2467">
                  <c:v>81477609</c:v>
                </c:pt>
                <c:pt idx="2468">
                  <c:v>81510636</c:v>
                </c:pt>
                <c:pt idx="2469">
                  <c:v>81543663</c:v>
                </c:pt>
                <c:pt idx="2470">
                  <c:v>81576690</c:v>
                </c:pt>
                <c:pt idx="2471">
                  <c:v>81609717</c:v>
                </c:pt>
                <c:pt idx="2472">
                  <c:v>81642744</c:v>
                </c:pt>
                <c:pt idx="2473">
                  <c:v>81675771</c:v>
                </c:pt>
                <c:pt idx="2474">
                  <c:v>81708798</c:v>
                </c:pt>
                <c:pt idx="2475">
                  <c:v>81741825</c:v>
                </c:pt>
                <c:pt idx="2476">
                  <c:v>81774852</c:v>
                </c:pt>
                <c:pt idx="2477">
                  <c:v>81807879</c:v>
                </c:pt>
                <c:pt idx="2478">
                  <c:v>81840906</c:v>
                </c:pt>
                <c:pt idx="2479">
                  <c:v>81873933</c:v>
                </c:pt>
                <c:pt idx="2480">
                  <c:v>81906960</c:v>
                </c:pt>
                <c:pt idx="2481">
                  <c:v>81939987</c:v>
                </c:pt>
                <c:pt idx="2482">
                  <c:v>81973014</c:v>
                </c:pt>
                <c:pt idx="2483">
                  <c:v>82006041</c:v>
                </c:pt>
                <c:pt idx="2484">
                  <c:v>82039068</c:v>
                </c:pt>
                <c:pt idx="2485">
                  <c:v>82072095</c:v>
                </c:pt>
                <c:pt idx="2486">
                  <c:v>82105122</c:v>
                </c:pt>
                <c:pt idx="2487">
                  <c:v>82138149</c:v>
                </c:pt>
                <c:pt idx="2488">
                  <c:v>82171176</c:v>
                </c:pt>
                <c:pt idx="2489">
                  <c:v>82204203</c:v>
                </c:pt>
                <c:pt idx="2490">
                  <c:v>82237230</c:v>
                </c:pt>
                <c:pt idx="2491">
                  <c:v>82270257</c:v>
                </c:pt>
                <c:pt idx="2492">
                  <c:v>82303284</c:v>
                </c:pt>
                <c:pt idx="2493">
                  <c:v>82336311</c:v>
                </c:pt>
                <c:pt idx="2494">
                  <c:v>82369338</c:v>
                </c:pt>
                <c:pt idx="2495">
                  <c:v>82402365</c:v>
                </c:pt>
                <c:pt idx="2496">
                  <c:v>82435392</c:v>
                </c:pt>
                <c:pt idx="2497">
                  <c:v>82468419</c:v>
                </c:pt>
                <c:pt idx="2498">
                  <c:v>82501446</c:v>
                </c:pt>
                <c:pt idx="2499">
                  <c:v>82534473</c:v>
                </c:pt>
                <c:pt idx="2500">
                  <c:v>82567500</c:v>
                </c:pt>
                <c:pt idx="2501">
                  <c:v>82600527</c:v>
                </c:pt>
                <c:pt idx="2502">
                  <c:v>82633554</c:v>
                </c:pt>
                <c:pt idx="2503">
                  <c:v>82666581</c:v>
                </c:pt>
                <c:pt idx="2504">
                  <c:v>82699608</c:v>
                </c:pt>
                <c:pt idx="2505">
                  <c:v>82732635</c:v>
                </c:pt>
                <c:pt idx="2506">
                  <c:v>82765662</c:v>
                </c:pt>
                <c:pt idx="2507">
                  <c:v>82798689</c:v>
                </c:pt>
                <c:pt idx="2508">
                  <c:v>82831716</c:v>
                </c:pt>
                <c:pt idx="2509">
                  <c:v>82864743</c:v>
                </c:pt>
                <c:pt idx="2510">
                  <c:v>82897770</c:v>
                </c:pt>
                <c:pt idx="2511">
                  <c:v>82930797</c:v>
                </c:pt>
                <c:pt idx="2512">
                  <c:v>82963824</c:v>
                </c:pt>
                <c:pt idx="2513">
                  <c:v>82996851</c:v>
                </c:pt>
                <c:pt idx="2514">
                  <c:v>83029878</c:v>
                </c:pt>
                <c:pt idx="2515">
                  <c:v>83062905</c:v>
                </c:pt>
                <c:pt idx="2516">
                  <c:v>83095932</c:v>
                </c:pt>
                <c:pt idx="2517">
                  <c:v>83128959</c:v>
                </c:pt>
                <c:pt idx="2518">
                  <c:v>83161986</c:v>
                </c:pt>
                <c:pt idx="2519">
                  <c:v>83195013</c:v>
                </c:pt>
                <c:pt idx="2520">
                  <c:v>83228040</c:v>
                </c:pt>
                <c:pt idx="2521">
                  <c:v>83261067</c:v>
                </c:pt>
                <c:pt idx="2522">
                  <c:v>83294094</c:v>
                </c:pt>
                <c:pt idx="2523">
                  <c:v>83327121</c:v>
                </c:pt>
                <c:pt idx="2524">
                  <c:v>83360148</c:v>
                </c:pt>
                <c:pt idx="2525">
                  <c:v>83393175</c:v>
                </c:pt>
                <c:pt idx="2526">
                  <c:v>83426202</c:v>
                </c:pt>
                <c:pt idx="2527">
                  <c:v>83459229</c:v>
                </c:pt>
                <c:pt idx="2528">
                  <c:v>83492256</c:v>
                </c:pt>
                <c:pt idx="2529">
                  <c:v>83525283</c:v>
                </c:pt>
                <c:pt idx="2530">
                  <c:v>83558310</c:v>
                </c:pt>
                <c:pt idx="2531">
                  <c:v>83591337</c:v>
                </c:pt>
                <c:pt idx="2532">
                  <c:v>83624364</c:v>
                </c:pt>
                <c:pt idx="2533">
                  <c:v>83657391</c:v>
                </c:pt>
                <c:pt idx="2534">
                  <c:v>83690418</c:v>
                </c:pt>
                <c:pt idx="2535">
                  <c:v>83723445</c:v>
                </c:pt>
                <c:pt idx="2536">
                  <c:v>83756472</c:v>
                </c:pt>
                <c:pt idx="2537">
                  <c:v>83789499</c:v>
                </c:pt>
                <c:pt idx="2538">
                  <c:v>83822526</c:v>
                </c:pt>
                <c:pt idx="2539">
                  <c:v>83855553</c:v>
                </c:pt>
                <c:pt idx="2540">
                  <c:v>83888580</c:v>
                </c:pt>
                <c:pt idx="2541">
                  <c:v>83921607</c:v>
                </c:pt>
                <c:pt idx="2542">
                  <c:v>83954634</c:v>
                </c:pt>
                <c:pt idx="2543">
                  <c:v>83987661</c:v>
                </c:pt>
                <c:pt idx="2544">
                  <c:v>84020688</c:v>
                </c:pt>
                <c:pt idx="2545">
                  <c:v>84053715</c:v>
                </c:pt>
                <c:pt idx="2546">
                  <c:v>84086742</c:v>
                </c:pt>
                <c:pt idx="2547">
                  <c:v>84119769</c:v>
                </c:pt>
                <c:pt idx="2548">
                  <c:v>84152796</c:v>
                </c:pt>
                <c:pt idx="2549">
                  <c:v>84185823</c:v>
                </c:pt>
                <c:pt idx="2550">
                  <c:v>84218850</c:v>
                </c:pt>
                <c:pt idx="2551">
                  <c:v>84251877</c:v>
                </c:pt>
                <c:pt idx="2552">
                  <c:v>84284904</c:v>
                </c:pt>
                <c:pt idx="2553">
                  <c:v>84317931</c:v>
                </c:pt>
                <c:pt idx="2554">
                  <c:v>84350958</c:v>
                </c:pt>
                <c:pt idx="2555">
                  <c:v>84383985</c:v>
                </c:pt>
                <c:pt idx="2556">
                  <c:v>84417012</c:v>
                </c:pt>
                <c:pt idx="2557">
                  <c:v>84450039</c:v>
                </c:pt>
                <c:pt idx="2558">
                  <c:v>84483066</c:v>
                </c:pt>
                <c:pt idx="2559">
                  <c:v>84516093</c:v>
                </c:pt>
                <c:pt idx="2560">
                  <c:v>84549120</c:v>
                </c:pt>
                <c:pt idx="2561">
                  <c:v>84582147</c:v>
                </c:pt>
                <c:pt idx="2562">
                  <c:v>84615174</c:v>
                </c:pt>
                <c:pt idx="2563">
                  <c:v>84648201</c:v>
                </c:pt>
                <c:pt idx="2564">
                  <c:v>84681228</c:v>
                </c:pt>
                <c:pt idx="2565">
                  <c:v>84714255</c:v>
                </c:pt>
                <c:pt idx="2566">
                  <c:v>84747282</c:v>
                </c:pt>
                <c:pt idx="2567">
                  <c:v>84780309</c:v>
                </c:pt>
                <c:pt idx="2568">
                  <c:v>84813336</c:v>
                </c:pt>
                <c:pt idx="2569">
                  <c:v>84846363</c:v>
                </c:pt>
                <c:pt idx="2570">
                  <c:v>84879390</c:v>
                </c:pt>
                <c:pt idx="2571">
                  <c:v>84912417</c:v>
                </c:pt>
                <c:pt idx="2572">
                  <c:v>84945444</c:v>
                </c:pt>
                <c:pt idx="2573">
                  <c:v>84978471</c:v>
                </c:pt>
                <c:pt idx="2574">
                  <c:v>85011498</c:v>
                </c:pt>
                <c:pt idx="2575">
                  <c:v>85044525</c:v>
                </c:pt>
                <c:pt idx="2576">
                  <c:v>85077552</c:v>
                </c:pt>
                <c:pt idx="2577">
                  <c:v>85110579</c:v>
                </c:pt>
                <c:pt idx="2578">
                  <c:v>85143606</c:v>
                </c:pt>
                <c:pt idx="2579">
                  <c:v>85176633</c:v>
                </c:pt>
                <c:pt idx="2580">
                  <c:v>85209660</c:v>
                </c:pt>
                <c:pt idx="2581">
                  <c:v>85242687</c:v>
                </c:pt>
                <c:pt idx="2582">
                  <c:v>85275714</c:v>
                </c:pt>
                <c:pt idx="2583">
                  <c:v>85308741</c:v>
                </c:pt>
                <c:pt idx="2584">
                  <c:v>85341768</c:v>
                </c:pt>
                <c:pt idx="2585">
                  <c:v>85374795</c:v>
                </c:pt>
                <c:pt idx="2586">
                  <c:v>85407822</c:v>
                </c:pt>
                <c:pt idx="2587">
                  <c:v>85440849</c:v>
                </c:pt>
                <c:pt idx="2588">
                  <c:v>85473876</c:v>
                </c:pt>
                <c:pt idx="2589">
                  <c:v>85506903</c:v>
                </c:pt>
                <c:pt idx="2590">
                  <c:v>85539930</c:v>
                </c:pt>
                <c:pt idx="2591">
                  <c:v>85572957</c:v>
                </c:pt>
                <c:pt idx="2592">
                  <c:v>85605984</c:v>
                </c:pt>
                <c:pt idx="2593">
                  <c:v>85639011</c:v>
                </c:pt>
                <c:pt idx="2594">
                  <c:v>85672038</c:v>
                </c:pt>
                <c:pt idx="2595">
                  <c:v>85705065</c:v>
                </c:pt>
                <c:pt idx="2596">
                  <c:v>85738092</c:v>
                </c:pt>
                <c:pt idx="2597">
                  <c:v>85771119</c:v>
                </c:pt>
                <c:pt idx="2598">
                  <c:v>85804146</c:v>
                </c:pt>
                <c:pt idx="2599">
                  <c:v>85837173</c:v>
                </c:pt>
                <c:pt idx="2600">
                  <c:v>85870200</c:v>
                </c:pt>
                <c:pt idx="2601">
                  <c:v>85903227</c:v>
                </c:pt>
                <c:pt idx="2602">
                  <c:v>85936254</c:v>
                </c:pt>
                <c:pt idx="2603">
                  <c:v>85969281</c:v>
                </c:pt>
                <c:pt idx="2604">
                  <c:v>86002308</c:v>
                </c:pt>
                <c:pt idx="2605">
                  <c:v>86035335</c:v>
                </c:pt>
                <c:pt idx="2606">
                  <c:v>86068362</c:v>
                </c:pt>
                <c:pt idx="2607">
                  <c:v>86101389</c:v>
                </c:pt>
                <c:pt idx="2608">
                  <c:v>86134416</c:v>
                </c:pt>
                <c:pt idx="2609">
                  <c:v>86167443</c:v>
                </c:pt>
                <c:pt idx="2610">
                  <c:v>86200470</c:v>
                </c:pt>
                <c:pt idx="2611">
                  <c:v>86233497</c:v>
                </c:pt>
                <c:pt idx="2612">
                  <c:v>86266524</c:v>
                </c:pt>
                <c:pt idx="2613">
                  <c:v>86299551</c:v>
                </c:pt>
                <c:pt idx="2614">
                  <c:v>86332578</c:v>
                </c:pt>
                <c:pt idx="2615">
                  <c:v>86365605</c:v>
                </c:pt>
                <c:pt idx="2616">
                  <c:v>86398632</c:v>
                </c:pt>
                <c:pt idx="2617">
                  <c:v>86431659</c:v>
                </c:pt>
                <c:pt idx="2618">
                  <c:v>86464686</c:v>
                </c:pt>
                <c:pt idx="2619">
                  <c:v>86497713</c:v>
                </c:pt>
                <c:pt idx="2620">
                  <c:v>86530740</c:v>
                </c:pt>
                <c:pt idx="2621">
                  <c:v>86563767</c:v>
                </c:pt>
                <c:pt idx="2622">
                  <c:v>86596794</c:v>
                </c:pt>
                <c:pt idx="2623">
                  <c:v>86629821</c:v>
                </c:pt>
                <c:pt idx="2624">
                  <c:v>86662848</c:v>
                </c:pt>
                <c:pt idx="2625">
                  <c:v>86695875</c:v>
                </c:pt>
                <c:pt idx="2626">
                  <c:v>86728902</c:v>
                </c:pt>
                <c:pt idx="2627">
                  <c:v>86761929</c:v>
                </c:pt>
                <c:pt idx="2628">
                  <c:v>86794956</c:v>
                </c:pt>
                <c:pt idx="2629">
                  <c:v>86827983</c:v>
                </c:pt>
                <c:pt idx="2630">
                  <c:v>86861010</c:v>
                </c:pt>
                <c:pt idx="2631">
                  <c:v>86894037</c:v>
                </c:pt>
                <c:pt idx="2632">
                  <c:v>86927064</c:v>
                </c:pt>
                <c:pt idx="2633">
                  <c:v>86960091</c:v>
                </c:pt>
                <c:pt idx="2634">
                  <c:v>86993118</c:v>
                </c:pt>
                <c:pt idx="2635">
                  <c:v>87026145</c:v>
                </c:pt>
                <c:pt idx="2636">
                  <c:v>87059172</c:v>
                </c:pt>
                <c:pt idx="2637">
                  <c:v>87092199</c:v>
                </c:pt>
                <c:pt idx="2638">
                  <c:v>87125226</c:v>
                </c:pt>
                <c:pt idx="2639">
                  <c:v>87158253</c:v>
                </c:pt>
                <c:pt idx="2640">
                  <c:v>87191280</c:v>
                </c:pt>
                <c:pt idx="2641">
                  <c:v>87224307</c:v>
                </c:pt>
                <c:pt idx="2642">
                  <c:v>87257334</c:v>
                </c:pt>
                <c:pt idx="2643">
                  <c:v>87290361</c:v>
                </c:pt>
                <c:pt idx="2644">
                  <c:v>87323388</c:v>
                </c:pt>
                <c:pt idx="2645">
                  <c:v>87356415</c:v>
                </c:pt>
                <c:pt idx="2646">
                  <c:v>87389442</c:v>
                </c:pt>
                <c:pt idx="2647">
                  <c:v>87422469</c:v>
                </c:pt>
                <c:pt idx="2648">
                  <c:v>87455496</c:v>
                </c:pt>
                <c:pt idx="2649">
                  <c:v>87488523</c:v>
                </c:pt>
                <c:pt idx="2650">
                  <c:v>87521550</c:v>
                </c:pt>
                <c:pt idx="2651">
                  <c:v>87554577</c:v>
                </c:pt>
                <c:pt idx="2652">
                  <c:v>87587604</c:v>
                </c:pt>
                <c:pt idx="2653">
                  <c:v>87620631</c:v>
                </c:pt>
                <c:pt idx="2654">
                  <c:v>87653658</c:v>
                </c:pt>
                <c:pt idx="2655">
                  <c:v>87686685</c:v>
                </c:pt>
                <c:pt idx="2656">
                  <c:v>87719712</c:v>
                </c:pt>
                <c:pt idx="2657">
                  <c:v>87752739</c:v>
                </c:pt>
                <c:pt idx="2658">
                  <c:v>87785766</c:v>
                </c:pt>
                <c:pt idx="2659">
                  <c:v>87818793</c:v>
                </c:pt>
                <c:pt idx="2660">
                  <c:v>87851820</c:v>
                </c:pt>
                <c:pt idx="2661">
                  <c:v>87884847</c:v>
                </c:pt>
                <c:pt idx="2662">
                  <c:v>87917874</c:v>
                </c:pt>
                <c:pt idx="2663">
                  <c:v>87950901</c:v>
                </c:pt>
                <c:pt idx="2664">
                  <c:v>87983928</c:v>
                </c:pt>
                <c:pt idx="2665">
                  <c:v>88016955</c:v>
                </c:pt>
                <c:pt idx="2666">
                  <c:v>88049982</c:v>
                </c:pt>
                <c:pt idx="2667">
                  <c:v>88083009</c:v>
                </c:pt>
                <c:pt idx="2668">
                  <c:v>88116036</c:v>
                </c:pt>
                <c:pt idx="2669">
                  <c:v>88149063</c:v>
                </c:pt>
                <c:pt idx="2670">
                  <c:v>88182090</c:v>
                </c:pt>
                <c:pt idx="2671">
                  <c:v>88215117</c:v>
                </c:pt>
                <c:pt idx="2672">
                  <c:v>88248144</c:v>
                </c:pt>
                <c:pt idx="2673">
                  <c:v>88281171</c:v>
                </c:pt>
                <c:pt idx="2674">
                  <c:v>88314198</c:v>
                </c:pt>
                <c:pt idx="2675">
                  <c:v>88347225</c:v>
                </c:pt>
                <c:pt idx="2676">
                  <c:v>88380252</c:v>
                </c:pt>
                <c:pt idx="2677">
                  <c:v>88413279</c:v>
                </c:pt>
                <c:pt idx="2678">
                  <c:v>88446306</c:v>
                </c:pt>
                <c:pt idx="2679">
                  <c:v>88479333</c:v>
                </c:pt>
                <c:pt idx="2680">
                  <c:v>88512360</c:v>
                </c:pt>
                <c:pt idx="2681">
                  <c:v>88545387</c:v>
                </c:pt>
                <c:pt idx="2682">
                  <c:v>88578414</c:v>
                </c:pt>
                <c:pt idx="2683">
                  <c:v>88611441</c:v>
                </c:pt>
                <c:pt idx="2684">
                  <c:v>88644468</c:v>
                </c:pt>
                <c:pt idx="2685">
                  <c:v>88677495</c:v>
                </c:pt>
                <c:pt idx="2686">
                  <c:v>88710522</c:v>
                </c:pt>
                <c:pt idx="2687">
                  <c:v>88743549</c:v>
                </c:pt>
                <c:pt idx="2688">
                  <c:v>88776576</c:v>
                </c:pt>
                <c:pt idx="2689">
                  <c:v>88809603</c:v>
                </c:pt>
                <c:pt idx="2690">
                  <c:v>88842630</c:v>
                </c:pt>
                <c:pt idx="2691">
                  <c:v>88875657</c:v>
                </c:pt>
                <c:pt idx="2692">
                  <c:v>88908684</c:v>
                </c:pt>
                <c:pt idx="2693">
                  <c:v>88941711</c:v>
                </c:pt>
                <c:pt idx="2694">
                  <c:v>88974738</c:v>
                </c:pt>
                <c:pt idx="2695">
                  <c:v>89007765</c:v>
                </c:pt>
                <c:pt idx="2696">
                  <c:v>89040792</c:v>
                </c:pt>
                <c:pt idx="2697">
                  <c:v>89073819</c:v>
                </c:pt>
                <c:pt idx="2698">
                  <c:v>89106846</c:v>
                </c:pt>
                <c:pt idx="2699">
                  <c:v>89139873</c:v>
                </c:pt>
                <c:pt idx="2700">
                  <c:v>89172900</c:v>
                </c:pt>
                <c:pt idx="2701">
                  <c:v>89205927</c:v>
                </c:pt>
                <c:pt idx="2702">
                  <c:v>89238954</c:v>
                </c:pt>
                <c:pt idx="2703">
                  <c:v>89271981</c:v>
                </c:pt>
                <c:pt idx="2704">
                  <c:v>89305008</c:v>
                </c:pt>
                <c:pt idx="2705">
                  <c:v>89338035</c:v>
                </c:pt>
                <c:pt idx="2706">
                  <c:v>89371062</c:v>
                </c:pt>
                <c:pt idx="2707">
                  <c:v>89404089</c:v>
                </c:pt>
                <c:pt idx="2708">
                  <c:v>89437116</c:v>
                </c:pt>
                <c:pt idx="2709">
                  <c:v>89470143</c:v>
                </c:pt>
                <c:pt idx="2710">
                  <c:v>89503170</c:v>
                </c:pt>
                <c:pt idx="2711">
                  <c:v>89536197</c:v>
                </c:pt>
                <c:pt idx="2712">
                  <c:v>89569224</c:v>
                </c:pt>
                <c:pt idx="2713">
                  <c:v>89602251</c:v>
                </c:pt>
                <c:pt idx="2714">
                  <c:v>89635278</c:v>
                </c:pt>
                <c:pt idx="2715">
                  <c:v>89668305</c:v>
                </c:pt>
                <c:pt idx="2716">
                  <c:v>89701332</c:v>
                </c:pt>
                <c:pt idx="2717">
                  <c:v>89734359</c:v>
                </c:pt>
                <c:pt idx="2718">
                  <c:v>89767386</c:v>
                </c:pt>
                <c:pt idx="2719">
                  <c:v>89800413</c:v>
                </c:pt>
                <c:pt idx="2720">
                  <c:v>89833440</c:v>
                </c:pt>
                <c:pt idx="2721">
                  <c:v>89866467</c:v>
                </c:pt>
                <c:pt idx="2722">
                  <c:v>89899494</c:v>
                </c:pt>
                <c:pt idx="2723">
                  <c:v>89932521</c:v>
                </c:pt>
                <c:pt idx="2724">
                  <c:v>89965548</c:v>
                </c:pt>
                <c:pt idx="2725">
                  <c:v>89998575</c:v>
                </c:pt>
                <c:pt idx="2726">
                  <c:v>90031602</c:v>
                </c:pt>
                <c:pt idx="2727">
                  <c:v>90064629</c:v>
                </c:pt>
                <c:pt idx="2728">
                  <c:v>90097656</c:v>
                </c:pt>
                <c:pt idx="2729">
                  <c:v>90130683</c:v>
                </c:pt>
                <c:pt idx="2730">
                  <c:v>90163710</c:v>
                </c:pt>
                <c:pt idx="2731">
                  <c:v>90196737</c:v>
                </c:pt>
                <c:pt idx="2732">
                  <c:v>90229764</c:v>
                </c:pt>
                <c:pt idx="2733">
                  <c:v>90262791</c:v>
                </c:pt>
                <c:pt idx="2734">
                  <c:v>90295818</c:v>
                </c:pt>
                <c:pt idx="2735">
                  <c:v>90328845</c:v>
                </c:pt>
                <c:pt idx="2736">
                  <c:v>90361872</c:v>
                </c:pt>
                <c:pt idx="2737">
                  <c:v>90394899</c:v>
                </c:pt>
                <c:pt idx="2738">
                  <c:v>90427926</c:v>
                </c:pt>
                <c:pt idx="2739">
                  <c:v>90460953</c:v>
                </c:pt>
                <c:pt idx="2740">
                  <c:v>90493980</c:v>
                </c:pt>
                <c:pt idx="2741">
                  <c:v>90527007</c:v>
                </c:pt>
                <c:pt idx="2742">
                  <c:v>90560034</c:v>
                </c:pt>
                <c:pt idx="2743">
                  <c:v>90593061</c:v>
                </c:pt>
                <c:pt idx="2744">
                  <c:v>90626088</c:v>
                </c:pt>
                <c:pt idx="2745">
                  <c:v>90659115</c:v>
                </c:pt>
                <c:pt idx="2746">
                  <c:v>90692142</c:v>
                </c:pt>
                <c:pt idx="2747">
                  <c:v>90725169</c:v>
                </c:pt>
                <c:pt idx="2748">
                  <c:v>90758196</c:v>
                </c:pt>
                <c:pt idx="2749">
                  <c:v>90791223</c:v>
                </c:pt>
                <c:pt idx="2750">
                  <c:v>90824250</c:v>
                </c:pt>
                <c:pt idx="2751">
                  <c:v>90857277</c:v>
                </c:pt>
                <c:pt idx="2752">
                  <c:v>90890304</c:v>
                </c:pt>
                <c:pt idx="2753">
                  <c:v>90923331</c:v>
                </c:pt>
                <c:pt idx="2754">
                  <c:v>90956358</c:v>
                </c:pt>
                <c:pt idx="2755">
                  <c:v>90989385</c:v>
                </c:pt>
                <c:pt idx="2756">
                  <c:v>91022412</c:v>
                </c:pt>
                <c:pt idx="2757">
                  <c:v>91055439</c:v>
                </c:pt>
                <c:pt idx="2758">
                  <c:v>91088466</c:v>
                </c:pt>
                <c:pt idx="2759">
                  <c:v>91121493</c:v>
                </c:pt>
                <c:pt idx="2760">
                  <c:v>91154520</c:v>
                </c:pt>
                <c:pt idx="2761">
                  <c:v>91187547</c:v>
                </c:pt>
                <c:pt idx="2762">
                  <c:v>91220574</c:v>
                </c:pt>
                <c:pt idx="2763">
                  <c:v>91253601</c:v>
                </c:pt>
                <c:pt idx="2764">
                  <c:v>91286628</c:v>
                </c:pt>
                <c:pt idx="2765">
                  <c:v>91319655</c:v>
                </c:pt>
                <c:pt idx="2766">
                  <c:v>91352682</c:v>
                </c:pt>
                <c:pt idx="2767">
                  <c:v>91385709</c:v>
                </c:pt>
                <c:pt idx="2768">
                  <c:v>91418736</c:v>
                </c:pt>
                <c:pt idx="2769">
                  <c:v>91451763</c:v>
                </c:pt>
                <c:pt idx="2770">
                  <c:v>91484790</c:v>
                </c:pt>
                <c:pt idx="2771">
                  <c:v>91517817</c:v>
                </c:pt>
                <c:pt idx="2772">
                  <c:v>91550844</c:v>
                </c:pt>
                <c:pt idx="2773">
                  <c:v>91583871</c:v>
                </c:pt>
                <c:pt idx="2774">
                  <c:v>91616898</c:v>
                </c:pt>
                <c:pt idx="2775">
                  <c:v>91649925</c:v>
                </c:pt>
                <c:pt idx="2776">
                  <c:v>91682952</c:v>
                </c:pt>
                <c:pt idx="2777">
                  <c:v>91715979</c:v>
                </c:pt>
                <c:pt idx="2778">
                  <c:v>91749006</c:v>
                </c:pt>
                <c:pt idx="2779">
                  <c:v>91782033</c:v>
                </c:pt>
                <c:pt idx="2780">
                  <c:v>91815060</c:v>
                </c:pt>
                <c:pt idx="2781">
                  <c:v>91848087</c:v>
                </c:pt>
                <c:pt idx="2782">
                  <c:v>91881114</c:v>
                </c:pt>
                <c:pt idx="2783">
                  <c:v>91914141</c:v>
                </c:pt>
                <c:pt idx="2784">
                  <c:v>91947168</c:v>
                </c:pt>
                <c:pt idx="2785">
                  <c:v>91980195</c:v>
                </c:pt>
                <c:pt idx="2786">
                  <c:v>92013222</c:v>
                </c:pt>
                <c:pt idx="2787">
                  <c:v>92046249</c:v>
                </c:pt>
                <c:pt idx="2788">
                  <c:v>92079276</c:v>
                </c:pt>
                <c:pt idx="2789">
                  <c:v>92112303</c:v>
                </c:pt>
                <c:pt idx="2790">
                  <c:v>92145330</c:v>
                </c:pt>
                <c:pt idx="2791">
                  <c:v>92178357</c:v>
                </c:pt>
                <c:pt idx="2792">
                  <c:v>92211384</c:v>
                </c:pt>
                <c:pt idx="2793">
                  <c:v>92244411</c:v>
                </c:pt>
                <c:pt idx="2794">
                  <c:v>92277438</c:v>
                </c:pt>
                <c:pt idx="2795">
                  <c:v>92310465</c:v>
                </c:pt>
                <c:pt idx="2796">
                  <c:v>92343492</c:v>
                </c:pt>
                <c:pt idx="2797">
                  <c:v>92376519</c:v>
                </c:pt>
                <c:pt idx="2798">
                  <c:v>92409546</c:v>
                </c:pt>
                <c:pt idx="2799">
                  <c:v>92442573</c:v>
                </c:pt>
                <c:pt idx="2800">
                  <c:v>92475600</c:v>
                </c:pt>
                <c:pt idx="2801">
                  <c:v>92508627</c:v>
                </c:pt>
                <c:pt idx="2802">
                  <c:v>92541654</c:v>
                </c:pt>
                <c:pt idx="2803">
                  <c:v>92574681</c:v>
                </c:pt>
                <c:pt idx="2804">
                  <c:v>92607708</c:v>
                </c:pt>
                <c:pt idx="2805">
                  <c:v>92640735</c:v>
                </c:pt>
                <c:pt idx="2806">
                  <c:v>92673762</c:v>
                </c:pt>
                <c:pt idx="2807">
                  <c:v>92706789</c:v>
                </c:pt>
                <c:pt idx="2808">
                  <c:v>92739816</c:v>
                </c:pt>
                <c:pt idx="2809">
                  <c:v>92772843</c:v>
                </c:pt>
                <c:pt idx="2810">
                  <c:v>92805870</c:v>
                </c:pt>
                <c:pt idx="2811">
                  <c:v>92838897</c:v>
                </c:pt>
                <c:pt idx="2812">
                  <c:v>92871924</c:v>
                </c:pt>
                <c:pt idx="2813">
                  <c:v>92904951</c:v>
                </c:pt>
                <c:pt idx="2814">
                  <c:v>92937978</c:v>
                </c:pt>
                <c:pt idx="2815">
                  <c:v>92971005</c:v>
                </c:pt>
                <c:pt idx="2816">
                  <c:v>93004032</c:v>
                </c:pt>
                <c:pt idx="2817">
                  <c:v>93037059</c:v>
                </c:pt>
                <c:pt idx="2818">
                  <c:v>93070086</c:v>
                </c:pt>
                <c:pt idx="2819">
                  <c:v>93103113</c:v>
                </c:pt>
                <c:pt idx="2820">
                  <c:v>93136140</c:v>
                </c:pt>
                <c:pt idx="2821">
                  <c:v>93169167</c:v>
                </c:pt>
                <c:pt idx="2822">
                  <c:v>93202194</c:v>
                </c:pt>
                <c:pt idx="2823">
                  <c:v>93235221</c:v>
                </c:pt>
                <c:pt idx="2824">
                  <c:v>93268248</c:v>
                </c:pt>
                <c:pt idx="2825">
                  <c:v>93301275</c:v>
                </c:pt>
                <c:pt idx="2826">
                  <c:v>93334302</c:v>
                </c:pt>
                <c:pt idx="2827">
                  <c:v>93367329</c:v>
                </c:pt>
                <c:pt idx="2828">
                  <c:v>93400356</c:v>
                </c:pt>
                <c:pt idx="2829">
                  <c:v>93433383</c:v>
                </c:pt>
                <c:pt idx="2830">
                  <c:v>93466410</c:v>
                </c:pt>
                <c:pt idx="2831">
                  <c:v>93499437</c:v>
                </c:pt>
                <c:pt idx="2832">
                  <c:v>93532464</c:v>
                </c:pt>
                <c:pt idx="2833">
                  <c:v>93565491</c:v>
                </c:pt>
                <c:pt idx="2834">
                  <c:v>93598518</c:v>
                </c:pt>
                <c:pt idx="2835">
                  <c:v>93631545</c:v>
                </c:pt>
                <c:pt idx="2836">
                  <c:v>93664572</c:v>
                </c:pt>
                <c:pt idx="2837">
                  <c:v>93697599</c:v>
                </c:pt>
                <c:pt idx="2838">
                  <c:v>93730626</c:v>
                </c:pt>
                <c:pt idx="2839">
                  <c:v>93763653</c:v>
                </c:pt>
                <c:pt idx="2840">
                  <c:v>93796680</c:v>
                </c:pt>
                <c:pt idx="2841">
                  <c:v>93829707</c:v>
                </c:pt>
                <c:pt idx="2842">
                  <c:v>93862734</c:v>
                </c:pt>
                <c:pt idx="2843">
                  <c:v>93895761</c:v>
                </c:pt>
                <c:pt idx="2844">
                  <c:v>93928788</c:v>
                </c:pt>
                <c:pt idx="2845">
                  <c:v>93961815</c:v>
                </c:pt>
                <c:pt idx="2846">
                  <c:v>93994842</c:v>
                </c:pt>
                <c:pt idx="2847">
                  <c:v>94027869</c:v>
                </c:pt>
                <c:pt idx="2848">
                  <c:v>94060896</c:v>
                </c:pt>
                <c:pt idx="2849">
                  <c:v>94093923</c:v>
                </c:pt>
                <c:pt idx="2850">
                  <c:v>94126950</c:v>
                </c:pt>
                <c:pt idx="2851">
                  <c:v>94159977</c:v>
                </c:pt>
                <c:pt idx="2852">
                  <c:v>94193004</c:v>
                </c:pt>
                <c:pt idx="2853">
                  <c:v>94226031</c:v>
                </c:pt>
                <c:pt idx="2854">
                  <c:v>94259058</c:v>
                </c:pt>
                <c:pt idx="2855">
                  <c:v>94292085</c:v>
                </c:pt>
                <c:pt idx="2856">
                  <c:v>94325112</c:v>
                </c:pt>
                <c:pt idx="2857">
                  <c:v>94358139</c:v>
                </c:pt>
                <c:pt idx="2858">
                  <c:v>94391166</c:v>
                </c:pt>
                <c:pt idx="2859">
                  <c:v>94424193</c:v>
                </c:pt>
                <c:pt idx="2860">
                  <c:v>94457220</c:v>
                </c:pt>
                <c:pt idx="2861">
                  <c:v>94490247</c:v>
                </c:pt>
                <c:pt idx="2862">
                  <c:v>94523274</c:v>
                </c:pt>
                <c:pt idx="2863">
                  <c:v>94556301</c:v>
                </c:pt>
                <c:pt idx="2864">
                  <c:v>94589328</c:v>
                </c:pt>
                <c:pt idx="2865">
                  <c:v>94622355</c:v>
                </c:pt>
                <c:pt idx="2866">
                  <c:v>94655382</c:v>
                </c:pt>
                <c:pt idx="2867">
                  <c:v>94688409</c:v>
                </c:pt>
                <c:pt idx="2868">
                  <c:v>94721436</c:v>
                </c:pt>
                <c:pt idx="2869">
                  <c:v>94754463</c:v>
                </c:pt>
                <c:pt idx="2870">
                  <c:v>94787490</c:v>
                </c:pt>
                <c:pt idx="2871">
                  <c:v>94820517</c:v>
                </c:pt>
                <c:pt idx="2872">
                  <c:v>94853544</c:v>
                </c:pt>
                <c:pt idx="2873">
                  <c:v>94886571</c:v>
                </c:pt>
                <c:pt idx="2874">
                  <c:v>94919598</c:v>
                </c:pt>
                <c:pt idx="2875">
                  <c:v>94952625</c:v>
                </c:pt>
                <c:pt idx="2876">
                  <c:v>94985652</c:v>
                </c:pt>
                <c:pt idx="2877">
                  <c:v>95018679</c:v>
                </c:pt>
                <c:pt idx="2878">
                  <c:v>95051706</c:v>
                </c:pt>
                <c:pt idx="2879">
                  <c:v>95084733</c:v>
                </c:pt>
                <c:pt idx="2880">
                  <c:v>95117760</c:v>
                </c:pt>
                <c:pt idx="2881">
                  <c:v>95150787</c:v>
                </c:pt>
                <c:pt idx="2882">
                  <c:v>95183814</c:v>
                </c:pt>
                <c:pt idx="2883">
                  <c:v>95216841</c:v>
                </c:pt>
                <c:pt idx="2884">
                  <c:v>95249868</c:v>
                </c:pt>
                <c:pt idx="2885">
                  <c:v>95282895</c:v>
                </c:pt>
                <c:pt idx="2886">
                  <c:v>95315922</c:v>
                </c:pt>
                <c:pt idx="2887">
                  <c:v>95348949</c:v>
                </c:pt>
                <c:pt idx="2888">
                  <c:v>95381976</c:v>
                </c:pt>
                <c:pt idx="2889">
                  <c:v>95415003</c:v>
                </c:pt>
                <c:pt idx="2890">
                  <c:v>95448030</c:v>
                </c:pt>
                <c:pt idx="2891">
                  <c:v>95481057</c:v>
                </c:pt>
                <c:pt idx="2892">
                  <c:v>95514084</c:v>
                </c:pt>
                <c:pt idx="2893">
                  <c:v>95547111</c:v>
                </c:pt>
                <c:pt idx="2894">
                  <c:v>95580138</c:v>
                </c:pt>
                <c:pt idx="2895">
                  <c:v>95613165</c:v>
                </c:pt>
                <c:pt idx="2896">
                  <c:v>95646192</c:v>
                </c:pt>
                <c:pt idx="2897">
                  <c:v>95679219</c:v>
                </c:pt>
                <c:pt idx="2898">
                  <c:v>95712246</c:v>
                </c:pt>
                <c:pt idx="2899">
                  <c:v>95745273</c:v>
                </c:pt>
                <c:pt idx="2900">
                  <c:v>95778300</c:v>
                </c:pt>
                <c:pt idx="2901">
                  <c:v>95811327</c:v>
                </c:pt>
                <c:pt idx="2902">
                  <c:v>95844354</c:v>
                </c:pt>
                <c:pt idx="2903">
                  <c:v>95877381</c:v>
                </c:pt>
                <c:pt idx="2904">
                  <c:v>95910408</c:v>
                </c:pt>
                <c:pt idx="2905">
                  <c:v>95943435</c:v>
                </c:pt>
                <c:pt idx="2906">
                  <c:v>95976462</c:v>
                </c:pt>
                <c:pt idx="2907">
                  <c:v>96009489</c:v>
                </c:pt>
                <c:pt idx="2908">
                  <c:v>96042516</c:v>
                </c:pt>
                <c:pt idx="2909">
                  <c:v>96075543</c:v>
                </c:pt>
                <c:pt idx="2910">
                  <c:v>96108570</c:v>
                </c:pt>
                <c:pt idx="2911">
                  <c:v>96141597</c:v>
                </c:pt>
                <c:pt idx="2912">
                  <c:v>96174624</c:v>
                </c:pt>
                <c:pt idx="2913">
                  <c:v>96207651</c:v>
                </c:pt>
                <c:pt idx="2914">
                  <c:v>96240678</c:v>
                </c:pt>
                <c:pt idx="2915">
                  <c:v>96273705</c:v>
                </c:pt>
                <c:pt idx="2916">
                  <c:v>96306732</c:v>
                </c:pt>
                <c:pt idx="2917">
                  <c:v>96339759</c:v>
                </c:pt>
                <c:pt idx="2918">
                  <c:v>96372786</c:v>
                </c:pt>
                <c:pt idx="2919">
                  <c:v>96405813</c:v>
                </c:pt>
                <c:pt idx="2920">
                  <c:v>96438840</c:v>
                </c:pt>
                <c:pt idx="2921">
                  <c:v>96471867</c:v>
                </c:pt>
                <c:pt idx="2922">
                  <c:v>96504894</c:v>
                </c:pt>
                <c:pt idx="2923">
                  <c:v>96537921</c:v>
                </c:pt>
                <c:pt idx="2924">
                  <c:v>96570948</c:v>
                </c:pt>
                <c:pt idx="2925">
                  <c:v>96603975</c:v>
                </c:pt>
                <c:pt idx="2926">
                  <c:v>96637002</c:v>
                </c:pt>
                <c:pt idx="2927">
                  <c:v>96670029</c:v>
                </c:pt>
                <c:pt idx="2928">
                  <c:v>96703056</c:v>
                </c:pt>
                <c:pt idx="2929">
                  <c:v>96736083</c:v>
                </c:pt>
                <c:pt idx="2930">
                  <c:v>96769110</c:v>
                </c:pt>
                <c:pt idx="2931">
                  <c:v>96802137</c:v>
                </c:pt>
                <c:pt idx="2932">
                  <c:v>96835164</c:v>
                </c:pt>
                <c:pt idx="2933">
                  <c:v>96868191</c:v>
                </c:pt>
                <c:pt idx="2934">
                  <c:v>96901218</c:v>
                </c:pt>
                <c:pt idx="2935">
                  <c:v>96934245</c:v>
                </c:pt>
                <c:pt idx="2936">
                  <c:v>96967272</c:v>
                </c:pt>
                <c:pt idx="2937">
                  <c:v>97000299</c:v>
                </c:pt>
                <c:pt idx="2938">
                  <c:v>97033326</c:v>
                </c:pt>
                <c:pt idx="2939">
                  <c:v>97066353</c:v>
                </c:pt>
                <c:pt idx="2940">
                  <c:v>97099380</c:v>
                </c:pt>
                <c:pt idx="2941">
                  <c:v>97132407</c:v>
                </c:pt>
                <c:pt idx="2942">
                  <c:v>97165434</c:v>
                </c:pt>
                <c:pt idx="2943">
                  <c:v>97198461</c:v>
                </c:pt>
                <c:pt idx="2944">
                  <c:v>97231488</c:v>
                </c:pt>
                <c:pt idx="2945">
                  <c:v>97264515</c:v>
                </c:pt>
                <c:pt idx="2946">
                  <c:v>97297542</c:v>
                </c:pt>
                <c:pt idx="2947">
                  <c:v>97330569</c:v>
                </c:pt>
                <c:pt idx="2948">
                  <c:v>97363596</c:v>
                </c:pt>
                <c:pt idx="2949">
                  <c:v>97396623</c:v>
                </c:pt>
                <c:pt idx="2950">
                  <c:v>97429650</c:v>
                </c:pt>
                <c:pt idx="2951">
                  <c:v>97462677</c:v>
                </c:pt>
                <c:pt idx="2952">
                  <c:v>97495704</c:v>
                </c:pt>
                <c:pt idx="2953">
                  <c:v>97528731</c:v>
                </c:pt>
                <c:pt idx="2954">
                  <c:v>97561758</c:v>
                </c:pt>
                <c:pt idx="2955">
                  <c:v>97594785</c:v>
                </c:pt>
                <c:pt idx="2956">
                  <c:v>97627812</c:v>
                </c:pt>
                <c:pt idx="2957">
                  <c:v>97660839</c:v>
                </c:pt>
                <c:pt idx="2958">
                  <c:v>97693866</c:v>
                </c:pt>
                <c:pt idx="2959">
                  <c:v>97726893</c:v>
                </c:pt>
                <c:pt idx="2960">
                  <c:v>97759920</c:v>
                </c:pt>
                <c:pt idx="2961">
                  <c:v>97792947</c:v>
                </c:pt>
                <c:pt idx="2962">
                  <c:v>97825974</c:v>
                </c:pt>
                <c:pt idx="2963">
                  <c:v>97859001</c:v>
                </c:pt>
                <c:pt idx="2964">
                  <c:v>97892028</c:v>
                </c:pt>
                <c:pt idx="2965">
                  <c:v>97925055</c:v>
                </c:pt>
                <c:pt idx="2966">
                  <c:v>97958082</c:v>
                </c:pt>
                <c:pt idx="2967">
                  <c:v>97991109</c:v>
                </c:pt>
                <c:pt idx="2968">
                  <c:v>98024136</c:v>
                </c:pt>
                <c:pt idx="2969">
                  <c:v>98057163</c:v>
                </c:pt>
                <c:pt idx="2970">
                  <c:v>98090190</c:v>
                </c:pt>
                <c:pt idx="2971">
                  <c:v>98123217</c:v>
                </c:pt>
                <c:pt idx="2972">
                  <c:v>98156244</c:v>
                </c:pt>
                <c:pt idx="2973">
                  <c:v>98189271</c:v>
                </c:pt>
                <c:pt idx="2974">
                  <c:v>98222298</c:v>
                </c:pt>
                <c:pt idx="2975">
                  <c:v>98255325</c:v>
                </c:pt>
                <c:pt idx="2976">
                  <c:v>98288352</c:v>
                </c:pt>
                <c:pt idx="2977">
                  <c:v>98321379</c:v>
                </c:pt>
                <c:pt idx="2978">
                  <c:v>98354406</c:v>
                </c:pt>
                <c:pt idx="2979">
                  <c:v>98387433</c:v>
                </c:pt>
                <c:pt idx="2980">
                  <c:v>98420460</c:v>
                </c:pt>
                <c:pt idx="2981">
                  <c:v>98453487</c:v>
                </c:pt>
                <c:pt idx="2982">
                  <c:v>98486514</c:v>
                </c:pt>
                <c:pt idx="2983">
                  <c:v>98519541</c:v>
                </c:pt>
                <c:pt idx="2984">
                  <c:v>98552568</c:v>
                </c:pt>
                <c:pt idx="2985">
                  <c:v>98585595</c:v>
                </c:pt>
                <c:pt idx="2986">
                  <c:v>98618622</c:v>
                </c:pt>
                <c:pt idx="2987">
                  <c:v>98651649</c:v>
                </c:pt>
                <c:pt idx="2988">
                  <c:v>98684676</c:v>
                </c:pt>
                <c:pt idx="2989">
                  <c:v>98717703</c:v>
                </c:pt>
                <c:pt idx="2990">
                  <c:v>98750730</c:v>
                </c:pt>
                <c:pt idx="2991">
                  <c:v>98783757</c:v>
                </c:pt>
                <c:pt idx="2992">
                  <c:v>98816784</c:v>
                </c:pt>
                <c:pt idx="2993">
                  <c:v>98849811</c:v>
                </c:pt>
                <c:pt idx="2994">
                  <c:v>98882838</c:v>
                </c:pt>
                <c:pt idx="2995">
                  <c:v>98915865</c:v>
                </c:pt>
                <c:pt idx="2996">
                  <c:v>98948892</c:v>
                </c:pt>
                <c:pt idx="2997">
                  <c:v>98981919</c:v>
                </c:pt>
                <c:pt idx="2998">
                  <c:v>99014946</c:v>
                </c:pt>
                <c:pt idx="2999">
                  <c:v>99047973</c:v>
                </c:pt>
                <c:pt idx="3000">
                  <c:v>99081000</c:v>
                </c:pt>
                <c:pt idx="3001">
                  <c:v>99114027</c:v>
                </c:pt>
                <c:pt idx="3002">
                  <c:v>99147054</c:v>
                </c:pt>
                <c:pt idx="3003">
                  <c:v>99180081</c:v>
                </c:pt>
                <c:pt idx="3004">
                  <c:v>99213108</c:v>
                </c:pt>
                <c:pt idx="3005">
                  <c:v>99246135</c:v>
                </c:pt>
                <c:pt idx="3006">
                  <c:v>99279162</c:v>
                </c:pt>
                <c:pt idx="3007">
                  <c:v>99312189</c:v>
                </c:pt>
                <c:pt idx="3008">
                  <c:v>99345216</c:v>
                </c:pt>
                <c:pt idx="3009">
                  <c:v>99378243</c:v>
                </c:pt>
                <c:pt idx="3010">
                  <c:v>99411270</c:v>
                </c:pt>
                <c:pt idx="3011">
                  <c:v>99444297</c:v>
                </c:pt>
                <c:pt idx="3012">
                  <c:v>99477324</c:v>
                </c:pt>
                <c:pt idx="3013">
                  <c:v>99510351</c:v>
                </c:pt>
                <c:pt idx="3014">
                  <c:v>99543378</c:v>
                </c:pt>
                <c:pt idx="3015">
                  <c:v>99576405</c:v>
                </c:pt>
                <c:pt idx="3016">
                  <c:v>99609432</c:v>
                </c:pt>
                <c:pt idx="3017">
                  <c:v>99642459</c:v>
                </c:pt>
                <c:pt idx="3018">
                  <c:v>99675486</c:v>
                </c:pt>
                <c:pt idx="3019">
                  <c:v>99708513</c:v>
                </c:pt>
                <c:pt idx="3020">
                  <c:v>99741540</c:v>
                </c:pt>
                <c:pt idx="3021">
                  <c:v>99774567</c:v>
                </c:pt>
                <c:pt idx="3022">
                  <c:v>99807594</c:v>
                </c:pt>
                <c:pt idx="3023">
                  <c:v>99840621</c:v>
                </c:pt>
                <c:pt idx="3024">
                  <c:v>99873648</c:v>
                </c:pt>
                <c:pt idx="3025">
                  <c:v>99906675</c:v>
                </c:pt>
                <c:pt idx="3026">
                  <c:v>99939702</c:v>
                </c:pt>
                <c:pt idx="3027">
                  <c:v>99972729</c:v>
                </c:pt>
                <c:pt idx="3028">
                  <c:v>100005756</c:v>
                </c:pt>
                <c:pt idx="3029">
                  <c:v>100038783</c:v>
                </c:pt>
                <c:pt idx="3030">
                  <c:v>100071810</c:v>
                </c:pt>
                <c:pt idx="3031">
                  <c:v>100104837</c:v>
                </c:pt>
                <c:pt idx="3032">
                  <c:v>100137864</c:v>
                </c:pt>
                <c:pt idx="3033">
                  <c:v>100170891</c:v>
                </c:pt>
                <c:pt idx="3034">
                  <c:v>100203918</c:v>
                </c:pt>
                <c:pt idx="3035">
                  <c:v>100236945</c:v>
                </c:pt>
                <c:pt idx="3036">
                  <c:v>100269972</c:v>
                </c:pt>
                <c:pt idx="3037">
                  <c:v>100302999</c:v>
                </c:pt>
                <c:pt idx="3038">
                  <c:v>100336026</c:v>
                </c:pt>
                <c:pt idx="3039">
                  <c:v>100369053</c:v>
                </c:pt>
                <c:pt idx="3040">
                  <c:v>100402080</c:v>
                </c:pt>
                <c:pt idx="3041">
                  <c:v>100435107</c:v>
                </c:pt>
                <c:pt idx="3042">
                  <c:v>100468134</c:v>
                </c:pt>
                <c:pt idx="3043">
                  <c:v>100501161</c:v>
                </c:pt>
                <c:pt idx="3044">
                  <c:v>100534188</c:v>
                </c:pt>
                <c:pt idx="3045">
                  <c:v>100567215</c:v>
                </c:pt>
                <c:pt idx="3046">
                  <c:v>100600242</c:v>
                </c:pt>
                <c:pt idx="3047">
                  <c:v>100633269</c:v>
                </c:pt>
                <c:pt idx="3048">
                  <c:v>100666296</c:v>
                </c:pt>
                <c:pt idx="3049">
                  <c:v>100699323</c:v>
                </c:pt>
                <c:pt idx="3050">
                  <c:v>100732350</c:v>
                </c:pt>
                <c:pt idx="3051">
                  <c:v>100765377</c:v>
                </c:pt>
                <c:pt idx="3052">
                  <c:v>100798404</c:v>
                </c:pt>
                <c:pt idx="3053">
                  <c:v>100831431</c:v>
                </c:pt>
                <c:pt idx="3054">
                  <c:v>100864458</c:v>
                </c:pt>
                <c:pt idx="3055">
                  <c:v>100897485</c:v>
                </c:pt>
                <c:pt idx="3056">
                  <c:v>100930512</c:v>
                </c:pt>
                <c:pt idx="3057">
                  <c:v>100963539</c:v>
                </c:pt>
                <c:pt idx="3058">
                  <c:v>100996566</c:v>
                </c:pt>
                <c:pt idx="3059">
                  <c:v>101029593</c:v>
                </c:pt>
                <c:pt idx="3060">
                  <c:v>101062620</c:v>
                </c:pt>
                <c:pt idx="3061">
                  <c:v>101095647</c:v>
                </c:pt>
                <c:pt idx="3062">
                  <c:v>101128674</c:v>
                </c:pt>
                <c:pt idx="3063">
                  <c:v>101161701</c:v>
                </c:pt>
                <c:pt idx="3064">
                  <c:v>101194728</c:v>
                </c:pt>
                <c:pt idx="3065">
                  <c:v>101227755</c:v>
                </c:pt>
                <c:pt idx="3066">
                  <c:v>101260782</c:v>
                </c:pt>
                <c:pt idx="3067">
                  <c:v>101293809</c:v>
                </c:pt>
                <c:pt idx="3068">
                  <c:v>101326836</c:v>
                </c:pt>
                <c:pt idx="3069">
                  <c:v>101359863</c:v>
                </c:pt>
                <c:pt idx="3070">
                  <c:v>101392890</c:v>
                </c:pt>
                <c:pt idx="3071">
                  <c:v>101425917</c:v>
                </c:pt>
                <c:pt idx="3072">
                  <c:v>101458944</c:v>
                </c:pt>
                <c:pt idx="3073">
                  <c:v>101491971</c:v>
                </c:pt>
                <c:pt idx="3074">
                  <c:v>101524998</c:v>
                </c:pt>
                <c:pt idx="3075">
                  <c:v>101558025</c:v>
                </c:pt>
                <c:pt idx="3076">
                  <c:v>101591052</c:v>
                </c:pt>
                <c:pt idx="3077">
                  <c:v>101624079</c:v>
                </c:pt>
                <c:pt idx="3078">
                  <c:v>101657106</c:v>
                </c:pt>
                <c:pt idx="3079">
                  <c:v>101690133</c:v>
                </c:pt>
                <c:pt idx="3080">
                  <c:v>101723160</c:v>
                </c:pt>
                <c:pt idx="3081">
                  <c:v>101756187</c:v>
                </c:pt>
                <c:pt idx="3082">
                  <c:v>101789214</c:v>
                </c:pt>
                <c:pt idx="3083">
                  <c:v>101822241</c:v>
                </c:pt>
                <c:pt idx="3084">
                  <c:v>101855268</c:v>
                </c:pt>
                <c:pt idx="3085">
                  <c:v>101888295</c:v>
                </c:pt>
                <c:pt idx="3086">
                  <c:v>101921322</c:v>
                </c:pt>
                <c:pt idx="3087">
                  <c:v>101954349</c:v>
                </c:pt>
                <c:pt idx="3088">
                  <c:v>101987376</c:v>
                </c:pt>
                <c:pt idx="3089">
                  <c:v>102020403</c:v>
                </c:pt>
                <c:pt idx="3090">
                  <c:v>102053430</c:v>
                </c:pt>
                <c:pt idx="3091">
                  <c:v>102086457</c:v>
                </c:pt>
                <c:pt idx="3092">
                  <c:v>102119484</c:v>
                </c:pt>
                <c:pt idx="3093">
                  <c:v>102152511</c:v>
                </c:pt>
                <c:pt idx="3094">
                  <c:v>102185538</c:v>
                </c:pt>
                <c:pt idx="3095">
                  <c:v>102218565</c:v>
                </c:pt>
                <c:pt idx="3096">
                  <c:v>102251592</c:v>
                </c:pt>
                <c:pt idx="3097">
                  <c:v>102284619</c:v>
                </c:pt>
                <c:pt idx="3098">
                  <c:v>102317646</c:v>
                </c:pt>
                <c:pt idx="3099">
                  <c:v>102350673</c:v>
                </c:pt>
                <c:pt idx="3100">
                  <c:v>102383700</c:v>
                </c:pt>
                <c:pt idx="3101">
                  <c:v>102416727</c:v>
                </c:pt>
                <c:pt idx="3102">
                  <c:v>102449754</c:v>
                </c:pt>
                <c:pt idx="3103">
                  <c:v>102482781</c:v>
                </c:pt>
                <c:pt idx="3104">
                  <c:v>102515808</c:v>
                </c:pt>
                <c:pt idx="3105">
                  <c:v>102548835</c:v>
                </c:pt>
                <c:pt idx="3106">
                  <c:v>102581862</c:v>
                </c:pt>
                <c:pt idx="3107">
                  <c:v>102614889</c:v>
                </c:pt>
                <c:pt idx="3108">
                  <c:v>102647916</c:v>
                </c:pt>
                <c:pt idx="3109">
                  <c:v>102680943</c:v>
                </c:pt>
                <c:pt idx="3110">
                  <c:v>102713970</c:v>
                </c:pt>
                <c:pt idx="3111">
                  <c:v>102746997</c:v>
                </c:pt>
                <c:pt idx="3112">
                  <c:v>102780024</c:v>
                </c:pt>
                <c:pt idx="3113">
                  <c:v>102813051</c:v>
                </c:pt>
                <c:pt idx="3114">
                  <c:v>102846078</c:v>
                </c:pt>
                <c:pt idx="3115">
                  <c:v>102879105</c:v>
                </c:pt>
                <c:pt idx="3116">
                  <c:v>102912132</c:v>
                </c:pt>
                <c:pt idx="3117">
                  <c:v>102945159</c:v>
                </c:pt>
                <c:pt idx="3118">
                  <c:v>102978186</c:v>
                </c:pt>
                <c:pt idx="3119">
                  <c:v>103011213</c:v>
                </c:pt>
                <c:pt idx="3120">
                  <c:v>103044240</c:v>
                </c:pt>
                <c:pt idx="3121">
                  <c:v>103077267</c:v>
                </c:pt>
                <c:pt idx="3122">
                  <c:v>103110294</c:v>
                </c:pt>
                <c:pt idx="3123">
                  <c:v>103143321</c:v>
                </c:pt>
                <c:pt idx="3124">
                  <c:v>103176348</c:v>
                </c:pt>
                <c:pt idx="3125">
                  <c:v>103209375</c:v>
                </c:pt>
                <c:pt idx="3126">
                  <c:v>103242402</c:v>
                </c:pt>
                <c:pt idx="3127">
                  <c:v>103275429</c:v>
                </c:pt>
                <c:pt idx="3128">
                  <c:v>103308456</c:v>
                </c:pt>
                <c:pt idx="3129">
                  <c:v>103341483</c:v>
                </c:pt>
                <c:pt idx="3130">
                  <c:v>103374510</c:v>
                </c:pt>
                <c:pt idx="3131">
                  <c:v>103407537</c:v>
                </c:pt>
                <c:pt idx="3132">
                  <c:v>103440564</c:v>
                </c:pt>
                <c:pt idx="3133">
                  <c:v>103473591</c:v>
                </c:pt>
                <c:pt idx="3134">
                  <c:v>103506618</c:v>
                </c:pt>
                <c:pt idx="3135">
                  <c:v>103539645</c:v>
                </c:pt>
                <c:pt idx="3136">
                  <c:v>103572672</c:v>
                </c:pt>
                <c:pt idx="3137">
                  <c:v>103605699</c:v>
                </c:pt>
                <c:pt idx="3138">
                  <c:v>103638726</c:v>
                </c:pt>
                <c:pt idx="3139">
                  <c:v>103671753</c:v>
                </c:pt>
                <c:pt idx="3140">
                  <c:v>103704780</c:v>
                </c:pt>
                <c:pt idx="3141">
                  <c:v>103737807</c:v>
                </c:pt>
                <c:pt idx="3142">
                  <c:v>103770834</c:v>
                </c:pt>
                <c:pt idx="3143">
                  <c:v>103803861</c:v>
                </c:pt>
                <c:pt idx="3144">
                  <c:v>103836888</c:v>
                </c:pt>
                <c:pt idx="3145">
                  <c:v>103869915</c:v>
                </c:pt>
                <c:pt idx="3146">
                  <c:v>103902942</c:v>
                </c:pt>
                <c:pt idx="3147">
                  <c:v>103935969</c:v>
                </c:pt>
                <c:pt idx="3148">
                  <c:v>103968996</c:v>
                </c:pt>
                <c:pt idx="3149">
                  <c:v>104002023</c:v>
                </c:pt>
                <c:pt idx="3150">
                  <c:v>104035050</c:v>
                </c:pt>
                <c:pt idx="3151">
                  <c:v>104068077</c:v>
                </c:pt>
                <c:pt idx="3152">
                  <c:v>104101104</c:v>
                </c:pt>
                <c:pt idx="3153">
                  <c:v>104134131</c:v>
                </c:pt>
                <c:pt idx="3154">
                  <c:v>104167158</c:v>
                </c:pt>
                <c:pt idx="3155">
                  <c:v>104200185</c:v>
                </c:pt>
                <c:pt idx="3156">
                  <c:v>104233212</c:v>
                </c:pt>
                <c:pt idx="3157">
                  <c:v>104266239</c:v>
                </c:pt>
                <c:pt idx="3158">
                  <c:v>104299266</c:v>
                </c:pt>
                <c:pt idx="3159">
                  <c:v>104332293</c:v>
                </c:pt>
                <c:pt idx="3160">
                  <c:v>104365320</c:v>
                </c:pt>
                <c:pt idx="3161">
                  <c:v>104398347</c:v>
                </c:pt>
                <c:pt idx="3162">
                  <c:v>104431374</c:v>
                </c:pt>
                <c:pt idx="3163">
                  <c:v>104464401</c:v>
                </c:pt>
                <c:pt idx="3164">
                  <c:v>104497428</c:v>
                </c:pt>
                <c:pt idx="3165">
                  <c:v>104530455</c:v>
                </c:pt>
                <c:pt idx="3166">
                  <c:v>104563482</c:v>
                </c:pt>
                <c:pt idx="3167">
                  <c:v>104596509</c:v>
                </c:pt>
                <c:pt idx="3168">
                  <c:v>104629536</c:v>
                </c:pt>
                <c:pt idx="3169">
                  <c:v>104662563</c:v>
                </c:pt>
                <c:pt idx="3170">
                  <c:v>104695590</c:v>
                </c:pt>
                <c:pt idx="3171">
                  <c:v>104728617</c:v>
                </c:pt>
                <c:pt idx="3172">
                  <c:v>104761644</c:v>
                </c:pt>
                <c:pt idx="3173">
                  <c:v>104794671</c:v>
                </c:pt>
                <c:pt idx="3174">
                  <c:v>104827698</c:v>
                </c:pt>
                <c:pt idx="3175">
                  <c:v>104860725</c:v>
                </c:pt>
                <c:pt idx="3176">
                  <c:v>104893752</c:v>
                </c:pt>
                <c:pt idx="3177">
                  <c:v>104926779</c:v>
                </c:pt>
                <c:pt idx="3178">
                  <c:v>104959806</c:v>
                </c:pt>
                <c:pt idx="3179">
                  <c:v>104992833</c:v>
                </c:pt>
                <c:pt idx="3180">
                  <c:v>105025860</c:v>
                </c:pt>
                <c:pt idx="3181">
                  <c:v>105058887</c:v>
                </c:pt>
                <c:pt idx="3182">
                  <c:v>105091914</c:v>
                </c:pt>
                <c:pt idx="3183">
                  <c:v>105124941</c:v>
                </c:pt>
                <c:pt idx="3184">
                  <c:v>105157968</c:v>
                </c:pt>
                <c:pt idx="3185">
                  <c:v>105190995</c:v>
                </c:pt>
                <c:pt idx="3186">
                  <c:v>105224022</c:v>
                </c:pt>
                <c:pt idx="3187">
                  <c:v>105257049</c:v>
                </c:pt>
                <c:pt idx="3188">
                  <c:v>105290076</c:v>
                </c:pt>
                <c:pt idx="3189">
                  <c:v>105323103</c:v>
                </c:pt>
                <c:pt idx="3190">
                  <c:v>105356130</c:v>
                </c:pt>
                <c:pt idx="3191">
                  <c:v>105389157</c:v>
                </c:pt>
                <c:pt idx="3192">
                  <c:v>105422184</c:v>
                </c:pt>
                <c:pt idx="3193">
                  <c:v>105455211</c:v>
                </c:pt>
                <c:pt idx="3194">
                  <c:v>105488238</c:v>
                </c:pt>
                <c:pt idx="3195">
                  <c:v>105521265</c:v>
                </c:pt>
                <c:pt idx="3196">
                  <c:v>105554292</c:v>
                </c:pt>
                <c:pt idx="3197">
                  <c:v>105587319</c:v>
                </c:pt>
                <c:pt idx="3198">
                  <c:v>105620346</c:v>
                </c:pt>
                <c:pt idx="3199">
                  <c:v>105653373</c:v>
                </c:pt>
                <c:pt idx="3200">
                  <c:v>105686400</c:v>
                </c:pt>
                <c:pt idx="3201">
                  <c:v>105719427</c:v>
                </c:pt>
                <c:pt idx="3202">
                  <c:v>105752454</c:v>
                </c:pt>
                <c:pt idx="3203">
                  <c:v>105785481</c:v>
                </c:pt>
                <c:pt idx="3204">
                  <c:v>105818508</c:v>
                </c:pt>
                <c:pt idx="3205">
                  <c:v>105851535</c:v>
                </c:pt>
                <c:pt idx="3206">
                  <c:v>105884562</c:v>
                </c:pt>
                <c:pt idx="3207">
                  <c:v>105917589</c:v>
                </c:pt>
                <c:pt idx="3208">
                  <c:v>105950616</c:v>
                </c:pt>
                <c:pt idx="3209">
                  <c:v>105983643</c:v>
                </c:pt>
                <c:pt idx="3210">
                  <c:v>106016670</c:v>
                </c:pt>
                <c:pt idx="3211">
                  <c:v>106049697</c:v>
                </c:pt>
                <c:pt idx="3212">
                  <c:v>106082724</c:v>
                </c:pt>
                <c:pt idx="3213">
                  <c:v>106115751</c:v>
                </c:pt>
                <c:pt idx="3214">
                  <c:v>106148778</c:v>
                </c:pt>
                <c:pt idx="3215">
                  <c:v>106181805</c:v>
                </c:pt>
                <c:pt idx="3216">
                  <c:v>106214832</c:v>
                </c:pt>
                <c:pt idx="3217">
                  <c:v>106247859</c:v>
                </c:pt>
                <c:pt idx="3218">
                  <c:v>106280886</c:v>
                </c:pt>
                <c:pt idx="3219">
                  <c:v>106313913</c:v>
                </c:pt>
                <c:pt idx="3220">
                  <c:v>106346940</c:v>
                </c:pt>
                <c:pt idx="3221">
                  <c:v>106379967</c:v>
                </c:pt>
                <c:pt idx="3222">
                  <c:v>106412994</c:v>
                </c:pt>
                <c:pt idx="3223">
                  <c:v>106446021</c:v>
                </c:pt>
                <c:pt idx="3224">
                  <c:v>106479048</c:v>
                </c:pt>
                <c:pt idx="3225">
                  <c:v>106512075</c:v>
                </c:pt>
                <c:pt idx="3226">
                  <c:v>106545102</c:v>
                </c:pt>
                <c:pt idx="3227">
                  <c:v>106578129</c:v>
                </c:pt>
                <c:pt idx="3228">
                  <c:v>106611156</c:v>
                </c:pt>
                <c:pt idx="3229">
                  <c:v>106644183</c:v>
                </c:pt>
                <c:pt idx="3230">
                  <c:v>106677210</c:v>
                </c:pt>
                <c:pt idx="3231">
                  <c:v>106710237</c:v>
                </c:pt>
                <c:pt idx="3232">
                  <c:v>106743264</c:v>
                </c:pt>
                <c:pt idx="3233">
                  <c:v>106776291</c:v>
                </c:pt>
                <c:pt idx="3234">
                  <c:v>106809318</c:v>
                </c:pt>
                <c:pt idx="3235">
                  <c:v>106842345</c:v>
                </c:pt>
                <c:pt idx="3236">
                  <c:v>106875372</c:v>
                </c:pt>
                <c:pt idx="3237">
                  <c:v>106908399</c:v>
                </c:pt>
                <c:pt idx="3238">
                  <c:v>106941426</c:v>
                </c:pt>
                <c:pt idx="3239">
                  <c:v>106974453</c:v>
                </c:pt>
                <c:pt idx="3240">
                  <c:v>107007480</c:v>
                </c:pt>
                <c:pt idx="3241">
                  <c:v>107040507</c:v>
                </c:pt>
                <c:pt idx="3242">
                  <c:v>107073534</c:v>
                </c:pt>
                <c:pt idx="3243">
                  <c:v>107106561</c:v>
                </c:pt>
                <c:pt idx="3244">
                  <c:v>107139588</c:v>
                </c:pt>
                <c:pt idx="3245">
                  <c:v>107172615</c:v>
                </c:pt>
                <c:pt idx="3246">
                  <c:v>107205642</c:v>
                </c:pt>
                <c:pt idx="3247">
                  <c:v>107238669</c:v>
                </c:pt>
                <c:pt idx="3248">
                  <c:v>107271696</c:v>
                </c:pt>
                <c:pt idx="3249">
                  <c:v>107304723</c:v>
                </c:pt>
                <c:pt idx="3250">
                  <c:v>107337750</c:v>
                </c:pt>
                <c:pt idx="3251">
                  <c:v>107370777</c:v>
                </c:pt>
                <c:pt idx="3252">
                  <c:v>107403804</c:v>
                </c:pt>
                <c:pt idx="3253">
                  <c:v>107436831</c:v>
                </c:pt>
                <c:pt idx="3254">
                  <c:v>107469858</c:v>
                </c:pt>
                <c:pt idx="3255">
                  <c:v>107502885</c:v>
                </c:pt>
                <c:pt idx="3256">
                  <c:v>107535912</c:v>
                </c:pt>
                <c:pt idx="3257">
                  <c:v>107568939</c:v>
                </c:pt>
                <c:pt idx="3258">
                  <c:v>107601966</c:v>
                </c:pt>
                <c:pt idx="3259">
                  <c:v>107634993</c:v>
                </c:pt>
                <c:pt idx="3260">
                  <c:v>107668020</c:v>
                </c:pt>
                <c:pt idx="3261">
                  <c:v>107701047</c:v>
                </c:pt>
                <c:pt idx="3262">
                  <c:v>107734074</c:v>
                </c:pt>
                <c:pt idx="3263">
                  <c:v>107767101</c:v>
                </c:pt>
                <c:pt idx="3264">
                  <c:v>107800128</c:v>
                </c:pt>
                <c:pt idx="3265">
                  <c:v>107833155</c:v>
                </c:pt>
                <c:pt idx="3266">
                  <c:v>107866182</c:v>
                </c:pt>
                <c:pt idx="3267">
                  <c:v>107899209</c:v>
                </c:pt>
                <c:pt idx="3268">
                  <c:v>107932236</c:v>
                </c:pt>
                <c:pt idx="3269">
                  <c:v>107965263</c:v>
                </c:pt>
                <c:pt idx="3270">
                  <c:v>107998290</c:v>
                </c:pt>
                <c:pt idx="3271">
                  <c:v>108031317</c:v>
                </c:pt>
                <c:pt idx="3272">
                  <c:v>108064344</c:v>
                </c:pt>
                <c:pt idx="3273">
                  <c:v>108097371</c:v>
                </c:pt>
                <c:pt idx="3274">
                  <c:v>108130398</c:v>
                </c:pt>
                <c:pt idx="3275">
                  <c:v>108163425</c:v>
                </c:pt>
                <c:pt idx="3276">
                  <c:v>108196452</c:v>
                </c:pt>
                <c:pt idx="3277">
                  <c:v>108229479</c:v>
                </c:pt>
                <c:pt idx="3278">
                  <c:v>108262506</c:v>
                </c:pt>
                <c:pt idx="3279">
                  <c:v>108295533</c:v>
                </c:pt>
                <c:pt idx="3280">
                  <c:v>108328560</c:v>
                </c:pt>
                <c:pt idx="3281">
                  <c:v>108361587</c:v>
                </c:pt>
                <c:pt idx="3282">
                  <c:v>108394614</c:v>
                </c:pt>
                <c:pt idx="3283">
                  <c:v>108427641</c:v>
                </c:pt>
                <c:pt idx="3284">
                  <c:v>108460668</c:v>
                </c:pt>
                <c:pt idx="3285">
                  <c:v>108493695</c:v>
                </c:pt>
                <c:pt idx="3286">
                  <c:v>108526722</c:v>
                </c:pt>
                <c:pt idx="3287">
                  <c:v>108559749</c:v>
                </c:pt>
                <c:pt idx="3288">
                  <c:v>108592776</c:v>
                </c:pt>
                <c:pt idx="3289">
                  <c:v>108625803</c:v>
                </c:pt>
                <c:pt idx="3290">
                  <c:v>108658830</c:v>
                </c:pt>
                <c:pt idx="3291">
                  <c:v>108691857</c:v>
                </c:pt>
                <c:pt idx="3292">
                  <c:v>108724884</c:v>
                </c:pt>
                <c:pt idx="3293">
                  <c:v>108757911</c:v>
                </c:pt>
                <c:pt idx="3294">
                  <c:v>108790938</c:v>
                </c:pt>
                <c:pt idx="3295">
                  <c:v>108823965</c:v>
                </c:pt>
                <c:pt idx="3296">
                  <c:v>108856992</c:v>
                </c:pt>
                <c:pt idx="3297">
                  <c:v>108890019</c:v>
                </c:pt>
                <c:pt idx="3298">
                  <c:v>108923046</c:v>
                </c:pt>
                <c:pt idx="3299">
                  <c:v>108956073</c:v>
                </c:pt>
                <c:pt idx="3300">
                  <c:v>108989100</c:v>
                </c:pt>
                <c:pt idx="3301">
                  <c:v>109022127</c:v>
                </c:pt>
                <c:pt idx="3302">
                  <c:v>109055154</c:v>
                </c:pt>
                <c:pt idx="3303">
                  <c:v>109088181</c:v>
                </c:pt>
                <c:pt idx="3304">
                  <c:v>109121208</c:v>
                </c:pt>
                <c:pt idx="3305">
                  <c:v>109154235</c:v>
                </c:pt>
                <c:pt idx="3306">
                  <c:v>109187262</c:v>
                </c:pt>
                <c:pt idx="3307">
                  <c:v>109220289</c:v>
                </c:pt>
                <c:pt idx="3308">
                  <c:v>109253316</c:v>
                </c:pt>
                <c:pt idx="3309">
                  <c:v>109286343</c:v>
                </c:pt>
                <c:pt idx="3310">
                  <c:v>109319370</c:v>
                </c:pt>
                <c:pt idx="3311">
                  <c:v>109352397</c:v>
                </c:pt>
                <c:pt idx="3312">
                  <c:v>109385424</c:v>
                </c:pt>
                <c:pt idx="3313">
                  <c:v>109418451</c:v>
                </c:pt>
                <c:pt idx="3314">
                  <c:v>109451478</c:v>
                </c:pt>
                <c:pt idx="3315">
                  <c:v>109484505</c:v>
                </c:pt>
                <c:pt idx="3316">
                  <c:v>109517532</c:v>
                </c:pt>
                <c:pt idx="3317">
                  <c:v>109550559</c:v>
                </c:pt>
                <c:pt idx="3318">
                  <c:v>109583586</c:v>
                </c:pt>
                <c:pt idx="3319">
                  <c:v>109616613</c:v>
                </c:pt>
                <c:pt idx="3320">
                  <c:v>109649640</c:v>
                </c:pt>
                <c:pt idx="3321">
                  <c:v>109682667</c:v>
                </c:pt>
                <c:pt idx="3322">
                  <c:v>109715694</c:v>
                </c:pt>
                <c:pt idx="3323">
                  <c:v>109748721</c:v>
                </c:pt>
                <c:pt idx="3324">
                  <c:v>109781748</c:v>
                </c:pt>
                <c:pt idx="3325">
                  <c:v>109814775</c:v>
                </c:pt>
                <c:pt idx="3326">
                  <c:v>109847802</c:v>
                </c:pt>
                <c:pt idx="3327">
                  <c:v>109880829</c:v>
                </c:pt>
                <c:pt idx="3328">
                  <c:v>109913856</c:v>
                </c:pt>
                <c:pt idx="3329">
                  <c:v>109946883</c:v>
                </c:pt>
                <c:pt idx="3330">
                  <c:v>109979910</c:v>
                </c:pt>
                <c:pt idx="3331">
                  <c:v>110012937</c:v>
                </c:pt>
                <c:pt idx="3332">
                  <c:v>110045964</c:v>
                </c:pt>
                <c:pt idx="3333">
                  <c:v>110078991</c:v>
                </c:pt>
                <c:pt idx="3334">
                  <c:v>110112018</c:v>
                </c:pt>
                <c:pt idx="3335">
                  <c:v>110145045</c:v>
                </c:pt>
                <c:pt idx="3336">
                  <c:v>110178072</c:v>
                </c:pt>
                <c:pt idx="3337">
                  <c:v>110211099</c:v>
                </c:pt>
                <c:pt idx="3338">
                  <c:v>110244126</c:v>
                </c:pt>
                <c:pt idx="3339">
                  <c:v>110277153</c:v>
                </c:pt>
                <c:pt idx="3340">
                  <c:v>110310180</c:v>
                </c:pt>
                <c:pt idx="3341">
                  <c:v>110343207</c:v>
                </c:pt>
                <c:pt idx="3342">
                  <c:v>110376234</c:v>
                </c:pt>
                <c:pt idx="3343">
                  <c:v>110409261</c:v>
                </c:pt>
                <c:pt idx="3344">
                  <c:v>110442288</c:v>
                </c:pt>
                <c:pt idx="3345">
                  <c:v>110475315</c:v>
                </c:pt>
                <c:pt idx="3346">
                  <c:v>110508342</c:v>
                </c:pt>
                <c:pt idx="3347">
                  <c:v>110541369</c:v>
                </c:pt>
                <c:pt idx="3348">
                  <c:v>110574396</c:v>
                </c:pt>
                <c:pt idx="3349">
                  <c:v>110607423</c:v>
                </c:pt>
                <c:pt idx="3350">
                  <c:v>110640450</c:v>
                </c:pt>
                <c:pt idx="3351">
                  <c:v>110673477</c:v>
                </c:pt>
                <c:pt idx="3352">
                  <c:v>110706504</c:v>
                </c:pt>
                <c:pt idx="3353">
                  <c:v>110739531</c:v>
                </c:pt>
                <c:pt idx="3354">
                  <c:v>110772558</c:v>
                </c:pt>
                <c:pt idx="3355">
                  <c:v>110805585</c:v>
                </c:pt>
                <c:pt idx="3356">
                  <c:v>110838612</c:v>
                </c:pt>
                <c:pt idx="3357">
                  <c:v>110871639</c:v>
                </c:pt>
                <c:pt idx="3358">
                  <c:v>110904666</c:v>
                </c:pt>
                <c:pt idx="3359">
                  <c:v>110937693</c:v>
                </c:pt>
                <c:pt idx="3360">
                  <c:v>110970720</c:v>
                </c:pt>
                <c:pt idx="3361">
                  <c:v>111003747</c:v>
                </c:pt>
                <c:pt idx="3362">
                  <c:v>111036774</c:v>
                </c:pt>
                <c:pt idx="3363">
                  <c:v>111069801</c:v>
                </c:pt>
                <c:pt idx="3364">
                  <c:v>111102828</c:v>
                </c:pt>
                <c:pt idx="3365">
                  <c:v>111135855</c:v>
                </c:pt>
                <c:pt idx="3366">
                  <c:v>111168882</c:v>
                </c:pt>
                <c:pt idx="3367">
                  <c:v>111201909</c:v>
                </c:pt>
                <c:pt idx="3368">
                  <c:v>111234936</c:v>
                </c:pt>
                <c:pt idx="3369">
                  <c:v>111267963</c:v>
                </c:pt>
                <c:pt idx="3370">
                  <c:v>111300990</c:v>
                </c:pt>
                <c:pt idx="3371">
                  <c:v>111334017</c:v>
                </c:pt>
                <c:pt idx="3372">
                  <c:v>111367044</c:v>
                </c:pt>
                <c:pt idx="3373">
                  <c:v>111400071</c:v>
                </c:pt>
                <c:pt idx="3374">
                  <c:v>111433098</c:v>
                </c:pt>
                <c:pt idx="3375">
                  <c:v>111466125</c:v>
                </c:pt>
                <c:pt idx="3376">
                  <c:v>111499152</c:v>
                </c:pt>
                <c:pt idx="3377">
                  <c:v>111532179</c:v>
                </c:pt>
                <c:pt idx="3378">
                  <c:v>111565206</c:v>
                </c:pt>
                <c:pt idx="3379">
                  <c:v>111598233</c:v>
                </c:pt>
                <c:pt idx="3380">
                  <c:v>111631260</c:v>
                </c:pt>
                <c:pt idx="3381">
                  <c:v>111664287</c:v>
                </c:pt>
                <c:pt idx="3382">
                  <c:v>111697314</c:v>
                </c:pt>
                <c:pt idx="3383">
                  <c:v>111730341</c:v>
                </c:pt>
                <c:pt idx="3384">
                  <c:v>111763368</c:v>
                </c:pt>
                <c:pt idx="3385">
                  <c:v>111796395</c:v>
                </c:pt>
                <c:pt idx="3386">
                  <c:v>111829422</c:v>
                </c:pt>
                <c:pt idx="3387">
                  <c:v>111862449</c:v>
                </c:pt>
                <c:pt idx="3388">
                  <c:v>111895476</c:v>
                </c:pt>
                <c:pt idx="3389">
                  <c:v>111928503</c:v>
                </c:pt>
                <c:pt idx="3390">
                  <c:v>111961530</c:v>
                </c:pt>
                <c:pt idx="3391">
                  <c:v>111994557</c:v>
                </c:pt>
                <c:pt idx="3392">
                  <c:v>112027584</c:v>
                </c:pt>
                <c:pt idx="3393">
                  <c:v>112060611</c:v>
                </c:pt>
                <c:pt idx="3394">
                  <c:v>112093638</c:v>
                </c:pt>
                <c:pt idx="3395">
                  <c:v>112126665</c:v>
                </c:pt>
                <c:pt idx="3396">
                  <c:v>112159692</c:v>
                </c:pt>
                <c:pt idx="3397">
                  <c:v>112192719</c:v>
                </c:pt>
                <c:pt idx="3398">
                  <c:v>112225746</c:v>
                </c:pt>
                <c:pt idx="3399">
                  <c:v>112258773</c:v>
                </c:pt>
                <c:pt idx="3400">
                  <c:v>112291800</c:v>
                </c:pt>
                <c:pt idx="3401">
                  <c:v>112324827</c:v>
                </c:pt>
                <c:pt idx="3402">
                  <c:v>112357854</c:v>
                </c:pt>
                <c:pt idx="3403">
                  <c:v>112390881</c:v>
                </c:pt>
                <c:pt idx="3404">
                  <c:v>112423908</c:v>
                </c:pt>
                <c:pt idx="3405">
                  <c:v>112456935</c:v>
                </c:pt>
                <c:pt idx="3406">
                  <c:v>112489962</c:v>
                </c:pt>
                <c:pt idx="3407">
                  <c:v>112522989</c:v>
                </c:pt>
                <c:pt idx="3408">
                  <c:v>112556016</c:v>
                </c:pt>
                <c:pt idx="3409">
                  <c:v>112589043</c:v>
                </c:pt>
                <c:pt idx="3410">
                  <c:v>112622070</c:v>
                </c:pt>
                <c:pt idx="3411">
                  <c:v>112655097</c:v>
                </c:pt>
                <c:pt idx="3412">
                  <c:v>112688124</c:v>
                </c:pt>
                <c:pt idx="3413">
                  <c:v>112721151</c:v>
                </c:pt>
                <c:pt idx="3414">
                  <c:v>112754178</c:v>
                </c:pt>
                <c:pt idx="3415">
                  <c:v>112787205</c:v>
                </c:pt>
                <c:pt idx="3416">
                  <c:v>112820232</c:v>
                </c:pt>
                <c:pt idx="3417">
                  <c:v>112853259</c:v>
                </c:pt>
                <c:pt idx="3418">
                  <c:v>112886286</c:v>
                </c:pt>
                <c:pt idx="3419">
                  <c:v>112919313</c:v>
                </c:pt>
                <c:pt idx="3420">
                  <c:v>112952340</c:v>
                </c:pt>
                <c:pt idx="3421">
                  <c:v>112985367</c:v>
                </c:pt>
                <c:pt idx="3422">
                  <c:v>113018394</c:v>
                </c:pt>
                <c:pt idx="3423">
                  <c:v>113051421</c:v>
                </c:pt>
                <c:pt idx="3424">
                  <c:v>113084448</c:v>
                </c:pt>
                <c:pt idx="3425">
                  <c:v>113117475</c:v>
                </c:pt>
                <c:pt idx="3426">
                  <c:v>113150502</c:v>
                </c:pt>
                <c:pt idx="3427">
                  <c:v>113183529</c:v>
                </c:pt>
                <c:pt idx="3428">
                  <c:v>113216556</c:v>
                </c:pt>
                <c:pt idx="3429">
                  <c:v>113249583</c:v>
                </c:pt>
                <c:pt idx="3430">
                  <c:v>113282610</c:v>
                </c:pt>
                <c:pt idx="3431">
                  <c:v>113315637</c:v>
                </c:pt>
                <c:pt idx="3432">
                  <c:v>113348664</c:v>
                </c:pt>
                <c:pt idx="3433">
                  <c:v>113381691</c:v>
                </c:pt>
                <c:pt idx="3434">
                  <c:v>113414718</c:v>
                </c:pt>
                <c:pt idx="3435">
                  <c:v>113447745</c:v>
                </c:pt>
                <c:pt idx="3436">
                  <c:v>113480772</c:v>
                </c:pt>
                <c:pt idx="3437">
                  <c:v>113513799</c:v>
                </c:pt>
                <c:pt idx="3438">
                  <c:v>113546826</c:v>
                </c:pt>
                <c:pt idx="3439">
                  <c:v>113579853</c:v>
                </c:pt>
                <c:pt idx="3440">
                  <c:v>113612880</c:v>
                </c:pt>
                <c:pt idx="3441">
                  <c:v>113645907</c:v>
                </c:pt>
                <c:pt idx="3442">
                  <c:v>113678934</c:v>
                </c:pt>
                <c:pt idx="3443">
                  <c:v>113711961</c:v>
                </c:pt>
                <c:pt idx="3444">
                  <c:v>113744988</c:v>
                </c:pt>
                <c:pt idx="3445">
                  <c:v>113778015</c:v>
                </c:pt>
                <c:pt idx="3446">
                  <c:v>113811042</c:v>
                </c:pt>
                <c:pt idx="3447">
                  <c:v>113844069</c:v>
                </c:pt>
                <c:pt idx="3448">
                  <c:v>113877096</c:v>
                </c:pt>
                <c:pt idx="3449">
                  <c:v>113910123</c:v>
                </c:pt>
                <c:pt idx="3450">
                  <c:v>113943150</c:v>
                </c:pt>
                <c:pt idx="3451">
                  <c:v>113976177</c:v>
                </c:pt>
                <c:pt idx="3452">
                  <c:v>114009204</c:v>
                </c:pt>
                <c:pt idx="3453">
                  <c:v>114042231</c:v>
                </c:pt>
                <c:pt idx="3454">
                  <c:v>114075258</c:v>
                </c:pt>
                <c:pt idx="3455">
                  <c:v>114108285</c:v>
                </c:pt>
                <c:pt idx="3456">
                  <c:v>114141312</c:v>
                </c:pt>
                <c:pt idx="3457">
                  <c:v>114174339</c:v>
                </c:pt>
                <c:pt idx="3458">
                  <c:v>114207366</c:v>
                </c:pt>
                <c:pt idx="3459">
                  <c:v>114240393</c:v>
                </c:pt>
                <c:pt idx="3460">
                  <c:v>114273420</c:v>
                </c:pt>
                <c:pt idx="3461">
                  <c:v>114306447</c:v>
                </c:pt>
                <c:pt idx="3462">
                  <c:v>114339474</c:v>
                </c:pt>
                <c:pt idx="3463">
                  <c:v>114372501</c:v>
                </c:pt>
                <c:pt idx="3464">
                  <c:v>114405528</c:v>
                </c:pt>
                <c:pt idx="3465">
                  <c:v>114438555</c:v>
                </c:pt>
                <c:pt idx="3466">
                  <c:v>114471582</c:v>
                </c:pt>
                <c:pt idx="3467">
                  <c:v>114504609</c:v>
                </c:pt>
                <c:pt idx="3468">
                  <c:v>114537636</c:v>
                </c:pt>
                <c:pt idx="3469">
                  <c:v>114570663</c:v>
                </c:pt>
                <c:pt idx="3470">
                  <c:v>114603690</c:v>
                </c:pt>
                <c:pt idx="3471">
                  <c:v>114636717</c:v>
                </c:pt>
                <c:pt idx="3472">
                  <c:v>114669744</c:v>
                </c:pt>
                <c:pt idx="3473">
                  <c:v>114702771</c:v>
                </c:pt>
                <c:pt idx="3474">
                  <c:v>114735798</c:v>
                </c:pt>
                <c:pt idx="3475">
                  <c:v>114768825</c:v>
                </c:pt>
                <c:pt idx="3476">
                  <c:v>114801852</c:v>
                </c:pt>
                <c:pt idx="3477">
                  <c:v>114834879</c:v>
                </c:pt>
                <c:pt idx="3478">
                  <c:v>114867906</c:v>
                </c:pt>
                <c:pt idx="3479">
                  <c:v>114900933</c:v>
                </c:pt>
                <c:pt idx="3480">
                  <c:v>114933960</c:v>
                </c:pt>
                <c:pt idx="3481">
                  <c:v>114966987</c:v>
                </c:pt>
                <c:pt idx="3482">
                  <c:v>115000014</c:v>
                </c:pt>
                <c:pt idx="3483">
                  <c:v>115033041</c:v>
                </c:pt>
                <c:pt idx="3484">
                  <c:v>115066068</c:v>
                </c:pt>
                <c:pt idx="3485">
                  <c:v>115099095</c:v>
                </c:pt>
                <c:pt idx="3486">
                  <c:v>115132122</c:v>
                </c:pt>
                <c:pt idx="3487">
                  <c:v>115165149</c:v>
                </c:pt>
                <c:pt idx="3488">
                  <c:v>115198176</c:v>
                </c:pt>
                <c:pt idx="3489">
                  <c:v>115231203</c:v>
                </c:pt>
                <c:pt idx="3490">
                  <c:v>115264230</c:v>
                </c:pt>
                <c:pt idx="3491">
                  <c:v>115297257</c:v>
                </c:pt>
                <c:pt idx="3492">
                  <c:v>115330284</c:v>
                </c:pt>
                <c:pt idx="3493">
                  <c:v>115363311</c:v>
                </c:pt>
                <c:pt idx="3494">
                  <c:v>115396338</c:v>
                </c:pt>
                <c:pt idx="3495">
                  <c:v>115429365</c:v>
                </c:pt>
                <c:pt idx="3496">
                  <c:v>115462392</c:v>
                </c:pt>
                <c:pt idx="3497">
                  <c:v>115495419</c:v>
                </c:pt>
                <c:pt idx="3498">
                  <c:v>115528446</c:v>
                </c:pt>
                <c:pt idx="3499">
                  <c:v>115561473</c:v>
                </c:pt>
                <c:pt idx="3500">
                  <c:v>115594500</c:v>
                </c:pt>
                <c:pt idx="3501">
                  <c:v>115627527</c:v>
                </c:pt>
                <c:pt idx="3502">
                  <c:v>115660554</c:v>
                </c:pt>
                <c:pt idx="3503">
                  <c:v>115693581</c:v>
                </c:pt>
                <c:pt idx="3504">
                  <c:v>115726608</c:v>
                </c:pt>
                <c:pt idx="3505">
                  <c:v>115759635</c:v>
                </c:pt>
                <c:pt idx="3506">
                  <c:v>115792662</c:v>
                </c:pt>
                <c:pt idx="3507">
                  <c:v>115825689</c:v>
                </c:pt>
                <c:pt idx="3508">
                  <c:v>115858716</c:v>
                </c:pt>
                <c:pt idx="3509">
                  <c:v>115891743</c:v>
                </c:pt>
                <c:pt idx="3510">
                  <c:v>115924770</c:v>
                </c:pt>
                <c:pt idx="3511">
                  <c:v>115957797</c:v>
                </c:pt>
                <c:pt idx="3512">
                  <c:v>115990824</c:v>
                </c:pt>
                <c:pt idx="3513">
                  <c:v>116023851</c:v>
                </c:pt>
                <c:pt idx="3514">
                  <c:v>116056878</c:v>
                </c:pt>
                <c:pt idx="3515">
                  <c:v>116089905</c:v>
                </c:pt>
                <c:pt idx="3516">
                  <c:v>116122932</c:v>
                </c:pt>
                <c:pt idx="3517">
                  <c:v>116155959</c:v>
                </c:pt>
                <c:pt idx="3518">
                  <c:v>116188986</c:v>
                </c:pt>
                <c:pt idx="3519">
                  <c:v>116222013</c:v>
                </c:pt>
                <c:pt idx="3520">
                  <c:v>116255040</c:v>
                </c:pt>
                <c:pt idx="3521">
                  <c:v>116288067</c:v>
                </c:pt>
                <c:pt idx="3522">
                  <c:v>116321094</c:v>
                </c:pt>
                <c:pt idx="3523">
                  <c:v>116354121</c:v>
                </c:pt>
                <c:pt idx="3524">
                  <c:v>116387148</c:v>
                </c:pt>
                <c:pt idx="3525">
                  <c:v>116420175</c:v>
                </c:pt>
                <c:pt idx="3526">
                  <c:v>116453202</c:v>
                </c:pt>
                <c:pt idx="3527">
                  <c:v>116486229</c:v>
                </c:pt>
                <c:pt idx="3528">
                  <c:v>116519256</c:v>
                </c:pt>
                <c:pt idx="3529">
                  <c:v>116552283</c:v>
                </c:pt>
                <c:pt idx="3530">
                  <c:v>116585310</c:v>
                </c:pt>
                <c:pt idx="3531">
                  <c:v>116618337</c:v>
                </c:pt>
                <c:pt idx="3532">
                  <c:v>116651364</c:v>
                </c:pt>
                <c:pt idx="3533">
                  <c:v>116684391</c:v>
                </c:pt>
                <c:pt idx="3534">
                  <c:v>116717418</c:v>
                </c:pt>
                <c:pt idx="3535">
                  <c:v>116750445</c:v>
                </c:pt>
                <c:pt idx="3536">
                  <c:v>116783472</c:v>
                </c:pt>
                <c:pt idx="3537">
                  <c:v>116816499</c:v>
                </c:pt>
                <c:pt idx="3538">
                  <c:v>116849526</c:v>
                </c:pt>
                <c:pt idx="3539">
                  <c:v>116882553</c:v>
                </c:pt>
                <c:pt idx="3540">
                  <c:v>116915580</c:v>
                </c:pt>
                <c:pt idx="3541">
                  <c:v>116948607</c:v>
                </c:pt>
                <c:pt idx="3542">
                  <c:v>116981634</c:v>
                </c:pt>
                <c:pt idx="3543">
                  <c:v>117014661</c:v>
                </c:pt>
                <c:pt idx="3544">
                  <c:v>117047688</c:v>
                </c:pt>
                <c:pt idx="3545">
                  <c:v>117080715</c:v>
                </c:pt>
                <c:pt idx="3546">
                  <c:v>117113742</c:v>
                </c:pt>
                <c:pt idx="3547">
                  <c:v>117146769</c:v>
                </c:pt>
                <c:pt idx="3548">
                  <c:v>117179796</c:v>
                </c:pt>
                <c:pt idx="3549">
                  <c:v>117212823</c:v>
                </c:pt>
                <c:pt idx="3550">
                  <c:v>117245850</c:v>
                </c:pt>
                <c:pt idx="3551">
                  <c:v>117278877</c:v>
                </c:pt>
                <c:pt idx="3552">
                  <c:v>117311904</c:v>
                </c:pt>
                <c:pt idx="3553">
                  <c:v>117344931</c:v>
                </c:pt>
                <c:pt idx="3554">
                  <c:v>117377958</c:v>
                </c:pt>
                <c:pt idx="3555">
                  <c:v>117410985</c:v>
                </c:pt>
                <c:pt idx="3556">
                  <c:v>117444012</c:v>
                </c:pt>
                <c:pt idx="3557">
                  <c:v>117477039</c:v>
                </c:pt>
                <c:pt idx="3558">
                  <c:v>117510066</c:v>
                </c:pt>
                <c:pt idx="3559">
                  <c:v>117543093</c:v>
                </c:pt>
                <c:pt idx="3560">
                  <c:v>117576120</c:v>
                </c:pt>
                <c:pt idx="3561">
                  <c:v>117609147</c:v>
                </c:pt>
                <c:pt idx="3562">
                  <c:v>117642174</c:v>
                </c:pt>
                <c:pt idx="3563">
                  <c:v>117675201</c:v>
                </c:pt>
                <c:pt idx="3564">
                  <c:v>117708228</c:v>
                </c:pt>
                <c:pt idx="3565">
                  <c:v>117741255</c:v>
                </c:pt>
                <c:pt idx="3566">
                  <c:v>117774282</c:v>
                </c:pt>
                <c:pt idx="3567">
                  <c:v>117807309</c:v>
                </c:pt>
                <c:pt idx="3568">
                  <c:v>117840336</c:v>
                </c:pt>
                <c:pt idx="3569">
                  <c:v>117873363</c:v>
                </c:pt>
                <c:pt idx="3570">
                  <c:v>117906390</c:v>
                </c:pt>
                <c:pt idx="3571">
                  <c:v>117939417</c:v>
                </c:pt>
                <c:pt idx="3572">
                  <c:v>117972444</c:v>
                </c:pt>
                <c:pt idx="3573">
                  <c:v>118005471</c:v>
                </c:pt>
                <c:pt idx="3574">
                  <c:v>118038498</c:v>
                </c:pt>
                <c:pt idx="3575">
                  <c:v>118071525</c:v>
                </c:pt>
                <c:pt idx="3576">
                  <c:v>118104552</c:v>
                </c:pt>
                <c:pt idx="3577">
                  <c:v>118137579</c:v>
                </c:pt>
                <c:pt idx="3578">
                  <c:v>118170606</c:v>
                </c:pt>
                <c:pt idx="3579">
                  <c:v>118203633</c:v>
                </c:pt>
                <c:pt idx="3580">
                  <c:v>118236660</c:v>
                </c:pt>
                <c:pt idx="3581">
                  <c:v>118269687</c:v>
                </c:pt>
                <c:pt idx="3582">
                  <c:v>118302714</c:v>
                </c:pt>
                <c:pt idx="3583">
                  <c:v>118335741</c:v>
                </c:pt>
                <c:pt idx="3584">
                  <c:v>118368768</c:v>
                </c:pt>
                <c:pt idx="3585">
                  <c:v>118401795</c:v>
                </c:pt>
                <c:pt idx="3586">
                  <c:v>118434822</c:v>
                </c:pt>
                <c:pt idx="3587">
                  <c:v>118467849</c:v>
                </c:pt>
                <c:pt idx="3588">
                  <c:v>118500876</c:v>
                </c:pt>
                <c:pt idx="3589">
                  <c:v>118533903</c:v>
                </c:pt>
                <c:pt idx="3590">
                  <c:v>118566930</c:v>
                </c:pt>
                <c:pt idx="3591">
                  <c:v>118599957</c:v>
                </c:pt>
                <c:pt idx="3592">
                  <c:v>118632984</c:v>
                </c:pt>
                <c:pt idx="3593">
                  <c:v>118666011</c:v>
                </c:pt>
                <c:pt idx="3594">
                  <c:v>118699038</c:v>
                </c:pt>
                <c:pt idx="3595">
                  <c:v>118732065</c:v>
                </c:pt>
                <c:pt idx="3596">
                  <c:v>118765092</c:v>
                </c:pt>
                <c:pt idx="3597">
                  <c:v>118798119</c:v>
                </c:pt>
                <c:pt idx="3598">
                  <c:v>118831146</c:v>
                </c:pt>
                <c:pt idx="3599">
                  <c:v>118864173</c:v>
                </c:pt>
                <c:pt idx="3600">
                  <c:v>118897200</c:v>
                </c:pt>
                <c:pt idx="3601">
                  <c:v>118930227</c:v>
                </c:pt>
                <c:pt idx="3602">
                  <c:v>118963254</c:v>
                </c:pt>
                <c:pt idx="3603">
                  <c:v>118996281</c:v>
                </c:pt>
                <c:pt idx="3604">
                  <c:v>119029308</c:v>
                </c:pt>
                <c:pt idx="3605">
                  <c:v>119062335</c:v>
                </c:pt>
                <c:pt idx="3606">
                  <c:v>119095362</c:v>
                </c:pt>
                <c:pt idx="3607">
                  <c:v>119128389</c:v>
                </c:pt>
                <c:pt idx="3608">
                  <c:v>119161416</c:v>
                </c:pt>
                <c:pt idx="3609">
                  <c:v>119194443</c:v>
                </c:pt>
                <c:pt idx="3610">
                  <c:v>119227470</c:v>
                </c:pt>
                <c:pt idx="3611">
                  <c:v>119260497</c:v>
                </c:pt>
                <c:pt idx="3612">
                  <c:v>119293524</c:v>
                </c:pt>
                <c:pt idx="3613">
                  <c:v>119326551</c:v>
                </c:pt>
                <c:pt idx="3614">
                  <c:v>119359578</c:v>
                </c:pt>
                <c:pt idx="3615">
                  <c:v>119392605</c:v>
                </c:pt>
                <c:pt idx="3616">
                  <c:v>119425632</c:v>
                </c:pt>
                <c:pt idx="3617">
                  <c:v>119458659</c:v>
                </c:pt>
                <c:pt idx="3618">
                  <c:v>119491686</c:v>
                </c:pt>
                <c:pt idx="3619">
                  <c:v>119524713</c:v>
                </c:pt>
                <c:pt idx="3620">
                  <c:v>119557740</c:v>
                </c:pt>
                <c:pt idx="3621">
                  <c:v>119590767</c:v>
                </c:pt>
                <c:pt idx="3622">
                  <c:v>119623794</c:v>
                </c:pt>
                <c:pt idx="3623">
                  <c:v>119656821</c:v>
                </c:pt>
                <c:pt idx="3624">
                  <c:v>119689848</c:v>
                </c:pt>
                <c:pt idx="3625">
                  <c:v>119722875</c:v>
                </c:pt>
                <c:pt idx="3626">
                  <c:v>119755902</c:v>
                </c:pt>
                <c:pt idx="3627">
                  <c:v>119788929</c:v>
                </c:pt>
                <c:pt idx="3628">
                  <c:v>119821956</c:v>
                </c:pt>
                <c:pt idx="3629">
                  <c:v>119854983</c:v>
                </c:pt>
                <c:pt idx="3630">
                  <c:v>119888010</c:v>
                </c:pt>
                <c:pt idx="3631">
                  <c:v>119921037</c:v>
                </c:pt>
                <c:pt idx="3632">
                  <c:v>119954064</c:v>
                </c:pt>
                <c:pt idx="3633">
                  <c:v>119987091</c:v>
                </c:pt>
                <c:pt idx="3634">
                  <c:v>120020118</c:v>
                </c:pt>
                <c:pt idx="3635">
                  <c:v>120053145</c:v>
                </c:pt>
                <c:pt idx="3636">
                  <c:v>120086172</c:v>
                </c:pt>
                <c:pt idx="3637">
                  <c:v>120119199</c:v>
                </c:pt>
                <c:pt idx="3638">
                  <c:v>120152226</c:v>
                </c:pt>
                <c:pt idx="3639">
                  <c:v>120185253</c:v>
                </c:pt>
                <c:pt idx="3640">
                  <c:v>120218280</c:v>
                </c:pt>
                <c:pt idx="3641">
                  <c:v>120251307</c:v>
                </c:pt>
                <c:pt idx="3642">
                  <c:v>120284334</c:v>
                </c:pt>
                <c:pt idx="3643">
                  <c:v>120317361</c:v>
                </c:pt>
                <c:pt idx="3644">
                  <c:v>120350388</c:v>
                </c:pt>
                <c:pt idx="3645">
                  <c:v>120383415</c:v>
                </c:pt>
                <c:pt idx="3646">
                  <c:v>120416442</c:v>
                </c:pt>
                <c:pt idx="3647">
                  <c:v>120449469</c:v>
                </c:pt>
                <c:pt idx="3648">
                  <c:v>120482496</c:v>
                </c:pt>
                <c:pt idx="3649">
                  <c:v>120515523</c:v>
                </c:pt>
                <c:pt idx="3650">
                  <c:v>120548550</c:v>
                </c:pt>
                <c:pt idx="3651">
                  <c:v>120581577</c:v>
                </c:pt>
                <c:pt idx="3652">
                  <c:v>120614604</c:v>
                </c:pt>
                <c:pt idx="3653">
                  <c:v>120647631</c:v>
                </c:pt>
                <c:pt idx="3654">
                  <c:v>120680658</c:v>
                </c:pt>
                <c:pt idx="3655">
                  <c:v>120713685</c:v>
                </c:pt>
                <c:pt idx="3656">
                  <c:v>120746712</c:v>
                </c:pt>
                <c:pt idx="3657">
                  <c:v>120779739</c:v>
                </c:pt>
                <c:pt idx="3658">
                  <c:v>120812766</c:v>
                </c:pt>
                <c:pt idx="3659">
                  <c:v>120845793</c:v>
                </c:pt>
                <c:pt idx="3660">
                  <c:v>120878820</c:v>
                </c:pt>
                <c:pt idx="3661">
                  <c:v>120911847</c:v>
                </c:pt>
                <c:pt idx="3662">
                  <c:v>120944874</c:v>
                </c:pt>
                <c:pt idx="3663">
                  <c:v>120977901</c:v>
                </c:pt>
                <c:pt idx="3664">
                  <c:v>121010928</c:v>
                </c:pt>
                <c:pt idx="3665">
                  <c:v>121043955</c:v>
                </c:pt>
                <c:pt idx="3666">
                  <c:v>121076982</c:v>
                </c:pt>
                <c:pt idx="3667">
                  <c:v>121110009</c:v>
                </c:pt>
                <c:pt idx="3668">
                  <c:v>121143036</c:v>
                </c:pt>
                <c:pt idx="3669">
                  <c:v>121176063</c:v>
                </c:pt>
                <c:pt idx="3670">
                  <c:v>121209090</c:v>
                </c:pt>
                <c:pt idx="3671">
                  <c:v>121242117</c:v>
                </c:pt>
                <c:pt idx="3672">
                  <c:v>121275144</c:v>
                </c:pt>
                <c:pt idx="3673">
                  <c:v>121308171</c:v>
                </c:pt>
                <c:pt idx="3674">
                  <c:v>121341198</c:v>
                </c:pt>
                <c:pt idx="3675">
                  <c:v>121374225</c:v>
                </c:pt>
                <c:pt idx="3676">
                  <c:v>121407252</c:v>
                </c:pt>
                <c:pt idx="3677">
                  <c:v>121440279</c:v>
                </c:pt>
                <c:pt idx="3678">
                  <c:v>121473306</c:v>
                </c:pt>
                <c:pt idx="3679">
                  <c:v>121506333</c:v>
                </c:pt>
                <c:pt idx="3680">
                  <c:v>121539360</c:v>
                </c:pt>
                <c:pt idx="3681">
                  <c:v>121572387</c:v>
                </c:pt>
                <c:pt idx="3682">
                  <c:v>121605414</c:v>
                </c:pt>
                <c:pt idx="3683">
                  <c:v>121638441</c:v>
                </c:pt>
                <c:pt idx="3684">
                  <c:v>121671468</c:v>
                </c:pt>
                <c:pt idx="3685">
                  <c:v>121704495</c:v>
                </c:pt>
                <c:pt idx="3686">
                  <c:v>121737522</c:v>
                </c:pt>
                <c:pt idx="3687">
                  <c:v>121770549</c:v>
                </c:pt>
                <c:pt idx="3688">
                  <c:v>121803576</c:v>
                </c:pt>
                <c:pt idx="3689">
                  <c:v>121836603</c:v>
                </c:pt>
                <c:pt idx="3690">
                  <c:v>121869630</c:v>
                </c:pt>
                <c:pt idx="3691">
                  <c:v>121902657</c:v>
                </c:pt>
                <c:pt idx="3692">
                  <c:v>121935684</c:v>
                </c:pt>
                <c:pt idx="3693">
                  <c:v>121968711</c:v>
                </c:pt>
                <c:pt idx="3694">
                  <c:v>122001738</c:v>
                </c:pt>
                <c:pt idx="3695">
                  <c:v>122034765</c:v>
                </c:pt>
                <c:pt idx="3696">
                  <c:v>122067792</c:v>
                </c:pt>
                <c:pt idx="3697">
                  <c:v>122100819</c:v>
                </c:pt>
                <c:pt idx="3698">
                  <c:v>122133846</c:v>
                </c:pt>
                <c:pt idx="3699">
                  <c:v>122166873</c:v>
                </c:pt>
                <c:pt idx="3700">
                  <c:v>122199900</c:v>
                </c:pt>
                <c:pt idx="3701">
                  <c:v>122232927</c:v>
                </c:pt>
                <c:pt idx="3702">
                  <c:v>122265954</c:v>
                </c:pt>
                <c:pt idx="3703">
                  <c:v>122298981</c:v>
                </c:pt>
                <c:pt idx="3704">
                  <c:v>122332008</c:v>
                </c:pt>
                <c:pt idx="3705">
                  <c:v>122365035</c:v>
                </c:pt>
                <c:pt idx="3706">
                  <c:v>122398062</c:v>
                </c:pt>
                <c:pt idx="3707">
                  <c:v>122431089</c:v>
                </c:pt>
                <c:pt idx="3708">
                  <c:v>122464116</c:v>
                </c:pt>
                <c:pt idx="3709">
                  <c:v>122497143</c:v>
                </c:pt>
                <c:pt idx="3710">
                  <c:v>122530170</c:v>
                </c:pt>
                <c:pt idx="3711">
                  <c:v>122563197</c:v>
                </c:pt>
                <c:pt idx="3712">
                  <c:v>122596224</c:v>
                </c:pt>
                <c:pt idx="3713">
                  <c:v>122629251</c:v>
                </c:pt>
                <c:pt idx="3714">
                  <c:v>122662278</c:v>
                </c:pt>
                <c:pt idx="3715">
                  <c:v>122695305</c:v>
                </c:pt>
                <c:pt idx="3716">
                  <c:v>122728332</c:v>
                </c:pt>
                <c:pt idx="3717">
                  <c:v>122761359</c:v>
                </c:pt>
                <c:pt idx="3718">
                  <c:v>122794386</c:v>
                </c:pt>
                <c:pt idx="3719">
                  <c:v>122827413</c:v>
                </c:pt>
                <c:pt idx="3720">
                  <c:v>122860440</c:v>
                </c:pt>
                <c:pt idx="3721">
                  <c:v>122893467</c:v>
                </c:pt>
                <c:pt idx="3722">
                  <c:v>122926494</c:v>
                </c:pt>
                <c:pt idx="3723">
                  <c:v>122959521</c:v>
                </c:pt>
                <c:pt idx="3724">
                  <c:v>122992548</c:v>
                </c:pt>
                <c:pt idx="3725">
                  <c:v>123025575</c:v>
                </c:pt>
                <c:pt idx="3726">
                  <c:v>123058602</c:v>
                </c:pt>
                <c:pt idx="3727">
                  <c:v>123091629</c:v>
                </c:pt>
                <c:pt idx="3728">
                  <c:v>123124656</c:v>
                </c:pt>
                <c:pt idx="3729">
                  <c:v>123157683</c:v>
                </c:pt>
                <c:pt idx="3730">
                  <c:v>123190710</c:v>
                </c:pt>
                <c:pt idx="3731">
                  <c:v>123223737</c:v>
                </c:pt>
                <c:pt idx="3732">
                  <c:v>123256764</c:v>
                </c:pt>
                <c:pt idx="3733">
                  <c:v>123289791</c:v>
                </c:pt>
                <c:pt idx="3734">
                  <c:v>123322818</c:v>
                </c:pt>
                <c:pt idx="3735">
                  <c:v>123355845</c:v>
                </c:pt>
                <c:pt idx="3736">
                  <c:v>123388872</c:v>
                </c:pt>
                <c:pt idx="3737">
                  <c:v>123421899</c:v>
                </c:pt>
                <c:pt idx="3738">
                  <c:v>123454926</c:v>
                </c:pt>
                <c:pt idx="3739">
                  <c:v>123487953</c:v>
                </c:pt>
                <c:pt idx="3740">
                  <c:v>123520980</c:v>
                </c:pt>
                <c:pt idx="3741">
                  <c:v>123554007</c:v>
                </c:pt>
                <c:pt idx="3742">
                  <c:v>123587034</c:v>
                </c:pt>
                <c:pt idx="3743">
                  <c:v>123620061</c:v>
                </c:pt>
                <c:pt idx="3744">
                  <c:v>123653088</c:v>
                </c:pt>
                <c:pt idx="3745">
                  <c:v>123686115</c:v>
                </c:pt>
                <c:pt idx="3746">
                  <c:v>123719142</c:v>
                </c:pt>
                <c:pt idx="3747">
                  <c:v>123752169</c:v>
                </c:pt>
                <c:pt idx="3748">
                  <c:v>123785196</c:v>
                </c:pt>
                <c:pt idx="3749">
                  <c:v>123818223</c:v>
                </c:pt>
                <c:pt idx="3750">
                  <c:v>123851250</c:v>
                </c:pt>
                <c:pt idx="3751">
                  <c:v>123884277</c:v>
                </c:pt>
                <c:pt idx="3752">
                  <c:v>123917304</c:v>
                </c:pt>
                <c:pt idx="3753">
                  <c:v>123950331</c:v>
                </c:pt>
                <c:pt idx="3754">
                  <c:v>123983358</c:v>
                </c:pt>
                <c:pt idx="3755">
                  <c:v>124016385</c:v>
                </c:pt>
                <c:pt idx="3756">
                  <c:v>124049412</c:v>
                </c:pt>
                <c:pt idx="3757">
                  <c:v>124082439</c:v>
                </c:pt>
                <c:pt idx="3758">
                  <c:v>124115466</c:v>
                </c:pt>
                <c:pt idx="3759">
                  <c:v>124148493</c:v>
                </c:pt>
                <c:pt idx="3760">
                  <c:v>124181520</c:v>
                </c:pt>
                <c:pt idx="3761">
                  <c:v>124214547</c:v>
                </c:pt>
                <c:pt idx="3762">
                  <c:v>124247574</c:v>
                </c:pt>
                <c:pt idx="3763">
                  <c:v>124280601</c:v>
                </c:pt>
                <c:pt idx="3764">
                  <c:v>124313628</c:v>
                </c:pt>
                <c:pt idx="3765">
                  <c:v>124346655</c:v>
                </c:pt>
                <c:pt idx="3766">
                  <c:v>124379682</c:v>
                </c:pt>
                <c:pt idx="3767">
                  <c:v>124412709</c:v>
                </c:pt>
                <c:pt idx="3768">
                  <c:v>124445736</c:v>
                </c:pt>
                <c:pt idx="3769">
                  <c:v>124478763</c:v>
                </c:pt>
                <c:pt idx="3770">
                  <c:v>124511790</c:v>
                </c:pt>
                <c:pt idx="3771">
                  <c:v>124544817</c:v>
                </c:pt>
                <c:pt idx="3772">
                  <c:v>124577844</c:v>
                </c:pt>
                <c:pt idx="3773">
                  <c:v>124610871</c:v>
                </c:pt>
                <c:pt idx="3774">
                  <c:v>124643898</c:v>
                </c:pt>
                <c:pt idx="3775">
                  <c:v>124676925</c:v>
                </c:pt>
                <c:pt idx="3776">
                  <c:v>124709952</c:v>
                </c:pt>
                <c:pt idx="3777">
                  <c:v>124742979</c:v>
                </c:pt>
                <c:pt idx="3778">
                  <c:v>124776006</c:v>
                </c:pt>
                <c:pt idx="3779">
                  <c:v>124809033</c:v>
                </c:pt>
                <c:pt idx="3780">
                  <c:v>124842060</c:v>
                </c:pt>
                <c:pt idx="3781">
                  <c:v>124875087</c:v>
                </c:pt>
                <c:pt idx="3782">
                  <c:v>124908114</c:v>
                </c:pt>
                <c:pt idx="3783">
                  <c:v>124941141</c:v>
                </c:pt>
                <c:pt idx="3784">
                  <c:v>124974168</c:v>
                </c:pt>
                <c:pt idx="3785">
                  <c:v>125007195</c:v>
                </c:pt>
                <c:pt idx="3786">
                  <c:v>125040222</c:v>
                </c:pt>
                <c:pt idx="3787">
                  <c:v>125073249</c:v>
                </c:pt>
                <c:pt idx="3788">
                  <c:v>125106276</c:v>
                </c:pt>
                <c:pt idx="3789">
                  <c:v>125139303</c:v>
                </c:pt>
                <c:pt idx="3790">
                  <c:v>125172330</c:v>
                </c:pt>
                <c:pt idx="3791">
                  <c:v>125205357</c:v>
                </c:pt>
                <c:pt idx="3792">
                  <c:v>125238384</c:v>
                </c:pt>
                <c:pt idx="3793">
                  <c:v>125271411</c:v>
                </c:pt>
                <c:pt idx="3794">
                  <c:v>125304438</c:v>
                </c:pt>
                <c:pt idx="3795">
                  <c:v>125337465</c:v>
                </c:pt>
                <c:pt idx="3796">
                  <c:v>125370492</c:v>
                </c:pt>
                <c:pt idx="3797">
                  <c:v>125403519</c:v>
                </c:pt>
                <c:pt idx="3798">
                  <c:v>125436546</c:v>
                </c:pt>
                <c:pt idx="3799">
                  <c:v>125469573</c:v>
                </c:pt>
                <c:pt idx="3800">
                  <c:v>125502600</c:v>
                </c:pt>
                <c:pt idx="3801">
                  <c:v>125535627</c:v>
                </c:pt>
                <c:pt idx="3802">
                  <c:v>125568654</c:v>
                </c:pt>
                <c:pt idx="3803">
                  <c:v>125601681</c:v>
                </c:pt>
                <c:pt idx="3804">
                  <c:v>125634708</c:v>
                </c:pt>
                <c:pt idx="3805">
                  <c:v>125667735</c:v>
                </c:pt>
                <c:pt idx="3806">
                  <c:v>125700762</c:v>
                </c:pt>
                <c:pt idx="3807">
                  <c:v>125733789</c:v>
                </c:pt>
                <c:pt idx="3808">
                  <c:v>125766816</c:v>
                </c:pt>
                <c:pt idx="3809">
                  <c:v>125799843</c:v>
                </c:pt>
                <c:pt idx="3810">
                  <c:v>125832870</c:v>
                </c:pt>
                <c:pt idx="3811">
                  <c:v>125865897</c:v>
                </c:pt>
                <c:pt idx="3812">
                  <c:v>125898924</c:v>
                </c:pt>
                <c:pt idx="3813">
                  <c:v>125931951</c:v>
                </c:pt>
                <c:pt idx="3814">
                  <c:v>125964978</c:v>
                </c:pt>
                <c:pt idx="3815">
                  <c:v>125998005</c:v>
                </c:pt>
                <c:pt idx="3816">
                  <c:v>126031032</c:v>
                </c:pt>
                <c:pt idx="3817">
                  <c:v>126064059</c:v>
                </c:pt>
                <c:pt idx="3818">
                  <c:v>126097086</c:v>
                </c:pt>
                <c:pt idx="3819">
                  <c:v>126130113</c:v>
                </c:pt>
                <c:pt idx="3820">
                  <c:v>126163140</c:v>
                </c:pt>
                <c:pt idx="3821">
                  <c:v>126196167</c:v>
                </c:pt>
                <c:pt idx="3822">
                  <c:v>126229194</c:v>
                </c:pt>
                <c:pt idx="3823">
                  <c:v>126262221</c:v>
                </c:pt>
                <c:pt idx="3824">
                  <c:v>126295248</c:v>
                </c:pt>
                <c:pt idx="3825">
                  <c:v>126328275</c:v>
                </c:pt>
                <c:pt idx="3826">
                  <c:v>126361302</c:v>
                </c:pt>
                <c:pt idx="3827">
                  <c:v>126394329</c:v>
                </c:pt>
                <c:pt idx="3828">
                  <c:v>126427356</c:v>
                </c:pt>
                <c:pt idx="3829">
                  <c:v>126460383</c:v>
                </c:pt>
                <c:pt idx="3830">
                  <c:v>126493410</c:v>
                </c:pt>
                <c:pt idx="3831">
                  <c:v>126526437</c:v>
                </c:pt>
                <c:pt idx="3832">
                  <c:v>126559464</c:v>
                </c:pt>
                <c:pt idx="3833">
                  <c:v>126592491</c:v>
                </c:pt>
                <c:pt idx="3834">
                  <c:v>126625518</c:v>
                </c:pt>
                <c:pt idx="3835">
                  <c:v>126658545</c:v>
                </c:pt>
                <c:pt idx="3836">
                  <c:v>126691572</c:v>
                </c:pt>
                <c:pt idx="3837">
                  <c:v>126724599</c:v>
                </c:pt>
                <c:pt idx="3838">
                  <c:v>126757626</c:v>
                </c:pt>
                <c:pt idx="3839">
                  <c:v>126790653</c:v>
                </c:pt>
                <c:pt idx="3840">
                  <c:v>126823680</c:v>
                </c:pt>
                <c:pt idx="3841">
                  <c:v>126856707</c:v>
                </c:pt>
                <c:pt idx="3842">
                  <c:v>126889734</c:v>
                </c:pt>
                <c:pt idx="3843">
                  <c:v>126922761</c:v>
                </c:pt>
                <c:pt idx="3844">
                  <c:v>126955788</c:v>
                </c:pt>
                <c:pt idx="3845">
                  <c:v>126988815</c:v>
                </c:pt>
                <c:pt idx="3846">
                  <c:v>127021842</c:v>
                </c:pt>
                <c:pt idx="3847">
                  <c:v>127054869</c:v>
                </c:pt>
                <c:pt idx="3848">
                  <c:v>127087896</c:v>
                </c:pt>
                <c:pt idx="3849">
                  <c:v>127120923</c:v>
                </c:pt>
                <c:pt idx="3850">
                  <c:v>127153950</c:v>
                </c:pt>
                <c:pt idx="3851">
                  <c:v>127186977</c:v>
                </c:pt>
                <c:pt idx="3852">
                  <c:v>127220004</c:v>
                </c:pt>
                <c:pt idx="3853">
                  <c:v>127253031</c:v>
                </c:pt>
                <c:pt idx="3854">
                  <c:v>127286058</c:v>
                </c:pt>
                <c:pt idx="3855">
                  <c:v>127319085</c:v>
                </c:pt>
                <c:pt idx="3856">
                  <c:v>127352112</c:v>
                </c:pt>
                <c:pt idx="3857">
                  <c:v>127385139</c:v>
                </c:pt>
                <c:pt idx="3858">
                  <c:v>127418166</c:v>
                </c:pt>
                <c:pt idx="3859">
                  <c:v>127451193</c:v>
                </c:pt>
                <c:pt idx="3860">
                  <c:v>127484220</c:v>
                </c:pt>
                <c:pt idx="3861">
                  <c:v>127517247</c:v>
                </c:pt>
                <c:pt idx="3862">
                  <c:v>127550274</c:v>
                </c:pt>
                <c:pt idx="3863">
                  <c:v>127583301</c:v>
                </c:pt>
                <c:pt idx="3864">
                  <c:v>127616328</c:v>
                </c:pt>
                <c:pt idx="3865">
                  <c:v>127649355</c:v>
                </c:pt>
                <c:pt idx="3866">
                  <c:v>127682382</c:v>
                </c:pt>
                <c:pt idx="3867">
                  <c:v>127715409</c:v>
                </c:pt>
                <c:pt idx="3868">
                  <c:v>127748436</c:v>
                </c:pt>
                <c:pt idx="3869">
                  <c:v>127781463</c:v>
                </c:pt>
                <c:pt idx="3870">
                  <c:v>127814490</c:v>
                </c:pt>
                <c:pt idx="3871">
                  <c:v>127847517</c:v>
                </c:pt>
                <c:pt idx="3872">
                  <c:v>127880544</c:v>
                </c:pt>
                <c:pt idx="3873">
                  <c:v>127913571</c:v>
                </c:pt>
                <c:pt idx="3874">
                  <c:v>127946598</c:v>
                </c:pt>
                <c:pt idx="3875">
                  <c:v>127979625</c:v>
                </c:pt>
                <c:pt idx="3876">
                  <c:v>128012652</c:v>
                </c:pt>
                <c:pt idx="3877">
                  <c:v>128045679</c:v>
                </c:pt>
                <c:pt idx="3878">
                  <c:v>128078706</c:v>
                </c:pt>
                <c:pt idx="3879">
                  <c:v>128111733</c:v>
                </c:pt>
                <c:pt idx="3880">
                  <c:v>128144760</c:v>
                </c:pt>
                <c:pt idx="3881">
                  <c:v>128177787</c:v>
                </c:pt>
                <c:pt idx="3882">
                  <c:v>128210814</c:v>
                </c:pt>
                <c:pt idx="3883">
                  <c:v>128243841</c:v>
                </c:pt>
                <c:pt idx="3884">
                  <c:v>128276868</c:v>
                </c:pt>
                <c:pt idx="3885">
                  <c:v>128309895</c:v>
                </c:pt>
                <c:pt idx="3886">
                  <c:v>128342922</c:v>
                </c:pt>
                <c:pt idx="3887">
                  <c:v>128375949</c:v>
                </c:pt>
                <c:pt idx="3888">
                  <c:v>128408976</c:v>
                </c:pt>
                <c:pt idx="3889">
                  <c:v>128442003</c:v>
                </c:pt>
                <c:pt idx="3890">
                  <c:v>128475030</c:v>
                </c:pt>
                <c:pt idx="3891">
                  <c:v>128508057</c:v>
                </c:pt>
                <c:pt idx="3892">
                  <c:v>128541084</c:v>
                </c:pt>
                <c:pt idx="3893">
                  <c:v>128574111</c:v>
                </c:pt>
                <c:pt idx="3894">
                  <c:v>128607138</c:v>
                </c:pt>
                <c:pt idx="3895">
                  <c:v>128640165</c:v>
                </c:pt>
                <c:pt idx="3896">
                  <c:v>128673192</c:v>
                </c:pt>
                <c:pt idx="3897">
                  <c:v>128706219</c:v>
                </c:pt>
                <c:pt idx="3898">
                  <c:v>128739246</c:v>
                </c:pt>
                <c:pt idx="3899">
                  <c:v>128772273</c:v>
                </c:pt>
                <c:pt idx="3900">
                  <c:v>128805300</c:v>
                </c:pt>
                <c:pt idx="3901">
                  <c:v>128838327</c:v>
                </c:pt>
                <c:pt idx="3902">
                  <c:v>128871354</c:v>
                </c:pt>
                <c:pt idx="3903">
                  <c:v>128904381</c:v>
                </c:pt>
                <c:pt idx="3904">
                  <c:v>128937408</c:v>
                </c:pt>
                <c:pt idx="3905">
                  <c:v>128970435</c:v>
                </c:pt>
                <c:pt idx="3906">
                  <c:v>129003462</c:v>
                </c:pt>
                <c:pt idx="3907">
                  <c:v>129036489</c:v>
                </c:pt>
                <c:pt idx="3908">
                  <c:v>129069516</c:v>
                </c:pt>
                <c:pt idx="3909">
                  <c:v>129102543</c:v>
                </c:pt>
                <c:pt idx="3910">
                  <c:v>129135570</c:v>
                </c:pt>
                <c:pt idx="3911">
                  <c:v>129168597</c:v>
                </c:pt>
                <c:pt idx="3912">
                  <c:v>129201624</c:v>
                </c:pt>
                <c:pt idx="3913">
                  <c:v>129234651</c:v>
                </c:pt>
                <c:pt idx="3914">
                  <c:v>129267678</c:v>
                </c:pt>
                <c:pt idx="3915">
                  <c:v>129300705</c:v>
                </c:pt>
                <c:pt idx="3916">
                  <c:v>129333732</c:v>
                </c:pt>
                <c:pt idx="3917">
                  <c:v>129366759</c:v>
                </c:pt>
                <c:pt idx="3918">
                  <c:v>129399786</c:v>
                </c:pt>
                <c:pt idx="3919">
                  <c:v>129432813</c:v>
                </c:pt>
                <c:pt idx="3920">
                  <c:v>129465840</c:v>
                </c:pt>
                <c:pt idx="3921">
                  <c:v>129498867</c:v>
                </c:pt>
                <c:pt idx="3922">
                  <c:v>129531894</c:v>
                </c:pt>
                <c:pt idx="3923">
                  <c:v>129564921</c:v>
                </c:pt>
                <c:pt idx="3924">
                  <c:v>129597948</c:v>
                </c:pt>
                <c:pt idx="3925">
                  <c:v>129630975</c:v>
                </c:pt>
                <c:pt idx="3926">
                  <c:v>129664002</c:v>
                </c:pt>
                <c:pt idx="3927">
                  <c:v>129697029</c:v>
                </c:pt>
                <c:pt idx="3928">
                  <c:v>129730056</c:v>
                </c:pt>
                <c:pt idx="3929">
                  <c:v>129763083</c:v>
                </c:pt>
                <c:pt idx="3930">
                  <c:v>129796110</c:v>
                </c:pt>
                <c:pt idx="3931">
                  <c:v>129829137</c:v>
                </c:pt>
                <c:pt idx="3932">
                  <c:v>129862164</c:v>
                </c:pt>
                <c:pt idx="3933">
                  <c:v>129895191</c:v>
                </c:pt>
                <c:pt idx="3934">
                  <c:v>129928218</c:v>
                </c:pt>
                <c:pt idx="3935">
                  <c:v>129961245</c:v>
                </c:pt>
                <c:pt idx="3936">
                  <c:v>129994272</c:v>
                </c:pt>
                <c:pt idx="3937">
                  <c:v>130027299</c:v>
                </c:pt>
                <c:pt idx="3938">
                  <c:v>130060326</c:v>
                </c:pt>
                <c:pt idx="3939">
                  <c:v>130093353</c:v>
                </c:pt>
                <c:pt idx="3940">
                  <c:v>130126380</c:v>
                </c:pt>
                <c:pt idx="3941">
                  <c:v>130159407</c:v>
                </c:pt>
                <c:pt idx="3942">
                  <c:v>130192434</c:v>
                </c:pt>
                <c:pt idx="3943">
                  <c:v>130225461</c:v>
                </c:pt>
                <c:pt idx="3944">
                  <c:v>130258488</c:v>
                </c:pt>
                <c:pt idx="3945">
                  <c:v>130291515</c:v>
                </c:pt>
                <c:pt idx="3946">
                  <c:v>130324542</c:v>
                </c:pt>
                <c:pt idx="3947">
                  <c:v>130357569</c:v>
                </c:pt>
                <c:pt idx="3948">
                  <c:v>130390596</c:v>
                </c:pt>
                <c:pt idx="3949">
                  <c:v>130423623</c:v>
                </c:pt>
                <c:pt idx="3950">
                  <c:v>130456650</c:v>
                </c:pt>
                <c:pt idx="3951">
                  <c:v>130489677</c:v>
                </c:pt>
                <c:pt idx="3952">
                  <c:v>130522704</c:v>
                </c:pt>
                <c:pt idx="3953">
                  <c:v>130555731</c:v>
                </c:pt>
                <c:pt idx="3954">
                  <c:v>130588758</c:v>
                </c:pt>
                <c:pt idx="3955">
                  <c:v>130621785</c:v>
                </c:pt>
                <c:pt idx="3956">
                  <c:v>130654812</c:v>
                </c:pt>
                <c:pt idx="3957">
                  <c:v>130687839</c:v>
                </c:pt>
                <c:pt idx="3958">
                  <c:v>130720866</c:v>
                </c:pt>
                <c:pt idx="3959">
                  <c:v>130753893</c:v>
                </c:pt>
                <c:pt idx="3960">
                  <c:v>130786920</c:v>
                </c:pt>
                <c:pt idx="3961">
                  <c:v>130819947</c:v>
                </c:pt>
                <c:pt idx="3962">
                  <c:v>130852974</c:v>
                </c:pt>
                <c:pt idx="3963">
                  <c:v>130886001</c:v>
                </c:pt>
                <c:pt idx="3964">
                  <c:v>130919028</c:v>
                </c:pt>
                <c:pt idx="3965">
                  <c:v>130952055</c:v>
                </c:pt>
                <c:pt idx="3966">
                  <c:v>130985082</c:v>
                </c:pt>
                <c:pt idx="3967">
                  <c:v>131018109</c:v>
                </c:pt>
                <c:pt idx="3968">
                  <c:v>131051136</c:v>
                </c:pt>
                <c:pt idx="3969">
                  <c:v>131084163</c:v>
                </c:pt>
                <c:pt idx="3970">
                  <c:v>131117190</c:v>
                </c:pt>
                <c:pt idx="3971">
                  <c:v>131150217</c:v>
                </c:pt>
                <c:pt idx="3972">
                  <c:v>131183244</c:v>
                </c:pt>
                <c:pt idx="3973">
                  <c:v>131216271</c:v>
                </c:pt>
                <c:pt idx="3974">
                  <c:v>131249298</c:v>
                </c:pt>
                <c:pt idx="3975">
                  <c:v>131282325</c:v>
                </c:pt>
                <c:pt idx="3976">
                  <c:v>131315352</c:v>
                </c:pt>
                <c:pt idx="3977">
                  <c:v>131348379</c:v>
                </c:pt>
                <c:pt idx="3978">
                  <c:v>131381406</c:v>
                </c:pt>
                <c:pt idx="3979">
                  <c:v>131414433</c:v>
                </c:pt>
                <c:pt idx="3980">
                  <c:v>131447460</c:v>
                </c:pt>
                <c:pt idx="3981">
                  <c:v>131480487</c:v>
                </c:pt>
                <c:pt idx="3982">
                  <c:v>131513514</c:v>
                </c:pt>
                <c:pt idx="3983">
                  <c:v>131546541</c:v>
                </c:pt>
                <c:pt idx="3984">
                  <c:v>131579568</c:v>
                </c:pt>
                <c:pt idx="3985">
                  <c:v>131612595</c:v>
                </c:pt>
                <c:pt idx="3986">
                  <c:v>131645622</c:v>
                </c:pt>
                <c:pt idx="3987">
                  <c:v>131678649</c:v>
                </c:pt>
                <c:pt idx="3988">
                  <c:v>131711676</c:v>
                </c:pt>
                <c:pt idx="3989">
                  <c:v>131744703</c:v>
                </c:pt>
                <c:pt idx="3990">
                  <c:v>131777730</c:v>
                </c:pt>
                <c:pt idx="3991">
                  <c:v>131810757</c:v>
                </c:pt>
                <c:pt idx="3992">
                  <c:v>131843784</c:v>
                </c:pt>
                <c:pt idx="3993">
                  <c:v>131876811</c:v>
                </c:pt>
                <c:pt idx="3994">
                  <c:v>131909838</c:v>
                </c:pt>
                <c:pt idx="3995">
                  <c:v>131942865</c:v>
                </c:pt>
                <c:pt idx="3996">
                  <c:v>131975892</c:v>
                </c:pt>
                <c:pt idx="3997">
                  <c:v>132008919</c:v>
                </c:pt>
                <c:pt idx="3998">
                  <c:v>132041946</c:v>
                </c:pt>
                <c:pt idx="3999">
                  <c:v>132074973</c:v>
                </c:pt>
                <c:pt idx="4000">
                  <c:v>132108000</c:v>
                </c:pt>
                <c:pt idx="4001">
                  <c:v>132141027</c:v>
                </c:pt>
                <c:pt idx="4002">
                  <c:v>132174054</c:v>
                </c:pt>
                <c:pt idx="4003">
                  <c:v>132207081</c:v>
                </c:pt>
                <c:pt idx="4004">
                  <c:v>132240108</c:v>
                </c:pt>
                <c:pt idx="4005">
                  <c:v>132273135</c:v>
                </c:pt>
                <c:pt idx="4006">
                  <c:v>132306162</c:v>
                </c:pt>
                <c:pt idx="4007">
                  <c:v>132339189</c:v>
                </c:pt>
                <c:pt idx="4008">
                  <c:v>132372216</c:v>
                </c:pt>
                <c:pt idx="4009">
                  <c:v>132405243</c:v>
                </c:pt>
                <c:pt idx="4010">
                  <c:v>132438270</c:v>
                </c:pt>
                <c:pt idx="4011">
                  <c:v>132471297</c:v>
                </c:pt>
                <c:pt idx="4012">
                  <c:v>132504324</c:v>
                </c:pt>
                <c:pt idx="4013">
                  <c:v>132537351</c:v>
                </c:pt>
                <c:pt idx="4014">
                  <c:v>132570378</c:v>
                </c:pt>
                <c:pt idx="4015">
                  <c:v>132603405</c:v>
                </c:pt>
                <c:pt idx="4016">
                  <c:v>132636432</c:v>
                </c:pt>
                <c:pt idx="4017">
                  <c:v>132669459</c:v>
                </c:pt>
                <c:pt idx="4018">
                  <c:v>132702486</c:v>
                </c:pt>
                <c:pt idx="4019">
                  <c:v>132735513</c:v>
                </c:pt>
                <c:pt idx="4020">
                  <c:v>132768540</c:v>
                </c:pt>
                <c:pt idx="4021">
                  <c:v>132801567</c:v>
                </c:pt>
                <c:pt idx="4022">
                  <c:v>132834594</c:v>
                </c:pt>
                <c:pt idx="4023">
                  <c:v>132867621</c:v>
                </c:pt>
                <c:pt idx="4024">
                  <c:v>132900648</c:v>
                </c:pt>
                <c:pt idx="4025">
                  <c:v>132933675</c:v>
                </c:pt>
                <c:pt idx="4026">
                  <c:v>132966702</c:v>
                </c:pt>
                <c:pt idx="4027">
                  <c:v>132999729</c:v>
                </c:pt>
                <c:pt idx="4028">
                  <c:v>133032756</c:v>
                </c:pt>
                <c:pt idx="4029">
                  <c:v>133065783</c:v>
                </c:pt>
                <c:pt idx="4030">
                  <c:v>133098810</c:v>
                </c:pt>
                <c:pt idx="4031">
                  <c:v>133131837</c:v>
                </c:pt>
                <c:pt idx="4032">
                  <c:v>133164864</c:v>
                </c:pt>
                <c:pt idx="4033">
                  <c:v>133197891</c:v>
                </c:pt>
                <c:pt idx="4034">
                  <c:v>133230918</c:v>
                </c:pt>
                <c:pt idx="4035">
                  <c:v>133263945</c:v>
                </c:pt>
                <c:pt idx="4036">
                  <c:v>133296972</c:v>
                </c:pt>
                <c:pt idx="4037">
                  <c:v>133329999</c:v>
                </c:pt>
                <c:pt idx="4038">
                  <c:v>133363026</c:v>
                </c:pt>
                <c:pt idx="4039">
                  <c:v>133396053</c:v>
                </c:pt>
                <c:pt idx="4040">
                  <c:v>133429080</c:v>
                </c:pt>
                <c:pt idx="4041">
                  <c:v>133462107</c:v>
                </c:pt>
                <c:pt idx="4042">
                  <c:v>133495134</c:v>
                </c:pt>
                <c:pt idx="4043">
                  <c:v>133528161</c:v>
                </c:pt>
                <c:pt idx="4044">
                  <c:v>133561188</c:v>
                </c:pt>
                <c:pt idx="4045">
                  <c:v>133594215</c:v>
                </c:pt>
                <c:pt idx="4046">
                  <c:v>133627242</c:v>
                </c:pt>
                <c:pt idx="4047">
                  <c:v>133660269</c:v>
                </c:pt>
                <c:pt idx="4048">
                  <c:v>133693296</c:v>
                </c:pt>
                <c:pt idx="4049">
                  <c:v>133726323</c:v>
                </c:pt>
                <c:pt idx="4050">
                  <c:v>133759350</c:v>
                </c:pt>
                <c:pt idx="4051">
                  <c:v>133792377</c:v>
                </c:pt>
                <c:pt idx="4052">
                  <c:v>133825404</c:v>
                </c:pt>
                <c:pt idx="4053">
                  <c:v>133858431</c:v>
                </c:pt>
                <c:pt idx="4054">
                  <c:v>133891458</c:v>
                </c:pt>
                <c:pt idx="4055">
                  <c:v>133924485</c:v>
                </c:pt>
                <c:pt idx="4056">
                  <c:v>133957512</c:v>
                </c:pt>
                <c:pt idx="4057">
                  <c:v>133990539</c:v>
                </c:pt>
                <c:pt idx="4058">
                  <c:v>134023566</c:v>
                </c:pt>
                <c:pt idx="4059">
                  <c:v>134056593</c:v>
                </c:pt>
                <c:pt idx="4060">
                  <c:v>134089620</c:v>
                </c:pt>
                <c:pt idx="4061">
                  <c:v>134122647</c:v>
                </c:pt>
                <c:pt idx="4062">
                  <c:v>134155674</c:v>
                </c:pt>
                <c:pt idx="4063">
                  <c:v>134188701</c:v>
                </c:pt>
                <c:pt idx="4064">
                  <c:v>134221728</c:v>
                </c:pt>
                <c:pt idx="4065">
                  <c:v>134254755</c:v>
                </c:pt>
                <c:pt idx="4066">
                  <c:v>134287782</c:v>
                </c:pt>
                <c:pt idx="4067">
                  <c:v>134320809</c:v>
                </c:pt>
                <c:pt idx="4068">
                  <c:v>134353836</c:v>
                </c:pt>
                <c:pt idx="4069">
                  <c:v>134386863</c:v>
                </c:pt>
                <c:pt idx="4070">
                  <c:v>134419890</c:v>
                </c:pt>
                <c:pt idx="4071">
                  <c:v>134452917</c:v>
                </c:pt>
                <c:pt idx="4072">
                  <c:v>134485944</c:v>
                </c:pt>
                <c:pt idx="4073">
                  <c:v>134518971</c:v>
                </c:pt>
                <c:pt idx="4074">
                  <c:v>134551998</c:v>
                </c:pt>
                <c:pt idx="4075">
                  <c:v>134585025</c:v>
                </c:pt>
                <c:pt idx="4076">
                  <c:v>134618052</c:v>
                </c:pt>
                <c:pt idx="4077">
                  <c:v>134651079</c:v>
                </c:pt>
                <c:pt idx="4078">
                  <c:v>134684106</c:v>
                </c:pt>
                <c:pt idx="4079">
                  <c:v>134717133</c:v>
                </c:pt>
                <c:pt idx="4080">
                  <c:v>134750160</c:v>
                </c:pt>
                <c:pt idx="4081">
                  <c:v>134783187</c:v>
                </c:pt>
                <c:pt idx="4082">
                  <c:v>134816214</c:v>
                </c:pt>
                <c:pt idx="4083">
                  <c:v>134849241</c:v>
                </c:pt>
                <c:pt idx="4084">
                  <c:v>134882268</c:v>
                </c:pt>
                <c:pt idx="4085">
                  <c:v>134915295</c:v>
                </c:pt>
                <c:pt idx="4086">
                  <c:v>134948322</c:v>
                </c:pt>
                <c:pt idx="4087">
                  <c:v>134981349</c:v>
                </c:pt>
                <c:pt idx="4088">
                  <c:v>135014376</c:v>
                </c:pt>
                <c:pt idx="4089">
                  <c:v>135047403</c:v>
                </c:pt>
                <c:pt idx="4090">
                  <c:v>135080430</c:v>
                </c:pt>
                <c:pt idx="4091">
                  <c:v>135113457</c:v>
                </c:pt>
                <c:pt idx="4092">
                  <c:v>135146484</c:v>
                </c:pt>
                <c:pt idx="4093">
                  <c:v>135179511</c:v>
                </c:pt>
                <c:pt idx="4094">
                  <c:v>135212538</c:v>
                </c:pt>
                <c:pt idx="4095">
                  <c:v>135245565</c:v>
                </c:pt>
                <c:pt idx="4096">
                  <c:v>135278592</c:v>
                </c:pt>
                <c:pt idx="4097">
                  <c:v>135311619</c:v>
                </c:pt>
                <c:pt idx="4098">
                  <c:v>135344646</c:v>
                </c:pt>
                <c:pt idx="4099">
                  <c:v>135377673</c:v>
                </c:pt>
                <c:pt idx="4100">
                  <c:v>135410700</c:v>
                </c:pt>
                <c:pt idx="4101">
                  <c:v>135443727</c:v>
                </c:pt>
                <c:pt idx="4102">
                  <c:v>135476754</c:v>
                </c:pt>
                <c:pt idx="4103">
                  <c:v>135509781</c:v>
                </c:pt>
                <c:pt idx="4104">
                  <c:v>135542808</c:v>
                </c:pt>
                <c:pt idx="4105">
                  <c:v>135575835</c:v>
                </c:pt>
                <c:pt idx="4106">
                  <c:v>135608862</c:v>
                </c:pt>
                <c:pt idx="4107">
                  <c:v>135641889</c:v>
                </c:pt>
                <c:pt idx="4108">
                  <c:v>135674916</c:v>
                </c:pt>
                <c:pt idx="4109">
                  <c:v>135707943</c:v>
                </c:pt>
                <c:pt idx="4110">
                  <c:v>135740970</c:v>
                </c:pt>
                <c:pt idx="4111">
                  <c:v>135773997</c:v>
                </c:pt>
                <c:pt idx="4112">
                  <c:v>135807024</c:v>
                </c:pt>
                <c:pt idx="4113">
                  <c:v>135840051</c:v>
                </c:pt>
                <c:pt idx="4114">
                  <c:v>135873078</c:v>
                </c:pt>
                <c:pt idx="4115">
                  <c:v>135906105</c:v>
                </c:pt>
                <c:pt idx="4116">
                  <c:v>135939132</c:v>
                </c:pt>
                <c:pt idx="4117">
                  <c:v>135972159</c:v>
                </c:pt>
                <c:pt idx="4118">
                  <c:v>136005186</c:v>
                </c:pt>
                <c:pt idx="4119">
                  <c:v>136038213</c:v>
                </c:pt>
                <c:pt idx="4120">
                  <c:v>136071240</c:v>
                </c:pt>
                <c:pt idx="4121">
                  <c:v>136104267</c:v>
                </c:pt>
                <c:pt idx="4122">
                  <c:v>136137294</c:v>
                </c:pt>
                <c:pt idx="4123">
                  <c:v>136170321</c:v>
                </c:pt>
                <c:pt idx="4124">
                  <c:v>136203348</c:v>
                </c:pt>
                <c:pt idx="4125">
                  <c:v>136236375</c:v>
                </c:pt>
                <c:pt idx="4126">
                  <c:v>136269402</c:v>
                </c:pt>
                <c:pt idx="4127">
                  <c:v>136302429</c:v>
                </c:pt>
                <c:pt idx="4128">
                  <c:v>136335456</c:v>
                </c:pt>
                <c:pt idx="4129">
                  <c:v>136368483</c:v>
                </c:pt>
                <c:pt idx="4130">
                  <c:v>136401510</c:v>
                </c:pt>
                <c:pt idx="4131">
                  <c:v>136434537</c:v>
                </c:pt>
                <c:pt idx="4132">
                  <c:v>136467564</c:v>
                </c:pt>
                <c:pt idx="4133">
                  <c:v>136500591</c:v>
                </c:pt>
                <c:pt idx="4134">
                  <c:v>136533618</c:v>
                </c:pt>
                <c:pt idx="4135">
                  <c:v>136566645</c:v>
                </c:pt>
                <c:pt idx="4136">
                  <c:v>136599672</c:v>
                </c:pt>
                <c:pt idx="4137">
                  <c:v>136632699</c:v>
                </c:pt>
                <c:pt idx="4138">
                  <c:v>136665726</c:v>
                </c:pt>
                <c:pt idx="4139">
                  <c:v>136698753</c:v>
                </c:pt>
                <c:pt idx="4140">
                  <c:v>136731780</c:v>
                </c:pt>
                <c:pt idx="4141">
                  <c:v>136764807</c:v>
                </c:pt>
                <c:pt idx="4142">
                  <c:v>136797834</c:v>
                </c:pt>
                <c:pt idx="4143">
                  <c:v>136830861</c:v>
                </c:pt>
                <c:pt idx="4144">
                  <c:v>136863888</c:v>
                </c:pt>
                <c:pt idx="4145">
                  <c:v>136896915</c:v>
                </c:pt>
                <c:pt idx="4146">
                  <c:v>136929942</c:v>
                </c:pt>
                <c:pt idx="4147">
                  <c:v>136962969</c:v>
                </c:pt>
                <c:pt idx="4148">
                  <c:v>136995996</c:v>
                </c:pt>
                <c:pt idx="4149">
                  <c:v>137029023</c:v>
                </c:pt>
                <c:pt idx="4150">
                  <c:v>137062050</c:v>
                </c:pt>
                <c:pt idx="4151">
                  <c:v>137095077</c:v>
                </c:pt>
                <c:pt idx="4152">
                  <c:v>137128104</c:v>
                </c:pt>
                <c:pt idx="4153">
                  <c:v>137161131</c:v>
                </c:pt>
                <c:pt idx="4154">
                  <c:v>137194158</c:v>
                </c:pt>
                <c:pt idx="4155">
                  <c:v>137227185</c:v>
                </c:pt>
                <c:pt idx="4156">
                  <c:v>137260212</c:v>
                </c:pt>
                <c:pt idx="4157">
                  <c:v>137293239</c:v>
                </c:pt>
                <c:pt idx="4158">
                  <c:v>137326266</c:v>
                </c:pt>
                <c:pt idx="4159">
                  <c:v>137359293</c:v>
                </c:pt>
                <c:pt idx="4160">
                  <c:v>137392320</c:v>
                </c:pt>
                <c:pt idx="4161">
                  <c:v>137425347</c:v>
                </c:pt>
                <c:pt idx="4162">
                  <c:v>137458374</c:v>
                </c:pt>
                <c:pt idx="4163">
                  <c:v>137491401</c:v>
                </c:pt>
                <c:pt idx="4164">
                  <c:v>137524428</c:v>
                </c:pt>
                <c:pt idx="4165">
                  <c:v>137557455</c:v>
                </c:pt>
                <c:pt idx="4166">
                  <c:v>137590482</c:v>
                </c:pt>
                <c:pt idx="4167">
                  <c:v>137623509</c:v>
                </c:pt>
                <c:pt idx="4168">
                  <c:v>137656536</c:v>
                </c:pt>
                <c:pt idx="4169">
                  <c:v>137689563</c:v>
                </c:pt>
                <c:pt idx="4170">
                  <c:v>137722590</c:v>
                </c:pt>
                <c:pt idx="4171">
                  <c:v>137755617</c:v>
                </c:pt>
                <c:pt idx="4172">
                  <c:v>137788644</c:v>
                </c:pt>
                <c:pt idx="4173">
                  <c:v>137821671</c:v>
                </c:pt>
                <c:pt idx="4174">
                  <c:v>137854698</c:v>
                </c:pt>
                <c:pt idx="4175">
                  <c:v>137887725</c:v>
                </c:pt>
                <c:pt idx="4176">
                  <c:v>137920752</c:v>
                </c:pt>
                <c:pt idx="4177">
                  <c:v>137953779</c:v>
                </c:pt>
                <c:pt idx="4178">
                  <c:v>137986806</c:v>
                </c:pt>
                <c:pt idx="4179">
                  <c:v>138019833</c:v>
                </c:pt>
                <c:pt idx="4180">
                  <c:v>138052860</c:v>
                </c:pt>
                <c:pt idx="4181">
                  <c:v>138085887</c:v>
                </c:pt>
                <c:pt idx="4182">
                  <c:v>138118914</c:v>
                </c:pt>
                <c:pt idx="4183">
                  <c:v>138151941</c:v>
                </c:pt>
                <c:pt idx="4184">
                  <c:v>138184968</c:v>
                </c:pt>
                <c:pt idx="4185">
                  <c:v>138217995</c:v>
                </c:pt>
                <c:pt idx="4186">
                  <c:v>138251022</c:v>
                </c:pt>
                <c:pt idx="4187">
                  <c:v>138284049</c:v>
                </c:pt>
                <c:pt idx="4188">
                  <c:v>138317076</c:v>
                </c:pt>
                <c:pt idx="4189">
                  <c:v>138350103</c:v>
                </c:pt>
                <c:pt idx="4190">
                  <c:v>138383130</c:v>
                </c:pt>
                <c:pt idx="4191">
                  <c:v>138416157</c:v>
                </c:pt>
                <c:pt idx="4192">
                  <c:v>138449184</c:v>
                </c:pt>
                <c:pt idx="4193">
                  <c:v>138482211</c:v>
                </c:pt>
                <c:pt idx="4194">
                  <c:v>138515238</c:v>
                </c:pt>
                <c:pt idx="4195">
                  <c:v>138548265</c:v>
                </c:pt>
                <c:pt idx="4196">
                  <c:v>138581292</c:v>
                </c:pt>
                <c:pt idx="4197">
                  <c:v>138614319</c:v>
                </c:pt>
                <c:pt idx="4198">
                  <c:v>138647346</c:v>
                </c:pt>
                <c:pt idx="4199">
                  <c:v>138680373</c:v>
                </c:pt>
                <c:pt idx="4200">
                  <c:v>138713400</c:v>
                </c:pt>
                <c:pt idx="4201">
                  <c:v>138746427</c:v>
                </c:pt>
                <c:pt idx="4202">
                  <c:v>138779454</c:v>
                </c:pt>
                <c:pt idx="4203">
                  <c:v>138812481</c:v>
                </c:pt>
                <c:pt idx="4204">
                  <c:v>138845508</c:v>
                </c:pt>
                <c:pt idx="4205">
                  <c:v>138878535</c:v>
                </c:pt>
                <c:pt idx="4206">
                  <c:v>138911562</c:v>
                </c:pt>
                <c:pt idx="4207">
                  <c:v>138944589</c:v>
                </c:pt>
                <c:pt idx="4208">
                  <c:v>138977616</c:v>
                </c:pt>
                <c:pt idx="4209">
                  <c:v>139010643</c:v>
                </c:pt>
                <c:pt idx="4210">
                  <c:v>139043670</c:v>
                </c:pt>
                <c:pt idx="4211">
                  <c:v>139076697</c:v>
                </c:pt>
                <c:pt idx="4212">
                  <c:v>139109724</c:v>
                </c:pt>
                <c:pt idx="4213">
                  <c:v>139142751</c:v>
                </c:pt>
                <c:pt idx="4214">
                  <c:v>139175778</c:v>
                </c:pt>
                <c:pt idx="4215">
                  <c:v>139208805</c:v>
                </c:pt>
                <c:pt idx="4216">
                  <c:v>139241832</c:v>
                </c:pt>
                <c:pt idx="4217">
                  <c:v>139274859</c:v>
                </c:pt>
                <c:pt idx="4218">
                  <c:v>139307886</c:v>
                </c:pt>
                <c:pt idx="4219">
                  <c:v>139340913</c:v>
                </c:pt>
                <c:pt idx="4220">
                  <c:v>139373940</c:v>
                </c:pt>
                <c:pt idx="4221">
                  <c:v>139406967</c:v>
                </c:pt>
                <c:pt idx="4222">
                  <c:v>139439994</c:v>
                </c:pt>
                <c:pt idx="4223">
                  <c:v>139473021</c:v>
                </c:pt>
                <c:pt idx="4224">
                  <c:v>139506048</c:v>
                </c:pt>
                <c:pt idx="4225">
                  <c:v>139539075</c:v>
                </c:pt>
                <c:pt idx="4226">
                  <c:v>139572102</c:v>
                </c:pt>
                <c:pt idx="4227">
                  <c:v>139605129</c:v>
                </c:pt>
                <c:pt idx="4228">
                  <c:v>139638156</c:v>
                </c:pt>
                <c:pt idx="4229">
                  <c:v>139671183</c:v>
                </c:pt>
                <c:pt idx="4230">
                  <c:v>139704210</c:v>
                </c:pt>
                <c:pt idx="4231">
                  <c:v>139737237</c:v>
                </c:pt>
                <c:pt idx="4232">
                  <c:v>139770264</c:v>
                </c:pt>
                <c:pt idx="4233">
                  <c:v>139803291</c:v>
                </c:pt>
                <c:pt idx="4234">
                  <c:v>139836318</c:v>
                </c:pt>
                <c:pt idx="4235">
                  <c:v>139869345</c:v>
                </c:pt>
                <c:pt idx="4236">
                  <c:v>139902372</c:v>
                </c:pt>
                <c:pt idx="4237">
                  <c:v>139935399</c:v>
                </c:pt>
                <c:pt idx="4238">
                  <c:v>139968426</c:v>
                </c:pt>
                <c:pt idx="4239">
                  <c:v>140001453</c:v>
                </c:pt>
                <c:pt idx="4240">
                  <c:v>140034480</c:v>
                </c:pt>
                <c:pt idx="4241">
                  <c:v>140067507</c:v>
                </c:pt>
                <c:pt idx="4242">
                  <c:v>140100534</c:v>
                </c:pt>
                <c:pt idx="4243">
                  <c:v>140133561</c:v>
                </c:pt>
                <c:pt idx="4244">
                  <c:v>140166588</c:v>
                </c:pt>
                <c:pt idx="4245">
                  <c:v>140199615</c:v>
                </c:pt>
                <c:pt idx="4246">
                  <c:v>140232642</c:v>
                </c:pt>
                <c:pt idx="4247">
                  <c:v>140265669</c:v>
                </c:pt>
                <c:pt idx="4248">
                  <c:v>140298696</c:v>
                </c:pt>
                <c:pt idx="4249">
                  <c:v>140331723</c:v>
                </c:pt>
                <c:pt idx="4250">
                  <c:v>140364750</c:v>
                </c:pt>
                <c:pt idx="4251">
                  <c:v>140397777</c:v>
                </c:pt>
                <c:pt idx="4252">
                  <c:v>140430804</c:v>
                </c:pt>
                <c:pt idx="4253">
                  <c:v>140463831</c:v>
                </c:pt>
                <c:pt idx="4254">
                  <c:v>140496858</c:v>
                </c:pt>
                <c:pt idx="4255">
                  <c:v>140529885</c:v>
                </c:pt>
                <c:pt idx="4256">
                  <c:v>140562912</c:v>
                </c:pt>
                <c:pt idx="4257">
                  <c:v>140595939</c:v>
                </c:pt>
                <c:pt idx="4258">
                  <c:v>140628966</c:v>
                </c:pt>
                <c:pt idx="4259">
                  <c:v>140661993</c:v>
                </c:pt>
                <c:pt idx="4260">
                  <c:v>140695020</c:v>
                </c:pt>
                <c:pt idx="4261">
                  <c:v>140728047</c:v>
                </c:pt>
                <c:pt idx="4262">
                  <c:v>140761074</c:v>
                </c:pt>
                <c:pt idx="4263">
                  <c:v>140794101</c:v>
                </c:pt>
                <c:pt idx="4264">
                  <c:v>140827128</c:v>
                </c:pt>
                <c:pt idx="4265">
                  <c:v>140860155</c:v>
                </c:pt>
                <c:pt idx="4266">
                  <c:v>140893182</c:v>
                </c:pt>
                <c:pt idx="4267">
                  <c:v>140926209</c:v>
                </c:pt>
                <c:pt idx="4268">
                  <c:v>140959236</c:v>
                </c:pt>
                <c:pt idx="4269">
                  <c:v>140992263</c:v>
                </c:pt>
                <c:pt idx="4270">
                  <c:v>141025290</c:v>
                </c:pt>
                <c:pt idx="4271">
                  <c:v>141058317</c:v>
                </c:pt>
                <c:pt idx="4272">
                  <c:v>141091344</c:v>
                </c:pt>
                <c:pt idx="4273">
                  <c:v>141124371</c:v>
                </c:pt>
                <c:pt idx="4274">
                  <c:v>141157398</c:v>
                </c:pt>
                <c:pt idx="4275">
                  <c:v>141190425</c:v>
                </c:pt>
                <c:pt idx="4276">
                  <c:v>141223452</c:v>
                </c:pt>
                <c:pt idx="4277">
                  <c:v>141256479</c:v>
                </c:pt>
                <c:pt idx="4278">
                  <c:v>141289506</c:v>
                </c:pt>
                <c:pt idx="4279">
                  <c:v>141322533</c:v>
                </c:pt>
                <c:pt idx="4280">
                  <c:v>141355560</c:v>
                </c:pt>
                <c:pt idx="4281">
                  <c:v>141388587</c:v>
                </c:pt>
                <c:pt idx="4282">
                  <c:v>141421614</c:v>
                </c:pt>
                <c:pt idx="4283">
                  <c:v>141454641</c:v>
                </c:pt>
                <c:pt idx="4284">
                  <c:v>141487668</c:v>
                </c:pt>
                <c:pt idx="4285">
                  <c:v>141520695</c:v>
                </c:pt>
                <c:pt idx="4286">
                  <c:v>141553722</c:v>
                </c:pt>
                <c:pt idx="4287">
                  <c:v>141586749</c:v>
                </c:pt>
                <c:pt idx="4288">
                  <c:v>141619776</c:v>
                </c:pt>
                <c:pt idx="4289">
                  <c:v>141652803</c:v>
                </c:pt>
                <c:pt idx="4290">
                  <c:v>141685830</c:v>
                </c:pt>
                <c:pt idx="4291">
                  <c:v>141718857</c:v>
                </c:pt>
                <c:pt idx="4292">
                  <c:v>141751884</c:v>
                </c:pt>
                <c:pt idx="4293">
                  <c:v>141784911</c:v>
                </c:pt>
                <c:pt idx="4294">
                  <c:v>141817938</c:v>
                </c:pt>
                <c:pt idx="4295">
                  <c:v>141850965</c:v>
                </c:pt>
                <c:pt idx="4296">
                  <c:v>141883992</c:v>
                </c:pt>
                <c:pt idx="4297">
                  <c:v>141917019</c:v>
                </c:pt>
                <c:pt idx="4298">
                  <c:v>141950046</c:v>
                </c:pt>
                <c:pt idx="4299">
                  <c:v>141983073</c:v>
                </c:pt>
                <c:pt idx="4300">
                  <c:v>142016100</c:v>
                </c:pt>
                <c:pt idx="4301">
                  <c:v>142049127</c:v>
                </c:pt>
                <c:pt idx="4302">
                  <c:v>142082154</c:v>
                </c:pt>
                <c:pt idx="4303">
                  <c:v>142115181</c:v>
                </c:pt>
                <c:pt idx="4304">
                  <c:v>142148208</c:v>
                </c:pt>
                <c:pt idx="4305">
                  <c:v>142181235</c:v>
                </c:pt>
                <c:pt idx="4306">
                  <c:v>142214262</c:v>
                </c:pt>
                <c:pt idx="4307">
                  <c:v>142247289</c:v>
                </c:pt>
                <c:pt idx="4308">
                  <c:v>142280316</c:v>
                </c:pt>
                <c:pt idx="4309">
                  <c:v>142313343</c:v>
                </c:pt>
                <c:pt idx="4310">
                  <c:v>142346370</c:v>
                </c:pt>
                <c:pt idx="4311">
                  <c:v>142379397</c:v>
                </c:pt>
                <c:pt idx="4312">
                  <c:v>142412424</c:v>
                </c:pt>
                <c:pt idx="4313">
                  <c:v>142445451</c:v>
                </c:pt>
                <c:pt idx="4314">
                  <c:v>142478478</c:v>
                </c:pt>
                <c:pt idx="4315">
                  <c:v>142511505</c:v>
                </c:pt>
                <c:pt idx="4316">
                  <c:v>142544532</c:v>
                </c:pt>
                <c:pt idx="4317">
                  <c:v>142577559</c:v>
                </c:pt>
                <c:pt idx="4318">
                  <c:v>142610586</c:v>
                </c:pt>
                <c:pt idx="4319">
                  <c:v>142643613</c:v>
                </c:pt>
                <c:pt idx="4320">
                  <c:v>142676640</c:v>
                </c:pt>
                <c:pt idx="4321">
                  <c:v>142709667</c:v>
                </c:pt>
                <c:pt idx="4322">
                  <c:v>142742694</c:v>
                </c:pt>
                <c:pt idx="4323">
                  <c:v>142775721</c:v>
                </c:pt>
                <c:pt idx="4324">
                  <c:v>142808748</c:v>
                </c:pt>
                <c:pt idx="4325">
                  <c:v>142841775</c:v>
                </c:pt>
                <c:pt idx="4326">
                  <c:v>142874802</c:v>
                </c:pt>
                <c:pt idx="4327">
                  <c:v>142907829</c:v>
                </c:pt>
                <c:pt idx="4328">
                  <c:v>142940856</c:v>
                </c:pt>
                <c:pt idx="4329">
                  <c:v>142973883</c:v>
                </c:pt>
                <c:pt idx="4330">
                  <c:v>143006910</c:v>
                </c:pt>
                <c:pt idx="4331">
                  <c:v>143039937</c:v>
                </c:pt>
                <c:pt idx="4332">
                  <c:v>143072964</c:v>
                </c:pt>
                <c:pt idx="4333">
                  <c:v>143105991</c:v>
                </c:pt>
                <c:pt idx="4334">
                  <c:v>143139018</c:v>
                </c:pt>
                <c:pt idx="4335">
                  <c:v>143172045</c:v>
                </c:pt>
                <c:pt idx="4336">
                  <c:v>143205072</c:v>
                </c:pt>
                <c:pt idx="4337">
                  <c:v>143238099</c:v>
                </c:pt>
                <c:pt idx="4338">
                  <c:v>143271126</c:v>
                </c:pt>
                <c:pt idx="4339">
                  <c:v>143304153</c:v>
                </c:pt>
                <c:pt idx="4340">
                  <c:v>143337180</c:v>
                </c:pt>
                <c:pt idx="4341">
                  <c:v>143370207</c:v>
                </c:pt>
                <c:pt idx="4342">
                  <c:v>143403234</c:v>
                </c:pt>
                <c:pt idx="4343">
                  <c:v>143436261</c:v>
                </c:pt>
                <c:pt idx="4344">
                  <c:v>143469288</c:v>
                </c:pt>
                <c:pt idx="4345">
                  <c:v>143502315</c:v>
                </c:pt>
                <c:pt idx="4346">
                  <c:v>143535342</c:v>
                </c:pt>
                <c:pt idx="4347">
                  <c:v>143568369</c:v>
                </c:pt>
                <c:pt idx="4348">
                  <c:v>143601396</c:v>
                </c:pt>
                <c:pt idx="4349">
                  <c:v>143634423</c:v>
                </c:pt>
                <c:pt idx="4350">
                  <c:v>143667450</c:v>
                </c:pt>
                <c:pt idx="4351">
                  <c:v>143700477</c:v>
                </c:pt>
                <c:pt idx="4352">
                  <c:v>143733504</c:v>
                </c:pt>
                <c:pt idx="4353">
                  <c:v>143766531</c:v>
                </c:pt>
                <c:pt idx="4354">
                  <c:v>143799558</c:v>
                </c:pt>
                <c:pt idx="4355">
                  <c:v>143832585</c:v>
                </c:pt>
                <c:pt idx="4356">
                  <c:v>143865612</c:v>
                </c:pt>
                <c:pt idx="4357">
                  <c:v>143898639</c:v>
                </c:pt>
                <c:pt idx="4358">
                  <c:v>143931666</c:v>
                </c:pt>
                <c:pt idx="4359">
                  <c:v>143964693</c:v>
                </c:pt>
                <c:pt idx="4360">
                  <c:v>143997720</c:v>
                </c:pt>
                <c:pt idx="4361">
                  <c:v>144030747</c:v>
                </c:pt>
                <c:pt idx="4362">
                  <c:v>144063774</c:v>
                </c:pt>
                <c:pt idx="4363">
                  <c:v>144096801</c:v>
                </c:pt>
                <c:pt idx="4364">
                  <c:v>144129828</c:v>
                </c:pt>
                <c:pt idx="4365">
                  <c:v>144162855</c:v>
                </c:pt>
                <c:pt idx="4366">
                  <c:v>144195882</c:v>
                </c:pt>
                <c:pt idx="4367">
                  <c:v>144228909</c:v>
                </c:pt>
                <c:pt idx="4368">
                  <c:v>144261936</c:v>
                </c:pt>
                <c:pt idx="4369">
                  <c:v>144294963</c:v>
                </c:pt>
                <c:pt idx="4370">
                  <c:v>144327990</c:v>
                </c:pt>
                <c:pt idx="4371">
                  <c:v>144361017</c:v>
                </c:pt>
                <c:pt idx="4372">
                  <c:v>144394044</c:v>
                </c:pt>
                <c:pt idx="4373">
                  <c:v>144427071</c:v>
                </c:pt>
                <c:pt idx="4374">
                  <c:v>144460098</c:v>
                </c:pt>
                <c:pt idx="4375">
                  <c:v>144493125</c:v>
                </c:pt>
                <c:pt idx="4376">
                  <c:v>144526152</c:v>
                </c:pt>
                <c:pt idx="4377">
                  <c:v>144559179</c:v>
                </c:pt>
                <c:pt idx="4378">
                  <c:v>144592206</c:v>
                </c:pt>
                <c:pt idx="4379">
                  <c:v>144625233</c:v>
                </c:pt>
                <c:pt idx="4380">
                  <c:v>144658260</c:v>
                </c:pt>
                <c:pt idx="4381">
                  <c:v>144691287</c:v>
                </c:pt>
                <c:pt idx="4382">
                  <c:v>144724314</c:v>
                </c:pt>
                <c:pt idx="4383">
                  <c:v>144757341</c:v>
                </c:pt>
                <c:pt idx="4384">
                  <c:v>144790368</c:v>
                </c:pt>
                <c:pt idx="4385">
                  <c:v>144823395</c:v>
                </c:pt>
                <c:pt idx="4386">
                  <c:v>144856422</c:v>
                </c:pt>
                <c:pt idx="4387">
                  <c:v>144889449</c:v>
                </c:pt>
                <c:pt idx="4388">
                  <c:v>144922476</c:v>
                </c:pt>
                <c:pt idx="4389">
                  <c:v>144955503</c:v>
                </c:pt>
                <c:pt idx="4390">
                  <c:v>144988530</c:v>
                </c:pt>
                <c:pt idx="4391">
                  <c:v>145021557</c:v>
                </c:pt>
                <c:pt idx="4392">
                  <c:v>145054584</c:v>
                </c:pt>
                <c:pt idx="4393">
                  <c:v>145087611</c:v>
                </c:pt>
                <c:pt idx="4394">
                  <c:v>145120638</c:v>
                </c:pt>
                <c:pt idx="4395">
                  <c:v>145153665</c:v>
                </c:pt>
                <c:pt idx="4396">
                  <c:v>145186692</c:v>
                </c:pt>
                <c:pt idx="4397">
                  <c:v>145219719</c:v>
                </c:pt>
                <c:pt idx="4398">
                  <c:v>145252746</c:v>
                </c:pt>
                <c:pt idx="4399">
                  <c:v>145285773</c:v>
                </c:pt>
                <c:pt idx="4400">
                  <c:v>145318800</c:v>
                </c:pt>
                <c:pt idx="4401">
                  <c:v>145351827</c:v>
                </c:pt>
                <c:pt idx="4402">
                  <c:v>145384854</c:v>
                </c:pt>
                <c:pt idx="4403">
                  <c:v>145417881</c:v>
                </c:pt>
                <c:pt idx="4404">
                  <c:v>145450908</c:v>
                </c:pt>
                <c:pt idx="4405">
                  <c:v>145483935</c:v>
                </c:pt>
                <c:pt idx="4406">
                  <c:v>145516962</c:v>
                </c:pt>
                <c:pt idx="4407">
                  <c:v>145549989</c:v>
                </c:pt>
                <c:pt idx="4408">
                  <c:v>145583016</c:v>
                </c:pt>
                <c:pt idx="4409">
                  <c:v>145616043</c:v>
                </c:pt>
                <c:pt idx="4410">
                  <c:v>145649070</c:v>
                </c:pt>
                <c:pt idx="4411">
                  <c:v>145682097</c:v>
                </c:pt>
                <c:pt idx="4412">
                  <c:v>145715124</c:v>
                </c:pt>
                <c:pt idx="4413">
                  <c:v>145748151</c:v>
                </c:pt>
                <c:pt idx="4414">
                  <c:v>145781178</c:v>
                </c:pt>
                <c:pt idx="4415">
                  <c:v>145814205</c:v>
                </c:pt>
                <c:pt idx="4416">
                  <c:v>145847232</c:v>
                </c:pt>
                <c:pt idx="4417">
                  <c:v>145880259</c:v>
                </c:pt>
                <c:pt idx="4418">
                  <c:v>145913286</c:v>
                </c:pt>
                <c:pt idx="4419">
                  <c:v>145946313</c:v>
                </c:pt>
                <c:pt idx="4420">
                  <c:v>145979340</c:v>
                </c:pt>
                <c:pt idx="4421">
                  <c:v>146012367</c:v>
                </c:pt>
                <c:pt idx="4422">
                  <c:v>146045394</c:v>
                </c:pt>
                <c:pt idx="4423">
                  <c:v>146078421</c:v>
                </c:pt>
                <c:pt idx="4424">
                  <c:v>146111448</c:v>
                </c:pt>
                <c:pt idx="4425">
                  <c:v>146144475</c:v>
                </c:pt>
                <c:pt idx="4426">
                  <c:v>146177502</c:v>
                </c:pt>
                <c:pt idx="4427">
                  <c:v>146210529</c:v>
                </c:pt>
                <c:pt idx="4428">
                  <c:v>146243556</c:v>
                </c:pt>
                <c:pt idx="4429">
                  <c:v>146276583</c:v>
                </c:pt>
                <c:pt idx="4430">
                  <c:v>146309610</c:v>
                </c:pt>
                <c:pt idx="4431">
                  <c:v>146342637</c:v>
                </c:pt>
                <c:pt idx="4432">
                  <c:v>146375664</c:v>
                </c:pt>
                <c:pt idx="4433">
                  <c:v>146408691</c:v>
                </c:pt>
                <c:pt idx="4434">
                  <c:v>146441718</c:v>
                </c:pt>
                <c:pt idx="4435">
                  <c:v>146474745</c:v>
                </c:pt>
                <c:pt idx="4436">
                  <c:v>146507772</c:v>
                </c:pt>
                <c:pt idx="4437">
                  <c:v>146540799</c:v>
                </c:pt>
                <c:pt idx="4438">
                  <c:v>146573826</c:v>
                </c:pt>
                <c:pt idx="4439">
                  <c:v>146606853</c:v>
                </c:pt>
                <c:pt idx="4440">
                  <c:v>146639880</c:v>
                </c:pt>
                <c:pt idx="4441">
                  <c:v>146672907</c:v>
                </c:pt>
                <c:pt idx="4442">
                  <c:v>146705934</c:v>
                </c:pt>
                <c:pt idx="4443">
                  <c:v>146738961</c:v>
                </c:pt>
                <c:pt idx="4444">
                  <c:v>146771988</c:v>
                </c:pt>
                <c:pt idx="4445">
                  <c:v>146805015</c:v>
                </c:pt>
                <c:pt idx="4446">
                  <c:v>146838042</c:v>
                </c:pt>
                <c:pt idx="4447">
                  <c:v>146871069</c:v>
                </c:pt>
                <c:pt idx="4448">
                  <c:v>146904096</c:v>
                </c:pt>
                <c:pt idx="4449">
                  <c:v>146937123</c:v>
                </c:pt>
                <c:pt idx="4450">
                  <c:v>146970150</c:v>
                </c:pt>
                <c:pt idx="4451">
                  <c:v>147003177</c:v>
                </c:pt>
                <c:pt idx="4452">
                  <c:v>147036204</c:v>
                </c:pt>
                <c:pt idx="4453">
                  <c:v>147069231</c:v>
                </c:pt>
                <c:pt idx="4454">
                  <c:v>147102258</c:v>
                </c:pt>
                <c:pt idx="4455">
                  <c:v>147135285</c:v>
                </c:pt>
                <c:pt idx="4456">
                  <c:v>147168312</c:v>
                </c:pt>
                <c:pt idx="4457">
                  <c:v>147201339</c:v>
                </c:pt>
                <c:pt idx="4458">
                  <c:v>147234366</c:v>
                </c:pt>
                <c:pt idx="4459">
                  <c:v>147267393</c:v>
                </c:pt>
                <c:pt idx="4460">
                  <c:v>147300420</c:v>
                </c:pt>
                <c:pt idx="4461">
                  <c:v>147333447</c:v>
                </c:pt>
                <c:pt idx="4462">
                  <c:v>147366474</c:v>
                </c:pt>
                <c:pt idx="4463">
                  <c:v>147399501</c:v>
                </c:pt>
                <c:pt idx="4464">
                  <c:v>147432528</c:v>
                </c:pt>
                <c:pt idx="4465">
                  <c:v>147465555</c:v>
                </c:pt>
                <c:pt idx="4466">
                  <c:v>147498582</c:v>
                </c:pt>
                <c:pt idx="4467">
                  <c:v>147531609</c:v>
                </c:pt>
                <c:pt idx="4468">
                  <c:v>147564636</c:v>
                </c:pt>
                <c:pt idx="4469">
                  <c:v>147597663</c:v>
                </c:pt>
                <c:pt idx="4470">
                  <c:v>147630690</c:v>
                </c:pt>
                <c:pt idx="4471">
                  <c:v>147663717</c:v>
                </c:pt>
                <c:pt idx="4472">
                  <c:v>147696744</c:v>
                </c:pt>
                <c:pt idx="4473">
                  <c:v>147729771</c:v>
                </c:pt>
                <c:pt idx="4474">
                  <c:v>147762798</c:v>
                </c:pt>
                <c:pt idx="4475">
                  <c:v>147795825</c:v>
                </c:pt>
                <c:pt idx="4476">
                  <c:v>147828852</c:v>
                </c:pt>
                <c:pt idx="4477">
                  <c:v>147861879</c:v>
                </c:pt>
                <c:pt idx="4478">
                  <c:v>147894906</c:v>
                </c:pt>
                <c:pt idx="4479">
                  <c:v>147927933</c:v>
                </c:pt>
                <c:pt idx="4480">
                  <c:v>147960960</c:v>
                </c:pt>
                <c:pt idx="4481">
                  <c:v>147993987</c:v>
                </c:pt>
                <c:pt idx="4482">
                  <c:v>148027014</c:v>
                </c:pt>
                <c:pt idx="4483">
                  <c:v>148060041</c:v>
                </c:pt>
                <c:pt idx="4484">
                  <c:v>148093068</c:v>
                </c:pt>
                <c:pt idx="4485">
                  <c:v>148126095</c:v>
                </c:pt>
                <c:pt idx="4486">
                  <c:v>148159122</c:v>
                </c:pt>
                <c:pt idx="4487">
                  <c:v>148192149</c:v>
                </c:pt>
                <c:pt idx="4488">
                  <c:v>148225176</c:v>
                </c:pt>
                <c:pt idx="4489">
                  <c:v>148258203</c:v>
                </c:pt>
                <c:pt idx="4490">
                  <c:v>148291230</c:v>
                </c:pt>
                <c:pt idx="4491">
                  <c:v>148324257</c:v>
                </c:pt>
                <c:pt idx="4492">
                  <c:v>148357284</c:v>
                </c:pt>
                <c:pt idx="4493">
                  <c:v>148390311</c:v>
                </c:pt>
                <c:pt idx="4494">
                  <c:v>148423338</c:v>
                </c:pt>
                <c:pt idx="4495">
                  <c:v>148456365</c:v>
                </c:pt>
                <c:pt idx="4496">
                  <c:v>148489392</c:v>
                </c:pt>
                <c:pt idx="4497">
                  <c:v>148522419</c:v>
                </c:pt>
                <c:pt idx="4498">
                  <c:v>148555446</c:v>
                </c:pt>
                <c:pt idx="4499">
                  <c:v>148588473</c:v>
                </c:pt>
                <c:pt idx="4500">
                  <c:v>148621500</c:v>
                </c:pt>
                <c:pt idx="4501">
                  <c:v>148654527</c:v>
                </c:pt>
                <c:pt idx="4502">
                  <c:v>148687554</c:v>
                </c:pt>
                <c:pt idx="4503">
                  <c:v>148720581</c:v>
                </c:pt>
                <c:pt idx="4504">
                  <c:v>148753608</c:v>
                </c:pt>
                <c:pt idx="4505">
                  <c:v>148786635</c:v>
                </c:pt>
                <c:pt idx="4506">
                  <c:v>148819662</c:v>
                </c:pt>
                <c:pt idx="4507">
                  <c:v>148852689</c:v>
                </c:pt>
                <c:pt idx="4508">
                  <c:v>148885716</c:v>
                </c:pt>
                <c:pt idx="4509">
                  <c:v>148918743</c:v>
                </c:pt>
                <c:pt idx="4510">
                  <c:v>148951770</c:v>
                </c:pt>
                <c:pt idx="4511">
                  <c:v>148984797</c:v>
                </c:pt>
                <c:pt idx="4512">
                  <c:v>149017824</c:v>
                </c:pt>
                <c:pt idx="4513">
                  <c:v>149050851</c:v>
                </c:pt>
                <c:pt idx="4514">
                  <c:v>149083878</c:v>
                </c:pt>
                <c:pt idx="4515">
                  <c:v>149116905</c:v>
                </c:pt>
                <c:pt idx="4516">
                  <c:v>149149932</c:v>
                </c:pt>
                <c:pt idx="4517">
                  <c:v>149182959</c:v>
                </c:pt>
                <c:pt idx="4518">
                  <c:v>149215986</c:v>
                </c:pt>
                <c:pt idx="4519">
                  <c:v>149249013</c:v>
                </c:pt>
                <c:pt idx="4520">
                  <c:v>149282040</c:v>
                </c:pt>
                <c:pt idx="4521">
                  <c:v>149315067</c:v>
                </c:pt>
                <c:pt idx="4522">
                  <c:v>149348094</c:v>
                </c:pt>
                <c:pt idx="4523">
                  <c:v>149381121</c:v>
                </c:pt>
                <c:pt idx="4524">
                  <c:v>149414148</c:v>
                </c:pt>
                <c:pt idx="4525">
                  <c:v>149447175</c:v>
                </c:pt>
                <c:pt idx="4526">
                  <c:v>149480202</c:v>
                </c:pt>
                <c:pt idx="4527">
                  <c:v>149513229</c:v>
                </c:pt>
                <c:pt idx="4528">
                  <c:v>149546256</c:v>
                </c:pt>
                <c:pt idx="4529">
                  <c:v>149579283</c:v>
                </c:pt>
                <c:pt idx="4530">
                  <c:v>149612310</c:v>
                </c:pt>
                <c:pt idx="4531">
                  <c:v>149645337</c:v>
                </c:pt>
                <c:pt idx="4532">
                  <c:v>149678364</c:v>
                </c:pt>
                <c:pt idx="4533">
                  <c:v>149711391</c:v>
                </c:pt>
                <c:pt idx="4534">
                  <c:v>149744418</c:v>
                </c:pt>
                <c:pt idx="4535">
                  <c:v>149777445</c:v>
                </c:pt>
                <c:pt idx="4536">
                  <c:v>149810472</c:v>
                </c:pt>
                <c:pt idx="4537">
                  <c:v>149843499</c:v>
                </c:pt>
                <c:pt idx="4538">
                  <c:v>149876526</c:v>
                </c:pt>
                <c:pt idx="4539">
                  <c:v>149909553</c:v>
                </c:pt>
                <c:pt idx="4540">
                  <c:v>149942580</c:v>
                </c:pt>
                <c:pt idx="4541">
                  <c:v>149975607</c:v>
                </c:pt>
                <c:pt idx="4542">
                  <c:v>150008634</c:v>
                </c:pt>
                <c:pt idx="4543">
                  <c:v>150041661</c:v>
                </c:pt>
                <c:pt idx="4544">
                  <c:v>150074688</c:v>
                </c:pt>
                <c:pt idx="4545">
                  <c:v>150107715</c:v>
                </c:pt>
                <c:pt idx="4546">
                  <c:v>150140742</c:v>
                </c:pt>
                <c:pt idx="4547">
                  <c:v>150173769</c:v>
                </c:pt>
                <c:pt idx="4548">
                  <c:v>150206796</c:v>
                </c:pt>
                <c:pt idx="4549">
                  <c:v>150239823</c:v>
                </c:pt>
                <c:pt idx="4550">
                  <c:v>150272850</c:v>
                </c:pt>
                <c:pt idx="4551">
                  <c:v>150305877</c:v>
                </c:pt>
                <c:pt idx="4552">
                  <c:v>150338904</c:v>
                </c:pt>
                <c:pt idx="4553">
                  <c:v>150371931</c:v>
                </c:pt>
                <c:pt idx="4554">
                  <c:v>150404958</c:v>
                </c:pt>
                <c:pt idx="4555">
                  <c:v>150437985</c:v>
                </c:pt>
                <c:pt idx="4556">
                  <c:v>150471012</c:v>
                </c:pt>
                <c:pt idx="4557">
                  <c:v>150504039</c:v>
                </c:pt>
                <c:pt idx="4558">
                  <c:v>150537066</c:v>
                </c:pt>
                <c:pt idx="4559">
                  <c:v>150570093</c:v>
                </c:pt>
                <c:pt idx="4560">
                  <c:v>150603120</c:v>
                </c:pt>
                <c:pt idx="4561">
                  <c:v>150636147</c:v>
                </c:pt>
                <c:pt idx="4562">
                  <c:v>150669174</c:v>
                </c:pt>
                <c:pt idx="4563">
                  <c:v>150702201</c:v>
                </c:pt>
                <c:pt idx="4564">
                  <c:v>150735228</c:v>
                </c:pt>
                <c:pt idx="4565">
                  <c:v>150768255</c:v>
                </c:pt>
                <c:pt idx="4566">
                  <c:v>150801282</c:v>
                </c:pt>
                <c:pt idx="4567">
                  <c:v>150834309</c:v>
                </c:pt>
                <c:pt idx="4568">
                  <c:v>150867336</c:v>
                </c:pt>
                <c:pt idx="4569">
                  <c:v>150900363</c:v>
                </c:pt>
                <c:pt idx="4570">
                  <c:v>150933390</c:v>
                </c:pt>
                <c:pt idx="4571">
                  <c:v>150966417</c:v>
                </c:pt>
                <c:pt idx="4572">
                  <c:v>150999444</c:v>
                </c:pt>
                <c:pt idx="4573">
                  <c:v>151032471</c:v>
                </c:pt>
                <c:pt idx="4574">
                  <c:v>151065498</c:v>
                </c:pt>
                <c:pt idx="4575">
                  <c:v>151098525</c:v>
                </c:pt>
                <c:pt idx="4576">
                  <c:v>151131552</c:v>
                </c:pt>
                <c:pt idx="4577">
                  <c:v>151164579</c:v>
                </c:pt>
                <c:pt idx="4578">
                  <c:v>151197606</c:v>
                </c:pt>
                <c:pt idx="4579">
                  <c:v>151230633</c:v>
                </c:pt>
                <c:pt idx="4580">
                  <c:v>151263660</c:v>
                </c:pt>
                <c:pt idx="4581">
                  <c:v>151296687</c:v>
                </c:pt>
                <c:pt idx="4582">
                  <c:v>151329714</c:v>
                </c:pt>
                <c:pt idx="4583">
                  <c:v>151362741</c:v>
                </c:pt>
                <c:pt idx="4584">
                  <c:v>151395768</c:v>
                </c:pt>
                <c:pt idx="4585">
                  <c:v>151428795</c:v>
                </c:pt>
                <c:pt idx="4586">
                  <c:v>151461822</c:v>
                </c:pt>
                <c:pt idx="4587">
                  <c:v>151494849</c:v>
                </c:pt>
                <c:pt idx="4588">
                  <c:v>151527876</c:v>
                </c:pt>
                <c:pt idx="4589">
                  <c:v>151560903</c:v>
                </c:pt>
                <c:pt idx="4590">
                  <c:v>151593930</c:v>
                </c:pt>
                <c:pt idx="4591">
                  <c:v>151626957</c:v>
                </c:pt>
                <c:pt idx="4592">
                  <c:v>151659984</c:v>
                </c:pt>
                <c:pt idx="4593">
                  <c:v>151693011</c:v>
                </c:pt>
                <c:pt idx="4594">
                  <c:v>151726038</c:v>
                </c:pt>
                <c:pt idx="4595">
                  <c:v>151759065</c:v>
                </c:pt>
                <c:pt idx="4596">
                  <c:v>151792092</c:v>
                </c:pt>
                <c:pt idx="4597">
                  <c:v>151825119</c:v>
                </c:pt>
                <c:pt idx="4598">
                  <c:v>151858146</c:v>
                </c:pt>
                <c:pt idx="4599">
                  <c:v>151891173</c:v>
                </c:pt>
                <c:pt idx="4600">
                  <c:v>151924200</c:v>
                </c:pt>
                <c:pt idx="4601">
                  <c:v>151957227</c:v>
                </c:pt>
                <c:pt idx="4602">
                  <c:v>151990254</c:v>
                </c:pt>
                <c:pt idx="4603">
                  <c:v>152023281</c:v>
                </c:pt>
                <c:pt idx="4604">
                  <c:v>152056308</c:v>
                </c:pt>
                <c:pt idx="4605">
                  <c:v>152089335</c:v>
                </c:pt>
                <c:pt idx="4606">
                  <c:v>152122362</c:v>
                </c:pt>
                <c:pt idx="4607">
                  <c:v>152155389</c:v>
                </c:pt>
                <c:pt idx="4608">
                  <c:v>152188416</c:v>
                </c:pt>
                <c:pt idx="4609">
                  <c:v>152221443</c:v>
                </c:pt>
                <c:pt idx="4610">
                  <c:v>152254470</c:v>
                </c:pt>
                <c:pt idx="4611">
                  <c:v>152287497</c:v>
                </c:pt>
                <c:pt idx="4612">
                  <c:v>152320524</c:v>
                </c:pt>
                <c:pt idx="4613">
                  <c:v>152353551</c:v>
                </c:pt>
                <c:pt idx="4614">
                  <c:v>152386578</c:v>
                </c:pt>
                <c:pt idx="4615">
                  <c:v>152419605</c:v>
                </c:pt>
                <c:pt idx="4616">
                  <c:v>152452632</c:v>
                </c:pt>
                <c:pt idx="4617">
                  <c:v>152485659</c:v>
                </c:pt>
                <c:pt idx="4618">
                  <c:v>152518686</c:v>
                </c:pt>
                <c:pt idx="4619">
                  <c:v>152551713</c:v>
                </c:pt>
                <c:pt idx="4620">
                  <c:v>152584740</c:v>
                </c:pt>
                <c:pt idx="4621">
                  <c:v>152617767</c:v>
                </c:pt>
                <c:pt idx="4622">
                  <c:v>152650794</c:v>
                </c:pt>
                <c:pt idx="4623">
                  <c:v>152683821</c:v>
                </c:pt>
                <c:pt idx="4624">
                  <c:v>152716848</c:v>
                </c:pt>
                <c:pt idx="4625">
                  <c:v>152749875</c:v>
                </c:pt>
                <c:pt idx="4626">
                  <c:v>152782902</c:v>
                </c:pt>
                <c:pt idx="4627">
                  <c:v>152815929</c:v>
                </c:pt>
                <c:pt idx="4628">
                  <c:v>152848956</c:v>
                </c:pt>
                <c:pt idx="4629">
                  <c:v>152881983</c:v>
                </c:pt>
                <c:pt idx="4630">
                  <c:v>152915010</c:v>
                </c:pt>
                <c:pt idx="4631">
                  <c:v>152948037</c:v>
                </c:pt>
                <c:pt idx="4632">
                  <c:v>152981064</c:v>
                </c:pt>
                <c:pt idx="4633">
                  <c:v>153014091</c:v>
                </c:pt>
                <c:pt idx="4634">
                  <c:v>153047118</c:v>
                </c:pt>
                <c:pt idx="4635">
                  <c:v>153080145</c:v>
                </c:pt>
                <c:pt idx="4636">
                  <c:v>153113172</c:v>
                </c:pt>
                <c:pt idx="4637">
                  <c:v>153146199</c:v>
                </c:pt>
                <c:pt idx="4638">
                  <c:v>153179226</c:v>
                </c:pt>
                <c:pt idx="4639">
                  <c:v>153212253</c:v>
                </c:pt>
                <c:pt idx="4640">
                  <c:v>153245280</c:v>
                </c:pt>
                <c:pt idx="4641">
                  <c:v>153278307</c:v>
                </c:pt>
                <c:pt idx="4642">
                  <c:v>153311334</c:v>
                </c:pt>
                <c:pt idx="4643">
                  <c:v>153344361</c:v>
                </c:pt>
                <c:pt idx="4644">
                  <c:v>153377388</c:v>
                </c:pt>
                <c:pt idx="4645">
                  <c:v>153410415</c:v>
                </c:pt>
                <c:pt idx="4646">
                  <c:v>153443442</c:v>
                </c:pt>
                <c:pt idx="4647">
                  <c:v>153476469</c:v>
                </c:pt>
                <c:pt idx="4648">
                  <c:v>153509496</c:v>
                </c:pt>
                <c:pt idx="4649">
                  <c:v>153542523</c:v>
                </c:pt>
                <c:pt idx="4650">
                  <c:v>153575550</c:v>
                </c:pt>
                <c:pt idx="4651">
                  <c:v>153608577</c:v>
                </c:pt>
                <c:pt idx="4652">
                  <c:v>153641604</c:v>
                </c:pt>
                <c:pt idx="4653">
                  <c:v>153674631</c:v>
                </c:pt>
                <c:pt idx="4654">
                  <c:v>153707658</c:v>
                </c:pt>
                <c:pt idx="4655">
                  <c:v>153740685</c:v>
                </c:pt>
                <c:pt idx="4656">
                  <c:v>153773712</c:v>
                </c:pt>
                <c:pt idx="4657">
                  <c:v>153806739</c:v>
                </c:pt>
                <c:pt idx="4658">
                  <c:v>153839766</c:v>
                </c:pt>
                <c:pt idx="4659">
                  <c:v>153872793</c:v>
                </c:pt>
                <c:pt idx="4660">
                  <c:v>153905820</c:v>
                </c:pt>
                <c:pt idx="4661">
                  <c:v>153938847</c:v>
                </c:pt>
                <c:pt idx="4662">
                  <c:v>153971874</c:v>
                </c:pt>
                <c:pt idx="4663">
                  <c:v>154004901</c:v>
                </c:pt>
                <c:pt idx="4664">
                  <c:v>154037928</c:v>
                </c:pt>
                <c:pt idx="4665">
                  <c:v>154070955</c:v>
                </c:pt>
                <c:pt idx="4666">
                  <c:v>154103982</c:v>
                </c:pt>
                <c:pt idx="4667">
                  <c:v>154137009</c:v>
                </c:pt>
                <c:pt idx="4668">
                  <c:v>154170036</c:v>
                </c:pt>
                <c:pt idx="4669">
                  <c:v>154203063</c:v>
                </c:pt>
                <c:pt idx="4670">
                  <c:v>154236090</c:v>
                </c:pt>
                <c:pt idx="4671">
                  <c:v>154269117</c:v>
                </c:pt>
                <c:pt idx="4672">
                  <c:v>154302144</c:v>
                </c:pt>
                <c:pt idx="4673">
                  <c:v>154335171</c:v>
                </c:pt>
                <c:pt idx="4674">
                  <c:v>154368198</c:v>
                </c:pt>
                <c:pt idx="4675">
                  <c:v>154401225</c:v>
                </c:pt>
                <c:pt idx="4676">
                  <c:v>154434252</c:v>
                </c:pt>
                <c:pt idx="4677">
                  <c:v>154467279</c:v>
                </c:pt>
                <c:pt idx="4678">
                  <c:v>154500306</c:v>
                </c:pt>
                <c:pt idx="4679">
                  <c:v>154533333</c:v>
                </c:pt>
                <c:pt idx="4680">
                  <c:v>154566360</c:v>
                </c:pt>
                <c:pt idx="4681">
                  <c:v>154599387</c:v>
                </c:pt>
                <c:pt idx="4682">
                  <c:v>154632414</c:v>
                </c:pt>
                <c:pt idx="4683">
                  <c:v>154665441</c:v>
                </c:pt>
                <c:pt idx="4684">
                  <c:v>154698468</c:v>
                </c:pt>
                <c:pt idx="4685">
                  <c:v>154731495</c:v>
                </c:pt>
                <c:pt idx="4686">
                  <c:v>154764522</c:v>
                </c:pt>
                <c:pt idx="4687">
                  <c:v>154797549</c:v>
                </c:pt>
                <c:pt idx="4688">
                  <c:v>154830576</c:v>
                </c:pt>
                <c:pt idx="4689">
                  <c:v>154863603</c:v>
                </c:pt>
                <c:pt idx="4690">
                  <c:v>154896630</c:v>
                </c:pt>
                <c:pt idx="4691">
                  <c:v>154929657</c:v>
                </c:pt>
                <c:pt idx="4692">
                  <c:v>154962684</c:v>
                </c:pt>
                <c:pt idx="4693">
                  <c:v>154995711</c:v>
                </c:pt>
                <c:pt idx="4694">
                  <c:v>155028738</c:v>
                </c:pt>
                <c:pt idx="4695">
                  <c:v>155061765</c:v>
                </c:pt>
                <c:pt idx="4696">
                  <c:v>155094792</c:v>
                </c:pt>
                <c:pt idx="4697">
                  <c:v>155127819</c:v>
                </c:pt>
                <c:pt idx="4698">
                  <c:v>155160846</c:v>
                </c:pt>
                <c:pt idx="4699">
                  <c:v>155193873</c:v>
                </c:pt>
                <c:pt idx="4700">
                  <c:v>155226900</c:v>
                </c:pt>
                <c:pt idx="4701">
                  <c:v>155259927</c:v>
                </c:pt>
                <c:pt idx="4702">
                  <c:v>155292954</c:v>
                </c:pt>
                <c:pt idx="4703">
                  <c:v>155325981</c:v>
                </c:pt>
                <c:pt idx="4704">
                  <c:v>155359008</c:v>
                </c:pt>
                <c:pt idx="4705">
                  <c:v>155392035</c:v>
                </c:pt>
                <c:pt idx="4706">
                  <c:v>155425062</c:v>
                </c:pt>
                <c:pt idx="4707">
                  <c:v>155458089</c:v>
                </c:pt>
                <c:pt idx="4708">
                  <c:v>155491116</c:v>
                </c:pt>
                <c:pt idx="4709">
                  <c:v>155524143</c:v>
                </c:pt>
                <c:pt idx="4710">
                  <c:v>155557170</c:v>
                </c:pt>
                <c:pt idx="4711">
                  <c:v>155590197</c:v>
                </c:pt>
                <c:pt idx="4712">
                  <c:v>155623224</c:v>
                </c:pt>
                <c:pt idx="4713">
                  <c:v>155656251</c:v>
                </c:pt>
                <c:pt idx="4714">
                  <c:v>155689278</c:v>
                </c:pt>
                <c:pt idx="4715">
                  <c:v>155722305</c:v>
                </c:pt>
                <c:pt idx="4716">
                  <c:v>155755332</c:v>
                </c:pt>
                <c:pt idx="4717">
                  <c:v>155788359</c:v>
                </c:pt>
                <c:pt idx="4718">
                  <c:v>155821386</c:v>
                </c:pt>
                <c:pt idx="4719">
                  <c:v>155854413</c:v>
                </c:pt>
                <c:pt idx="4720">
                  <c:v>155887440</c:v>
                </c:pt>
                <c:pt idx="4721">
                  <c:v>155920467</c:v>
                </c:pt>
                <c:pt idx="4722">
                  <c:v>155953494</c:v>
                </c:pt>
                <c:pt idx="4723">
                  <c:v>155986521</c:v>
                </c:pt>
                <c:pt idx="4724">
                  <c:v>156019548</c:v>
                </c:pt>
                <c:pt idx="4725">
                  <c:v>156052575</c:v>
                </c:pt>
                <c:pt idx="4726">
                  <c:v>156085602</c:v>
                </c:pt>
                <c:pt idx="4727">
                  <c:v>156118629</c:v>
                </c:pt>
                <c:pt idx="4728">
                  <c:v>156151656</c:v>
                </c:pt>
                <c:pt idx="4729">
                  <c:v>156184683</c:v>
                </c:pt>
                <c:pt idx="4730">
                  <c:v>156217710</c:v>
                </c:pt>
                <c:pt idx="4731">
                  <c:v>156250737</c:v>
                </c:pt>
                <c:pt idx="4732">
                  <c:v>156283764</c:v>
                </c:pt>
                <c:pt idx="4733">
                  <c:v>156316791</c:v>
                </c:pt>
                <c:pt idx="4734">
                  <c:v>156349818</c:v>
                </c:pt>
                <c:pt idx="4735">
                  <c:v>156382845</c:v>
                </c:pt>
                <c:pt idx="4736">
                  <c:v>156415872</c:v>
                </c:pt>
                <c:pt idx="4737">
                  <c:v>156448899</c:v>
                </c:pt>
                <c:pt idx="4738">
                  <c:v>156481926</c:v>
                </c:pt>
                <c:pt idx="4739">
                  <c:v>156514953</c:v>
                </c:pt>
                <c:pt idx="4740">
                  <c:v>156547980</c:v>
                </c:pt>
                <c:pt idx="4741">
                  <c:v>156581007</c:v>
                </c:pt>
                <c:pt idx="4742">
                  <c:v>156614034</c:v>
                </c:pt>
                <c:pt idx="4743">
                  <c:v>156647061</c:v>
                </c:pt>
                <c:pt idx="4744">
                  <c:v>156680088</c:v>
                </c:pt>
                <c:pt idx="4745">
                  <c:v>156713115</c:v>
                </c:pt>
                <c:pt idx="4746">
                  <c:v>156746142</c:v>
                </c:pt>
                <c:pt idx="4747">
                  <c:v>156779169</c:v>
                </c:pt>
                <c:pt idx="4748">
                  <c:v>156812196</c:v>
                </c:pt>
                <c:pt idx="4749">
                  <c:v>156845223</c:v>
                </c:pt>
                <c:pt idx="4750">
                  <c:v>156878250</c:v>
                </c:pt>
                <c:pt idx="4751">
                  <c:v>156911277</c:v>
                </c:pt>
                <c:pt idx="4752">
                  <c:v>156944304</c:v>
                </c:pt>
                <c:pt idx="4753">
                  <c:v>156977331</c:v>
                </c:pt>
                <c:pt idx="4754">
                  <c:v>157010358</c:v>
                </c:pt>
                <c:pt idx="4755">
                  <c:v>157043385</c:v>
                </c:pt>
                <c:pt idx="4756">
                  <c:v>157076412</c:v>
                </c:pt>
                <c:pt idx="4757">
                  <c:v>157109439</c:v>
                </c:pt>
                <c:pt idx="4758">
                  <c:v>157142466</c:v>
                </c:pt>
                <c:pt idx="4759">
                  <c:v>157175493</c:v>
                </c:pt>
                <c:pt idx="4760">
                  <c:v>157208520</c:v>
                </c:pt>
                <c:pt idx="4761">
                  <c:v>157241547</c:v>
                </c:pt>
                <c:pt idx="4762">
                  <c:v>157274574</c:v>
                </c:pt>
                <c:pt idx="4763">
                  <c:v>157307601</c:v>
                </c:pt>
                <c:pt idx="4764">
                  <c:v>157340628</c:v>
                </c:pt>
                <c:pt idx="4765">
                  <c:v>157373655</c:v>
                </c:pt>
                <c:pt idx="4766">
                  <c:v>157406682</c:v>
                </c:pt>
                <c:pt idx="4767">
                  <c:v>157439709</c:v>
                </c:pt>
                <c:pt idx="4768">
                  <c:v>157472736</c:v>
                </c:pt>
                <c:pt idx="4769">
                  <c:v>157505763</c:v>
                </c:pt>
                <c:pt idx="4770">
                  <c:v>157538790</c:v>
                </c:pt>
                <c:pt idx="4771">
                  <c:v>157571817</c:v>
                </c:pt>
                <c:pt idx="4772">
                  <c:v>157604844</c:v>
                </c:pt>
                <c:pt idx="4773">
                  <c:v>157637871</c:v>
                </c:pt>
                <c:pt idx="4774">
                  <c:v>157670898</c:v>
                </c:pt>
                <c:pt idx="4775">
                  <c:v>157703925</c:v>
                </c:pt>
                <c:pt idx="4776">
                  <c:v>157736952</c:v>
                </c:pt>
                <c:pt idx="4777">
                  <c:v>157769979</c:v>
                </c:pt>
                <c:pt idx="4778">
                  <c:v>157803006</c:v>
                </c:pt>
                <c:pt idx="4779">
                  <c:v>157836033</c:v>
                </c:pt>
                <c:pt idx="4780">
                  <c:v>157869060</c:v>
                </c:pt>
                <c:pt idx="4781">
                  <c:v>157902087</c:v>
                </c:pt>
                <c:pt idx="4782">
                  <c:v>157935114</c:v>
                </c:pt>
                <c:pt idx="4783">
                  <c:v>157968141</c:v>
                </c:pt>
                <c:pt idx="4784">
                  <c:v>158001168</c:v>
                </c:pt>
                <c:pt idx="4785">
                  <c:v>158034195</c:v>
                </c:pt>
                <c:pt idx="4786">
                  <c:v>158067222</c:v>
                </c:pt>
                <c:pt idx="4787">
                  <c:v>158100249</c:v>
                </c:pt>
                <c:pt idx="4788">
                  <c:v>158133276</c:v>
                </c:pt>
                <c:pt idx="4789">
                  <c:v>158166303</c:v>
                </c:pt>
                <c:pt idx="4790">
                  <c:v>158199330</c:v>
                </c:pt>
                <c:pt idx="4791">
                  <c:v>158232357</c:v>
                </c:pt>
                <c:pt idx="4792">
                  <c:v>158265384</c:v>
                </c:pt>
                <c:pt idx="4793">
                  <c:v>158298411</c:v>
                </c:pt>
                <c:pt idx="4794">
                  <c:v>158331438</c:v>
                </c:pt>
                <c:pt idx="4795">
                  <c:v>158364465</c:v>
                </c:pt>
                <c:pt idx="4796">
                  <c:v>158397492</c:v>
                </c:pt>
                <c:pt idx="4797">
                  <c:v>158430519</c:v>
                </c:pt>
                <c:pt idx="4798">
                  <c:v>158463546</c:v>
                </c:pt>
                <c:pt idx="4799">
                  <c:v>158496573</c:v>
                </c:pt>
                <c:pt idx="4800">
                  <c:v>158529600</c:v>
                </c:pt>
                <c:pt idx="4801">
                  <c:v>158562627</c:v>
                </c:pt>
                <c:pt idx="4802">
                  <c:v>158595654</c:v>
                </c:pt>
                <c:pt idx="4803">
                  <c:v>158628681</c:v>
                </c:pt>
                <c:pt idx="4804">
                  <c:v>158661708</c:v>
                </c:pt>
                <c:pt idx="4805">
                  <c:v>158694735</c:v>
                </c:pt>
                <c:pt idx="4806">
                  <c:v>158727762</c:v>
                </c:pt>
                <c:pt idx="4807">
                  <c:v>158760789</c:v>
                </c:pt>
                <c:pt idx="4808">
                  <c:v>158793816</c:v>
                </c:pt>
                <c:pt idx="4809">
                  <c:v>158826843</c:v>
                </c:pt>
                <c:pt idx="4810">
                  <c:v>158859870</c:v>
                </c:pt>
                <c:pt idx="4811">
                  <c:v>158892897</c:v>
                </c:pt>
                <c:pt idx="4812">
                  <c:v>158925924</c:v>
                </c:pt>
                <c:pt idx="4813">
                  <c:v>158958951</c:v>
                </c:pt>
                <c:pt idx="4814">
                  <c:v>158991978</c:v>
                </c:pt>
                <c:pt idx="4815">
                  <c:v>159025005</c:v>
                </c:pt>
                <c:pt idx="4816">
                  <c:v>159058032</c:v>
                </c:pt>
                <c:pt idx="4817">
                  <c:v>159091059</c:v>
                </c:pt>
                <c:pt idx="4818">
                  <c:v>159124086</c:v>
                </c:pt>
                <c:pt idx="4819">
                  <c:v>159157113</c:v>
                </c:pt>
                <c:pt idx="4820">
                  <c:v>159190140</c:v>
                </c:pt>
                <c:pt idx="4821">
                  <c:v>159223167</c:v>
                </c:pt>
                <c:pt idx="4822">
                  <c:v>159256194</c:v>
                </c:pt>
                <c:pt idx="4823">
                  <c:v>159289221</c:v>
                </c:pt>
                <c:pt idx="4824">
                  <c:v>159322248</c:v>
                </c:pt>
                <c:pt idx="4825">
                  <c:v>159355275</c:v>
                </c:pt>
                <c:pt idx="4826">
                  <c:v>159388302</c:v>
                </c:pt>
                <c:pt idx="4827">
                  <c:v>159421329</c:v>
                </c:pt>
                <c:pt idx="4828">
                  <c:v>159454356</c:v>
                </c:pt>
                <c:pt idx="4829">
                  <c:v>159487383</c:v>
                </c:pt>
                <c:pt idx="4830">
                  <c:v>159520410</c:v>
                </c:pt>
                <c:pt idx="4831">
                  <c:v>159553437</c:v>
                </c:pt>
                <c:pt idx="4832">
                  <c:v>159586464</c:v>
                </c:pt>
                <c:pt idx="4833">
                  <c:v>159619491</c:v>
                </c:pt>
                <c:pt idx="4834">
                  <c:v>159652518</c:v>
                </c:pt>
                <c:pt idx="4835">
                  <c:v>159685545</c:v>
                </c:pt>
                <c:pt idx="4836">
                  <c:v>159718572</c:v>
                </c:pt>
                <c:pt idx="4837">
                  <c:v>159751599</c:v>
                </c:pt>
                <c:pt idx="4838">
                  <c:v>159784626</c:v>
                </c:pt>
                <c:pt idx="4839">
                  <c:v>159817653</c:v>
                </c:pt>
                <c:pt idx="4840">
                  <c:v>159850680</c:v>
                </c:pt>
                <c:pt idx="4841">
                  <c:v>159883707</c:v>
                </c:pt>
                <c:pt idx="4842">
                  <c:v>159916734</c:v>
                </c:pt>
                <c:pt idx="4843">
                  <c:v>159949761</c:v>
                </c:pt>
                <c:pt idx="4844">
                  <c:v>159982788</c:v>
                </c:pt>
                <c:pt idx="4845">
                  <c:v>160015815</c:v>
                </c:pt>
                <c:pt idx="4846">
                  <c:v>160048842</c:v>
                </c:pt>
                <c:pt idx="4847">
                  <c:v>160081869</c:v>
                </c:pt>
                <c:pt idx="4848">
                  <c:v>160114896</c:v>
                </c:pt>
                <c:pt idx="4849">
                  <c:v>160147923</c:v>
                </c:pt>
                <c:pt idx="4850">
                  <c:v>160180950</c:v>
                </c:pt>
                <c:pt idx="4851">
                  <c:v>160213977</c:v>
                </c:pt>
                <c:pt idx="4852">
                  <c:v>160247004</c:v>
                </c:pt>
                <c:pt idx="4853">
                  <c:v>160280031</c:v>
                </c:pt>
                <c:pt idx="4854">
                  <c:v>160313058</c:v>
                </c:pt>
                <c:pt idx="4855">
                  <c:v>160346085</c:v>
                </c:pt>
                <c:pt idx="4856">
                  <c:v>160379112</c:v>
                </c:pt>
                <c:pt idx="4857">
                  <c:v>160412139</c:v>
                </c:pt>
                <c:pt idx="4858">
                  <c:v>160445166</c:v>
                </c:pt>
                <c:pt idx="4859">
                  <c:v>160478193</c:v>
                </c:pt>
                <c:pt idx="4860">
                  <c:v>160511220</c:v>
                </c:pt>
                <c:pt idx="4861">
                  <c:v>160544247</c:v>
                </c:pt>
                <c:pt idx="4862">
                  <c:v>160577274</c:v>
                </c:pt>
                <c:pt idx="4863">
                  <c:v>160610301</c:v>
                </c:pt>
                <c:pt idx="4864">
                  <c:v>160643328</c:v>
                </c:pt>
                <c:pt idx="4865">
                  <c:v>160676355</c:v>
                </c:pt>
                <c:pt idx="4866">
                  <c:v>160709382</c:v>
                </c:pt>
                <c:pt idx="4867">
                  <c:v>160742409</c:v>
                </c:pt>
                <c:pt idx="4868">
                  <c:v>160775436</c:v>
                </c:pt>
                <c:pt idx="4869">
                  <c:v>160808463</c:v>
                </c:pt>
                <c:pt idx="4870">
                  <c:v>160841490</c:v>
                </c:pt>
                <c:pt idx="4871">
                  <c:v>160874517</c:v>
                </c:pt>
                <c:pt idx="4872">
                  <c:v>160907544</c:v>
                </c:pt>
                <c:pt idx="4873">
                  <c:v>160940571</c:v>
                </c:pt>
                <c:pt idx="4874">
                  <c:v>160973598</c:v>
                </c:pt>
                <c:pt idx="4875">
                  <c:v>161006625</c:v>
                </c:pt>
                <c:pt idx="4876">
                  <c:v>161039652</c:v>
                </c:pt>
                <c:pt idx="4877">
                  <c:v>161072679</c:v>
                </c:pt>
                <c:pt idx="4878">
                  <c:v>161105706</c:v>
                </c:pt>
                <c:pt idx="4879">
                  <c:v>161138733</c:v>
                </c:pt>
                <c:pt idx="4880">
                  <c:v>161171760</c:v>
                </c:pt>
                <c:pt idx="4881">
                  <c:v>161204787</c:v>
                </c:pt>
                <c:pt idx="4882">
                  <c:v>161237814</c:v>
                </c:pt>
                <c:pt idx="4883">
                  <c:v>161270841</c:v>
                </c:pt>
                <c:pt idx="4884">
                  <c:v>161303868</c:v>
                </c:pt>
                <c:pt idx="4885">
                  <c:v>161336895</c:v>
                </c:pt>
                <c:pt idx="4886">
                  <c:v>161369922</c:v>
                </c:pt>
                <c:pt idx="4887">
                  <c:v>161402949</c:v>
                </c:pt>
                <c:pt idx="4888">
                  <c:v>161435976</c:v>
                </c:pt>
                <c:pt idx="4889">
                  <c:v>161469003</c:v>
                </c:pt>
                <c:pt idx="4890">
                  <c:v>161502030</c:v>
                </c:pt>
                <c:pt idx="4891">
                  <c:v>161535057</c:v>
                </c:pt>
                <c:pt idx="4892">
                  <c:v>161568084</c:v>
                </c:pt>
                <c:pt idx="4893">
                  <c:v>161601111</c:v>
                </c:pt>
                <c:pt idx="4894">
                  <c:v>161634138</c:v>
                </c:pt>
                <c:pt idx="4895">
                  <c:v>161667165</c:v>
                </c:pt>
                <c:pt idx="4896">
                  <c:v>161700192</c:v>
                </c:pt>
                <c:pt idx="4897">
                  <c:v>161733219</c:v>
                </c:pt>
                <c:pt idx="4898">
                  <c:v>161766246</c:v>
                </c:pt>
                <c:pt idx="4899">
                  <c:v>161799273</c:v>
                </c:pt>
                <c:pt idx="4900">
                  <c:v>161832300</c:v>
                </c:pt>
                <c:pt idx="4901">
                  <c:v>161865327</c:v>
                </c:pt>
                <c:pt idx="4902">
                  <c:v>161898354</c:v>
                </c:pt>
                <c:pt idx="4903">
                  <c:v>161931381</c:v>
                </c:pt>
                <c:pt idx="4904">
                  <c:v>161964408</c:v>
                </c:pt>
                <c:pt idx="4905">
                  <c:v>161997435</c:v>
                </c:pt>
                <c:pt idx="4906">
                  <c:v>162030462</c:v>
                </c:pt>
                <c:pt idx="4907">
                  <c:v>162063489</c:v>
                </c:pt>
                <c:pt idx="4908">
                  <c:v>162096516</c:v>
                </c:pt>
                <c:pt idx="4909">
                  <c:v>162129543</c:v>
                </c:pt>
                <c:pt idx="4910">
                  <c:v>162162570</c:v>
                </c:pt>
                <c:pt idx="4911">
                  <c:v>162195597</c:v>
                </c:pt>
                <c:pt idx="4912">
                  <c:v>162228624</c:v>
                </c:pt>
                <c:pt idx="4913">
                  <c:v>162261651</c:v>
                </c:pt>
                <c:pt idx="4914">
                  <c:v>162294678</c:v>
                </c:pt>
                <c:pt idx="4915">
                  <c:v>162327705</c:v>
                </c:pt>
                <c:pt idx="4916">
                  <c:v>162360732</c:v>
                </c:pt>
                <c:pt idx="4917">
                  <c:v>162393759</c:v>
                </c:pt>
                <c:pt idx="4918">
                  <c:v>162426786</c:v>
                </c:pt>
                <c:pt idx="4919">
                  <c:v>162459813</c:v>
                </c:pt>
                <c:pt idx="4920">
                  <c:v>162492840</c:v>
                </c:pt>
                <c:pt idx="4921">
                  <c:v>162525867</c:v>
                </c:pt>
                <c:pt idx="4922">
                  <c:v>162558894</c:v>
                </c:pt>
                <c:pt idx="4923">
                  <c:v>162591921</c:v>
                </c:pt>
                <c:pt idx="4924">
                  <c:v>162624948</c:v>
                </c:pt>
                <c:pt idx="4925">
                  <c:v>162657975</c:v>
                </c:pt>
                <c:pt idx="4926">
                  <c:v>162691002</c:v>
                </c:pt>
                <c:pt idx="4927">
                  <c:v>162724029</c:v>
                </c:pt>
                <c:pt idx="4928">
                  <c:v>162757056</c:v>
                </c:pt>
                <c:pt idx="4929">
                  <c:v>162790083</c:v>
                </c:pt>
                <c:pt idx="4930">
                  <c:v>162823110</c:v>
                </c:pt>
                <c:pt idx="4931">
                  <c:v>162856137</c:v>
                </c:pt>
                <c:pt idx="4932">
                  <c:v>162889164</c:v>
                </c:pt>
                <c:pt idx="4933">
                  <c:v>162922191</c:v>
                </c:pt>
                <c:pt idx="4934">
                  <c:v>162955218</c:v>
                </c:pt>
                <c:pt idx="4935">
                  <c:v>162988245</c:v>
                </c:pt>
                <c:pt idx="4936">
                  <c:v>163021272</c:v>
                </c:pt>
                <c:pt idx="4937">
                  <c:v>163054299</c:v>
                </c:pt>
                <c:pt idx="4938">
                  <c:v>163087326</c:v>
                </c:pt>
                <c:pt idx="4939">
                  <c:v>163120353</c:v>
                </c:pt>
                <c:pt idx="4940">
                  <c:v>163153380</c:v>
                </c:pt>
                <c:pt idx="4941">
                  <c:v>163186407</c:v>
                </c:pt>
                <c:pt idx="4942">
                  <c:v>163219434</c:v>
                </c:pt>
                <c:pt idx="4943">
                  <c:v>163252461</c:v>
                </c:pt>
                <c:pt idx="4944">
                  <c:v>163285488</c:v>
                </c:pt>
                <c:pt idx="4945">
                  <c:v>163318515</c:v>
                </c:pt>
                <c:pt idx="4946">
                  <c:v>163351542</c:v>
                </c:pt>
                <c:pt idx="4947">
                  <c:v>163384569</c:v>
                </c:pt>
                <c:pt idx="4948">
                  <c:v>163417596</c:v>
                </c:pt>
                <c:pt idx="4949">
                  <c:v>163450623</c:v>
                </c:pt>
                <c:pt idx="4950">
                  <c:v>163483650</c:v>
                </c:pt>
                <c:pt idx="4951">
                  <c:v>163516677</c:v>
                </c:pt>
                <c:pt idx="4952">
                  <c:v>163549704</c:v>
                </c:pt>
                <c:pt idx="4953">
                  <c:v>163582731</c:v>
                </c:pt>
                <c:pt idx="4954">
                  <c:v>163615758</c:v>
                </c:pt>
                <c:pt idx="4955">
                  <c:v>163648785</c:v>
                </c:pt>
                <c:pt idx="4956">
                  <c:v>163681812</c:v>
                </c:pt>
                <c:pt idx="4957">
                  <c:v>163714839</c:v>
                </c:pt>
                <c:pt idx="4958">
                  <c:v>163747866</c:v>
                </c:pt>
                <c:pt idx="4959">
                  <c:v>163780893</c:v>
                </c:pt>
                <c:pt idx="4960">
                  <c:v>163813920</c:v>
                </c:pt>
                <c:pt idx="4961">
                  <c:v>163846947</c:v>
                </c:pt>
                <c:pt idx="4962">
                  <c:v>163879974</c:v>
                </c:pt>
                <c:pt idx="4963">
                  <c:v>163913001</c:v>
                </c:pt>
                <c:pt idx="4964">
                  <c:v>163946028</c:v>
                </c:pt>
                <c:pt idx="4965">
                  <c:v>163979055</c:v>
                </c:pt>
                <c:pt idx="4966">
                  <c:v>164012082</c:v>
                </c:pt>
                <c:pt idx="4967">
                  <c:v>164045109</c:v>
                </c:pt>
                <c:pt idx="4968">
                  <c:v>164078136</c:v>
                </c:pt>
                <c:pt idx="4969">
                  <c:v>164111163</c:v>
                </c:pt>
                <c:pt idx="4970">
                  <c:v>164144190</c:v>
                </c:pt>
                <c:pt idx="4971">
                  <c:v>164177217</c:v>
                </c:pt>
                <c:pt idx="4972">
                  <c:v>164210244</c:v>
                </c:pt>
                <c:pt idx="4973">
                  <c:v>164243271</c:v>
                </c:pt>
                <c:pt idx="4974">
                  <c:v>164276298</c:v>
                </c:pt>
                <c:pt idx="4975">
                  <c:v>164309325</c:v>
                </c:pt>
                <c:pt idx="4976">
                  <c:v>164342352</c:v>
                </c:pt>
                <c:pt idx="4977">
                  <c:v>164375379</c:v>
                </c:pt>
                <c:pt idx="4978">
                  <c:v>164408406</c:v>
                </c:pt>
                <c:pt idx="4979">
                  <c:v>164441433</c:v>
                </c:pt>
                <c:pt idx="4980">
                  <c:v>164474460</c:v>
                </c:pt>
                <c:pt idx="4981">
                  <c:v>164507487</c:v>
                </c:pt>
                <c:pt idx="4982">
                  <c:v>164540514</c:v>
                </c:pt>
                <c:pt idx="4983">
                  <c:v>164573541</c:v>
                </c:pt>
                <c:pt idx="4984">
                  <c:v>164606568</c:v>
                </c:pt>
                <c:pt idx="4985">
                  <c:v>164639595</c:v>
                </c:pt>
                <c:pt idx="4986">
                  <c:v>164672622</c:v>
                </c:pt>
                <c:pt idx="4987">
                  <c:v>164705649</c:v>
                </c:pt>
                <c:pt idx="4988">
                  <c:v>164738676</c:v>
                </c:pt>
                <c:pt idx="4989">
                  <c:v>164771703</c:v>
                </c:pt>
                <c:pt idx="4990">
                  <c:v>164804730</c:v>
                </c:pt>
                <c:pt idx="4991">
                  <c:v>164837757</c:v>
                </c:pt>
                <c:pt idx="4992">
                  <c:v>164870784</c:v>
                </c:pt>
                <c:pt idx="4993">
                  <c:v>164903811</c:v>
                </c:pt>
                <c:pt idx="4994">
                  <c:v>164936838</c:v>
                </c:pt>
                <c:pt idx="4995">
                  <c:v>164969865</c:v>
                </c:pt>
                <c:pt idx="4996">
                  <c:v>165002892</c:v>
                </c:pt>
                <c:pt idx="4997">
                  <c:v>165035919</c:v>
                </c:pt>
                <c:pt idx="4998">
                  <c:v>165068946</c:v>
                </c:pt>
                <c:pt idx="4999">
                  <c:v>165101973</c:v>
                </c:pt>
                <c:pt idx="5000">
                  <c:v>165135000</c:v>
                </c:pt>
                <c:pt idx="5001">
                  <c:v>165168027</c:v>
                </c:pt>
                <c:pt idx="5002">
                  <c:v>165201054</c:v>
                </c:pt>
                <c:pt idx="5003">
                  <c:v>165234081</c:v>
                </c:pt>
                <c:pt idx="5004">
                  <c:v>165267108</c:v>
                </c:pt>
                <c:pt idx="5005">
                  <c:v>165300135</c:v>
                </c:pt>
                <c:pt idx="5006">
                  <c:v>165333162</c:v>
                </c:pt>
                <c:pt idx="5007">
                  <c:v>165366189</c:v>
                </c:pt>
                <c:pt idx="5008">
                  <c:v>165399216</c:v>
                </c:pt>
                <c:pt idx="5009">
                  <c:v>165432243</c:v>
                </c:pt>
                <c:pt idx="5010">
                  <c:v>165465270</c:v>
                </c:pt>
                <c:pt idx="5011">
                  <c:v>165498297</c:v>
                </c:pt>
                <c:pt idx="5012">
                  <c:v>165531324</c:v>
                </c:pt>
                <c:pt idx="5013">
                  <c:v>165564351</c:v>
                </c:pt>
                <c:pt idx="5014">
                  <c:v>165597378</c:v>
                </c:pt>
                <c:pt idx="5015">
                  <c:v>165630405</c:v>
                </c:pt>
                <c:pt idx="5016">
                  <c:v>165663432</c:v>
                </c:pt>
                <c:pt idx="5017">
                  <c:v>165696459</c:v>
                </c:pt>
                <c:pt idx="5018">
                  <c:v>165729486</c:v>
                </c:pt>
                <c:pt idx="5019">
                  <c:v>165762513</c:v>
                </c:pt>
                <c:pt idx="5020">
                  <c:v>165795540</c:v>
                </c:pt>
                <c:pt idx="5021">
                  <c:v>165828567</c:v>
                </c:pt>
                <c:pt idx="5022">
                  <c:v>165861594</c:v>
                </c:pt>
                <c:pt idx="5023">
                  <c:v>165894621</c:v>
                </c:pt>
                <c:pt idx="5024">
                  <c:v>165927648</c:v>
                </c:pt>
                <c:pt idx="5025">
                  <c:v>165960675</c:v>
                </c:pt>
                <c:pt idx="5026">
                  <c:v>165993702</c:v>
                </c:pt>
                <c:pt idx="5027">
                  <c:v>166026729</c:v>
                </c:pt>
                <c:pt idx="5028">
                  <c:v>166059756</c:v>
                </c:pt>
                <c:pt idx="5029">
                  <c:v>166092783</c:v>
                </c:pt>
                <c:pt idx="5030">
                  <c:v>166125810</c:v>
                </c:pt>
                <c:pt idx="5031">
                  <c:v>166158837</c:v>
                </c:pt>
                <c:pt idx="5032">
                  <c:v>166191864</c:v>
                </c:pt>
                <c:pt idx="5033">
                  <c:v>166224891</c:v>
                </c:pt>
                <c:pt idx="5034">
                  <c:v>166257918</c:v>
                </c:pt>
                <c:pt idx="5035">
                  <c:v>166290945</c:v>
                </c:pt>
                <c:pt idx="5036">
                  <c:v>166323972</c:v>
                </c:pt>
                <c:pt idx="5037">
                  <c:v>166356999</c:v>
                </c:pt>
                <c:pt idx="5038">
                  <c:v>166390026</c:v>
                </c:pt>
                <c:pt idx="5039">
                  <c:v>166423053</c:v>
                </c:pt>
                <c:pt idx="5040">
                  <c:v>166456080</c:v>
                </c:pt>
                <c:pt idx="5041">
                  <c:v>166489107</c:v>
                </c:pt>
                <c:pt idx="5042">
                  <c:v>166522134</c:v>
                </c:pt>
                <c:pt idx="5043">
                  <c:v>166555161</c:v>
                </c:pt>
                <c:pt idx="5044">
                  <c:v>166588188</c:v>
                </c:pt>
                <c:pt idx="5045">
                  <c:v>166621215</c:v>
                </c:pt>
                <c:pt idx="5046">
                  <c:v>166654242</c:v>
                </c:pt>
                <c:pt idx="5047">
                  <c:v>166687269</c:v>
                </c:pt>
                <c:pt idx="5048">
                  <c:v>166720296</c:v>
                </c:pt>
                <c:pt idx="5049">
                  <c:v>166753323</c:v>
                </c:pt>
                <c:pt idx="5050">
                  <c:v>166786350</c:v>
                </c:pt>
                <c:pt idx="5051">
                  <c:v>166819377</c:v>
                </c:pt>
                <c:pt idx="5052">
                  <c:v>166852404</c:v>
                </c:pt>
                <c:pt idx="5053">
                  <c:v>166885431</c:v>
                </c:pt>
                <c:pt idx="5054">
                  <c:v>166918458</c:v>
                </c:pt>
                <c:pt idx="5055">
                  <c:v>166951485</c:v>
                </c:pt>
                <c:pt idx="5056">
                  <c:v>166984512</c:v>
                </c:pt>
                <c:pt idx="5057">
                  <c:v>167017539</c:v>
                </c:pt>
                <c:pt idx="5058">
                  <c:v>167050566</c:v>
                </c:pt>
                <c:pt idx="5059">
                  <c:v>167083593</c:v>
                </c:pt>
                <c:pt idx="5060">
                  <c:v>167116620</c:v>
                </c:pt>
                <c:pt idx="5061">
                  <c:v>167149647</c:v>
                </c:pt>
                <c:pt idx="5062">
                  <c:v>167182674</c:v>
                </c:pt>
                <c:pt idx="5063">
                  <c:v>167215701</c:v>
                </c:pt>
                <c:pt idx="5064">
                  <c:v>167248728</c:v>
                </c:pt>
                <c:pt idx="5065">
                  <c:v>167281755</c:v>
                </c:pt>
                <c:pt idx="5066">
                  <c:v>167314782</c:v>
                </c:pt>
                <c:pt idx="5067">
                  <c:v>167347809</c:v>
                </c:pt>
                <c:pt idx="5068">
                  <c:v>167380836</c:v>
                </c:pt>
                <c:pt idx="5069">
                  <c:v>167413863</c:v>
                </c:pt>
                <c:pt idx="5070">
                  <c:v>167446890</c:v>
                </c:pt>
                <c:pt idx="5071">
                  <c:v>167479917</c:v>
                </c:pt>
                <c:pt idx="5072">
                  <c:v>167512944</c:v>
                </c:pt>
                <c:pt idx="5073">
                  <c:v>167545971</c:v>
                </c:pt>
                <c:pt idx="5074">
                  <c:v>167578998</c:v>
                </c:pt>
                <c:pt idx="5075">
                  <c:v>167612025</c:v>
                </c:pt>
                <c:pt idx="5076">
                  <c:v>167645052</c:v>
                </c:pt>
                <c:pt idx="5077">
                  <c:v>167678079</c:v>
                </c:pt>
                <c:pt idx="5078">
                  <c:v>167711106</c:v>
                </c:pt>
                <c:pt idx="5079">
                  <c:v>167744133</c:v>
                </c:pt>
                <c:pt idx="5080">
                  <c:v>167777160</c:v>
                </c:pt>
                <c:pt idx="5081">
                  <c:v>167810187</c:v>
                </c:pt>
                <c:pt idx="5082">
                  <c:v>167843214</c:v>
                </c:pt>
                <c:pt idx="5083">
                  <c:v>167876241</c:v>
                </c:pt>
                <c:pt idx="5084">
                  <c:v>167909268</c:v>
                </c:pt>
                <c:pt idx="5085">
                  <c:v>167942295</c:v>
                </c:pt>
                <c:pt idx="5086">
                  <c:v>167975322</c:v>
                </c:pt>
                <c:pt idx="5087">
                  <c:v>168008349</c:v>
                </c:pt>
                <c:pt idx="5088">
                  <c:v>168041376</c:v>
                </c:pt>
                <c:pt idx="5089">
                  <c:v>168074403</c:v>
                </c:pt>
                <c:pt idx="5090">
                  <c:v>168107430</c:v>
                </c:pt>
                <c:pt idx="5091">
                  <c:v>168140457</c:v>
                </c:pt>
                <c:pt idx="5092">
                  <c:v>168173484</c:v>
                </c:pt>
                <c:pt idx="5093">
                  <c:v>168206511</c:v>
                </c:pt>
                <c:pt idx="5094">
                  <c:v>168239538</c:v>
                </c:pt>
                <c:pt idx="5095">
                  <c:v>168272565</c:v>
                </c:pt>
                <c:pt idx="5096">
                  <c:v>168305592</c:v>
                </c:pt>
                <c:pt idx="5097">
                  <c:v>168338619</c:v>
                </c:pt>
                <c:pt idx="5098">
                  <c:v>168371646</c:v>
                </c:pt>
                <c:pt idx="5099">
                  <c:v>168404673</c:v>
                </c:pt>
                <c:pt idx="5100">
                  <c:v>168437700</c:v>
                </c:pt>
                <c:pt idx="5101">
                  <c:v>168470727</c:v>
                </c:pt>
                <c:pt idx="5102">
                  <c:v>168503754</c:v>
                </c:pt>
                <c:pt idx="5103">
                  <c:v>168536781</c:v>
                </c:pt>
                <c:pt idx="5104">
                  <c:v>168569808</c:v>
                </c:pt>
                <c:pt idx="5105">
                  <c:v>168602835</c:v>
                </c:pt>
                <c:pt idx="5106">
                  <c:v>168635862</c:v>
                </c:pt>
                <c:pt idx="5107">
                  <c:v>168668889</c:v>
                </c:pt>
                <c:pt idx="5108">
                  <c:v>168701916</c:v>
                </c:pt>
                <c:pt idx="5109">
                  <c:v>168734943</c:v>
                </c:pt>
                <c:pt idx="5110">
                  <c:v>168767970</c:v>
                </c:pt>
                <c:pt idx="5111">
                  <c:v>168800997</c:v>
                </c:pt>
                <c:pt idx="5112">
                  <c:v>168834024</c:v>
                </c:pt>
                <c:pt idx="5113">
                  <c:v>168867051</c:v>
                </c:pt>
                <c:pt idx="5114">
                  <c:v>168900078</c:v>
                </c:pt>
                <c:pt idx="5115">
                  <c:v>168933105</c:v>
                </c:pt>
                <c:pt idx="5116">
                  <c:v>168966132</c:v>
                </c:pt>
                <c:pt idx="5117">
                  <c:v>168999159</c:v>
                </c:pt>
                <c:pt idx="5118">
                  <c:v>169032186</c:v>
                </c:pt>
                <c:pt idx="5119">
                  <c:v>169065213</c:v>
                </c:pt>
                <c:pt idx="5120">
                  <c:v>169098240</c:v>
                </c:pt>
                <c:pt idx="5121">
                  <c:v>169131267</c:v>
                </c:pt>
                <c:pt idx="5122">
                  <c:v>169164294</c:v>
                </c:pt>
                <c:pt idx="5123">
                  <c:v>169197321</c:v>
                </c:pt>
                <c:pt idx="5124">
                  <c:v>169230348</c:v>
                </c:pt>
                <c:pt idx="5125">
                  <c:v>169263375</c:v>
                </c:pt>
                <c:pt idx="5126">
                  <c:v>169296402</c:v>
                </c:pt>
                <c:pt idx="5127">
                  <c:v>169329429</c:v>
                </c:pt>
                <c:pt idx="5128">
                  <c:v>169362456</c:v>
                </c:pt>
                <c:pt idx="5129">
                  <c:v>169395483</c:v>
                </c:pt>
                <c:pt idx="5130">
                  <c:v>169428510</c:v>
                </c:pt>
                <c:pt idx="5131">
                  <c:v>169461537</c:v>
                </c:pt>
                <c:pt idx="5132">
                  <c:v>169494564</c:v>
                </c:pt>
                <c:pt idx="5133">
                  <c:v>169527591</c:v>
                </c:pt>
                <c:pt idx="5134">
                  <c:v>169560618</c:v>
                </c:pt>
                <c:pt idx="5135">
                  <c:v>169593645</c:v>
                </c:pt>
                <c:pt idx="5136">
                  <c:v>169626672</c:v>
                </c:pt>
                <c:pt idx="5137">
                  <c:v>169659699</c:v>
                </c:pt>
                <c:pt idx="5138">
                  <c:v>169692726</c:v>
                </c:pt>
                <c:pt idx="5139">
                  <c:v>169725753</c:v>
                </c:pt>
                <c:pt idx="5140">
                  <c:v>169758780</c:v>
                </c:pt>
                <c:pt idx="5141">
                  <c:v>169791807</c:v>
                </c:pt>
                <c:pt idx="5142">
                  <c:v>169824834</c:v>
                </c:pt>
                <c:pt idx="5143">
                  <c:v>169857861</c:v>
                </c:pt>
                <c:pt idx="5144">
                  <c:v>169890888</c:v>
                </c:pt>
                <c:pt idx="5145">
                  <c:v>169923915</c:v>
                </c:pt>
                <c:pt idx="5146">
                  <c:v>169956942</c:v>
                </c:pt>
                <c:pt idx="5147">
                  <c:v>169989969</c:v>
                </c:pt>
                <c:pt idx="5148">
                  <c:v>170022996</c:v>
                </c:pt>
                <c:pt idx="5149">
                  <c:v>170056023</c:v>
                </c:pt>
                <c:pt idx="5150">
                  <c:v>170089050</c:v>
                </c:pt>
                <c:pt idx="5151">
                  <c:v>170122077</c:v>
                </c:pt>
                <c:pt idx="5152">
                  <c:v>170155104</c:v>
                </c:pt>
                <c:pt idx="5153">
                  <c:v>170188131</c:v>
                </c:pt>
                <c:pt idx="5154">
                  <c:v>170221158</c:v>
                </c:pt>
                <c:pt idx="5155">
                  <c:v>170254185</c:v>
                </c:pt>
                <c:pt idx="5156">
                  <c:v>170287212</c:v>
                </c:pt>
                <c:pt idx="5157">
                  <c:v>170320239</c:v>
                </c:pt>
                <c:pt idx="5158">
                  <c:v>170353266</c:v>
                </c:pt>
                <c:pt idx="5159">
                  <c:v>170386293</c:v>
                </c:pt>
                <c:pt idx="5160">
                  <c:v>170419320</c:v>
                </c:pt>
                <c:pt idx="5161">
                  <c:v>170452347</c:v>
                </c:pt>
                <c:pt idx="5162">
                  <c:v>170485374</c:v>
                </c:pt>
                <c:pt idx="5163">
                  <c:v>170518401</c:v>
                </c:pt>
                <c:pt idx="5164">
                  <c:v>170551428</c:v>
                </c:pt>
                <c:pt idx="5165">
                  <c:v>170584455</c:v>
                </c:pt>
                <c:pt idx="5166">
                  <c:v>170617482</c:v>
                </c:pt>
                <c:pt idx="5167">
                  <c:v>170650509</c:v>
                </c:pt>
                <c:pt idx="5168">
                  <c:v>170683536</c:v>
                </c:pt>
                <c:pt idx="5169">
                  <c:v>170716563</c:v>
                </c:pt>
                <c:pt idx="5170">
                  <c:v>170749590</c:v>
                </c:pt>
                <c:pt idx="5171">
                  <c:v>170782617</c:v>
                </c:pt>
                <c:pt idx="5172">
                  <c:v>170815644</c:v>
                </c:pt>
                <c:pt idx="5173">
                  <c:v>170848671</c:v>
                </c:pt>
                <c:pt idx="5174">
                  <c:v>170881698</c:v>
                </c:pt>
                <c:pt idx="5175">
                  <c:v>170914725</c:v>
                </c:pt>
                <c:pt idx="5176">
                  <c:v>170947752</c:v>
                </c:pt>
                <c:pt idx="5177">
                  <c:v>170980779</c:v>
                </c:pt>
                <c:pt idx="5178">
                  <c:v>171013806</c:v>
                </c:pt>
                <c:pt idx="5179">
                  <c:v>171046833</c:v>
                </c:pt>
                <c:pt idx="5180">
                  <c:v>171079860</c:v>
                </c:pt>
                <c:pt idx="5181">
                  <c:v>171112887</c:v>
                </c:pt>
                <c:pt idx="5182">
                  <c:v>171145914</c:v>
                </c:pt>
                <c:pt idx="5183">
                  <c:v>171178941</c:v>
                </c:pt>
                <c:pt idx="5184">
                  <c:v>171211968</c:v>
                </c:pt>
                <c:pt idx="5185">
                  <c:v>171244995</c:v>
                </c:pt>
                <c:pt idx="5186">
                  <c:v>171278022</c:v>
                </c:pt>
                <c:pt idx="5187">
                  <c:v>171311049</c:v>
                </c:pt>
                <c:pt idx="5188">
                  <c:v>171344076</c:v>
                </c:pt>
                <c:pt idx="5189">
                  <c:v>171377103</c:v>
                </c:pt>
                <c:pt idx="5190">
                  <c:v>171410130</c:v>
                </c:pt>
                <c:pt idx="5191">
                  <c:v>171443157</c:v>
                </c:pt>
                <c:pt idx="5192">
                  <c:v>171476184</c:v>
                </c:pt>
                <c:pt idx="5193">
                  <c:v>171509211</c:v>
                </c:pt>
                <c:pt idx="5194">
                  <c:v>171542238</c:v>
                </c:pt>
                <c:pt idx="5195">
                  <c:v>171575265</c:v>
                </c:pt>
                <c:pt idx="5196">
                  <c:v>171608292</c:v>
                </c:pt>
                <c:pt idx="5197">
                  <c:v>171641319</c:v>
                </c:pt>
                <c:pt idx="5198">
                  <c:v>171674346</c:v>
                </c:pt>
                <c:pt idx="5199">
                  <c:v>171707373</c:v>
                </c:pt>
                <c:pt idx="5200">
                  <c:v>171740400</c:v>
                </c:pt>
                <c:pt idx="5201">
                  <c:v>171773427</c:v>
                </c:pt>
                <c:pt idx="5202">
                  <c:v>171806454</c:v>
                </c:pt>
                <c:pt idx="5203">
                  <c:v>171839481</c:v>
                </c:pt>
                <c:pt idx="5204">
                  <c:v>171872508</c:v>
                </c:pt>
                <c:pt idx="5205">
                  <c:v>171905535</c:v>
                </c:pt>
                <c:pt idx="5206">
                  <c:v>171938562</c:v>
                </c:pt>
                <c:pt idx="5207">
                  <c:v>171971589</c:v>
                </c:pt>
                <c:pt idx="5208">
                  <c:v>172004616</c:v>
                </c:pt>
                <c:pt idx="5209">
                  <c:v>172037643</c:v>
                </c:pt>
                <c:pt idx="5210">
                  <c:v>172070670</c:v>
                </c:pt>
                <c:pt idx="5211">
                  <c:v>172103697</c:v>
                </c:pt>
                <c:pt idx="5212">
                  <c:v>172136724</c:v>
                </c:pt>
                <c:pt idx="5213">
                  <c:v>172169751</c:v>
                </c:pt>
                <c:pt idx="5214">
                  <c:v>172202778</c:v>
                </c:pt>
                <c:pt idx="5215">
                  <c:v>172235805</c:v>
                </c:pt>
                <c:pt idx="5216">
                  <c:v>172268832</c:v>
                </c:pt>
                <c:pt idx="5217">
                  <c:v>172301859</c:v>
                </c:pt>
                <c:pt idx="5218">
                  <c:v>172334886</c:v>
                </c:pt>
                <c:pt idx="5219">
                  <c:v>172367913</c:v>
                </c:pt>
                <c:pt idx="5220">
                  <c:v>172400940</c:v>
                </c:pt>
                <c:pt idx="5221">
                  <c:v>172433967</c:v>
                </c:pt>
                <c:pt idx="5222">
                  <c:v>172466994</c:v>
                </c:pt>
                <c:pt idx="5223">
                  <c:v>172500021</c:v>
                </c:pt>
                <c:pt idx="5224">
                  <c:v>172533048</c:v>
                </c:pt>
                <c:pt idx="5225">
                  <c:v>172566075</c:v>
                </c:pt>
                <c:pt idx="5226">
                  <c:v>172599102</c:v>
                </c:pt>
                <c:pt idx="5227">
                  <c:v>172632129</c:v>
                </c:pt>
                <c:pt idx="5228">
                  <c:v>172665156</c:v>
                </c:pt>
                <c:pt idx="5229">
                  <c:v>172698183</c:v>
                </c:pt>
                <c:pt idx="5230">
                  <c:v>172731210</c:v>
                </c:pt>
                <c:pt idx="5231">
                  <c:v>172764237</c:v>
                </c:pt>
                <c:pt idx="5232">
                  <c:v>172797264</c:v>
                </c:pt>
                <c:pt idx="5233">
                  <c:v>172830291</c:v>
                </c:pt>
                <c:pt idx="5234">
                  <c:v>172863318</c:v>
                </c:pt>
                <c:pt idx="5235">
                  <c:v>172896345</c:v>
                </c:pt>
                <c:pt idx="5236">
                  <c:v>172929372</c:v>
                </c:pt>
                <c:pt idx="5237">
                  <c:v>172962399</c:v>
                </c:pt>
                <c:pt idx="5238">
                  <c:v>172995426</c:v>
                </c:pt>
                <c:pt idx="5239">
                  <c:v>173028453</c:v>
                </c:pt>
                <c:pt idx="5240">
                  <c:v>173061480</c:v>
                </c:pt>
                <c:pt idx="5241">
                  <c:v>173094507</c:v>
                </c:pt>
                <c:pt idx="5242">
                  <c:v>173127534</c:v>
                </c:pt>
                <c:pt idx="5243">
                  <c:v>173160561</c:v>
                </c:pt>
                <c:pt idx="5244">
                  <c:v>173193588</c:v>
                </c:pt>
                <c:pt idx="5245">
                  <c:v>173226615</c:v>
                </c:pt>
                <c:pt idx="5246">
                  <c:v>173259642</c:v>
                </c:pt>
                <c:pt idx="5247">
                  <c:v>173292669</c:v>
                </c:pt>
                <c:pt idx="5248">
                  <c:v>173325696</c:v>
                </c:pt>
                <c:pt idx="5249">
                  <c:v>173358723</c:v>
                </c:pt>
                <c:pt idx="5250">
                  <c:v>173391750</c:v>
                </c:pt>
                <c:pt idx="5251">
                  <c:v>173424777</c:v>
                </c:pt>
                <c:pt idx="5252">
                  <c:v>173457804</c:v>
                </c:pt>
                <c:pt idx="5253">
                  <c:v>173490831</c:v>
                </c:pt>
                <c:pt idx="5254">
                  <c:v>173523858</c:v>
                </c:pt>
                <c:pt idx="5255">
                  <c:v>173556885</c:v>
                </c:pt>
                <c:pt idx="5256">
                  <c:v>173589912</c:v>
                </c:pt>
                <c:pt idx="5257">
                  <c:v>173622939</c:v>
                </c:pt>
                <c:pt idx="5258">
                  <c:v>173655966</c:v>
                </c:pt>
                <c:pt idx="5259">
                  <c:v>173688993</c:v>
                </c:pt>
                <c:pt idx="5260">
                  <c:v>173722020</c:v>
                </c:pt>
                <c:pt idx="5261">
                  <c:v>173755047</c:v>
                </c:pt>
                <c:pt idx="5262">
                  <c:v>173788074</c:v>
                </c:pt>
                <c:pt idx="5263">
                  <c:v>173821101</c:v>
                </c:pt>
                <c:pt idx="5264">
                  <c:v>173854128</c:v>
                </c:pt>
                <c:pt idx="5265">
                  <c:v>173887155</c:v>
                </c:pt>
                <c:pt idx="5266">
                  <c:v>173920182</c:v>
                </c:pt>
                <c:pt idx="5267">
                  <c:v>173953209</c:v>
                </c:pt>
                <c:pt idx="5268">
                  <c:v>173986236</c:v>
                </c:pt>
                <c:pt idx="5269">
                  <c:v>174019263</c:v>
                </c:pt>
                <c:pt idx="5270">
                  <c:v>174052290</c:v>
                </c:pt>
                <c:pt idx="5271">
                  <c:v>174085317</c:v>
                </c:pt>
                <c:pt idx="5272">
                  <c:v>174118344</c:v>
                </c:pt>
                <c:pt idx="5273">
                  <c:v>174151371</c:v>
                </c:pt>
                <c:pt idx="5274">
                  <c:v>174184398</c:v>
                </c:pt>
                <c:pt idx="5275">
                  <c:v>174217425</c:v>
                </c:pt>
                <c:pt idx="5276">
                  <c:v>174250452</c:v>
                </c:pt>
                <c:pt idx="5277">
                  <c:v>174283479</c:v>
                </c:pt>
                <c:pt idx="5278">
                  <c:v>174316506</c:v>
                </c:pt>
                <c:pt idx="5279">
                  <c:v>174349533</c:v>
                </c:pt>
                <c:pt idx="5280">
                  <c:v>174382560</c:v>
                </c:pt>
                <c:pt idx="5281">
                  <c:v>174415587</c:v>
                </c:pt>
                <c:pt idx="5282">
                  <c:v>174448614</c:v>
                </c:pt>
                <c:pt idx="5283">
                  <c:v>174481641</c:v>
                </c:pt>
                <c:pt idx="5284">
                  <c:v>174514668</c:v>
                </c:pt>
                <c:pt idx="5285">
                  <c:v>174547695</c:v>
                </c:pt>
                <c:pt idx="5286">
                  <c:v>174580722</c:v>
                </c:pt>
                <c:pt idx="5287">
                  <c:v>174613749</c:v>
                </c:pt>
                <c:pt idx="5288">
                  <c:v>174646776</c:v>
                </c:pt>
                <c:pt idx="5289">
                  <c:v>174679803</c:v>
                </c:pt>
                <c:pt idx="5290">
                  <c:v>174712830</c:v>
                </c:pt>
                <c:pt idx="5291">
                  <c:v>174745857</c:v>
                </c:pt>
                <c:pt idx="5292">
                  <c:v>174778884</c:v>
                </c:pt>
                <c:pt idx="5293">
                  <c:v>174811911</c:v>
                </c:pt>
                <c:pt idx="5294">
                  <c:v>174844938</c:v>
                </c:pt>
                <c:pt idx="5295">
                  <c:v>174877965</c:v>
                </c:pt>
                <c:pt idx="5296">
                  <c:v>174910992</c:v>
                </c:pt>
                <c:pt idx="5297">
                  <c:v>174944019</c:v>
                </c:pt>
                <c:pt idx="5298">
                  <c:v>174977046</c:v>
                </c:pt>
                <c:pt idx="5299">
                  <c:v>175010073</c:v>
                </c:pt>
                <c:pt idx="5300">
                  <c:v>175043100</c:v>
                </c:pt>
                <c:pt idx="5301">
                  <c:v>175076127</c:v>
                </c:pt>
                <c:pt idx="5302">
                  <c:v>175109154</c:v>
                </c:pt>
                <c:pt idx="5303">
                  <c:v>175142181</c:v>
                </c:pt>
                <c:pt idx="5304">
                  <c:v>175175208</c:v>
                </c:pt>
                <c:pt idx="5305">
                  <c:v>175208235</c:v>
                </c:pt>
                <c:pt idx="5306">
                  <c:v>175241262</c:v>
                </c:pt>
                <c:pt idx="5307">
                  <c:v>175274289</c:v>
                </c:pt>
                <c:pt idx="5308">
                  <c:v>175307316</c:v>
                </c:pt>
                <c:pt idx="5309">
                  <c:v>175340343</c:v>
                </c:pt>
                <c:pt idx="5310">
                  <c:v>175373370</c:v>
                </c:pt>
                <c:pt idx="5311">
                  <c:v>175406397</c:v>
                </c:pt>
                <c:pt idx="5312">
                  <c:v>175439424</c:v>
                </c:pt>
                <c:pt idx="5313">
                  <c:v>175472451</c:v>
                </c:pt>
                <c:pt idx="5314">
                  <c:v>175505478</c:v>
                </c:pt>
                <c:pt idx="5315">
                  <c:v>175538505</c:v>
                </c:pt>
                <c:pt idx="5316">
                  <c:v>175571532</c:v>
                </c:pt>
                <c:pt idx="5317">
                  <c:v>175604559</c:v>
                </c:pt>
                <c:pt idx="5318">
                  <c:v>175637586</c:v>
                </c:pt>
                <c:pt idx="5319">
                  <c:v>175670613</c:v>
                </c:pt>
                <c:pt idx="5320">
                  <c:v>175703640</c:v>
                </c:pt>
                <c:pt idx="5321">
                  <c:v>175736667</c:v>
                </c:pt>
                <c:pt idx="5322">
                  <c:v>175769694</c:v>
                </c:pt>
                <c:pt idx="5323">
                  <c:v>175802721</c:v>
                </c:pt>
                <c:pt idx="5324">
                  <c:v>175835748</c:v>
                </c:pt>
                <c:pt idx="5325">
                  <c:v>175868775</c:v>
                </c:pt>
                <c:pt idx="5326">
                  <c:v>175901802</c:v>
                </c:pt>
                <c:pt idx="5327">
                  <c:v>175934829</c:v>
                </c:pt>
                <c:pt idx="5328">
                  <c:v>175967856</c:v>
                </c:pt>
                <c:pt idx="5329">
                  <c:v>176000883</c:v>
                </c:pt>
                <c:pt idx="5330">
                  <c:v>176033910</c:v>
                </c:pt>
                <c:pt idx="5331">
                  <c:v>176066937</c:v>
                </c:pt>
                <c:pt idx="5332">
                  <c:v>176099964</c:v>
                </c:pt>
                <c:pt idx="5333">
                  <c:v>176132991</c:v>
                </c:pt>
                <c:pt idx="5334">
                  <c:v>176166018</c:v>
                </c:pt>
                <c:pt idx="5335">
                  <c:v>176199045</c:v>
                </c:pt>
                <c:pt idx="5336">
                  <c:v>176232072</c:v>
                </c:pt>
                <c:pt idx="5337">
                  <c:v>176265099</c:v>
                </c:pt>
                <c:pt idx="5338">
                  <c:v>176298126</c:v>
                </c:pt>
                <c:pt idx="5339">
                  <c:v>176331153</c:v>
                </c:pt>
                <c:pt idx="5340">
                  <c:v>176364180</c:v>
                </c:pt>
                <c:pt idx="5341">
                  <c:v>176397207</c:v>
                </c:pt>
                <c:pt idx="5342">
                  <c:v>176430234</c:v>
                </c:pt>
                <c:pt idx="5343">
                  <c:v>176463261</c:v>
                </c:pt>
                <c:pt idx="5344">
                  <c:v>176496288</c:v>
                </c:pt>
                <c:pt idx="5345">
                  <c:v>176529315</c:v>
                </c:pt>
                <c:pt idx="5346">
                  <c:v>176562342</c:v>
                </c:pt>
                <c:pt idx="5347">
                  <c:v>176595369</c:v>
                </c:pt>
                <c:pt idx="5348">
                  <c:v>176628396</c:v>
                </c:pt>
                <c:pt idx="5349">
                  <c:v>176661423</c:v>
                </c:pt>
                <c:pt idx="5350">
                  <c:v>176694450</c:v>
                </c:pt>
                <c:pt idx="5351">
                  <c:v>176727477</c:v>
                </c:pt>
                <c:pt idx="5352">
                  <c:v>176760504</c:v>
                </c:pt>
                <c:pt idx="5353">
                  <c:v>176793531</c:v>
                </c:pt>
                <c:pt idx="5354">
                  <c:v>176826558</c:v>
                </c:pt>
                <c:pt idx="5355">
                  <c:v>176859585</c:v>
                </c:pt>
                <c:pt idx="5356">
                  <c:v>176892612</c:v>
                </c:pt>
                <c:pt idx="5357">
                  <c:v>176925639</c:v>
                </c:pt>
                <c:pt idx="5358">
                  <c:v>176958666</c:v>
                </c:pt>
                <c:pt idx="5359">
                  <c:v>176991693</c:v>
                </c:pt>
                <c:pt idx="5360">
                  <c:v>177024720</c:v>
                </c:pt>
                <c:pt idx="5361">
                  <c:v>177057747</c:v>
                </c:pt>
                <c:pt idx="5362">
                  <c:v>177090774</c:v>
                </c:pt>
                <c:pt idx="5363">
                  <c:v>177123801</c:v>
                </c:pt>
                <c:pt idx="5364">
                  <c:v>177156828</c:v>
                </c:pt>
                <c:pt idx="5365">
                  <c:v>177189855</c:v>
                </c:pt>
                <c:pt idx="5366">
                  <c:v>177222882</c:v>
                </c:pt>
                <c:pt idx="5367">
                  <c:v>177255909</c:v>
                </c:pt>
                <c:pt idx="5368">
                  <c:v>177288936</c:v>
                </c:pt>
                <c:pt idx="5369">
                  <c:v>177321963</c:v>
                </c:pt>
                <c:pt idx="5370">
                  <c:v>177354990</c:v>
                </c:pt>
                <c:pt idx="5371">
                  <c:v>177388017</c:v>
                </c:pt>
                <c:pt idx="5372">
                  <c:v>177421044</c:v>
                </c:pt>
                <c:pt idx="5373">
                  <c:v>177454071</c:v>
                </c:pt>
                <c:pt idx="5374">
                  <c:v>177487098</c:v>
                </c:pt>
                <c:pt idx="5375">
                  <c:v>177520125</c:v>
                </c:pt>
                <c:pt idx="5376">
                  <c:v>177553152</c:v>
                </c:pt>
                <c:pt idx="5377">
                  <c:v>177586179</c:v>
                </c:pt>
                <c:pt idx="5378">
                  <c:v>177619206</c:v>
                </c:pt>
                <c:pt idx="5379">
                  <c:v>177652233</c:v>
                </c:pt>
                <c:pt idx="5380">
                  <c:v>177685260</c:v>
                </c:pt>
                <c:pt idx="5381">
                  <c:v>177718287</c:v>
                </c:pt>
                <c:pt idx="5382">
                  <c:v>177751314</c:v>
                </c:pt>
                <c:pt idx="5383">
                  <c:v>177784341</c:v>
                </c:pt>
                <c:pt idx="5384">
                  <c:v>177817368</c:v>
                </c:pt>
                <c:pt idx="5385">
                  <c:v>177850395</c:v>
                </c:pt>
                <c:pt idx="5386">
                  <c:v>177883422</c:v>
                </c:pt>
                <c:pt idx="5387">
                  <c:v>177916449</c:v>
                </c:pt>
                <c:pt idx="5388">
                  <c:v>177949476</c:v>
                </c:pt>
                <c:pt idx="5389">
                  <c:v>177982503</c:v>
                </c:pt>
                <c:pt idx="5390">
                  <c:v>178015530</c:v>
                </c:pt>
                <c:pt idx="5391">
                  <c:v>178048557</c:v>
                </c:pt>
                <c:pt idx="5392">
                  <c:v>178081584</c:v>
                </c:pt>
                <c:pt idx="5393">
                  <c:v>178114611</c:v>
                </c:pt>
                <c:pt idx="5394">
                  <c:v>178147638</c:v>
                </c:pt>
                <c:pt idx="5395">
                  <c:v>178180665</c:v>
                </c:pt>
                <c:pt idx="5396">
                  <c:v>178213692</c:v>
                </c:pt>
                <c:pt idx="5397">
                  <c:v>178246719</c:v>
                </c:pt>
                <c:pt idx="5398">
                  <c:v>178279746</c:v>
                </c:pt>
                <c:pt idx="5399">
                  <c:v>178312773</c:v>
                </c:pt>
                <c:pt idx="5400">
                  <c:v>178345800</c:v>
                </c:pt>
                <c:pt idx="5401">
                  <c:v>178378827</c:v>
                </c:pt>
                <c:pt idx="5402">
                  <c:v>178411854</c:v>
                </c:pt>
                <c:pt idx="5403">
                  <c:v>178444881</c:v>
                </c:pt>
                <c:pt idx="5404">
                  <c:v>178477908</c:v>
                </c:pt>
                <c:pt idx="5405">
                  <c:v>178510935</c:v>
                </c:pt>
                <c:pt idx="5406">
                  <c:v>178543962</c:v>
                </c:pt>
                <c:pt idx="5407">
                  <c:v>178576989</c:v>
                </c:pt>
                <c:pt idx="5408">
                  <c:v>178610016</c:v>
                </c:pt>
                <c:pt idx="5409">
                  <c:v>178643043</c:v>
                </c:pt>
                <c:pt idx="5410">
                  <c:v>178676070</c:v>
                </c:pt>
                <c:pt idx="5411">
                  <c:v>178709097</c:v>
                </c:pt>
                <c:pt idx="5412">
                  <c:v>178742124</c:v>
                </c:pt>
                <c:pt idx="5413">
                  <c:v>178775151</c:v>
                </c:pt>
                <c:pt idx="5414">
                  <c:v>178808178</c:v>
                </c:pt>
                <c:pt idx="5415">
                  <c:v>178841205</c:v>
                </c:pt>
                <c:pt idx="5416">
                  <c:v>178874232</c:v>
                </c:pt>
                <c:pt idx="5417">
                  <c:v>178907259</c:v>
                </c:pt>
                <c:pt idx="5418">
                  <c:v>178940286</c:v>
                </c:pt>
                <c:pt idx="5419">
                  <c:v>178973313</c:v>
                </c:pt>
                <c:pt idx="5420">
                  <c:v>179006340</c:v>
                </c:pt>
                <c:pt idx="5421">
                  <c:v>179039367</c:v>
                </c:pt>
                <c:pt idx="5422">
                  <c:v>179072394</c:v>
                </c:pt>
                <c:pt idx="5423">
                  <c:v>179105421</c:v>
                </c:pt>
                <c:pt idx="5424">
                  <c:v>179138448</c:v>
                </c:pt>
                <c:pt idx="5425">
                  <c:v>179171475</c:v>
                </c:pt>
                <c:pt idx="5426">
                  <c:v>179204502</c:v>
                </c:pt>
                <c:pt idx="5427">
                  <c:v>179237529</c:v>
                </c:pt>
                <c:pt idx="5428">
                  <c:v>179270556</c:v>
                </c:pt>
                <c:pt idx="5429">
                  <c:v>179303583</c:v>
                </c:pt>
                <c:pt idx="5430">
                  <c:v>179336610</c:v>
                </c:pt>
                <c:pt idx="5431">
                  <c:v>179369637</c:v>
                </c:pt>
                <c:pt idx="5432">
                  <c:v>179402664</c:v>
                </c:pt>
                <c:pt idx="5433">
                  <c:v>179435691</c:v>
                </c:pt>
                <c:pt idx="5434">
                  <c:v>179468718</c:v>
                </c:pt>
                <c:pt idx="5435">
                  <c:v>179501745</c:v>
                </c:pt>
                <c:pt idx="5436">
                  <c:v>179534772</c:v>
                </c:pt>
                <c:pt idx="5437">
                  <c:v>179567799</c:v>
                </c:pt>
                <c:pt idx="5438">
                  <c:v>179600826</c:v>
                </c:pt>
                <c:pt idx="5439">
                  <c:v>179633853</c:v>
                </c:pt>
                <c:pt idx="5440">
                  <c:v>179666880</c:v>
                </c:pt>
                <c:pt idx="5441">
                  <c:v>179699907</c:v>
                </c:pt>
                <c:pt idx="5442">
                  <c:v>179732934</c:v>
                </c:pt>
                <c:pt idx="5443">
                  <c:v>179765961</c:v>
                </c:pt>
                <c:pt idx="5444">
                  <c:v>179798988</c:v>
                </c:pt>
                <c:pt idx="5445">
                  <c:v>179832015</c:v>
                </c:pt>
                <c:pt idx="5446">
                  <c:v>179865042</c:v>
                </c:pt>
                <c:pt idx="5447">
                  <c:v>179898069</c:v>
                </c:pt>
                <c:pt idx="5448">
                  <c:v>179931096</c:v>
                </c:pt>
                <c:pt idx="5449">
                  <c:v>179964123</c:v>
                </c:pt>
                <c:pt idx="5450">
                  <c:v>179997150</c:v>
                </c:pt>
                <c:pt idx="5451">
                  <c:v>180030177</c:v>
                </c:pt>
                <c:pt idx="5452">
                  <c:v>180063204</c:v>
                </c:pt>
                <c:pt idx="5453">
                  <c:v>180096231</c:v>
                </c:pt>
                <c:pt idx="5454">
                  <c:v>180129258</c:v>
                </c:pt>
                <c:pt idx="5455">
                  <c:v>180162285</c:v>
                </c:pt>
                <c:pt idx="5456">
                  <c:v>180195312</c:v>
                </c:pt>
                <c:pt idx="5457">
                  <c:v>180228339</c:v>
                </c:pt>
                <c:pt idx="5458">
                  <c:v>180261366</c:v>
                </c:pt>
                <c:pt idx="5459">
                  <c:v>180294393</c:v>
                </c:pt>
                <c:pt idx="5460">
                  <c:v>180327420</c:v>
                </c:pt>
                <c:pt idx="5461">
                  <c:v>180360447</c:v>
                </c:pt>
                <c:pt idx="5462">
                  <c:v>180393474</c:v>
                </c:pt>
                <c:pt idx="5463">
                  <c:v>180426501</c:v>
                </c:pt>
                <c:pt idx="5464">
                  <c:v>180459528</c:v>
                </c:pt>
                <c:pt idx="5465">
                  <c:v>180492555</c:v>
                </c:pt>
                <c:pt idx="5466">
                  <c:v>180525582</c:v>
                </c:pt>
                <c:pt idx="5467">
                  <c:v>180558609</c:v>
                </c:pt>
                <c:pt idx="5468">
                  <c:v>180591636</c:v>
                </c:pt>
                <c:pt idx="5469">
                  <c:v>180624663</c:v>
                </c:pt>
                <c:pt idx="5470">
                  <c:v>180657690</c:v>
                </c:pt>
                <c:pt idx="5471">
                  <c:v>180690717</c:v>
                </c:pt>
                <c:pt idx="5472">
                  <c:v>180723744</c:v>
                </c:pt>
                <c:pt idx="5473">
                  <c:v>180756771</c:v>
                </c:pt>
                <c:pt idx="5474">
                  <c:v>180789798</c:v>
                </c:pt>
                <c:pt idx="5475">
                  <c:v>180822825</c:v>
                </c:pt>
                <c:pt idx="5476">
                  <c:v>180855852</c:v>
                </c:pt>
                <c:pt idx="5477">
                  <c:v>180888879</c:v>
                </c:pt>
                <c:pt idx="5478">
                  <c:v>180921906</c:v>
                </c:pt>
                <c:pt idx="5479">
                  <c:v>180954933</c:v>
                </c:pt>
                <c:pt idx="5480">
                  <c:v>180987960</c:v>
                </c:pt>
                <c:pt idx="5481">
                  <c:v>181020987</c:v>
                </c:pt>
                <c:pt idx="5482">
                  <c:v>181054014</c:v>
                </c:pt>
                <c:pt idx="5483">
                  <c:v>181087041</c:v>
                </c:pt>
                <c:pt idx="5484">
                  <c:v>181120068</c:v>
                </c:pt>
                <c:pt idx="5485">
                  <c:v>181153095</c:v>
                </c:pt>
                <c:pt idx="5486">
                  <c:v>181186122</c:v>
                </c:pt>
                <c:pt idx="5487">
                  <c:v>181219149</c:v>
                </c:pt>
                <c:pt idx="5488">
                  <c:v>181252176</c:v>
                </c:pt>
                <c:pt idx="5489">
                  <c:v>181285203</c:v>
                </c:pt>
                <c:pt idx="5490">
                  <c:v>181318230</c:v>
                </c:pt>
                <c:pt idx="5491">
                  <c:v>181351257</c:v>
                </c:pt>
                <c:pt idx="5492">
                  <c:v>181384284</c:v>
                </c:pt>
                <c:pt idx="5493">
                  <c:v>181417311</c:v>
                </c:pt>
                <c:pt idx="5494">
                  <c:v>181450338</c:v>
                </c:pt>
                <c:pt idx="5495">
                  <c:v>181483365</c:v>
                </c:pt>
                <c:pt idx="5496">
                  <c:v>181516392</c:v>
                </c:pt>
                <c:pt idx="5497">
                  <c:v>181549419</c:v>
                </c:pt>
                <c:pt idx="5498">
                  <c:v>181582446</c:v>
                </c:pt>
                <c:pt idx="5499">
                  <c:v>181615473</c:v>
                </c:pt>
                <c:pt idx="5500">
                  <c:v>181648500</c:v>
                </c:pt>
                <c:pt idx="5501">
                  <c:v>181681527</c:v>
                </c:pt>
                <c:pt idx="5502">
                  <c:v>181714554</c:v>
                </c:pt>
                <c:pt idx="5503">
                  <c:v>181747581</c:v>
                </c:pt>
                <c:pt idx="5504">
                  <c:v>181780608</c:v>
                </c:pt>
                <c:pt idx="5505">
                  <c:v>181813635</c:v>
                </c:pt>
                <c:pt idx="5506">
                  <c:v>181846662</c:v>
                </c:pt>
                <c:pt idx="5507">
                  <c:v>181879689</c:v>
                </c:pt>
                <c:pt idx="5508">
                  <c:v>181912716</c:v>
                </c:pt>
                <c:pt idx="5509">
                  <c:v>181945743</c:v>
                </c:pt>
                <c:pt idx="5510">
                  <c:v>181978770</c:v>
                </c:pt>
                <c:pt idx="5511">
                  <c:v>182011797</c:v>
                </c:pt>
                <c:pt idx="5512">
                  <c:v>182044824</c:v>
                </c:pt>
                <c:pt idx="5513">
                  <c:v>182077851</c:v>
                </c:pt>
                <c:pt idx="5514">
                  <c:v>182110878</c:v>
                </c:pt>
                <c:pt idx="5515">
                  <c:v>182143905</c:v>
                </c:pt>
                <c:pt idx="5516">
                  <c:v>182176932</c:v>
                </c:pt>
                <c:pt idx="5517">
                  <c:v>182209959</c:v>
                </c:pt>
                <c:pt idx="5518">
                  <c:v>182242986</c:v>
                </c:pt>
                <c:pt idx="5519">
                  <c:v>182276013</c:v>
                </c:pt>
                <c:pt idx="5520">
                  <c:v>182309040</c:v>
                </c:pt>
                <c:pt idx="5521">
                  <c:v>182342067</c:v>
                </c:pt>
                <c:pt idx="5522">
                  <c:v>182375094</c:v>
                </c:pt>
                <c:pt idx="5523">
                  <c:v>182408121</c:v>
                </c:pt>
                <c:pt idx="5524">
                  <c:v>182441148</c:v>
                </c:pt>
                <c:pt idx="5525">
                  <c:v>182474175</c:v>
                </c:pt>
                <c:pt idx="5526">
                  <c:v>182507202</c:v>
                </c:pt>
                <c:pt idx="5527">
                  <c:v>182540229</c:v>
                </c:pt>
                <c:pt idx="5528">
                  <c:v>182573256</c:v>
                </c:pt>
                <c:pt idx="5529">
                  <c:v>182606283</c:v>
                </c:pt>
                <c:pt idx="5530">
                  <c:v>182639310</c:v>
                </c:pt>
                <c:pt idx="5531">
                  <c:v>182672337</c:v>
                </c:pt>
                <c:pt idx="5532">
                  <c:v>182705364</c:v>
                </c:pt>
                <c:pt idx="5533">
                  <c:v>182738391</c:v>
                </c:pt>
                <c:pt idx="5534">
                  <c:v>182771418</c:v>
                </c:pt>
                <c:pt idx="5535">
                  <c:v>182804445</c:v>
                </c:pt>
                <c:pt idx="5536">
                  <c:v>182837472</c:v>
                </c:pt>
                <c:pt idx="5537">
                  <c:v>182870499</c:v>
                </c:pt>
                <c:pt idx="5538">
                  <c:v>182903526</c:v>
                </c:pt>
                <c:pt idx="5539">
                  <c:v>182936553</c:v>
                </c:pt>
                <c:pt idx="5540">
                  <c:v>182969580</c:v>
                </c:pt>
                <c:pt idx="5541">
                  <c:v>183002607</c:v>
                </c:pt>
                <c:pt idx="5542">
                  <c:v>183035634</c:v>
                </c:pt>
                <c:pt idx="5543">
                  <c:v>183068661</c:v>
                </c:pt>
                <c:pt idx="5544">
                  <c:v>183101688</c:v>
                </c:pt>
                <c:pt idx="5545">
                  <c:v>183134715</c:v>
                </c:pt>
                <c:pt idx="5546">
                  <c:v>183167742</c:v>
                </c:pt>
                <c:pt idx="5547">
                  <c:v>183200769</c:v>
                </c:pt>
                <c:pt idx="5548">
                  <c:v>183233796</c:v>
                </c:pt>
                <c:pt idx="5549">
                  <c:v>183266823</c:v>
                </c:pt>
                <c:pt idx="5550">
                  <c:v>183299850</c:v>
                </c:pt>
                <c:pt idx="5551">
                  <c:v>183332877</c:v>
                </c:pt>
                <c:pt idx="5552">
                  <c:v>183365904</c:v>
                </c:pt>
                <c:pt idx="5553">
                  <c:v>183398931</c:v>
                </c:pt>
                <c:pt idx="5554">
                  <c:v>183431958</c:v>
                </c:pt>
                <c:pt idx="5555">
                  <c:v>183464985</c:v>
                </c:pt>
                <c:pt idx="5556">
                  <c:v>183498012</c:v>
                </c:pt>
                <c:pt idx="5557">
                  <c:v>183531039</c:v>
                </c:pt>
                <c:pt idx="5558">
                  <c:v>183564066</c:v>
                </c:pt>
                <c:pt idx="5559">
                  <c:v>183597093</c:v>
                </c:pt>
                <c:pt idx="5560">
                  <c:v>183630120</c:v>
                </c:pt>
                <c:pt idx="5561">
                  <c:v>183663147</c:v>
                </c:pt>
                <c:pt idx="5562">
                  <c:v>183696174</c:v>
                </c:pt>
                <c:pt idx="5563">
                  <c:v>183729201</c:v>
                </c:pt>
                <c:pt idx="5564">
                  <c:v>183762228</c:v>
                </c:pt>
                <c:pt idx="5565">
                  <c:v>183795255</c:v>
                </c:pt>
                <c:pt idx="5566">
                  <c:v>183828282</c:v>
                </c:pt>
                <c:pt idx="5567">
                  <c:v>183861309</c:v>
                </c:pt>
                <c:pt idx="5568">
                  <c:v>183894336</c:v>
                </c:pt>
                <c:pt idx="5569">
                  <c:v>183927363</c:v>
                </c:pt>
                <c:pt idx="5570">
                  <c:v>183960390</c:v>
                </c:pt>
                <c:pt idx="5571">
                  <c:v>183993417</c:v>
                </c:pt>
                <c:pt idx="5572">
                  <c:v>184026444</c:v>
                </c:pt>
                <c:pt idx="5573">
                  <c:v>184059471</c:v>
                </c:pt>
                <c:pt idx="5574">
                  <c:v>184092498</c:v>
                </c:pt>
                <c:pt idx="5575">
                  <c:v>184125525</c:v>
                </c:pt>
                <c:pt idx="5576">
                  <c:v>184158552</c:v>
                </c:pt>
                <c:pt idx="5577">
                  <c:v>184191579</c:v>
                </c:pt>
                <c:pt idx="5578">
                  <c:v>184224606</c:v>
                </c:pt>
                <c:pt idx="5579">
                  <c:v>184257633</c:v>
                </c:pt>
                <c:pt idx="5580">
                  <c:v>184290660</c:v>
                </c:pt>
                <c:pt idx="5581">
                  <c:v>184323687</c:v>
                </c:pt>
                <c:pt idx="5582">
                  <c:v>184356714</c:v>
                </c:pt>
                <c:pt idx="5583">
                  <c:v>184389741</c:v>
                </c:pt>
                <c:pt idx="5584">
                  <c:v>184422768</c:v>
                </c:pt>
                <c:pt idx="5585">
                  <c:v>184455795</c:v>
                </c:pt>
                <c:pt idx="5586">
                  <c:v>184488822</c:v>
                </c:pt>
                <c:pt idx="5587">
                  <c:v>184521849</c:v>
                </c:pt>
                <c:pt idx="5588">
                  <c:v>184554876</c:v>
                </c:pt>
                <c:pt idx="5589">
                  <c:v>184587903</c:v>
                </c:pt>
                <c:pt idx="5590">
                  <c:v>184620930</c:v>
                </c:pt>
                <c:pt idx="5591">
                  <c:v>184653957</c:v>
                </c:pt>
                <c:pt idx="5592">
                  <c:v>184686984</c:v>
                </c:pt>
                <c:pt idx="5593">
                  <c:v>184720011</c:v>
                </c:pt>
                <c:pt idx="5594">
                  <c:v>184753038</c:v>
                </c:pt>
                <c:pt idx="5595">
                  <c:v>184786065</c:v>
                </c:pt>
                <c:pt idx="5596">
                  <c:v>184819092</c:v>
                </c:pt>
                <c:pt idx="5597">
                  <c:v>184852119</c:v>
                </c:pt>
                <c:pt idx="5598">
                  <c:v>184885146</c:v>
                </c:pt>
                <c:pt idx="5599">
                  <c:v>184918173</c:v>
                </c:pt>
                <c:pt idx="5600">
                  <c:v>184951200</c:v>
                </c:pt>
                <c:pt idx="5601">
                  <c:v>184984227</c:v>
                </c:pt>
                <c:pt idx="5602">
                  <c:v>185017254</c:v>
                </c:pt>
                <c:pt idx="5603">
                  <c:v>185050281</c:v>
                </c:pt>
                <c:pt idx="5604">
                  <c:v>185083308</c:v>
                </c:pt>
                <c:pt idx="5605">
                  <c:v>185116335</c:v>
                </c:pt>
                <c:pt idx="5606">
                  <c:v>185149362</c:v>
                </c:pt>
                <c:pt idx="5607">
                  <c:v>185182389</c:v>
                </c:pt>
                <c:pt idx="5608">
                  <c:v>185215416</c:v>
                </c:pt>
                <c:pt idx="5609">
                  <c:v>185248443</c:v>
                </c:pt>
                <c:pt idx="5610">
                  <c:v>185281470</c:v>
                </c:pt>
                <c:pt idx="5611">
                  <c:v>185314497</c:v>
                </c:pt>
                <c:pt idx="5612">
                  <c:v>185347524</c:v>
                </c:pt>
                <c:pt idx="5613">
                  <c:v>185380551</c:v>
                </c:pt>
                <c:pt idx="5614">
                  <c:v>185413578</c:v>
                </c:pt>
                <c:pt idx="5615">
                  <c:v>185446605</c:v>
                </c:pt>
                <c:pt idx="5616">
                  <c:v>185479632</c:v>
                </c:pt>
                <c:pt idx="5617">
                  <c:v>185512659</c:v>
                </c:pt>
                <c:pt idx="5618">
                  <c:v>185545686</c:v>
                </c:pt>
                <c:pt idx="5619">
                  <c:v>185578713</c:v>
                </c:pt>
                <c:pt idx="5620">
                  <c:v>185611740</c:v>
                </c:pt>
                <c:pt idx="5621">
                  <c:v>185644767</c:v>
                </c:pt>
                <c:pt idx="5622">
                  <c:v>185677794</c:v>
                </c:pt>
                <c:pt idx="5623">
                  <c:v>185710821</c:v>
                </c:pt>
                <c:pt idx="5624">
                  <c:v>185743848</c:v>
                </c:pt>
                <c:pt idx="5625">
                  <c:v>185776875</c:v>
                </c:pt>
                <c:pt idx="5626">
                  <c:v>185809902</c:v>
                </c:pt>
                <c:pt idx="5627">
                  <c:v>185842929</c:v>
                </c:pt>
                <c:pt idx="5628">
                  <c:v>185875956</c:v>
                </c:pt>
                <c:pt idx="5629">
                  <c:v>185908983</c:v>
                </c:pt>
                <c:pt idx="5630">
                  <c:v>185942010</c:v>
                </c:pt>
                <c:pt idx="5631">
                  <c:v>185975037</c:v>
                </c:pt>
                <c:pt idx="5632">
                  <c:v>186008064</c:v>
                </c:pt>
                <c:pt idx="5633">
                  <c:v>186041091</c:v>
                </c:pt>
                <c:pt idx="5634">
                  <c:v>186074118</c:v>
                </c:pt>
                <c:pt idx="5635">
                  <c:v>186107145</c:v>
                </c:pt>
                <c:pt idx="5636">
                  <c:v>186140172</c:v>
                </c:pt>
                <c:pt idx="5637">
                  <c:v>186173199</c:v>
                </c:pt>
                <c:pt idx="5638">
                  <c:v>186206226</c:v>
                </c:pt>
                <c:pt idx="5639">
                  <c:v>186239253</c:v>
                </c:pt>
                <c:pt idx="5640">
                  <c:v>186272280</c:v>
                </c:pt>
                <c:pt idx="5641">
                  <c:v>186305307</c:v>
                </c:pt>
                <c:pt idx="5642">
                  <c:v>186338334</c:v>
                </c:pt>
                <c:pt idx="5643">
                  <c:v>186371361</c:v>
                </c:pt>
                <c:pt idx="5644">
                  <c:v>186404388</c:v>
                </c:pt>
                <c:pt idx="5645">
                  <c:v>186437415</c:v>
                </c:pt>
                <c:pt idx="5646">
                  <c:v>186470442</c:v>
                </c:pt>
                <c:pt idx="5647">
                  <c:v>186503469</c:v>
                </c:pt>
                <c:pt idx="5648">
                  <c:v>186536496</c:v>
                </c:pt>
                <c:pt idx="5649">
                  <c:v>186569523</c:v>
                </c:pt>
                <c:pt idx="5650">
                  <c:v>186602550</c:v>
                </c:pt>
                <c:pt idx="5651">
                  <c:v>186635577</c:v>
                </c:pt>
                <c:pt idx="5652">
                  <c:v>186668604</c:v>
                </c:pt>
                <c:pt idx="5653">
                  <c:v>186701631</c:v>
                </c:pt>
                <c:pt idx="5654">
                  <c:v>186734658</c:v>
                </c:pt>
                <c:pt idx="5655">
                  <c:v>186767685</c:v>
                </c:pt>
                <c:pt idx="5656">
                  <c:v>186800712</c:v>
                </c:pt>
                <c:pt idx="5657">
                  <c:v>186833739</c:v>
                </c:pt>
                <c:pt idx="5658">
                  <c:v>186866766</c:v>
                </c:pt>
                <c:pt idx="5659">
                  <c:v>186899793</c:v>
                </c:pt>
                <c:pt idx="5660">
                  <c:v>186932820</c:v>
                </c:pt>
                <c:pt idx="5661">
                  <c:v>186965847</c:v>
                </c:pt>
                <c:pt idx="5662">
                  <c:v>186998874</c:v>
                </c:pt>
                <c:pt idx="5663">
                  <c:v>187031901</c:v>
                </c:pt>
                <c:pt idx="5664">
                  <c:v>187064928</c:v>
                </c:pt>
                <c:pt idx="5665">
                  <c:v>187097955</c:v>
                </c:pt>
                <c:pt idx="5666">
                  <c:v>187130982</c:v>
                </c:pt>
                <c:pt idx="5667">
                  <c:v>187164009</c:v>
                </c:pt>
                <c:pt idx="5668">
                  <c:v>187197036</c:v>
                </c:pt>
                <c:pt idx="5669">
                  <c:v>187230063</c:v>
                </c:pt>
                <c:pt idx="5670">
                  <c:v>187263090</c:v>
                </c:pt>
                <c:pt idx="5671">
                  <c:v>187296117</c:v>
                </c:pt>
                <c:pt idx="5672">
                  <c:v>187329144</c:v>
                </c:pt>
                <c:pt idx="5673">
                  <c:v>187362171</c:v>
                </c:pt>
                <c:pt idx="5674">
                  <c:v>187395198</c:v>
                </c:pt>
                <c:pt idx="5675">
                  <c:v>187428225</c:v>
                </c:pt>
                <c:pt idx="5676">
                  <c:v>187461252</c:v>
                </c:pt>
                <c:pt idx="5677">
                  <c:v>187494279</c:v>
                </c:pt>
                <c:pt idx="5678">
                  <c:v>187527306</c:v>
                </c:pt>
                <c:pt idx="5679">
                  <c:v>187560333</c:v>
                </c:pt>
                <c:pt idx="5680">
                  <c:v>187593360</c:v>
                </c:pt>
                <c:pt idx="5681">
                  <c:v>187626387</c:v>
                </c:pt>
                <c:pt idx="5682">
                  <c:v>187659414</c:v>
                </c:pt>
                <c:pt idx="5683">
                  <c:v>187692441</c:v>
                </c:pt>
                <c:pt idx="5684">
                  <c:v>187725468</c:v>
                </c:pt>
                <c:pt idx="5685">
                  <c:v>187758495</c:v>
                </c:pt>
                <c:pt idx="5686">
                  <c:v>187791522</c:v>
                </c:pt>
                <c:pt idx="5687">
                  <c:v>187824549</c:v>
                </c:pt>
                <c:pt idx="5688">
                  <c:v>187857576</c:v>
                </c:pt>
                <c:pt idx="5689">
                  <c:v>187890603</c:v>
                </c:pt>
                <c:pt idx="5690">
                  <c:v>187923630</c:v>
                </c:pt>
                <c:pt idx="5691">
                  <c:v>187956657</c:v>
                </c:pt>
                <c:pt idx="5692">
                  <c:v>187989684</c:v>
                </c:pt>
                <c:pt idx="5693">
                  <c:v>188022711</c:v>
                </c:pt>
                <c:pt idx="5694">
                  <c:v>188055738</c:v>
                </c:pt>
                <c:pt idx="5695">
                  <c:v>188088765</c:v>
                </c:pt>
                <c:pt idx="5696">
                  <c:v>188121792</c:v>
                </c:pt>
                <c:pt idx="5697">
                  <c:v>188154819</c:v>
                </c:pt>
                <c:pt idx="5698">
                  <c:v>188187846</c:v>
                </c:pt>
                <c:pt idx="5699">
                  <c:v>188220873</c:v>
                </c:pt>
                <c:pt idx="5700">
                  <c:v>188253900</c:v>
                </c:pt>
                <c:pt idx="5701">
                  <c:v>188286927</c:v>
                </c:pt>
                <c:pt idx="5702">
                  <c:v>188319954</c:v>
                </c:pt>
                <c:pt idx="5703">
                  <c:v>188352981</c:v>
                </c:pt>
                <c:pt idx="5704">
                  <c:v>188386008</c:v>
                </c:pt>
                <c:pt idx="5705">
                  <c:v>188419035</c:v>
                </c:pt>
                <c:pt idx="5706">
                  <c:v>188452062</c:v>
                </c:pt>
                <c:pt idx="5707">
                  <c:v>188485089</c:v>
                </c:pt>
                <c:pt idx="5708">
                  <c:v>188518116</c:v>
                </c:pt>
                <c:pt idx="5709">
                  <c:v>188551143</c:v>
                </c:pt>
                <c:pt idx="5710">
                  <c:v>188584170</c:v>
                </c:pt>
                <c:pt idx="5711">
                  <c:v>188617197</c:v>
                </c:pt>
                <c:pt idx="5712">
                  <c:v>188650224</c:v>
                </c:pt>
                <c:pt idx="5713">
                  <c:v>188683251</c:v>
                </c:pt>
                <c:pt idx="5714">
                  <c:v>188716278</c:v>
                </c:pt>
                <c:pt idx="5715">
                  <c:v>188749305</c:v>
                </c:pt>
                <c:pt idx="5716">
                  <c:v>188782332</c:v>
                </c:pt>
                <c:pt idx="5717">
                  <c:v>188815359</c:v>
                </c:pt>
                <c:pt idx="5718">
                  <c:v>188848386</c:v>
                </c:pt>
                <c:pt idx="5719">
                  <c:v>188881413</c:v>
                </c:pt>
                <c:pt idx="5720">
                  <c:v>188914440</c:v>
                </c:pt>
                <c:pt idx="5721">
                  <c:v>188947467</c:v>
                </c:pt>
                <c:pt idx="5722">
                  <c:v>188980494</c:v>
                </c:pt>
                <c:pt idx="5723">
                  <c:v>189013521</c:v>
                </c:pt>
                <c:pt idx="5724">
                  <c:v>189046548</c:v>
                </c:pt>
                <c:pt idx="5725">
                  <c:v>189079575</c:v>
                </c:pt>
                <c:pt idx="5726">
                  <c:v>189112602</c:v>
                </c:pt>
                <c:pt idx="5727">
                  <c:v>189145629</c:v>
                </c:pt>
                <c:pt idx="5728">
                  <c:v>189178656</c:v>
                </c:pt>
                <c:pt idx="5729">
                  <c:v>189211683</c:v>
                </c:pt>
                <c:pt idx="5730">
                  <c:v>189244710</c:v>
                </c:pt>
                <c:pt idx="5731">
                  <c:v>189277737</c:v>
                </c:pt>
                <c:pt idx="5732">
                  <c:v>189310764</c:v>
                </c:pt>
                <c:pt idx="5733">
                  <c:v>189343791</c:v>
                </c:pt>
                <c:pt idx="5734">
                  <c:v>189376818</c:v>
                </c:pt>
                <c:pt idx="5735">
                  <c:v>189409845</c:v>
                </c:pt>
                <c:pt idx="5736">
                  <c:v>189442872</c:v>
                </c:pt>
                <c:pt idx="5737">
                  <c:v>189475899</c:v>
                </c:pt>
                <c:pt idx="5738">
                  <c:v>189508926</c:v>
                </c:pt>
                <c:pt idx="5739">
                  <c:v>189541953</c:v>
                </c:pt>
                <c:pt idx="5740">
                  <c:v>189574980</c:v>
                </c:pt>
                <c:pt idx="5741">
                  <c:v>189608007</c:v>
                </c:pt>
                <c:pt idx="5742">
                  <c:v>189641034</c:v>
                </c:pt>
                <c:pt idx="5743">
                  <c:v>189674061</c:v>
                </c:pt>
                <c:pt idx="5744">
                  <c:v>189707088</c:v>
                </c:pt>
                <c:pt idx="5745">
                  <c:v>189740115</c:v>
                </c:pt>
                <c:pt idx="5746">
                  <c:v>189773142</c:v>
                </c:pt>
                <c:pt idx="5747">
                  <c:v>189806169</c:v>
                </c:pt>
                <c:pt idx="5748">
                  <c:v>189839196</c:v>
                </c:pt>
                <c:pt idx="5749">
                  <c:v>189872223</c:v>
                </c:pt>
                <c:pt idx="5750">
                  <c:v>189905250</c:v>
                </c:pt>
                <c:pt idx="5751">
                  <c:v>189938277</c:v>
                </c:pt>
                <c:pt idx="5752">
                  <c:v>189971304</c:v>
                </c:pt>
                <c:pt idx="5753">
                  <c:v>190004331</c:v>
                </c:pt>
                <c:pt idx="5754">
                  <c:v>190037358</c:v>
                </c:pt>
                <c:pt idx="5755">
                  <c:v>190070385</c:v>
                </c:pt>
                <c:pt idx="5756">
                  <c:v>190103412</c:v>
                </c:pt>
                <c:pt idx="5757">
                  <c:v>190136439</c:v>
                </c:pt>
                <c:pt idx="5758">
                  <c:v>190169466</c:v>
                </c:pt>
                <c:pt idx="5759">
                  <c:v>190202493</c:v>
                </c:pt>
                <c:pt idx="5760">
                  <c:v>190235520</c:v>
                </c:pt>
                <c:pt idx="5761">
                  <c:v>190268547</c:v>
                </c:pt>
                <c:pt idx="5762">
                  <c:v>190301574</c:v>
                </c:pt>
                <c:pt idx="5763">
                  <c:v>190334601</c:v>
                </c:pt>
                <c:pt idx="5764">
                  <c:v>190367628</c:v>
                </c:pt>
                <c:pt idx="5765">
                  <c:v>190400655</c:v>
                </c:pt>
                <c:pt idx="5766">
                  <c:v>190433682</c:v>
                </c:pt>
                <c:pt idx="5767">
                  <c:v>190466709</c:v>
                </c:pt>
                <c:pt idx="5768">
                  <c:v>190499736</c:v>
                </c:pt>
                <c:pt idx="5769">
                  <c:v>190532763</c:v>
                </c:pt>
                <c:pt idx="5770">
                  <c:v>190565790</c:v>
                </c:pt>
                <c:pt idx="5771">
                  <c:v>190598817</c:v>
                </c:pt>
                <c:pt idx="5772">
                  <c:v>190631844</c:v>
                </c:pt>
                <c:pt idx="5773">
                  <c:v>190664871</c:v>
                </c:pt>
                <c:pt idx="5774">
                  <c:v>190697898</c:v>
                </c:pt>
                <c:pt idx="5775">
                  <c:v>190730925</c:v>
                </c:pt>
                <c:pt idx="5776">
                  <c:v>190763952</c:v>
                </c:pt>
                <c:pt idx="5777">
                  <c:v>190796979</c:v>
                </c:pt>
                <c:pt idx="5778">
                  <c:v>190830006</c:v>
                </c:pt>
                <c:pt idx="5779">
                  <c:v>190863033</c:v>
                </c:pt>
                <c:pt idx="5780">
                  <c:v>190896060</c:v>
                </c:pt>
                <c:pt idx="5781">
                  <c:v>190929087</c:v>
                </c:pt>
                <c:pt idx="5782">
                  <c:v>190962114</c:v>
                </c:pt>
                <c:pt idx="5783">
                  <c:v>190995141</c:v>
                </c:pt>
                <c:pt idx="5784">
                  <c:v>191028168</c:v>
                </c:pt>
                <c:pt idx="5785">
                  <c:v>191061195</c:v>
                </c:pt>
                <c:pt idx="5786">
                  <c:v>191094222</c:v>
                </c:pt>
                <c:pt idx="5787">
                  <c:v>191127249</c:v>
                </c:pt>
                <c:pt idx="5788">
                  <c:v>191160276</c:v>
                </c:pt>
                <c:pt idx="5789">
                  <c:v>191193303</c:v>
                </c:pt>
                <c:pt idx="5790">
                  <c:v>191226330</c:v>
                </c:pt>
                <c:pt idx="5791">
                  <c:v>191259357</c:v>
                </c:pt>
                <c:pt idx="5792">
                  <c:v>191292384</c:v>
                </c:pt>
                <c:pt idx="5793">
                  <c:v>191325411</c:v>
                </c:pt>
                <c:pt idx="5794">
                  <c:v>191358438</c:v>
                </c:pt>
                <c:pt idx="5795">
                  <c:v>191391465</c:v>
                </c:pt>
                <c:pt idx="5796">
                  <c:v>191424492</c:v>
                </c:pt>
                <c:pt idx="5797">
                  <c:v>191457519</c:v>
                </c:pt>
                <c:pt idx="5798">
                  <c:v>191490546</c:v>
                </c:pt>
                <c:pt idx="5799">
                  <c:v>191523573</c:v>
                </c:pt>
                <c:pt idx="5800">
                  <c:v>191556600</c:v>
                </c:pt>
                <c:pt idx="5801">
                  <c:v>191589627</c:v>
                </c:pt>
                <c:pt idx="5802">
                  <c:v>191622654</c:v>
                </c:pt>
                <c:pt idx="5803">
                  <c:v>191655681</c:v>
                </c:pt>
                <c:pt idx="5804">
                  <c:v>191688708</c:v>
                </c:pt>
                <c:pt idx="5805">
                  <c:v>191721735</c:v>
                </c:pt>
                <c:pt idx="5806">
                  <c:v>191754762</c:v>
                </c:pt>
                <c:pt idx="5807">
                  <c:v>191787789</c:v>
                </c:pt>
                <c:pt idx="5808">
                  <c:v>191820816</c:v>
                </c:pt>
                <c:pt idx="5809">
                  <c:v>191853843</c:v>
                </c:pt>
                <c:pt idx="5810">
                  <c:v>191886870</c:v>
                </c:pt>
                <c:pt idx="5811">
                  <c:v>191919897</c:v>
                </c:pt>
                <c:pt idx="5812">
                  <c:v>191952924</c:v>
                </c:pt>
                <c:pt idx="5813">
                  <c:v>191985951</c:v>
                </c:pt>
                <c:pt idx="5814">
                  <c:v>192018978</c:v>
                </c:pt>
                <c:pt idx="5815">
                  <c:v>192052005</c:v>
                </c:pt>
                <c:pt idx="5816">
                  <c:v>192085032</c:v>
                </c:pt>
                <c:pt idx="5817">
                  <c:v>192118059</c:v>
                </c:pt>
                <c:pt idx="5818">
                  <c:v>192151086</c:v>
                </c:pt>
                <c:pt idx="5819">
                  <c:v>192184113</c:v>
                </c:pt>
                <c:pt idx="5820">
                  <c:v>192217140</c:v>
                </c:pt>
                <c:pt idx="5821">
                  <c:v>192250167</c:v>
                </c:pt>
                <c:pt idx="5822">
                  <c:v>192283194</c:v>
                </c:pt>
                <c:pt idx="5823">
                  <c:v>192316221</c:v>
                </c:pt>
                <c:pt idx="5824">
                  <c:v>192349248</c:v>
                </c:pt>
                <c:pt idx="5825">
                  <c:v>192382275</c:v>
                </c:pt>
                <c:pt idx="5826">
                  <c:v>192415302</c:v>
                </c:pt>
                <c:pt idx="5827">
                  <c:v>192448329</c:v>
                </c:pt>
                <c:pt idx="5828">
                  <c:v>192481356</c:v>
                </c:pt>
                <c:pt idx="5829">
                  <c:v>192514383</c:v>
                </c:pt>
                <c:pt idx="5830">
                  <c:v>192547410</c:v>
                </c:pt>
                <c:pt idx="5831">
                  <c:v>192580437</c:v>
                </c:pt>
                <c:pt idx="5832">
                  <c:v>192613464</c:v>
                </c:pt>
                <c:pt idx="5833">
                  <c:v>192646491</c:v>
                </c:pt>
                <c:pt idx="5834">
                  <c:v>192679518</c:v>
                </c:pt>
                <c:pt idx="5835">
                  <c:v>192712545</c:v>
                </c:pt>
                <c:pt idx="5836">
                  <c:v>192745572</c:v>
                </c:pt>
                <c:pt idx="5837">
                  <c:v>192778599</c:v>
                </c:pt>
                <c:pt idx="5838">
                  <c:v>192811626</c:v>
                </c:pt>
                <c:pt idx="5839">
                  <c:v>192844653</c:v>
                </c:pt>
                <c:pt idx="5840">
                  <c:v>192877680</c:v>
                </c:pt>
                <c:pt idx="5841">
                  <c:v>192910707</c:v>
                </c:pt>
                <c:pt idx="5842">
                  <c:v>192943734</c:v>
                </c:pt>
                <c:pt idx="5843">
                  <c:v>192976761</c:v>
                </c:pt>
                <c:pt idx="5844">
                  <c:v>193009788</c:v>
                </c:pt>
                <c:pt idx="5845">
                  <c:v>193042815</c:v>
                </c:pt>
                <c:pt idx="5846">
                  <c:v>193075842</c:v>
                </c:pt>
                <c:pt idx="5847">
                  <c:v>193108869</c:v>
                </c:pt>
                <c:pt idx="5848">
                  <c:v>193141896</c:v>
                </c:pt>
                <c:pt idx="5849">
                  <c:v>193174923</c:v>
                </c:pt>
                <c:pt idx="5850">
                  <c:v>193207950</c:v>
                </c:pt>
                <c:pt idx="5851">
                  <c:v>193240977</c:v>
                </c:pt>
                <c:pt idx="5852">
                  <c:v>193274004</c:v>
                </c:pt>
                <c:pt idx="5853">
                  <c:v>193307031</c:v>
                </c:pt>
                <c:pt idx="5854">
                  <c:v>193340058</c:v>
                </c:pt>
                <c:pt idx="5855">
                  <c:v>193373085</c:v>
                </c:pt>
                <c:pt idx="5856">
                  <c:v>193406112</c:v>
                </c:pt>
                <c:pt idx="5857">
                  <c:v>193439139</c:v>
                </c:pt>
                <c:pt idx="5858">
                  <c:v>193472166</c:v>
                </c:pt>
                <c:pt idx="5859">
                  <c:v>193505193</c:v>
                </c:pt>
                <c:pt idx="5860">
                  <c:v>193538220</c:v>
                </c:pt>
                <c:pt idx="5861">
                  <c:v>193571247</c:v>
                </c:pt>
                <c:pt idx="5862">
                  <c:v>193604274</c:v>
                </c:pt>
                <c:pt idx="5863">
                  <c:v>193637301</c:v>
                </c:pt>
                <c:pt idx="5864">
                  <c:v>193670328</c:v>
                </c:pt>
                <c:pt idx="5865">
                  <c:v>193703355</c:v>
                </c:pt>
                <c:pt idx="5866">
                  <c:v>193736382</c:v>
                </c:pt>
                <c:pt idx="5867">
                  <c:v>193769409</c:v>
                </c:pt>
                <c:pt idx="5868">
                  <c:v>193802436</c:v>
                </c:pt>
                <c:pt idx="5869">
                  <c:v>193835463</c:v>
                </c:pt>
                <c:pt idx="5870">
                  <c:v>193868490</c:v>
                </c:pt>
                <c:pt idx="5871">
                  <c:v>193901517</c:v>
                </c:pt>
                <c:pt idx="5872">
                  <c:v>193934544</c:v>
                </c:pt>
                <c:pt idx="5873">
                  <c:v>193967571</c:v>
                </c:pt>
                <c:pt idx="5874">
                  <c:v>194000598</c:v>
                </c:pt>
                <c:pt idx="5875">
                  <c:v>194033625</c:v>
                </c:pt>
                <c:pt idx="5876">
                  <c:v>194066652</c:v>
                </c:pt>
                <c:pt idx="5877">
                  <c:v>194099679</c:v>
                </c:pt>
                <c:pt idx="5878">
                  <c:v>194132706</c:v>
                </c:pt>
                <c:pt idx="5879">
                  <c:v>194165733</c:v>
                </c:pt>
                <c:pt idx="5880">
                  <c:v>194198760</c:v>
                </c:pt>
                <c:pt idx="5881">
                  <c:v>194231787</c:v>
                </c:pt>
                <c:pt idx="5882">
                  <c:v>194264814</c:v>
                </c:pt>
                <c:pt idx="5883">
                  <c:v>194297841</c:v>
                </c:pt>
                <c:pt idx="5884">
                  <c:v>194330868</c:v>
                </c:pt>
                <c:pt idx="5885">
                  <c:v>194363895</c:v>
                </c:pt>
                <c:pt idx="5886">
                  <c:v>194396922</c:v>
                </c:pt>
                <c:pt idx="5887">
                  <c:v>194429949</c:v>
                </c:pt>
                <c:pt idx="5888">
                  <c:v>194462976</c:v>
                </c:pt>
                <c:pt idx="5889">
                  <c:v>194496003</c:v>
                </c:pt>
                <c:pt idx="5890">
                  <c:v>194529030</c:v>
                </c:pt>
                <c:pt idx="5891">
                  <c:v>194562057</c:v>
                </c:pt>
                <c:pt idx="5892">
                  <c:v>194595084</c:v>
                </c:pt>
                <c:pt idx="5893">
                  <c:v>194628111</c:v>
                </c:pt>
                <c:pt idx="5894">
                  <c:v>194661138</c:v>
                </c:pt>
                <c:pt idx="5895">
                  <c:v>194694165</c:v>
                </c:pt>
                <c:pt idx="5896">
                  <c:v>194727192</c:v>
                </c:pt>
                <c:pt idx="5897">
                  <c:v>194760219</c:v>
                </c:pt>
                <c:pt idx="5898">
                  <c:v>194793246</c:v>
                </c:pt>
                <c:pt idx="5899">
                  <c:v>194826273</c:v>
                </c:pt>
                <c:pt idx="5900">
                  <c:v>194859300</c:v>
                </c:pt>
                <c:pt idx="5901">
                  <c:v>194892327</c:v>
                </c:pt>
                <c:pt idx="5902">
                  <c:v>194925354</c:v>
                </c:pt>
                <c:pt idx="5903">
                  <c:v>194958381</c:v>
                </c:pt>
                <c:pt idx="5904">
                  <c:v>194991408</c:v>
                </c:pt>
                <c:pt idx="5905">
                  <c:v>195024435</c:v>
                </c:pt>
                <c:pt idx="5906">
                  <c:v>195057462</c:v>
                </c:pt>
                <c:pt idx="5907">
                  <c:v>195090489</c:v>
                </c:pt>
                <c:pt idx="5908">
                  <c:v>195123516</c:v>
                </c:pt>
                <c:pt idx="5909">
                  <c:v>195156543</c:v>
                </c:pt>
                <c:pt idx="5910">
                  <c:v>195189570</c:v>
                </c:pt>
                <c:pt idx="5911">
                  <c:v>195222597</c:v>
                </c:pt>
                <c:pt idx="5912">
                  <c:v>195255624</c:v>
                </c:pt>
                <c:pt idx="5913">
                  <c:v>195288651</c:v>
                </c:pt>
                <c:pt idx="5914">
                  <c:v>195321678</c:v>
                </c:pt>
                <c:pt idx="5915">
                  <c:v>195354705</c:v>
                </c:pt>
                <c:pt idx="5916">
                  <c:v>195387732</c:v>
                </c:pt>
                <c:pt idx="5917">
                  <c:v>195420759</c:v>
                </c:pt>
                <c:pt idx="5918">
                  <c:v>195453786</c:v>
                </c:pt>
                <c:pt idx="5919">
                  <c:v>195486813</c:v>
                </c:pt>
                <c:pt idx="5920">
                  <c:v>195519840</c:v>
                </c:pt>
                <c:pt idx="5921">
                  <c:v>195552867</c:v>
                </c:pt>
                <c:pt idx="5922">
                  <c:v>195585894</c:v>
                </c:pt>
                <c:pt idx="5923">
                  <c:v>195618921</c:v>
                </c:pt>
                <c:pt idx="5924">
                  <c:v>195651948</c:v>
                </c:pt>
                <c:pt idx="5925">
                  <c:v>195684975</c:v>
                </c:pt>
                <c:pt idx="5926">
                  <c:v>195718002</c:v>
                </c:pt>
                <c:pt idx="5927">
                  <c:v>195751029</c:v>
                </c:pt>
                <c:pt idx="5928">
                  <c:v>195784056</c:v>
                </c:pt>
                <c:pt idx="5929">
                  <c:v>195817083</c:v>
                </c:pt>
                <c:pt idx="5930">
                  <c:v>195850110</c:v>
                </c:pt>
                <c:pt idx="5931">
                  <c:v>195883137</c:v>
                </c:pt>
                <c:pt idx="5932">
                  <c:v>195916164</c:v>
                </c:pt>
                <c:pt idx="5933">
                  <c:v>195949191</c:v>
                </c:pt>
                <c:pt idx="5934">
                  <c:v>195982218</c:v>
                </c:pt>
                <c:pt idx="5935">
                  <c:v>196015245</c:v>
                </c:pt>
                <c:pt idx="5936">
                  <c:v>196048272</c:v>
                </c:pt>
                <c:pt idx="5937">
                  <c:v>196081299</c:v>
                </c:pt>
                <c:pt idx="5938">
                  <c:v>196114326</c:v>
                </c:pt>
                <c:pt idx="5939">
                  <c:v>196147353</c:v>
                </c:pt>
                <c:pt idx="5940">
                  <c:v>196180380</c:v>
                </c:pt>
                <c:pt idx="5941">
                  <c:v>196213407</c:v>
                </c:pt>
                <c:pt idx="5942">
                  <c:v>196246434</c:v>
                </c:pt>
                <c:pt idx="5943">
                  <c:v>196279461</c:v>
                </c:pt>
                <c:pt idx="5944">
                  <c:v>196312488</c:v>
                </c:pt>
                <c:pt idx="5945">
                  <c:v>196345515</c:v>
                </c:pt>
                <c:pt idx="5946">
                  <c:v>196378542</c:v>
                </c:pt>
                <c:pt idx="5947">
                  <c:v>196411569</c:v>
                </c:pt>
                <c:pt idx="5948">
                  <c:v>196444596</c:v>
                </c:pt>
                <c:pt idx="5949">
                  <c:v>196477623</c:v>
                </c:pt>
                <c:pt idx="5950">
                  <c:v>196510650</c:v>
                </c:pt>
                <c:pt idx="5951">
                  <c:v>196543677</c:v>
                </c:pt>
                <c:pt idx="5952">
                  <c:v>196576704</c:v>
                </c:pt>
                <c:pt idx="5953">
                  <c:v>196609731</c:v>
                </c:pt>
                <c:pt idx="5954">
                  <c:v>196642758</c:v>
                </c:pt>
                <c:pt idx="5955">
                  <c:v>196675785</c:v>
                </c:pt>
                <c:pt idx="5956">
                  <c:v>196708812</c:v>
                </c:pt>
                <c:pt idx="5957">
                  <c:v>196741839</c:v>
                </c:pt>
                <c:pt idx="5958">
                  <c:v>196774866</c:v>
                </c:pt>
                <c:pt idx="5959">
                  <c:v>196807893</c:v>
                </c:pt>
                <c:pt idx="5960">
                  <c:v>196840920</c:v>
                </c:pt>
                <c:pt idx="5961">
                  <c:v>196873947</c:v>
                </c:pt>
                <c:pt idx="5962">
                  <c:v>196906974</c:v>
                </c:pt>
                <c:pt idx="5963">
                  <c:v>196940001</c:v>
                </c:pt>
                <c:pt idx="5964">
                  <c:v>196973028</c:v>
                </c:pt>
                <c:pt idx="5965">
                  <c:v>197006055</c:v>
                </c:pt>
                <c:pt idx="5966">
                  <c:v>197039082</c:v>
                </c:pt>
                <c:pt idx="5967">
                  <c:v>197072109</c:v>
                </c:pt>
                <c:pt idx="5968">
                  <c:v>197105136</c:v>
                </c:pt>
                <c:pt idx="5969">
                  <c:v>197138163</c:v>
                </c:pt>
                <c:pt idx="5970">
                  <c:v>197171190</c:v>
                </c:pt>
                <c:pt idx="5971">
                  <c:v>197204217</c:v>
                </c:pt>
                <c:pt idx="5972">
                  <c:v>197237244</c:v>
                </c:pt>
                <c:pt idx="5973">
                  <c:v>197270271</c:v>
                </c:pt>
                <c:pt idx="5974">
                  <c:v>197303298</c:v>
                </c:pt>
                <c:pt idx="5975">
                  <c:v>197336325</c:v>
                </c:pt>
                <c:pt idx="5976">
                  <c:v>197369352</c:v>
                </c:pt>
                <c:pt idx="5977">
                  <c:v>197402379</c:v>
                </c:pt>
                <c:pt idx="5978">
                  <c:v>197435406</c:v>
                </c:pt>
                <c:pt idx="5979">
                  <c:v>197468433</c:v>
                </c:pt>
                <c:pt idx="5980">
                  <c:v>197501460</c:v>
                </c:pt>
                <c:pt idx="5981">
                  <c:v>197534487</c:v>
                </c:pt>
                <c:pt idx="5982">
                  <c:v>197567514</c:v>
                </c:pt>
                <c:pt idx="5983">
                  <c:v>197600541</c:v>
                </c:pt>
                <c:pt idx="5984">
                  <c:v>197633568</c:v>
                </c:pt>
                <c:pt idx="5985">
                  <c:v>197666595</c:v>
                </c:pt>
                <c:pt idx="5986">
                  <c:v>197699622</c:v>
                </c:pt>
                <c:pt idx="5987">
                  <c:v>197732649</c:v>
                </c:pt>
                <c:pt idx="5988">
                  <c:v>197765676</c:v>
                </c:pt>
                <c:pt idx="5989">
                  <c:v>197798703</c:v>
                </c:pt>
                <c:pt idx="5990">
                  <c:v>197831730</c:v>
                </c:pt>
                <c:pt idx="5991">
                  <c:v>197864757</c:v>
                </c:pt>
                <c:pt idx="5992">
                  <c:v>197897784</c:v>
                </c:pt>
                <c:pt idx="5993">
                  <c:v>197930811</c:v>
                </c:pt>
                <c:pt idx="5994">
                  <c:v>197963838</c:v>
                </c:pt>
                <c:pt idx="5995">
                  <c:v>197996865</c:v>
                </c:pt>
                <c:pt idx="5996">
                  <c:v>198029892</c:v>
                </c:pt>
                <c:pt idx="5997">
                  <c:v>198062919</c:v>
                </c:pt>
                <c:pt idx="5998">
                  <c:v>198095946</c:v>
                </c:pt>
                <c:pt idx="5999">
                  <c:v>198128973</c:v>
                </c:pt>
                <c:pt idx="6000">
                  <c:v>198162000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zoomScale="145" zoomScaleNormal="145" workbookViewId="0">
      <selection activeCell="F22" sqref="F22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7" t="s">
        <v>0</v>
      </c>
      <c r="B1" s="148"/>
    </row>
    <row r="2" spans="1:4" x14ac:dyDescent="0.25">
      <c r="A2" s="1" t="s">
        <v>1</v>
      </c>
      <c r="B2" s="1" t="s">
        <v>2</v>
      </c>
    </row>
    <row r="3" spans="1:4" x14ac:dyDescent="0.25">
      <c r="A3" s="105" t="s">
        <v>173</v>
      </c>
      <c r="B3" s="3">
        <f>B23</f>
        <v>5000000</v>
      </c>
    </row>
    <row r="4" spans="1:4" x14ac:dyDescent="0.25">
      <c r="A4" s="105" t="s">
        <v>172</v>
      </c>
      <c r="B4" s="3">
        <f>B31</f>
        <v>3740000</v>
      </c>
    </row>
    <row r="5" spans="1:4" x14ac:dyDescent="0.25">
      <c r="A5" s="105" t="s">
        <v>3</v>
      </c>
      <c r="B5" s="3">
        <f>D16</f>
        <v>8200000</v>
      </c>
    </row>
    <row r="6" spans="1:4" x14ac:dyDescent="0.25">
      <c r="A6" s="105" t="s">
        <v>233</v>
      </c>
      <c r="B6" s="3">
        <f>B37</f>
        <v>7000000</v>
      </c>
    </row>
    <row r="7" spans="1:4" x14ac:dyDescent="0.25">
      <c r="A7" s="105" t="s">
        <v>4</v>
      </c>
      <c r="B7" s="3">
        <f>B44</f>
        <v>6000000</v>
      </c>
    </row>
    <row r="8" spans="1:4" x14ac:dyDescent="0.25">
      <c r="A8" s="105" t="s">
        <v>5</v>
      </c>
      <c r="B8" s="3">
        <f>B52</f>
        <v>3700000</v>
      </c>
    </row>
    <row r="9" spans="1:4" x14ac:dyDescent="0.25">
      <c r="A9" s="4" t="s">
        <v>36</v>
      </c>
      <c r="B9" s="5">
        <f>SUM(B3:B8)</f>
        <v>33640000</v>
      </c>
    </row>
    <row r="10" spans="1:4" ht="15.75" thickBot="1" x14ac:dyDescent="0.3"/>
    <row r="11" spans="1:4" ht="15.75" thickBot="1" x14ac:dyDescent="0.3">
      <c r="A11" s="149" t="s">
        <v>169</v>
      </c>
      <c r="B11" s="156"/>
      <c r="C11" s="156"/>
      <c r="D11" s="150"/>
    </row>
    <row r="12" spans="1:4" x14ac:dyDescent="0.25">
      <c r="A12" s="100" t="s">
        <v>7</v>
      </c>
      <c r="B12" s="100" t="s">
        <v>8</v>
      </c>
      <c r="C12" s="100" t="s">
        <v>9</v>
      </c>
      <c r="D12" s="100" t="s">
        <v>10</v>
      </c>
    </row>
    <row r="13" spans="1:4" x14ac:dyDescent="0.25">
      <c r="A13" s="6" t="s">
        <v>174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11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175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153" t="s">
        <v>6</v>
      </c>
      <c r="B16" s="154"/>
      <c r="C16" s="155"/>
      <c r="D16" s="5">
        <f>SUM(D13:D15)</f>
        <v>8200000</v>
      </c>
    </row>
    <row r="17" spans="1:2" ht="15.75" thickBot="1" x14ac:dyDescent="0.3"/>
    <row r="18" spans="1:2" ht="15.75" thickBot="1" x14ac:dyDescent="0.3">
      <c r="A18" s="149" t="s">
        <v>170</v>
      </c>
      <c r="B18" s="150"/>
    </row>
    <row r="19" spans="1:2" x14ac:dyDescent="0.25">
      <c r="A19" s="100" t="s">
        <v>7</v>
      </c>
      <c r="B19" s="100" t="s">
        <v>2</v>
      </c>
    </row>
    <row r="20" spans="1:2" x14ac:dyDescent="0.25">
      <c r="A20" s="8" t="s">
        <v>176</v>
      </c>
      <c r="B20" s="7">
        <v>1500000</v>
      </c>
    </row>
    <row r="21" spans="1:2" x14ac:dyDescent="0.25">
      <c r="A21" s="8" t="s">
        <v>177</v>
      </c>
      <c r="B21" s="7">
        <v>2000000</v>
      </c>
    </row>
    <row r="22" spans="1:2" x14ac:dyDescent="0.25">
      <c r="A22" s="8" t="s">
        <v>13</v>
      </c>
      <c r="B22" s="7">
        <v>1500000</v>
      </c>
    </row>
    <row r="23" spans="1:2" x14ac:dyDescent="0.25">
      <c r="A23" s="9" t="s">
        <v>6</v>
      </c>
      <c r="B23" s="10">
        <f>SUM(B20:B22)</f>
        <v>5000000</v>
      </c>
    </row>
    <row r="24" spans="1:2" ht="15.75" thickBot="1" x14ac:dyDescent="0.3"/>
    <row r="25" spans="1:2" ht="15.75" thickBot="1" x14ac:dyDescent="0.3">
      <c r="A25" s="149" t="s">
        <v>171</v>
      </c>
      <c r="B25" s="150"/>
    </row>
    <row r="26" spans="1:2" x14ac:dyDescent="0.25">
      <c r="A26" s="100" t="s">
        <v>7</v>
      </c>
      <c r="B26" s="100" t="s">
        <v>2</v>
      </c>
    </row>
    <row r="27" spans="1:2" x14ac:dyDescent="0.25">
      <c r="A27" s="8" t="s">
        <v>180</v>
      </c>
      <c r="B27" s="7">
        <v>920000</v>
      </c>
    </row>
    <row r="28" spans="1:2" x14ac:dyDescent="0.25">
      <c r="A28" s="8" t="s">
        <v>181</v>
      </c>
      <c r="B28" s="7">
        <v>1300000</v>
      </c>
    </row>
    <row r="29" spans="1:2" x14ac:dyDescent="0.25">
      <c r="A29" s="8" t="s">
        <v>182</v>
      </c>
      <c r="B29" s="7">
        <v>600000</v>
      </c>
    </row>
    <row r="30" spans="1:2" x14ac:dyDescent="0.25">
      <c r="A30" s="8" t="s">
        <v>183</v>
      </c>
      <c r="B30" s="7">
        <v>920000</v>
      </c>
    </row>
    <row r="31" spans="1:2" x14ac:dyDescent="0.25">
      <c r="A31" s="9" t="s">
        <v>6</v>
      </c>
      <c r="B31" s="10">
        <f>SUM(B27:B30)</f>
        <v>3740000</v>
      </c>
    </row>
    <row r="32" spans="1:2" ht="15.75" thickBot="1" x14ac:dyDescent="0.3"/>
    <row r="33" spans="1:2" ht="15.75" thickBot="1" x14ac:dyDescent="0.3">
      <c r="A33" s="149" t="s">
        <v>232</v>
      </c>
      <c r="B33" s="150"/>
    </row>
    <row r="34" spans="1:2" x14ac:dyDescent="0.25">
      <c r="A34" s="100" t="s">
        <v>7</v>
      </c>
      <c r="B34" s="100" t="s">
        <v>2</v>
      </c>
    </row>
    <row r="35" spans="1:2" x14ac:dyDescent="0.25">
      <c r="A35" s="8" t="s">
        <v>179</v>
      </c>
      <c r="B35" s="7">
        <v>3500000</v>
      </c>
    </row>
    <row r="36" spans="1:2" x14ac:dyDescent="0.25">
      <c r="A36" s="8" t="s">
        <v>178</v>
      </c>
      <c r="B36" s="7">
        <v>3500000</v>
      </c>
    </row>
    <row r="37" spans="1:2" x14ac:dyDescent="0.25">
      <c r="A37" s="9" t="s">
        <v>6</v>
      </c>
      <c r="B37" s="10">
        <f>SUM(B35:B36)</f>
        <v>7000000</v>
      </c>
    </row>
    <row r="38" spans="1:2" ht="15.75" thickBot="1" x14ac:dyDescent="0.3"/>
    <row r="39" spans="1:2" ht="15.75" thickBot="1" x14ac:dyDescent="0.3">
      <c r="A39" s="149" t="s">
        <v>14</v>
      </c>
      <c r="B39" s="150"/>
    </row>
    <row r="40" spans="1:2" x14ac:dyDescent="0.25">
      <c r="A40" s="100" t="s">
        <v>7</v>
      </c>
      <c r="B40" s="100" t="s">
        <v>2</v>
      </c>
    </row>
    <row r="41" spans="1:2" x14ac:dyDescent="0.25">
      <c r="A41" s="8" t="s">
        <v>184</v>
      </c>
      <c r="B41" s="7">
        <v>2000000</v>
      </c>
    </row>
    <row r="42" spans="1:2" x14ac:dyDescent="0.25">
      <c r="A42" s="8" t="s">
        <v>185</v>
      </c>
      <c r="B42" s="7">
        <v>2000000</v>
      </c>
    </row>
    <row r="43" spans="1:2" x14ac:dyDescent="0.25">
      <c r="A43" s="8" t="s">
        <v>186</v>
      </c>
      <c r="B43" s="7">
        <v>2000000</v>
      </c>
    </row>
    <row r="44" spans="1:2" x14ac:dyDescent="0.25">
      <c r="A44" s="9" t="s">
        <v>6</v>
      </c>
      <c r="B44" s="10">
        <f>SUM(B41:B43)</f>
        <v>6000000</v>
      </c>
    </row>
    <row r="45" spans="1:2" ht="15.75" thickBot="1" x14ac:dyDescent="0.3"/>
    <row r="46" spans="1:2" ht="15.75" thickBot="1" x14ac:dyDescent="0.3">
      <c r="A46" s="149" t="s">
        <v>15</v>
      </c>
      <c r="B46" s="150"/>
    </row>
    <row r="47" spans="1:2" x14ac:dyDescent="0.25">
      <c r="A47" s="100" t="s">
        <v>7</v>
      </c>
      <c r="B47" s="100" t="s">
        <v>2</v>
      </c>
    </row>
    <row r="48" spans="1:2" x14ac:dyDescent="0.25">
      <c r="A48" s="8" t="s">
        <v>187</v>
      </c>
      <c r="B48" s="7">
        <v>1500000</v>
      </c>
    </row>
    <row r="49" spans="1:4" x14ac:dyDescent="0.25">
      <c r="A49" s="8" t="s">
        <v>188</v>
      </c>
      <c r="B49" s="7">
        <v>1000000</v>
      </c>
    </row>
    <row r="50" spans="1:4" x14ac:dyDescent="0.25">
      <c r="A50" s="8" t="s">
        <v>189</v>
      </c>
      <c r="B50" s="7">
        <v>200000</v>
      </c>
    </row>
    <row r="51" spans="1:4" x14ac:dyDescent="0.25">
      <c r="A51" s="8" t="s">
        <v>16</v>
      </c>
      <c r="B51" s="7">
        <v>1000000</v>
      </c>
    </row>
    <row r="52" spans="1:4" x14ac:dyDescent="0.25">
      <c r="A52" s="9" t="s">
        <v>6</v>
      </c>
      <c r="B52" s="10">
        <f>SUM(B48:B51)</f>
        <v>3700000</v>
      </c>
    </row>
    <row r="55" spans="1:4" x14ac:dyDescent="0.25">
      <c r="A55" s="151"/>
      <c r="B55" s="152"/>
      <c r="C55" s="152"/>
      <c r="D55" s="152"/>
    </row>
  </sheetData>
  <mergeCells count="9">
    <mergeCell ref="A1:B1"/>
    <mergeCell ref="A33:B33"/>
    <mergeCell ref="A25:B25"/>
    <mergeCell ref="A18:B18"/>
    <mergeCell ref="A55:D55"/>
    <mergeCell ref="A16:C16"/>
    <mergeCell ref="A11:D11"/>
    <mergeCell ref="A46:B46"/>
    <mergeCell ref="A39:B3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topLeftCell="G1" zoomScaleNormal="100" workbookViewId="0">
      <selection activeCell="K31" sqref="K31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73" t="s">
        <v>51</v>
      </c>
      <c r="B1" s="174"/>
      <c r="C1" s="174"/>
      <c r="D1" s="174"/>
      <c r="E1" s="174"/>
      <c r="F1" s="175"/>
      <c r="H1" s="176" t="s">
        <v>52</v>
      </c>
      <c r="I1" s="177"/>
      <c r="J1" s="177"/>
      <c r="K1" s="177"/>
      <c r="L1" s="177"/>
      <c r="M1" s="177"/>
      <c r="N1" s="178"/>
    </row>
    <row r="2" spans="1:14" x14ac:dyDescent="0.25">
      <c r="A2" s="179" t="s">
        <v>53</v>
      </c>
      <c r="B2" s="179"/>
      <c r="C2" s="179"/>
      <c r="D2" s="179"/>
      <c r="E2" s="179"/>
      <c r="F2" s="179"/>
      <c r="H2" s="180" t="s">
        <v>54</v>
      </c>
      <c r="I2" s="181"/>
      <c r="J2" s="181"/>
      <c r="K2" s="181"/>
      <c r="L2" s="181"/>
      <c r="M2" s="181"/>
      <c r="N2" s="182"/>
    </row>
    <row r="3" spans="1:14" x14ac:dyDescent="0.25">
      <c r="A3" s="183" t="s">
        <v>7</v>
      </c>
      <c r="B3" s="183"/>
      <c r="C3" s="1" t="s">
        <v>19</v>
      </c>
      <c r="D3" s="1" t="s">
        <v>55</v>
      </c>
      <c r="E3" s="1" t="s">
        <v>56</v>
      </c>
      <c r="F3" s="1" t="s">
        <v>57</v>
      </c>
      <c r="H3" s="20" t="s">
        <v>58</v>
      </c>
      <c r="I3" s="20" t="s">
        <v>45</v>
      </c>
      <c r="J3" s="20" t="s">
        <v>153</v>
      </c>
      <c r="K3" s="20" t="s">
        <v>154</v>
      </c>
      <c r="L3" s="20" t="s">
        <v>155</v>
      </c>
      <c r="M3" s="20" t="s">
        <v>156</v>
      </c>
      <c r="N3" s="20" t="s">
        <v>157</v>
      </c>
    </row>
    <row r="4" spans="1:14" x14ac:dyDescent="0.25">
      <c r="A4" s="184" t="s">
        <v>59</v>
      </c>
      <c r="B4" s="184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60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84" t="s">
        <v>61</v>
      </c>
      <c r="B5" s="184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62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84" t="s">
        <v>63</v>
      </c>
      <c r="B6" s="184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64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85" t="s">
        <v>65</v>
      </c>
      <c r="B7" s="185"/>
      <c r="C7" s="185"/>
      <c r="D7" s="185"/>
      <c r="E7" s="185"/>
      <c r="F7" s="185"/>
      <c r="H7" s="30" t="s">
        <v>66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 s="1" t="s">
        <v>71</v>
      </c>
      <c r="G8" s="33"/>
      <c r="H8" s="172"/>
      <c r="I8" s="172"/>
      <c r="J8" s="172"/>
      <c r="K8" s="172"/>
      <c r="L8" s="172"/>
      <c r="M8" s="172"/>
      <c r="N8" s="172"/>
    </row>
    <row r="9" spans="1:14" ht="15.75" thickBot="1" x14ac:dyDescent="0.3">
      <c r="A9" s="34" t="s">
        <v>59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61" t="s">
        <v>243</v>
      </c>
      <c r="I9" s="162"/>
      <c r="J9" s="162"/>
      <c r="K9" s="162"/>
      <c r="L9" s="162"/>
      <c r="M9" s="162"/>
      <c r="N9" s="163"/>
    </row>
    <row r="10" spans="1:14" x14ac:dyDescent="0.25">
      <c r="A10" s="37" t="s">
        <v>61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64" t="s">
        <v>58</v>
      </c>
      <c r="I10" s="165"/>
      <c r="J10" s="104" t="s">
        <v>153</v>
      </c>
      <c r="K10" s="104" t="s">
        <v>154</v>
      </c>
      <c r="L10" s="104" t="s">
        <v>155</v>
      </c>
      <c r="M10" s="104" t="s">
        <v>156</v>
      </c>
      <c r="N10" s="104" t="s">
        <v>157</v>
      </c>
    </row>
    <row r="11" spans="1:14" x14ac:dyDescent="0.25">
      <c r="A11" s="37" t="s">
        <v>63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66" t="s">
        <v>244</v>
      </c>
      <c r="I11" s="167"/>
      <c r="J11" s="167"/>
      <c r="K11" s="167"/>
      <c r="L11" s="167"/>
      <c r="M11" s="167"/>
      <c r="N11" s="168"/>
    </row>
    <row r="12" spans="1:14" x14ac:dyDescent="0.25">
      <c r="A12" s="169" t="s">
        <v>28</v>
      </c>
      <c r="B12" s="169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70" t="s">
        <v>245</v>
      </c>
      <c r="I12" s="171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70" t="s">
        <v>246</v>
      </c>
      <c r="I13" s="171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8" t="s">
        <v>72</v>
      </c>
      <c r="B14" s="160"/>
      <c r="C14" s="38"/>
      <c r="D14" s="42"/>
      <c r="E14" s="42"/>
      <c r="H14" s="166" t="s">
        <v>247</v>
      </c>
      <c r="I14" s="167"/>
      <c r="J14" s="167"/>
      <c r="K14" s="167"/>
      <c r="L14" s="167"/>
      <c r="M14" s="167"/>
      <c r="N14" s="168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15" t="s">
        <v>237</v>
      </c>
      <c r="I15" s="13">
        <v>0.9</v>
      </c>
      <c r="J15" s="7">
        <f>J$7*$I15</f>
        <v>146966400</v>
      </c>
      <c r="K15" s="7">
        <f t="shared" ref="K15:N16" si="7">K$7*$I15</f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190</v>
      </c>
      <c r="B16" s="3">
        <f>'Costos de Operación Gravables'!$B$50*0.45</f>
        <v>15790950</v>
      </c>
      <c r="C16" s="38"/>
      <c r="D16" s="42"/>
      <c r="E16" s="42"/>
      <c r="H16" s="115" t="s">
        <v>238</v>
      </c>
      <c r="I16" s="13">
        <v>0.1</v>
      </c>
      <c r="J16" s="7">
        <f>J$7*$I16</f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191</v>
      </c>
      <c r="B17" s="3">
        <f>'Costos de Operación Gravables'!$B$50*0.55</f>
        <v>19300050</v>
      </c>
      <c r="C17" s="38"/>
      <c r="D17" s="42"/>
      <c r="E17" s="42"/>
      <c r="H17" s="166" t="s">
        <v>313</v>
      </c>
      <c r="I17" s="167"/>
      <c r="J17" s="167"/>
      <c r="K17" s="167"/>
      <c r="L17" s="167"/>
      <c r="M17" s="167"/>
      <c r="N17" s="168"/>
    </row>
    <row r="18" spans="1:16" x14ac:dyDescent="0.25">
      <c r="A18" s="9" t="s">
        <v>28</v>
      </c>
      <c r="B18" s="10">
        <f>SUM(B16:B17)</f>
        <v>35091000</v>
      </c>
      <c r="C18" s="38"/>
      <c r="D18" s="42"/>
      <c r="E18" s="42"/>
      <c r="H18" s="170" t="s">
        <v>239</v>
      </c>
      <c r="I18" s="171"/>
      <c r="J18" s="35">
        <f>J15/(12*J12)</f>
        <v>408.24</v>
      </c>
      <c r="K18" s="35">
        <f t="shared" ref="K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70" t="s">
        <v>240</v>
      </c>
      <c r="I19" s="171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8" t="s">
        <v>192</v>
      </c>
      <c r="B20" s="159"/>
      <c r="C20" s="160"/>
      <c r="D20" s="42"/>
      <c r="E20" s="42"/>
      <c r="H20" s="166" t="s">
        <v>276</v>
      </c>
      <c r="I20" s="167"/>
      <c r="J20" s="167"/>
      <c r="K20" s="167"/>
      <c r="L20" s="167"/>
      <c r="M20" s="167"/>
      <c r="N20" s="168"/>
      <c r="O20" s="103" t="s">
        <v>255</v>
      </c>
      <c r="P20" s="23"/>
    </row>
    <row r="21" spans="1:16" x14ac:dyDescent="0.25">
      <c r="A21" s="11" t="s">
        <v>7</v>
      </c>
      <c r="B21" s="100" t="s">
        <v>193</v>
      </c>
      <c r="C21" s="100" t="s">
        <v>2</v>
      </c>
      <c r="D21" s="42"/>
      <c r="E21" s="42"/>
      <c r="H21" s="170" t="s">
        <v>248</v>
      </c>
      <c r="I21" s="171"/>
      <c r="J21" s="118">
        <f>(SUM(J15:J16)/12)/SUM(J18:J19)</f>
        <v>2752.2935779816517</v>
      </c>
      <c r="K21" s="118">
        <f>(SUM(K15:K16)/12)/SUM(K18:K19)</f>
        <v>2878.8990825688074</v>
      </c>
      <c r="L21" s="118">
        <f>(SUM(L15:L16)/12)/SUM(L18:L19)</f>
        <v>2991.1761467889905</v>
      </c>
      <c r="M21" s="118">
        <f>(SUM(M15:M16)/12)/SUM(M18:M19)</f>
        <v>3101.8496642201826</v>
      </c>
      <c r="N21" s="118">
        <f>(SUM(N15:N16)/12)/SUM(N18:N19)</f>
        <v>3210.4144024678885</v>
      </c>
      <c r="O21" s="123">
        <f>AVERAGE(J21:N21)</f>
        <v>2986.9265748055041</v>
      </c>
      <c r="P21" s="121"/>
    </row>
    <row r="22" spans="1:16" x14ac:dyDescent="0.25">
      <c r="A22" s="101" t="s">
        <v>195</v>
      </c>
      <c r="B22" s="79">
        <v>0.5</v>
      </c>
      <c r="C22" s="3">
        <f>$B$17*B22</f>
        <v>9650025</v>
      </c>
      <c r="D22" s="46"/>
      <c r="E22" s="46"/>
      <c r="H22" s="170" t="s">
        <v>251</v>
      </c>
      <c r="I22" s="171"/>
      <c r="J22" s="257">
        <f>J21*12</f>
        <v>33027.522935779823</v>
      </c>
      <c r="K22" s="118">
        <f t="shared" ref="K22:N22" si="9">K21*12</f>
        <v>34546.788990825691</v>
      </c>
      <c r="L22" s="118">
        <f t="shared" si="9"/>
        <v>35894.113761467888</v>
      </c>
      <c r="M22" s="118">
        <f t="shared" si="9"/>
        <v>37222.195970642191</v>
      </c>
      <c r="N22" s="118">
        <f t="shared" si="9"/>
        <v>38524.972829614664</v>
      </c>
      <c r="O22" s="123">
        <f>AVERAGE(J22:N22)</f>
        <v>35843.118897666049</v>
      </c>
      <c r="P22" s="24"/>
    </row>
    <row r="23" spans="1:16" x14ac:dyDescent="0.25">
      <c r="A23" s="101" t="s">
        <v>194</v>
      </c>
      <c r="B23" s="79">
        <v>0.5</v>
      </c>
      <c r="C23" s="3">
        <f>$B$17*B23</f>
        <v>9650025</v>
      </c>
      <c r="D23" s="47"/>
      <c r="E23" s="48"/>
      <c r="H23" s="166" t="s">
        <v>242</v>
      </c>
      <c r="I23" s="167"/>
      <c r="J23" s="167"/>
      <c r="K23" s="167"/>
      <c r="L23" s="167"/>
      <c r="M23" s="167"/>
      <c r="N23" s="168"/>
      <c r="O23" s="18"/>
    </row>
    <row r="24" spans="1:16" x14ac:dyDescent="0.25">
      <c r="A24" s="9" t="s">
        <v>28</v>
      </c>
      <c r="B24" s="106">
        <f>SUM(B22:B23)</f>
        <v>1</v>
      </c>
      <c r="C24" s="10">
        <f>SUM(C22:C23)</f>
        <v>19300050</v>
      </c>
      <c r="D24" s="18"/>
      <c r="E24" s="18"/>
      <c r="H24" s="116" t="s">
        <v>241</v>
      </c>
      <c r="I24" s="117"/>
      <c r="J24" s="259">
        <f>SUM(J18:J19)*12</f>
        <v>59330.879999999997</v>
      </c>
      <c r="K24" s="119">
        <f>SUM(K18:K19)*12</f>
        <v>71412.598393881432</v>
      </c>
      <c r="L24" s="119">
        <f>SUM(L18:L19)*12</f>
        <v>88458.146422449878</v>
      </c>
      <c r="M24" s="119">
        <f>SUM(M18:M19)*12</f>
        <v>113025.11476349673</v>
      </c>
      <c r="N24" s="119">
        <f>SUM(N18:N19)*12</f>
        <v>150044.93496139569</v>
      </c>
      <c r="O24" s="109"/>
    </row>
    <row r="25" spans="1:16" x14ac:dyDescent="0.25">
      <c r="B25" s="49"/>
      <c r="C25" s="38"/>
      <c r="D25" s="42"/>
      <c r="E25" s="42"/>
      <c r="H25" s="166" t="s">
        <v>315</v>
      </c>
      <c r="I25" s="167"/>
      <c r="J25" s="167"/>
      <c r="K25" s="167"/>
      <c r="L25" s="167"/>
      <c r="M25" s="167"/>
      <c r="N25" s="168"/>
      <c r="O25" s="109"/>
    </row>
    <row r="26" spans="1:16" x14ac:dyDescent="0.25">
      <c r="B26" s="49"/>
      <c r="C26" s="38"/>
      <c r="D26" s="42"/>
      <c r="E26" s="42"/>
      <c r="H26" s="170" t="s">
        <v>314</v>
      </c>
      <c r="I26" s="171"/>
      <c r="J26" s="258">
        <f>SUM(J18:J19)</f>
        <v>4944.24</v>
      </c>
      <c r="K26" s="119">
        <f t="shared" ref="K26:N26" si="10">SUM(K18:K19)</f>
        <v>5951.0498661567863</v>
      </c>
      <c r="L26" s="119">
        <f t="shared" si="10"/>
        <v>7371.5122018708234</v>
      </c>
      <c r="M26" s="119">
        <f t="shared" si="10"/>
        <v>9418.7595636247279</v>
      </c>
      <c r="N26" s="119">
        <f t="shared" si="10"/>
        <v>12503.744580116307</v>
      </c>
      <c r="O26" s="18"/>
    </row>
    <row r="27" spans="1:16" x14ac:dyDescent="0.25">
      <c r="A27" s="45"/>
      <c r="B27" s="45"/>
      <c r="C27" s="44"/>
      <c r="D27" s="46"/>
      <c r="E27" s="46"/>
      <c r="I27" s="38"/>
      <c r="J27" s="110"/>
      <c r="K27" s="110"/>
      <c r="L27" s="110"/>
      <c r="M27" s="110"/>
      <c r="N27" s="110"/>
      <c r="O27" s="110"/>
    </row>
    <row r="28" spans="1:16" x14ac:dyDescent="0.25">
      <c r="A28" s="47"/>
      <c r="B28" s="47"/>
      <c r="C28" s="47"/>
      <c r="D28" s="47"/>
      <c r="E28" s="48"/>
      <c r="I28" s="108"/>
      <c r="J28" s="108"/>
      <c r="K28" s="108"/>
      <c r="L28" s="108"/>
      <c r="M28" s="108"/>
      <c r="N28" s="108"/>
      <c r="O28" s="108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2"/>
      <c r="M29" s="102"/>
      <c r="N29" s="102"/>
      <c r="O29" s="102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7"/>
      <c r="B31" s="157"/>
      <c r="C31" s="44"/>
      <c r="D31" s="46"/>
      <c r="E31" s="46"/>
    </row>
  </sheetData>
  <mergeCells count="29">
    <mergeCell ref="H25:N25"/>
    <mergeCell ref="H26:I26"/>
    <mergeCell ref="A14:B14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  <mergeCell ref="H19:I1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0"/>
  <sheetViews>
    <sheetView showGridLines="0" zoomScale="115" zoomScaleNormal="115" workbookViewId="0">
      <selection activeCell="J15" sqref="J15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209" t="s">
        <v>17</v>
      </c>
      <c r="B1" s="200"/>
      <c r="C1" s="200"/>
      <c r="D1" s="210"/>
      <c r="F1" s="199" t="s">
        <v>17</v>
      </c>
      <c r="G1" s="200"/>
      <c r="H1" s="200"/>
      <c r="I1" s="200"/>
      <c r="J1" s="200"/>
      <c r="K1" s="200"/>
      <c r="L1" s="200"/>
      <c r="M1" s="200"/>
      <c r="N1" s="20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11" t="s">
        <v>18</v>
      </c>
      <c r="B2" s="211"/>
      <c r="C2" s="211"/>
      <c r="D2" s="211"/>
      <c r="F2" s="206" t="s">
        <v>18</v>
      </c>
      <c r="G2" s="207"/>
      <c r="H2" s="207"/>
      <c r="I2" s="207"/>
      <c r="J2" s="207"/>
      <c r="K2" s="207"/>
      <c r="L2" s="207"/>
      <c r="M2" s="207"/>
      <c r="N2" s="20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44</v>
      </c>
      <c r="H3" s="9" t="s">
        <v>23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208" t="s">
        <v>25</v>
      </c>
      <c r="G5" s="208"/>
      <c r="H5" s="208"/>
      <c r="I5" s="208"/>
      <c r="J5" s="208"/>
      <c r="K5" s="208"/>
      <c r="L5" s="208"/>
      <c r="M5" s="208"/>
      <c r="N5" s="208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9" t="s">
        <v>28</v>
      </c>
      <c r="B6" s="169"/>
      <c r="C6" s="5">
        <f>SUM(C4:C5)</f>
        <v>6000000</v>
      </c>
      <c r="D6" s="14">
        <f>SUM(D4:D5)</f>
        <v>6000000</v>
      </c>
      <c r="F6" s="4" t="s">
        <v>22</v>
      </c>
      <c r="G6" s="9" t="s">
        <v>44</v>
      </c>
      <c r="H6" s="9" t="s">
        <v>23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 t="s">
        <v>50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12" t="s">
        <v>25</v>
      </c>
      <c r="B7" s="213"/>
      <c r="C7" s="213"/>
      <c r="D7" s="214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208" t="s">
        <v>167</v>
      </c>
      <c r="G8" s="208"/>
      <c r="H8" s="208"/>
      <c r="I8" s="208"/>
      <c r="J8" s="208"/>
      <c r="K8" s="208"/>
      <c r="L8" s="208"/>
      <c r="M8" s="208"/>
      <c r="N8" s="20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44</v>
      </c>
      <c r="H9" s="9" t="s">
        <v>23</v>
      </c>
      <c r="I9" s="4" t="s">
        <v>45</v>
      </c>
      <c r="J9" s="4" t="s">
        <v>46</v>
      </c>
      <c r="K9" s="4" t="s">
        <v>47</v>
      </c>
      <c r="L9" s="4" t="s">
        <v>48</v>
      </c>
      <c r="M9" s="4" t="s">
        <v>49</v>
      </c>
      <c r="N9" s="4" t="s">
        <v>50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D23</f>
        <v>3790000</v>
      </c>
      <c r="G10" s="7">
        <f>F10*12</f>
        <v>45480000</v>
      </c>
      <c r="H10" s="13">
        <v>0.06</v>
      </c>
      <c r="I10" s="3">
        <v>0</v>
      </c>
      <c r="J10" s="3">
        <f>G10</f>
        <v>45480000</v>
      </c>
      <c r="K10" s="3">
        <f>J10*($H$10+1)</f>
        <v>48208800</v>
      </c>
      <c r="L10" s="3">
        <f>K10*($H$7+1)</f>
        <v>53029680.000000007</v>
      </c>
      <c r="M10" s="3">
        <f>L10*($H$7+1)</f>
        <v>58332648.000000015</v>
      </c>
      <c r="N10" s="3">
        <f>M10*($H$7+1)</f>
        <v>64165912.800000019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208" t="s">
        <v>289</v>
      </c>
      <c r="G11" s="208"/>
      <c r="H11" s="208"/>
      <c r="I11" s="208"/>
      <c r="J11" s="208"/>
      <c r="K11" s="208"/>
      <c r="L11" s="208"/>
      <c r="M11" s="208"/>
      <c r="N11" s="208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133" t="s">
        <v>22</v>
      </c>
      <c r="G12" s="134" t="s">
        <v>44</v>
      </c>
      <c r="H12" s="134" t="s">
        <v>23</v>
      </c>
      <c r="I12" s="133" t="s">
        <v>45</v>
      </c>
      <c r="J12" s="133" t="s">
        <v>46</v>
      </c>
      <c r="K12" s="133" t="s">
        <v>47</v>
      </c>
      <c r="L12" s="133" t="s">
        <v>48</v>
      </c>
      <c r="M12" s="133" t="s">
        <v>49</v>
      </c>
      <c r="N12" s="133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3">
        <v>0</v>
      </c>
      <c r="G13" s="7">
        <f>F13*12</f>
        <v>0</v>
      </c>
      <c r="H13" s="13" t="s">
        <v>24</v>
      </c>
      <c r="I13" s="3">
        <v>0</v>
      </c>
      <c r="J13" s="3">
        <v>1451000</v>
      </c>
      <c r="K13" s="3"/>
      <c r="L13" s="3"/>
      <c r="M13" s="3"/>
      <c r="N13" s="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96" t="s">
        <v>6</v>
      </c>
      <c r="G14" s="197"/>
      <c r="H14" s="197"/>
      <c r="I14" s="197"/>
      <c r="J14" s="197"/>
      <c r="K14" s="197"/>
      <c r="L14" s="197"/>
      <c r="M14" s="197"/>
      <c r="N14" s="198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140393936</v>
      </c>
      <c r="K15" s="16">
        <f>SUM(K4,K7,K10,K13)</f>
        <v>151018029.59999999</v>
      </c>
      <c r="L15" s="16">
        <f t="shared" ref="L15:N15" si="3">SUM(L4,L7,L10,L13)</f>
        <v>166119832.56</v>
      </c>
      <c r="M15" s="16">
        <f t="shared" si="3"/>
        <v>182731815.81600004</v>
      </c>
      <c r="N15" s="16">
        <f t="shared" si="3"/>
        <v>201004997.39760005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53" t="s">
        <v>28</v>
      </c>
      <c r="B17" s="155"/>
      <c r="C17" s="5">
        <f>SUM(C9:C16)</f>
        <v>894289</v>
      </c>
      <c r="D17" s="14">
        <f>SUM(D9:D16)</f>
        <v>1788578</v>
      </c>
      <c r="F17" s="199" t="s">
        <v>259</v>
      </c>
      <c r="G17" s="200"/>
      <c r="H17" s="200"/>
      <c r="I17" s="200"/>
      <c r="J17" s="200"/>
      <c r="K17" s="200"/>
      <c r="L17" s="200"/>
      <c r="M17" s="200"/>
      <c r="N17" s="201"/>
      <c r="O17" s="24"/>
      <c r="P17" s="11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205" t="s">
        <v>166</v>
      </c>
      <c r="B18" s="205"/>
      <c r="C18" s="205"/>
      <c r="D18" s="205"/>
      <c r="F18" s="202" t="s">
        <v>235</v>
      </c>
      <c r="G18" s="203"/>
      <c r="H18" s="203"/>
      <c r="I18" s="203"/>
      <c r="J18" s="203"/>
      <c r="K18" s="203"/>
      <c r="L18" s="203"/>
      <c r="M18" s="203"/>
      <c r="N18" s="203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33" t="s">
        <v>22</v>
      </c>
      <c r="G19" s="134" t="s">
        <v>44</v>
      </c>
      <c r="H19" s="134" t="s">
        <v>23</v>
      </c>
      <c r="I19" s="133" t="s">
        <v>45</v>
      </c>
      <c r="J19" s="133" t="s">
        <v>46</v>
      </c>
      <c r="K19" s="133" t="s">
        <v>47</v>
      </c>
      <c r="L19" s="133" t="s">
        <v>48</v>
      </c>
      <c r="M19" s="133" t="s">
        <v>49</v>
      </c>
      <c r="N19" s="133" t="s">
        <v>50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303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304</v>
      </c>
      <c r="B21" s="8">
        <v>1</v>
      </c>
      <c r="C21" s="3">
        <v>70000</v>
      </c>
      <c r="D21" s="12">
        <f>C21*B21</f>
        <v>70000</v>
      </c>
      <c r="F21" s="142"/>
      <c r="G21" s="143"/>
      <c r="H21" s="144"/>
      <c r="I21" s="145"/>
      <c r="J21" s="145"/>
      <c r="K21" s="145"/>
      <c r="L21" s="145"/>
      <c r="M21" s="145"/>
      <c r="N21" s="145"/>
      <c r="O21" s="24"/>
      <c r="P21" s="39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5" t="s">
        <v>165</v>
      </c>
      <c r="B22" s="8">
        <v>1</v>
      </c>
      <c r="C22" s="3">
        <v>3500000</v>
      </c>
      <c r="D22" s="12">
        <f t="shared" ref="D22" si="5">C22*B22</f>
        <v>3500000</v>
      </c>
      <c r="F22" s="193" t="s">
        <v>234</v>
      </c>
      <c r="G22" s="194"/>
      <c r="H22" s="194"/>
      <c r="I22" s="194"/>
      <c r="J22" s="194"/>
      <c r="K22" s="194"/>
      <c r="L22" s="194"/>
      <c r="M22" s="194"/>
      <c r="N22" s="19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5"/>
      <c r="AD22" s="25"/>
    </row>
    <row r="23" spans="1:30" x14ac:dyDescent="0.25">
      <c r="A23" s="153" t="s">
        <v>28</v>
      </c>
      <c r="B23" s="155"/>
      <c r="C23" s="5">
        <f>SUM(C20:C22)</f>
        <v>3790000</v>
      </c>
      <c r="D23" s="14">
        <f>SUM(D20:D22)</f>
        <v>3790000</v>
      </c>
      <c r="F23" s="133" t="s">
        <v>22</v>
      </c>
      <c r="G23" s="134" t="s">
        <v>44</v>
      </c>
      <c r="H23" s="134" t="s">
        <v>23</v>
      </c>
      <c r="I23" s="133" t="s">
        <v>45</v>
      </c>
      <c r="J23" s="133" t="s">
        <v>46</v>
      </c>
      <c r="K23" s="133" t="s">
        <v>47</v>
      </c>
      <c r="L23" s="133" t="s">
        <v>48</v>
      </c>
      <c r="M23" s="133" t="s">
        <v>49</v>
      </c>
      <c r="N23" s="133" t="s">
        <v>50</v>
      </c>
    </row>
    <row r="24" spans="1:30" ht="15.75" thickBot="1" x14ac:dyDescent="0.3">
      <c r="A24" s="205" t="s">
        <v>162</v>
      </c>
      <c r="B24" s="205"/>
      <c r="C24" s="205"/>
      <c r="D24" s="205"/>
      <c r="F24" s="69">
        <v>120000</v>
      </c>
      <c r="G24" s="72">
        <f>F24*12</f>
        <v>1440000</v>
      </c>
      <c r="H24" s="124">
        <v>0.06</v>
      </c>
      <c r="I24" s="69">
        <v>0</v>
      </c>
      <c r="J24" s="69">
        <f>G24</f>
        <v>1440000</v>
      </c>
      <c r="K24" s="69">
        <f>J$24*($H$24+1)</f>
        <v>1526400</v>
      </c>
      <c r="L24" s="69">
        <f t="shared" ref="L24:N24" si="6">K$24*($H$24+1)</f>
        <v>1617984</v>
      </c>
      <c r="M24" s="69">
        <f t="shared" si="6"/>
        <v>1715063.04</v>
      </c>
      <c r="N24" s="69">
        <f t="shared" si="6"/>
        <v>1817966.8224000002</v>
      </c>
      <c r="P24" s="39" t="s">
        <v>256</v>
      </c>
    </row>
    <row r="25" spans="1:30" ht="15.75" thickBot="1" x14ac:dyDescent="0.3">
      <c r="A25" s="11" t="s">
        <v>1</v>
      </c>
      <c r="B25" s="1" t="s">
        <v>19</v>
      </c>
      <c r="C25" s="1" t="s">
        <v>20</v>
      </c>
      <c r="D25" s="1" t="s">
        <v>21</v>
      </c>
      <c r="F25" s="196" t="s">
        <v>6</v>
      </c>
      <c r="G25" s="197"/>
      <c r="H25" s="197"/>
      <c r="I25" s="197"/>
      <c r="J25" s="197"/>
      <c r="K25" s="197"/>
      <c r="L25" s="197"/>
      <c r="M25" s="197"/>
      <c r="N25" s="198"/>
      <c r="P25" t="s">
        <v>257</v>
      </c>
    </row>
    <row r="26" spans="1:30" ht="15.75" thickBot="1" x14ac:dyDescent="0.3">
      <c r="A26" s="15" t="s">
        <v>162</v>
      </c>
      <c r="B26" s="8">
        <v>1</v>
      </c>
      <c r="C26" s="3">
        <f>B43</f>
        <v>1451000</v>
      </c>
      <c r="D26" s="12">
        <f>C26*B26</f>
        <v>1451000</v>
      </c>
      <c r="I26" s="16">
        <f>SUM(I24,I20)</f>
        <v>0</v>
      </c>
      <c r="J26" s="16">
        <f t="shared" ref="J26:N26" si="7">SUM(J24,J20)</f>
        <v>1596000</v>
      </c>
      <c r="K26" s="16">
        <f t="shared" si="7"/>
        <v>1691760</v>
      </c>
      <c r="L26" s="16">
        <f t="shared" si="7"/>
        <v>1793265.6</v>
      </c>
      <c r="M26" s="16">
        <f t="shared" si="7"/>
        <v>1900861.5360000001</v>
      </c>
      <c r="N26" s="16">
        <f t="shared" si="7"/>
        <v>2014913.2281600002</v>
      </c>
      <c r="P26" t="s">
        <v>258</v>
      </c>
    </row>
    <row r="27" spans="1:30" ht="15.75" thickBot="1" x14ac:dyDescent="0.3">
      <c r="A27" s="153" t="s">
        <v>28</v>
      </c>
      <c r="B27" s="155"/>
      <c r="C27" s="5">
        <f>SUM(C26)</f>
        <v>1451000</v>
      </c>
      <c r="D27" s="14">
        <f>SUM(D26)</f>
        <v>1451000</v>
      </c>
    </row>
    <row r="28" spans="1:30" ht="15.75" thickBot="1" x14ac:dyDescent="0.3">
      <c r="F28" s="196" t="s">
        <v>260</v>
      </c>
      <c r="G28" s="197"/>
      <c r="H28" s="197"/>
      <c r="I28" s="197"/>
      <c r="J28" s="197"/>
      <c r="K28" s="197"/>
      <c r="L28" s="197"/>
      <c r="M28" s="197"/>
      <c r="N28" s="198"/>
    </row>
    <row r="29" spans="1:30" ht="15.75" thickBot="1" x14ac:dyDescent="0.3">
      <c r="I29" s="16">
        <f t="shared" ref="I29:N29" si="8">SUM(I15,I26)</f>
        <v>0</v>
      </c>
      <c r="J29" s="16">
        <f t="shared" si="8"/>
        <v>141989936</v>
      </c>
      <c r="K29" s="16">
        <f t="shared" si="8"/>
        <v>152709789.59999999</v>
      </c>
      <c r="L29" s="16">
        <f t="shared" si="8"/>
        <v>167913098.16</v>
      </c>
      <c r="M29" s="16">
        <f t="shared" si="8"/>
        <v>184632677.35200006</v>
      </c>
      <c r="N29" s="16">
        <f t="shared" si="8"/>
        <v>203019910.62576005</v>
      </c>
    </row>
    <row r="30" spans="1:30" ht="15.75" thickBot="1" x14ac:dyDescent="0.3">
      <c r="A30" s="114"/>
      <c r="B30" s="114"/>
      <c r="I30" s="125"/>
      <c r="J30" s="125"/>
      <c r="K30" s="125"/>
      <c r="L30" s="125"/>
      <c r="M30" s="125"/>
      <c r="N30" s="125"/>
    </row>
    <row r="31" spans="1:30" ht="15.75" thickBot="1" x14ac:dyDescent="0.3">
      <c r="A31" s="114"/>
      <c r="B31" s="114"/>
      <c r="F31" s="187" t="s">
        <v>77</v>
      </c>
      <c r="G31" s="188"/>
      <c r="H31" s="188"/>
      <c r="I31" s="188"/>
      <c r="J31" s="188"/>
      <c r="K31" s="188"/>
      <c r="L31" s="188"/>
      <c r="M31" s="188"/>
      <c r="N31" s="189"/>
    </row>
    <row r="32" spans="1:30" x14ac:dyDescent="0.25">
      <c r="A32" s="114"/>
      <c r="B32" s="114"/>
      <c r="J32" s="126">
        <f>'Amortización y Depreciación'!G18</f>
        <v>1640000</v>
      </c>
      <c r="K32" s="126">
        <f>J32</f>
        <v>1640000</v>
      </c>
      <c r="L32" s="126">
        <f t="shared" ref="L32:N32" si="9">K32</f>
        <v>1640000</v>
      </c>
      <c r="M32" s="126">
        <f t="shared" si="9"/>
        <v>1640000</v>
      </c>
      <c r="N32" s="126">
        <f t="shared" si="9"/>
        <v>1640000</v>
      </c>
    </row>
    <row r="33" spans="1:15" ht="15.75" thickBot="1" x14ac:dyDescent="0.3">
      <c r="A33" s="23"/>
      <c r="B33" s="23"/>
    </row>
    <row r="34" spans="1:15" ht="15.75" thickBot="1" x14ac:dyDescent="0.3">
      <c r="A34" s="23"/>
      <c r="B34" s="23"/>
      <c r="F34" s="190" t="s">
        <v>261</v>
      </c>
      <c r="G34" s="191"/>
      <c r="H34" s="191"/>
      <c r="I34" s="191"/>
      <c r="J34" s="191"/>
      <c r="K34" s="191"/>
      <c r="L34" s="191"/>
      <c r="M34" s="191"/>
      <c r="N34" s="192"/>
    </row>
    <row r="35" spans="1:15" ht="15.75" thickBot="1" x14ac:dyDescent="0.3">
      <c r="A35" s="23"/>
      <c r="B35" s="23"/>
      <c r="J35" s="16">
        <f>SUM(J29,J32)</f>
        <v>143629936</v>
      </c>
      <c r="K35" s="16">
        <f t="shared" ref="K35:N35" si="10">SUM(K29,K32)</f>
        <v>154349789.59999999</v>
      </c>
      <c r="L35" s="16">
        <f t="shared" si="10"/>
        <v>169553098.16</v>
      </c>
      <c r="M35" s="16">
        <f t="shared" si="10"/>
        <v>186272677.35200006</v>
      </c>
      <c r="N35" s="16">
        <f t="shared" si="10"/>
        <v>204659910.62576005</v>
      </c>
    </row>
    <row r="36" spans="1:15" ht="15.75" thickBot="1" x14ac:dyDescent="0.3">
      <c r="A36" s="199" t="s">
        <v>281</v>
      </c>
      <c r="B36" s="201"/>
    </row>
    <row r="37" spans="1:15" ht="15.75" thickBot="1" x14ac:dyDescent="0.3">
      <c r="A37" s="15" t="s">
        <v>38</v>
      </c>
      <c r="B37" s="12">
        <v>1288000</v>
      </c>
      <c r="F37" s="199" t="s">
        <v>249</v>
      </c>
      <c r="G37" s="200"/>
      <c r="H37" s="200"/>
      <c r="I37" s="200"/>
      <c r="J37" s="200"/>
      <c r="K37" s="200"/>
      <c r="L37" s="200"/>
      <c r="M37" s="200"/>
      <c r="N37" s="201"/>
    </row>
    <row r="38" spans="1:15" x14ac:dyDescent="0.25">
      <c r="A38" s="15" t="s">
        <v>39</v>
      </c>
      <c r="B38" s="12">
        <v>30000</v>
      </c>
      <c r="F38" s="202" t="s">
        <v>250</v>
      </c>
      <c r="G38" s="203"/>
      <c r="H38" s="203"/>
      <c r="I38" s="203"/>
      <c r="J38" s="203"/>
      <c r="K38" s="203"/>
      <c r="L38" s="203"/>
      <c r="M38" s="203"/>
      <c r="N38" s="204"/>
    </row>
    <row r="39" spans="1:15" x14ac:dyDescent="0.25">
      <c r="A39" s="15" t="s">
        <v>40</v>
      </c>
      <c r="B39" s="12">
        <v>69000</v>
      </c>
      <c r="F39" s="166" t="s">
        <v>58</v>
      </c>
      <c r="G39" s="167"/>
      <c r="H39" s="168"/>
      <c r="I39" s="133" t="s">
        <v>45</v>
      </c>
      <c r="J39" s="133" t="s">
        <v>46</v>
      </c>
      <c r="K39" s="133" t="s">
        <v>47</v>
      </c>
      <c r="L39" s="133" t="s">
        <v>48</v>
      </c>
      <c r="M39" s="133" t="s">
        <v>49</v>
      </c>
      <c r="N39" s="133" t="s">
        <v>50</v>
      </c>
      <c r="O39" s="39"/>
    </row>
    <row r="40" spans="1:15" x14ac:dyDescent="0.25">
      <c r="A40" s="15" t="s">
        <v>41</v>
      </c>
      <c r="B40" s="12">
        <v>64000</v>
      </c>
      <c r="C40" s="17"/>
      <c r="D40" s="17"/>
      <c r="F40" s="170" t="s">
        <v>241</v>
      </c>
      <c r="G40" s="186"/>
      <c r="H40" s="171"/>
      <c r="I40" s="120"/>
      <c r="J40" s="35">
        <f>'Proyección de Ventas e Incremen'!J24</f>
        <v>59330.879999999997</v>
      </c>
      <c r="K40" s="35">
        <f>'Proyección de Ventas e Incremen'!K24</f>
        <v>71412.598393881432</v>
      </c>
      <c r="L40" s="35">
        <f>'Proyección de Ventas e Incremen'!L24</f>
        <v>88458.146422449878</v>
      </c>
      <c r="M40" s="35">
        <f>'Proyección de Ventas e Incremen'!M24</f>
        <v>113025.11476349673</v>
      </c>
      <c r="N40" s="35">
        <f>'Proyección de Ventas e Incremen'!N24</f>
        <v>150044.93496139569</v>
      </c>
    </row>
    <row r="41" spans="1:15" x14ac:dyDescent="0.25">
      <c r="A41" s="15" t="s">
        <v>42</v>
      </c>
      <c r="B41" s="12" t="s">
        <v>24</v>
      </c>
      <c r="C41" s="18"/>
      <c r="D41" s="18"/>
      <c r="F41" s="170" t="s">
        <v>262</v>
      </c>
      <c r="G41" s="186"/>
      <c r="H41" s="171"/>
      <c r="I41" s="120"/>
      <c r="J41" s="7">
        <f>J35</f>
        <v>143629936</v>
      </c>
      <c r="K41" s="7">
        <f t="shared" ref="K41:N41" si="11">K35</f>
        <v>154349789.59999999</v>
      </c>
      <c r="L41" s="7">
        <f t="shared" si="11"/>
        <v>169553098.16</v>
      </c>
      <c r="M41" s="7">
        <f t="shared" si="11"/>
        <v>186272677.35200006</v>
      </c>
      <c r="N41" s="7">
        <f t="shared" si="11"/>
        <v>204659910.62576005</v>
      </c>
    </row>
    <row r="42" spans="1:15" x14ac:dyDescent="0.25">
      <c r="A42" s="15" t="s">
        <v>43</v>
      </c>
      <c r="B42" s="12" t="s">
        <v>24</v>
      </c>
      <c r="F42" s="193" t="s">
        <v>252</v>
      </c>
      <c r="G42" s="194"/>
      <c r="H42" s="194"/>
      <c r="I42" s="194"/>
      <c r="J42" s="194"/>
      <c r="K42" s="194"/>
      <c r="L42" s="194"/>
      <c r="M42" s="194"/>
      <c r="N42" s="195"/>
    </row>
    <row r="43" spans="1:15" x14ac:dyDescent="0.25">
      <c r="A43" s="19" t="s">
        <v>28</v>
      </c>
      <c r="B43" s="5">
        <f>SUM(B37:B40)</f>
        <v>1451000</v>
      </c>
      <c r="F43" s="166" t="s">
        <v>58</v>
      </c>
      <c r="G43" s="167"/>
      <c r="H43" s="168"/>
      <c r="I43" s="133" t="s">
        <v>45</v>
      </c>
      <c r="J43" s="133" t="s">
        <v>46</v>
      </c>
      <c r="K43" s="133" t="s">
        <v>47</v>
      </c>
      <c r="L43" s="133" t="s">
        <v>48</v>
      </c>
      <c r="M43" s="133" t="s">
        <v>49</v>
      </c>
      <c r="N43" s="133" t="s">
        <v>50</v>
      </c>
      <c r="O43" s="133" t="s">
        <v>255</v>
      </c>
    </row>
    <row r="44" spans="1:15" ht="15.75" thickBot="1" x14ac:dyDescent="0.3">
      <c r="F44" s="170" t="s">
        <v>253</v>
      </c>
      <c r="G44" s="186"/>
      <c r="H44" s="171"/>
      <c r="I44" s="120"/>
      <c r="J44" s="118">
        <f>(J35/12)/(J40/12)</f>
        <v>2420.829355640773</v>
      </c>
      <c r="K44" s="118">
        <f t="shared" ref="K44:N44" si="12">(K35/12)/(K40/12)</f>
        <v>2161.380387654744</v>
      </c>
      <c r="L44" s="118">
        <f t="shared" si="12"/>
        <v>1916.7606943770295</v>
      </c>
      <c r="M44" s="118">
        <f t="shared" si="12"/>
        <v>1648.0644832059909</v>
      </c>
      <c r="N44" s="118">
        <f t="shared" si="12"/>
        <v>1363.9907983459486</v>
      </c>
      <c r="O44" s="122">
        <f>AVERAGE(J44:N44)</f>
        <v>1902.2051438448973</v>
      </c>
    </row>
    <row r="45" spans="1:15" ht="15.75" thickBot="1" x14ac:dyDescent="0.3">
      <c r="A45" s="199" t="s">
        <v>285</v>
      </c>
      <c r="B45" s="201"/>
      <c r="F45" s="170" t="s">
        <v>254</v>
      </c>
      <c r="G45" s="186"/>
      <c r="H45" s="171"/>
      <c r="I45" s="120"/>
      <c r="J45" s="118">
        <f>J44*12</f>
        <v>29049.952267689274</v>
      </c>
      <c r="K45" s="118">
        <f t="shared" ref="K45:N45" si="13">K44*12</f>
        <v>25936.564651856927</v>
      </c>
      <c r="L45" s="118">
        <f t="shared" si="13"/>
        <v>23001.128332524353</v>
      </c>
      <c r="M45" s="118">
        <f t="shared" si="13"/>
        <v>19776.773798471891</v>
      </c>
      <c r="N45" s="118">
        <f t="shared" si="13"/>
        <v>16367.889580151383</v>
      </c>
      <c r="O45" s="122">
        <f>AVERAGE(J45:N45)</f>
        <v>22826.461726138765</v>
      </c>
    </row>
    <row r="46" spans="1:15" x14ac:dyDescent="0.25">
      <c r="A46" s="77" t="s">
        <v>7</v>
      </c>
      <c r="B46" s="77" t="s">
        <v>2</v>
      </c>
      <c r="F46" s="193" t="s">
        <v>275</v>
      </c>
      <c r="G46" s="194"/>
      <c r="H46" s="194"/>
      <c r="I46" s="194"/>
      <c r="J46" s="194"/>
      <c r="K46" s="194"/>
      <c r="L46" s="194"/>
      <c r="M46" s="194"/>
      <c r="N46" s="195"/>
    </row>
    <row r="47" spans="1:15" x14ac:dyDescent="0.25">
      <c r="A47" s="15" t="s">
        <v>283</v>
      </c>
      <c r="B47" s="12">
        <f>'Inversión Inicial'!D16</f>
        <v>8200000</v>
      </c>
      <c r="F47" s="166" t="s">
        <v>58</v>
      </c>
      <c r="G47" s="167"/>
      <c r="H47" s="168"/>
      <c r="I47" s="133" t="s">
        <v>45</v>
      </c>
      <c r="J47" s="133" t="s">
        <v>46</v>
      </c>
      <c r="K47" s="133" t="s">
        <v>47</v>
      </c>
      <c r="L47" s="133" t="s">
        <v>48</v>
      </c>
      <c r="M47" s="133" t="s">
        <v>49</v>
      </c>
      <c r="N47" s="133" t="s">
        <v>50</v>
      </c>
    </row>
    <row r="48" spans="1:15" x14ac:dyDescent="0.25">
      <c r="A48" s="15" t="s">
        <v>282</v>
      </c>
      <c r="B48" s="12">
        <f>B43</f>
        <v>1451000</v>
      </c>
      <c r="F48" s="215" t="s">
        <v>241</v>
      </c>
      <c r="G48" s="215"/>
      <c r="H48" s="215"/>
      <c r="I48" s="120"/>
      <c r="J48" s="35">
        <f>'[1]Proyección de Ventas e Incremen'!J18</f>
        <v>408.24</v>
      </c>
      <c r="K48" s="35">
        <f>'[1]Proyección de Ventas e Incremen'!K18</f>
        <v>491.37108986615669</v>
      </c>
      <c r="L48" s="35">
        <f>'[1]Proyección de Ventas e Incremen'!L18</f>
        <v>608.65697079667348</v>
      </c>
      <c r="M48" s="35">
        <f>'[1]Proyección de Ventas e Incremen'!M18</f>
        <v>777.69574378552784</v>
      </c>
      <c r="N48" s="35">
        <f>'[1]Proyección de Ventas e Incremen'!N18</f>
        <v>1032.4192772573097</v>
      </c>
      <c r="O48" s="127" t="s">
        <v>255</v>
      </c>
    </row>
    <row r="49" spans="1:15" x14ac:dyDescent="0.25">
      <c r="A49" s="105" t="s">
        <v>284</v>
      </c>
      <c r="B49" s="12">
        <f>SUM('Inversión Inicial'!B3:B8)-'Inversión Inicial'!B5</f>
        <v>25440000</v>
      </c>
      <c r="F49" s="215" t="s">
        <v>254</v>
      </c>
      <c r="G49" s="215"/>
      <c r="H49" s="215"/>
      <c r="I49" s="120"/>
      <c r="J49" s="118">
        <f>J35/J48</f>
        <v>351827.19968645892</v>
      </c>
      <c r="K49" s="118">
        <f t="shared" ref="K49:N49" si="14">K35/K48</f>
        <v>314120.61633915611</v>
      </c>
      <c r="L49" s="118">
        <f t="shared" si="14"/>
        <v>278569.22091612831</v>
      </c>
      <c r="M49" s="118">
        <f t="shared" si="14"/>
        <v>239518.70489260406</v>
      </c>
      <c r="N49" s="118">
        <f t="shared" si="14"/>
        <v>198233.32935961123</v>
      </c>
      <c r="O49" s="122">
        <f>AVERAGE(J49:N49)</f>
        <v>276453.8142387917</v>
      </c>
    </row>
    <row r="50" spans="1:15" x14ac:dyDescent="0.25">
      <c r="A50" s="19" t="s">
        <v>28</v>
      </c>
      <c r="B50" s="5">
        <f>SUM(B47:B49)</f>
        <v>35091000</v>
      </c>
    </row>
  </sheetData>
  <mergeCells count="37">
    <mergeCell ref="F46:N46"/>
    <mergeCell ref="F47:H47"/>
    <mergeCell ref="F48:H48"/>
    <mergeCell ref="F49:H49"/>
    <mergeCell ref="A45:B45"/>
    <mergeCell ref="A1:D1"/>
    <mergeCell ref="A2:D2"/>
    <mergeCell ref="A7:D7"/>
    <mergeCell ref="A36:B36"/>
    <mergeCell ref="A27:B27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3:B23"/>
    <mergeCell ref="A24:D24"/>
    <mergeCell ref="F17:N17"/>
    <mergeCell ref="F18:N18"/>
    <mergeCell ref="F22:N22"/>
    <mergeCell ref="F25:N25"/>
    <mergeCell ref="F28:N28"/>
    <mergeCell ref="F37:N37"/>
    <mergeCell ref="F38:N38"/>
    <mergeCell ref="F40:H40"/>
    <mergeCell ref="F39:H39"/>
    <mergeCell ref="F44:H44"/>
    <mergeCell ref="F45:H45"/>
    <mergeCell ref="F31:N31"/>
    <mergeCell ref="F34:N34"/>
    <mergeCell ref="F41:H41"/>
    <mergeCell ref="F42:N42"/>
    <mergeCell ref="F43:H43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15" zoomScaleNormal="115" workbookViewId="0">
      <selection activeCell="M13" sqref="M13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16" t="s">
        <v>73</v>
      </c>
      <c r="B1" s="217"/>
      <c r="D1" s="218" t="s">
        <v>202</v>
      </c>
      <c r="E1" s="219"/>
      <c r="F1" s="219"/>
      <c r="G1" s="219"/>
      <c r="H1" s="219"/>
      <c r="I1" s="219"/>
      <c r="J1" s="17"/>
      <c r="K1" s="17"/>
      <c r="L1" s="17"/>
      <c r="M1" s="17"/>
      <c r="N1" s="17"/>
      <c r="O1" s="17"/>
      <c r="P1" s="17"/>
    </row>
    <row r="2" spans="1:16" x14ac:dyDescent="0.25">
      <c r="A2" s="220" t="s">
        <v>74</v>
      </c>
      <c r="B2" s="220"/>
      <c r="D2" s="55" t="s">
        <v>75</v>
      </c>
      <c r="E2" s="55" t="s">
        <v>76</v>
      </c>
      <c r="F2" s="55" t="s">
        <v>203</v>
      </c>
      <c r="G2" s="55" t="s">
        <v>204</v>
      </c>
      <c r="H2" s="55" t="s">
        <v>302</v>
      </c>
      <c r="I2" s="55" t="s">
        <v>205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206</v>
      </c>
      <c r="E3" s="3">
        <f>B4</f>
        <v>15790950</v>
      </c>
      <c r="F3" s="3">
        <v>0</v>
      </c>
      <c r="G3" s="3">
        <v>0</v>
      </c>
      <c r="H3" s="3">
        <v>0</v>
      </c>
      <c r="I3" s="5">
        <f>E3</f>
        <v>15790950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200</v>
      </c>
      <c r="B4" s="3">
        <f>'Proyección de Ventas e Incremen'!B16</f>
        <v>15790950</v>
      </c>
      <c r="D4" s="20" t="s">
        <v>207</v>
      </c>
      <c r="E4" s="3">
        <f>I3</f>
        <v>15790950</v>
      </c>
      <c r="F4" s="3">
        <f>E4*$B$7</f>
        <v>2627614.08</v>
      </c>
      <c r="G4" s="3">
        <f>$B$8</f>
        <v>5715545.3724325309</v>
      </c>
      <c r="H4" s="3">
        <f>G4-F4</f>
        <v>3087931.2924325308</v>
      </c>
      <c r="I4" s="5">
        <f t="shared" ref="I4:I8" si="0">E4-H4</f>
        <v>12703018.707567468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199</v>
      </c>
      <c r="B5" s="3">
        <v>0</v>
      </c>
      <c r="D5" s="20" t="s">
        <v>208</v>
      </c>
      <c r="E5" s="3">
        <f>I4</f>
        <v>12703018.707567468</v>
      </c>
      <c r="F5" s="3">
        <f>E5*$B$7</f>
        <v>2113782.3129392266</v>
      </c>
      <c r="G5" s="3">
        <f t="shared" ref="G5:G7" si="1">$B$8</f>
        <v>5715545.3724325309</v>
      </c>
      <c r="H5" s="3">
        <f t="shared" ref="H5:H8" si="2">G5-F5</f>
        <v>3601763.0594933042</v>
      </c>
      <c r="I5" s="5">
        <f t="shared" si="0"/>
        <v>9101255.648074165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201</v>
      </c>
      <c r="B6" s="8" t="s">
        <v>88</v>
      </c>
      <c r="D6" s="20" t="s">
        <v>209</v>
      </c>
      <c r="E6" s="3">
        <f t="shared" ref="E6:E8" si="3">I5</f>
        <v>9101255.648074165</v>
      </c>
      <c r="F6" s="3">
        <f t="shared" ref="F6:F8" si="4">E6*$B$7</f>
        <v>1514448.939839541</v>
      </c>
      <c r="G6" s="3">
        <f t="shared" si="1"/>
        <v>5715545.3724325309</v>
      </c>
      <c r="H6" s="3">
        <f t="shared" si="2"/>
        <v>4201096.4325929899</v>
      </c>
      <c r="I6" s="5">
        <f t="shared" si="0"/>
        <v>4900159.2154811751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198</v>
      </c>
      <c r="B7" s="59">
        <v>0.16639999999999999</v>
      </c>
      <c r="D7" s="20" t="s">
        <v>210</v>
      </c>
      <c r="E7" s="3">
        <f t="shared" si="3"/>
        <v>4900159.2154811751</v>
      </c>
      <c r="F7" s="3">
        <f t="shared" si="4"/>
        <v>815386.49345606752</v>
      </c>
      <c r="G7" s="3">
        <f t="shared" si="1"/>
        <v>5715545.3724325309</v>
      </c>
      <c r="H7" s="3">
        <f t="shared" si="2"/>
        <v>4900158.8789764633</v>
      </c>
      <c r="I7" s="5">
        <f t="shared" si="0"/>
        <v>0.33650471176952124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197</v>
      </c>
      <c r="B8" s="3">
        <f>((B4*1.44780279145524)/4)</f>
        <v>5715545.3724325309</v>
      </c>
      <c r="D8" s="20" t="s">
        <v>211</v>
      </c>
      <c r="E8" s="3">
        <f t="shared" si="3"/>
        <v>0.33650471176952124</v>
      </c>
      <c r="F8" s="3">
        <f t="shared" si="4"/>
        <v>5.5994384038448329E-2</v>
      </c>
      <c r="G8" s="3">
        <v>0</v>
      </c>
      <c r="H8" s="3">
        <f t="shared" si="2"/>
        <v>-5.5994384038448329E-2</v>
      </c>
      <c r="I8" s="5">
        <f t="shared" si="0"/>
        <v>0.39249909580796954</v>
      </c>
      <c r="K8" s="39">
        <f>SUM(G4:G7)</f>
        <v>22862181.489730123</v>
      </c>
    </row>
    <row r="9" spans="1:16" ht="15.75" thickBot="1" x14ac:dyDescent="0.3">
      <c r="A9" s="37" t="s">
        <v>196</v>
      </c>
      <c r="B9" s="3">
        <f>B8/12</f>
        <v>476295.44770271092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7" t="s">
        <v>280</v>
      </c>
      <c r="E10" s="188"/>
      <c r="F10" s="188"/>
      <c r="G10" s="188"/>
      <c r="H10" s="188"/>
      <c r="I10" s="188"/>
      <c r="J10" s="188"/>
      <c r="K10" s="189"/>
    </row>
    <row r="11" spans="1:16" x14ac:dyDescent="0.25">
      <c r="A11" s="61"/>
      <c r="B11" s="60"/>
      <c r="D11" s="63" t="s">
        <v>78</v>
      </c>
      <c r="E11" s="63" t="s">
        <v>79</v>
      </c>
      <c r="F11" s="63" t="s">
        <v>80</v>
      </c>
      <c r="G11" s="63" t="s">
        <v>46</v>
      </c>
      <c r="H11" s="63" t="s">
        <v>47</v>
      </c>
      <c r="I11" s="63" t="s">
        <v>48</v>
      </c>
      <c r="J11" s="64" t="s">
        <v>49</v>
      </c>
      <c r="K11" s="63" t="s">
        <v>50</v>
      </c>
    </row>
    <row r="12" spans="1:16" x14ac:dyDescent="0.25">
      <c r="A12" s="61"/>
      <c r="B12" s="60"/>
      <c r="C12" s="47"/>
      <c r="D12" s="20" t="s">
        <v>81</v>
      </c>
      <c r="E12" s="8" t="s">
        <v>82</v>
      </c>
      <c r="F12" s="3">
        <f>'Inversión Inicial'!$C$13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83</v>
      </c>
      <c r="E13" s="8" t="s">
        <v>82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99" t="s">
        <v>230</v>
      </c>
      <c r="E14" s="8" t="s">
        <v>82</v>
      </c>
      <c r="F14" s="3">
        <f>'Inversión Inicial'!C14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84</v>
      </c>
      <c r="E15" s="8" t="s">
        <v>82</v>
      </c>
      <c r="F15" s="3">
        <f>'Inversión Inicial'!$C$13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85</v>
      </c>
      <c r="E16" s="8" t="s">
        <v>82</v>
      </c>
      <c r="F16" s="3">
        <f>'Inversión Inicial'!$C$15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231</v>
      </c>
      <c r="E17" s="8" t="s">
        <v>82</v>
      </c>
      <c r="F17" s="3">
        <f>'Inversión Inicial'!C14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66" t="s">
        <v>86</v>
      </c>
      <c r="E18" s="167"/>
      <c r="F18" s="168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53" t="s">
        <v>87</v>
      </c>
      <c r="E19" s="154"/>
      <c r="F19" s="155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87" t="s">
        <v>77</v>
      </c>
      <c r="E21" s="188"/>
      <c r="F21" s="188"/>
      <c r="G21" s="188"/>
      <c r="H21" s="188"/>
      <c r="I21" s="188"/>
      <c r="J21" s="188"/>
      <c r="K21" s="189"/>
      <c r="M21" s="47"/>
      <c r="N21" s="47"/>
      <c r="O21" s="47"/>
      <c r="P21" s="47"/>
    </row>
    <row r="22" spans="1:16" x14ac:dyDescent="0.25">
      <c r="B22" s="38"/>
      <c r="D22" s="63" t="s">
        <v>78</v>
      </c>
      <c r="E22" s="63" t="s">
        <v>79</v>
      </c>
      <c r="F22" s="63" t="s">
        <v>80</v>
      </c>
      <c r="G22" s="63" t="s">
        <v>46</v>
      </c>
      <c r="H22" s="63" t="s">
        <v>47</v>
      </c>
      <c r="I22" s="63" t="s">
        <v>48</v>
      </c>
      <c r="J22" s="64" t="s">
        <v>49</v>
      </c>
      <c r="K22" s="63" t="s">
        <v>50</v>
      </c>
      <c r="M22" s="44"/>
      <c r="N22" s="44"/>
      <c r="O22" s="44"/>
      <c r="P22" s="44"/>
    </row>
    <row r="23" spans="1:16" x14ac:dyDescent="0.25">
      <c r="A23" s="18"/>
      <c r="B23" s="44"/>
      <c r="D23" s="99" t="s">
        <v>81</v>
      </c>
      <c r="E23" s="8" t="s">
        <v>82</v>
      </c>
      <c r="F23" s="3">
        <f>'Inversión Inicial'!$C$13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72"/>
      <c r="B24" s="172"/>
      <c r="D24" s="5" t="s">
        <v>83</v>
      </c>
      <c r="E24" s="8" t="s">
        <v>82</v>
      </c>
      <c r="F24" s="3">
        <f>'Inversión Inicial'!$C$15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99" t="s">
        <v>230</v>
      </c>
      <c r="E25" s="8" t="s">
        <v>82</v>
      </c>
      <c r="F25" s="3">
        <f>'Inversión Inicial'!C14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99" t="s">
        <v>84</v>
      </c>
      <c r="E26" s="8" t="s">
        <v>82</v>
      </c>
      <c r="F26" s="3">
        <f>'Inversión Inicial'!$C$13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85</v>
      </c>
      <c r="E27" s="8" t="s">
        <v>82</v>
      </c>
      <c r="F27" s="3">
        <f>'Inversión Inicial'!$C$15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231</v>
      </c>
      <c r="E28" s="8" t="s">
        <v>82</v>
      </c>
      <c r="F28" s="3">
        <f>'Inversión Inicial'!$C$14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72"/>
      <c r="B29" s="172"/>
      <c r="D29" s="166" t="s">
        <v>86</v>
      </c>
      <c r="E29" s="167"/>
      <c r="F29" s="168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53" t="s">
        <v>87</v>
      </c>
      <c r="E30" s="154"/>
      <c r="F30" s="155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1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  <mergeCell ref="D21:K2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showGridLines="0" zoomScale="85" zoomScaleNormal="85" workbookViewId="0">
      <selection activeCell="D27" sqref="D27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25" t="s">
        <v>89</v>
      </c>
      <c r="B1" s="226"/>
      <c r="C1" s="226"/>
      <c r="D1" s="226"/>
      <c r="E1" s="226"/>
      <c r="F1" s="226"/>
      <c r="G1" s="226"/>
      <c r="H1" s="226"/>
    </row>
    <row r="2" spans="1:8" ht="22.5" customHeight="1" thickBot="1" x14ac:dyDescent="0.4">
      <c r="A2" s="227" t="s">
        <v>266</v>
      </c>
      <c r="B2" s="228"/>
      <c r="C2" s="228"/>
      <c r="D2" s="228"/>
      <c r="E2" s="228"/>
      <c r="F2" s="228"/>
      <c r="G2" s="228"/>
      <c r="H2" s="228"/>
    </row>
    <row r="3" spans="1:8" ht="15.75" thickBot="1" x14ac:dyDescent="0.3"/>
    <row r="4" spans="1:8" ht="22.5" customHeight="1" thickBot="1" x14ac:dyDescent="0.3">
      <c r="A4" s="229" t="s">
        <v>273</v>
      </c>
      <c r="B4" s="230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91</v>
      </c>
      <c r="B5" s="232"/>
    </row>
    <row r="6" spans="1:8" x14ac:dyDescent="0.25">
      <c r="A6" s="233" t="s">
        <v>92</v>
      </c>
      <c r="B6" s="233"/>
    </row>
    <row r="7" spans="1:8" ht="15.75" thickBot="1" x14ac:dyDescent="0.3">
      <c r="B7" s="67" t="s">
        <v>294</v>
      </c>
      <c r="C7" s="3">
        <f>'Proyección de Ventas e Incremen'!B18</f>
        <v>35091000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93</v>
      </c>
      <c r="C8" s="71">
        <f t="shared" ref="C8:H8" si="0">SUM(C7:C7)</f>
        <v>35091000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23" t="s">
        <v>94</v>
      </c>
      <c r="B10" s="224"/>
    </row>
    <row r="11" spans="1:8" x14ac:dyDescent="0.25">
      <c r="B11" s="67" t="s">
        <v>293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67" t="s">
        <v>77</v>
      </c>
      <c r="C12" s="3">
        <v>0</v>
      </c>
      <c r="D12" s="3">
        <f>-'Flujo de Caja'!D25</f>
        <v>-1640000</v>
      </c>
      <c r="E12" s="3">
        <f>-'Flujo de Caja'!E25</f>
        <v>-1640000</v>
      </c>
      <c r="F12" s="3">
        <f>-'Flujo de Caja'!F25</f>
        <v>-1640000</v>
      </c>
      <c r="G12" s="3">
        <f>-'Flujo de Caja'!G25</f>
        <v>-1640000</v>
      </c>
      <c r="H12" s="3">
        <f>-'Flujo de Caja'!H25</f>
        <v>-1640000</v>
      </c>
    </row>
    <row r="13" spans="1:8" ht="15.75" thickBot="1" x14ac:dyDescent="0.3">
      <c r="B13" s="67" t="s">
        <v>160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95</v>
      </c>
      <c r="C14" s="71">
        <f>C11+C13</f>
        <v>0</v>
      </c>
      <c r="D14" s="71">
        <f>SUM(D11:D13)</f>
        <v>8011000</v>
      </c>
      <c r="E14" s="71">
        <f>SUM(E11:E13)</f>
        <v>8011000</v>
      </c>
      <c r="F14" s="71">
        <f>SUM(F11:F13)</f>
        <v>8011000</v>
      </c>
      <c r="G14" s="71">
        <f>SUM(G11:G13)</f>
        <v>8011000</v>
      </c>
      <c r="H14" s="71">
        <f>SUM(H11:H13)</f>
        <v>8011000</v>
      </c>
    </row>
    <row r="15" spans="1:8" ht="15.75" thickBot="1" x14ac:dyDescent="0.3"/>
    <row r="16" spans="1:8" ht="22.5" customHeight="1" thickBot="1" x14ac:dyDescent="0.3">
      <c r="A16" s="221" t="s">
        <v>96</v>
      </c>
      <c r="B16" s="222"/>
      <c r="C16" s="73">
        <f t="shared" ref="C16:H16" si="2">C8+C14</f>
        <v>35091000</v>
      </c>
      <c r="D16" s="73">
        <f t="shared" si="2"/>
        <v>171307000</v>
      </c>
      <c r="E16" s="73">
        <f t="shared" si="2"/>
        <v>213600663.99999997</v>
      </c>
      <c r="F16" s="73">
        <f t="shared" si="2"/>
        <v>272604897.56799996</v>
      </c>
      <c r="G16" s="73">
        <f t="shared" si="2"/>
        <v>358597914.27759993</v>
      </c>
      <c r="H16" s="73">
        <f t="shared" si="2"/>
        <v>489717420.21742237</v>
      </c>
    </row>
    <row r="17" spans="1:8" ht="15.75" thickBot="1" x14ac:dyDescent="0.3">
      <c r="A17" s="234" t="s">
        <v>97</v>
      </c>
      <c r="B17" s="235"/>
    </row>
    <row r="18" spans="1:8" x14ac:dyDescent="0.25">
      <c r="A18" s="236" t="s">
        <v>98</v>
      </c>
      <c r="B18" s="237"/>
    </row>
    <row r="19" spans="1:8" x14ac:dyDescent="0.25">
      <c r="B19" s="67" t="s">
        <v>271</v>
      </c>
      <c r="C19" s="3">
        <v>0</v>
      </c>
      <c r="D19" s="3">
        <f>'Costos de Operación Gravables'!J10+'Costos de Operación Gravables'!J26+'Costos de Operación Gravables'!J13</f>
        <v>48527000</v>
      </c>
      <c r="E19" s="3">
        <f>'Costos de Operación Gravables'!K10+'Costos de Operación Gravables'!K26+'Costos de Operación Gravables'!K13</f>
        <v>49900560</v>
      </c>
      <c r="F19" s="3">
        <f>'Costos de Operación Gravables'!L10+'Costos de Operación Gravables'!L26+'Costos de Operación Gravables'!L13</f>
        <v>54822945.600000009</v>
      </c>
      <c r="G19" s="3">
        <f>'Costos de Operación Gravables'!M10+'Costos de Operación Gravables'!M26+'Costos de Operación Gravables'!M13</f>
        <v>60233509.536000013</v>
      </c>
      <c r="H19" s="3">
        <f>'Costos de Operación Gravables'!N10+'Costos de Operación Gravables'!N26+'Costos de Operación Gravables'!N13</f>
        <v>66180826.028160021</v>
      </c>
    </row>
    <row r="20" spans="1:8" ht="15.75" thickBot="1" x14ac:dyDescent="0.3">
      <c r="B20" s="67" t="s">
        <v>272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6.5" thickBot="1" x14ac:dyDescent="0.3">
      <c r="B21" s="70" t="s">
        <v>99</v>
      </c>
      <c r="C21" s="71">
        <f t="shared" ref="C21:H21" si="3">SUM(C19:C20)</f>
        <v>0</v>
      </c>
      <c r="D21" s="71">
        <f t="shared" si="3"/>
        <v>141989936</v>
      </c>
      <c r="E21" s="71">
        <f t="shared" si="3"/>
        <v>152709789.59999999</v>
      </c>
      <c r="F21" s="71">
        <f t="shared" si="3"/>
        <v>167913098.16000003</v>
      </c>
      <c r="G21" s="71">
        <f t="shared" si="3"/>
        <v>184632677.35200003</v>
      </c>
      <c r="H21" s="71">
        <f t="shared" si="3"/>
        <v>203019910.62576008</v>
      </c>
    </row>
    <row r="23" spans="1:8" x14ac:dyDescent="0.25">
      <c r="A23" s="223" t="s">
        <v>100</v>
      </c>
      <c r="B23" s="224"/>
    </row>
    <row r="24" spans="1:8" ht="15.75" thickBot="1" x14ac:dyDescent="0.3">
      <c r="B24" s="68" t="s">
        <v>161</v>
      </c>
      <c r="C24" s="69">
        <f>'Estado de Resultados'!C18</f>
        <v>0</v>
      </c>
      <c r="D24" s="69">
        <f>'Estado de Resultados'!D18</f>
        <v>5715545.3724325309</v>
      </c>
      <c r="E24" s="69">
        <f>'Estado de Resultados'!E18</f>
        <v>5715545.3724325309</v>
      </c>
      <c r="F24" s="69">
        <f>'Estado de Resultados'!F18</f>
        <v>5715545.3724325309</v>
      </c>
      <c r="G24" s="69">
        <f>'Estado de Resultados'!G18</f>
        <v>5715545.3724325309</v>
      </c>
      <c r="H24" s="69">
        <f>'Estado de Resultados'!H18</f>
        <v>0</v>
      </c>
    </row>
    <row r="25" spans="1:8" ht="16.5" thickBot="1" x14ac:dyDescent="0.3">
      <c r="B25" s="70" t="s">
        <v>101</v>
      </c>
      <c r="C25" s="71">
        <f>SUM(C24)</f>
        <v>0</v>
      </c>
      <c r="D25" s="71">
        <f t="shared" ref="D25:H25" si="4">SUM(D24)</f>
        <v>5715545.3724325309</v>
      </c>
      <c r="E25" s="71">
        <f t="shared" si="4"/>
        <v>5715545.3724325309</v>
      </c>
      <c r="F25" s="71">
        <f t="shared" si="4"/>
        <v>5715545.3724325309</v>
      </c>
      <c r="G25" s="71">
        <f t="shared" si="4"/>
        <v>5715545.3724325309</v>
      </c>
      <c r="H25" s="71">
        <f t="shared" si="4"/>
        <v>0</v>
      </c>
    </row>
    <row r="26" spans="1:8" ht="15.75" thickBot="1" x14ac:dyDescent="0.3"/>
    <row r="27" spans="1:8" ht="22.5" customHeight="1" thickBot="1" x14ac:dyDescent="0.3">
      <c r="A27" s="221" t="s">
        <v>102</v>
      </c>
      <c r="B27" s="222"/>
      <c r="C27" s="73">
        <f>C21+C25</f>
        <v>0</v>
      </c>
      <c r="D27" s="73">
        <f>D21+D25</f>
        <v>147705481.37243253</v>
      </c>
      <c r="E27" s="73">
        <f>E21+E25</f>
        <v>158425334.97243252</v>
      </c>
      <c r="F27" s="73">
        <f t="shared" ref="F27:H27" si="5">F21+F25</f>
        <v>173628643.53243256</v>
      </c>
      <c r="G27" s="73">
        <f t="shared" si="5"/>
        <v>190348222.72443256</v>
      </c>
      <c r="H27" s="73">
        <f t="shared" si="5"/>
        <v>203019910.62576008</v>
      </c>
    </row>
    <row r="28" spans="1:8" ht="15.75" thickBot="1" x14ac:dyDescent="0.3"/>
    <row r="29" spans="1:8" ht="15.75" thickBot="1" x14ac:dyDescent="0.3">
      <c r="A29" s="234" t="s">
        <v>103</v>
      </c>
      <c r="B29" s="235"/>
    </row>
    <row r="30" spans="1:8" x14ac:dyDescent="0.25">
      <c r="B30" s="74" t="s">
        <v>12</v>
      </c>
      <c r="C30" s="7">
        <f>'Proyección de Ventas e Incremen'!B18</f>
        <v>35091000</v>
      </c>
      <c r="D30" s="7">
        <f>C30</f>
        <v>35091000</v>
      </c>
      <c r="E30" s="7">
        <f t="shared" ref="E30:H30" si="6">D30</f>
        <v>35091000</v>
      </c>
      <c r="F30" s="7">
        <f t="shared" si="6"/>
        <v>35091000</v>
      </c>
      <c r="G30" s="7">
        <f t="shared" si="6"/>
        <v>35091000</v>
      </c>
      <c r="H30" s="7">
        <f t="shared" si="6"/>
        <v>35091000</v>
      </c>
    </row>
    <row r="31" spans="1:8" x14ac:dyDescent="0.25">
      <c r="B31" s="74" t="s">
        <v>274</v>
      </c>
      <c r="C31" s="7">
        <v>0</v>
      </c>
      <c r="D31" s="7">
        <v>-22566468</v>
      </c>
      <c r="E31" s="7">
        <v>-11564645</v>
      </c>
      <c r="F31" s="7">
        <v>3706150</v>
      </c>
      <c r="G31" s="7">
        <v>27888751</v>
      </c>
      <c r="H31" s="7">
        <v>69278600</v>
      </c>
    </row>
    <row r="32" spans="1:8" x14ac:dyDescent="0.25">
      <c r="B32" s="67" t="s">
        <v>158</v>
      </c>
      <c r="C32" s="7">
        <v>0</v>
      </c>
      <c r="D32" s="3">
        <f>'Estado de Resultados'!D24</f>
        <v>11076987.107918855</v>
      </c>
      <c r="E32" s="3">
        <f>'Estado de Resultados'!E24</f>
        <v>31648973.867918842</v>
      </c>
      <c r="F32" s="3">
        <f>'Estado de Resultados'!F24</f>
        <v>60179104.723118834</v>
      </c>
      <c r="G32" s="3">
        <f>'Estado de Resultados'!G24</f>
        <v>105269940.48555879</v>
      </c>
      <c r="H32" s="3">
        <f>'Estado de Resultados'!H24</f>
        <v>182327909.66914052</v>
      </c>
    </row>
    <row r="33" spans="1:10" ht="15.75" thickBot="1" x14ac:dyDescent="0.3">
      <c r="B33" s="47"/>
    </row>
    <row r="34" spans="1:10" ht="22.5" customHeight="1" thickBot="1" x14ac:dyDescent="0.3">
      <c r="A34" s="221" t="s">
        <v>104</v>
      </c>
      <c r="B34" s="222"/>
      <c r="C34" s="73">
        <f>SUM(C30:C32)</f>
        <v>35091000</v>
      </c>
      <c r="D34" s="73">
        <f>SUM(D30:D32)</f>
        <v>23601519.107918855</v>
      </c>
      <c r="E34" s="73">
        <f t="shared" ref="E34:H34" si="7">SUM(E30:E32)</f>
        <v>55175328.867918842</v>
      </c>
      <c r="F34" s="73">
        <f t="shared" si="7"/>
        <v>98976254.723118842</v>
      </c>
      <c r="G34" s="73">
        <f t="shared" si="7"/>
        <v>168249691.48555881</v>
      </c>
      <c r="H34" s="73">
        <f t="shared" si="7"/>
        <v>286697509.66914052</v>
      </c>
    </row>
    <row r="35" spans="1:10" ht="15.75" thickBot="1" x14ac:dyDescent="0.3"/>
    <row r="36" spans="1:10" ht="22.5" customHeight="1" thickBot="1" x14ac:dyDescent="0.3">
      <c r="A36" s="221" t="s">
        <v>159</v>
      </c>
      <c r="B36" s="222"/>
      <c r="C36" s="73">
        <f t="shared" ref="C36:H36" si="8">C27+C34</f>
        <v>35091000</v>
      </c>
      <c r="D36" s="73">
        <f>D27+D34</f>
        <v>171307000.48035139</v>
      </c>
      <c r="E36" s="73">
        <f t="shared" si="8"/>
        <v>213600663.84035137</v>
      </c>
      <c r="F36" s="73">
        <f t="shared" si="8"/>
        <v>272604898.2555514</v>
      </c>
      <c r="G36" s="73">
        <f t="shared" si="8"/>
        <v>358597914.20999134</v>
      </c>
      <c r="H36" s="73">
        <f t="shared" si="8"/>
        <v>489717420.2949006</v>
      </c>
      <c r="J36" s="39"/>
    </row>
    <row r="38" spans="1:10" x14ac:dyDescent="0.25">
      <c r="D38" s="39"/>
    </row>
  </sheetData>
  <mergeCells count="14">
    <mergeCell ref="A34:B34"/>
    <mergeCell ref="A36:B36"/>
    <mergeCell ref="A10:B10"/>
    <mergeCell ref="A1:H1"/>
    <mergeCell ref="A2:H2"/>
    <mergeCell ref="A4:B4"/>
    <mergeCell ref="A5:B5"/>
    <mergeCell ref="A6:B6"/>
    <mergeCell ref="A29:B29"/>
    <mergeCell ref="A16:B16"/>
    <mergeCell ref="A17:B17"/>
    <mergeCell ref="A18:B18"/>
    <mergeCell ref="A23:B23"/>
    <mergeCell ref="A27:B27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showGridLines="0" zoomScaleNormal="100" workbookViewId="0">
      <selection activeCell="D22" sqref="D22"/>
    </sheetView>
  </sheetViews>
  <sheetFormatPr baseColWidth="10" defaultRowHeight="15" x14ac:dyDescent="0.25"/>
  <cols>
    <col min="2" max="2" width="57.140625" customWidth="1"/>
    <col min="3" max="8" width="14.28515625" customWidth="1"/>
  </cols>
  <sheetData>
    <row r="1" spans="1:8" ht="30" customHeight="1" thickBot="1" x14ac:dyDescent="0.55000000000000004">
      <c r="A1" s="225" t="s">
        <v>215</v>
      </c>
      <c r="B1" s="226"/>
      <c r="C1" s="226"/>
      <c r="D1" s="226"/>
      <c r="E1" s="226"/>
      <c r="F1" s="226"/>
      <c r="G1" s="226"/>
      <c r="H1" s="226"/>
    </row>
    <row r="2" spans="1:8" ht="22.5" customHeight="1" thickBot="1" x14ac:dyDescent="0.4">
      <c r="A2" s="227" t="s">
        <v>266</v>
      </c>
      <c r="B2" s="228"/>
      <c r="C2" s="228"/>
      <c r="D2" s="228"/>
      <c r="E2" s="228"/>
      <c r="F2" s="228"/>
      <c r="G2" s="228"/>
      <c r="H2" s="228"/>
    </row>
    <row r="3" spans="1:8" ht="15.75" thickBot="1" x14ac:dyDescent="0.3"/>
    <row r="4" spans="1:8" ht="22.5" customHeight="1" thickBot="1" x14ac:dyDescent="0.3">
      <c r="A4" s="229" t="s">
        <v>90</v>
      </c>
      <c r="B4" s="230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1" t="s">
        <v>216</v>
      </c>
      <c r="B5" s="232"/>
    </row>
    <row r="6" spans="1:8" x14ac:dyDescent="0.25">
      <c r="B6" s="107" t="s">
        <v>236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07" t="s">
        <v>291</v>
      </c>
      <c r="C7" s="7"/>
      <c r="D7" s="7">
        <f>'Costos de Operación Gravables'!J10</f>
        <v>45480000</v>
      </c>
      <c r="E7" s="7">
        <f>'Costos de Operación Gravables'!K10</f>
        <v>48208800</v>
      </c>
      <c r="F7" s="7">
        <f>'Costos de Operación Gravables'!L10</f>
        <v>53029680.000000007</v>
      </c>
      <c r="G7" s="7">
        <f>'Costos de Operación Gravables'!M10</f>
        <v>58332648.000000015</v>
      </c>
      <c r="H7" s="7">
        <f>'Costos de Operación Gravables'!N10</f>
        <v>64165912.800000019</v>
      </c>
    </row>
    <row r="8" spans="1:8" ht="16.5" thickBot="1" x14ac:dyDescent="0.3">
      <c r="B8" s="70" t="s">
        <v>217</v>
      </c>
      <c r="C8" s="71">
        <f>SUM(C6:C7)</f>
        <v>0</v>
      </c>
      <c r="D8" s="71">
        <f>D6-D7</f>
        <v>117816000</v>
      </c>
      <c r="E8" s="71">
        <f t="shared" ref="E8:H8" si="0">E6-E7</f>
        <v>157380863.99999997</v>
      </c>
      <c r="F8" s="71">
        <f t="shared" si="0"/>
        <v>211564217.56799996</v>
      </c>
      <c r="G8" s="71">
        <f t="shared" si="0"/>
        <v>292254266.27759993</v>
      </c>
      <c r="H8" s="71">
        <f t="shared" si="0"/>
        <v>417540507.41742235</v>
      </c>
    </row>
    <row r="9" spans="1:8" ht="15.75" thickBot="1" x14ac:dyDescent="0.3"/>
    <row r="10" spans="1:8" ht="15.75" thickBot="1" x14ac:dyDescent="0.3">
      <c r="A10" s="234" t="s">
        <v>264</v>
      </c>
      <c r="B10" s="235"/>
    </row>
    <row r="11" spans="1:8" x14ac:dyDescent="0.25">
      <c r="A11" s="137"/>
      <c r="B11" s="107" t="s">
        <v>286</v>
      </c>
      <c r="C11" s="7"/>
      <c r="D11" s="7">
        <f>'Costos de Operación Gravables'!J4</f>
        <v>72000000</v>
      </c>
      <c r="E11" s="7">
        <f>'Costos de Operación Gravables'!K4</f>
        <v>79200000</v>
      </c>
      <c r="F11" s="7">
        <f>'Costos de Operación Gravables'!L4</f>
        <v>87120000</v>
      </c>
      <c r="G11" s="7">
        <f>'Costos de Operación Gravables'!M4</f>
        <v>95832000.000000015</v>
      </c>
      <c r="H11" s="7">
        <f>'Costos de Operación Gravables'!N4</f>
        <v>105415200.00000003</v>
      </c>
    </row>
    <row r="12" spans="1:8" x14ac:dyDescent="0.25">
      <c r="A12" s="137"/>
      <c r="B12" s="107" t="s">
        <v>290</v>
      </c>
      <c r="C12" s="7"/>
      <c r="D12" s="7">
        <f>'Costos de Operación Gravables'!J7</f>
        <v>21462936</v>
      </c>
      <c r="E12" s="7">
        <f>'Costos de Operación Gravables'!K7</f>
        <v>23609229.600000001</v>
      </c>
      <c r="F12" s="7">
        <f>'Costos de Operación Gravables'!L7</f>
        <v>25970152.560000002</v>
      </c>
      <c r="G12" s="7">
        <f>'Costos de Operación Gravables'!M7</f>
        <v>28567167.816000003</v>
      </c>
      <c r="H12" s="7">
        <f>'Costos de Operación Gravables'!N7</f>
        <v>31423884.597600006</v>
      </c>
    </row>
    <row r="13" spans="1:8" x14ac:dyDescent="0.25">
      <c r="B13" s="107" t="s">
        <v>287</v>
      </c>
      <c r="C13" s="7"/>
      <c r="D13" s="7">
        <f>'Costos de Operación Gravables'!J20</f>
        <v>156000</v>
      </c>
      <c r="E13" s="7">
        <f>'Costos de Operación Gravables'!K20</f>
        <v>165360</v>
      </c>
      <c r="F13" s="7">
        <f>'Costos de Operación Gravables'!L20</f>
        <v>175281.6</v>
      </c>
      <c r="G13" s="7">
        <f>'Costos de Operación Gravables'!M20</f>
        <v>185798.49600000001</v>
      </c>
      <c r="H13" s="7">
        <f>'Costos de Operación Gravables'!N20</f>
        <v>196946.40576000002</v>
      </c>
    </row>
    <row r="14" spans="1:8" ht="15.75" thickBot="1" x14ac:dyDescent="0.3">
      <c r="B14" s="107" t="s">
        <v>292</v>
      </c>
      <c r="C14" s="138"/>
      <c r="D14" s="138">
        <f>'Costos de Operación Gravables'!J24</f>
        <v>1440000</v>
      </c>
      <c r="E14" s="138">
        <f>'Costos de Operación Gravables'!K24</f>
        <v>1526400</v>
      </c>
      <c r="F14" s="138">
        <f>'Costos de Operación Gravables'!L24</f>
        <v>1617984</v>
      </c>
      <c r="G14" s="138">
        <f>'Costos de Operación Gravables'!M24</f>
        <v>1715063.04</v>
      </c>
      <c r="H14" s="138">
        <f>'Costos de Operación Gravables'!N24</f>
        <v>1817966.8224000002</v>
      </c>
    </row>
    <row r="15" spans="1:8" ht="16.5" thickBot="1" x14ac:dyDescent="0.3">
      <c r="B15" s="70" t="s">
        <v>263</v>
      </c>
      <c r="C15" s="71">
        <f>C8-C13</f>
        <v>0</v>
      </c>
      <c r="D15" s="71">
        <f>D8-SUM(D11:D14)</f>
        <v>22757064</v>
      </c>
      <c r="E15" s="71">
        <f t="shared" ref="E15:H15" si="1">E8-SUM(E11:E13)</f>
        <v>54406274.399999976</v>
      </c>
      <c r="F15" s="71">
        <f t="shared" si="1"/>
        <v>98298783.407999963</v>
      </c>
      <c r="G15" s="71">
        <f t="shared" si="1"/>
        <v>167669299.96559989</v>
      </c>
      <c r="H15" s="71">
        <f t="shared" si="1"/>
        <v>280504476.41406232</v>
      </c>
    </row>
    <row r="16" spans="1:8" ht="15.75" thickBot="1" x14ac:dyDescent="0.3"/>
    <row r="17" spans="1:8" ht="15.75" thickBot="1" x14ac:dyDescent="0.3">
      <c r="A17" s="234" t="s">
        <v>265</v>
      </c>
      <c r="B17" s="235"/>
    </row>
    <row r="18" spans="1:8" ht="15.75" thickBot="1" x14ac:dyDescent="0.3">
      <c r="B18" s="107" t="s">
        <v>288</v>
      </c>
      <c r="C18" s="7"/>
      <c r="D18" s="7">
        <f>'Amortización y Depreciación'!G4</f>
        <v>5715545.3724325309</v>
      </c>
      <c r="E18" s="7">
        <f>'Amortización y Depreciación'!G5</f>
        <v>5715545.3724325309</v>
      </c>
      <c r="F18" s="7">
        <f>'Amortización y Depreciación'!G6</f>
        <v>5715545.3724325309</v>
      </c>
      <c r="G18" s="7">
        <f>'Amortización y Depreciación'!G7</f>
        <v>5715545.3724325309</v>
      </c>
      <c r="H18" s="7"/>
    </row>
    <row r="19" spans="1:8" ht="16.5" thickBot="1" x14ac:dyDescent="0.3">
      <c r="B19" s="70" t="s">
        <v>267</v>
      </c>
      <c r="C19" s="71">
        <f>C15-C18</f>
        <v>0</v>
      </c>
      <c r="D19" s="71">
        <f t="shared" ref="D19:H19" si="2">D15-D18</f>
        <v>17041518.62756747</v>
      </c>
      <c r="E19" s="71">
        <f t="shared" si="2"/>
        <v>48690729.027567446</v>
      </c>
      <c r="F19" s="71">
        <f t="shared" si="2"/>
        <v>92583238.035567433</v>
      </c>
      <c r="G19" s="71">
        <f t="shared" si="2"/>
        <v>161953754.59316736</v>
      </c>
      <c r="H19" s="71">
        <f t="shared" si="2"/>
        <v>280504476.41406232</v>
      </c>
    </row>
    <row r="20" spans="1:8" ht="15.75" thickBot="1" x14ac:dyDescent="0.3"/>
    <row r="21" spans="1:8" ht="15.75" thickBot="1" x14ac:dyDescent="0.3">
      <c r="A21" s="234" t="s">
        <v>268</v>
      </c>
      <c r="B21" s="235"/>
    </row>
    <row r="22" spans="1:8" x14ac:dyDescent="0.25">
      <c r="B22" s="107" t="s">
        <v>269</v>
      </c>
      <c r="C22" s="7"/>
      <c r="D22" s="7">
        <f>D19*0.35</f>
        <v>5964531.5196486143</v>
      </c>
      <c r="E22" s="7">
        <f>E19*0.35</f>
        <v>17041755.159648605</v>
      </c>
      <c r="F22" s="7">
        <f t="shared" ref="F22:H22" si="3">F19*0.35</f>
        <v>32404133.312448598</v>
      </c>
      <c r="G22" s="7">
        <f t="shared" si="3"/>
        <v>56683814.107608572</v>
      </c>
      <c r="H22" s="7">
        <f t="shared" si="3"/>
        <v>98176566.744921803</v>
      </c>
    </row>
    <row r="23" spans="1:8" ht="15.75" thickBot="1" x14ac:dyDescent="0.3"/>
    <row r="24" spans="1:8" ht="23.25" customHeight="1" thickBot="1" x14ac:dyDescent="0.3">
      <c r="A24" s="229" t="s">
        <v>270</v>
      </c>
      <c r="B24" s="230"/>
      <c r="C24" s="73">
        <f>C19-C22</f>
        <v>0</v>
      </c>
      <c r="D24" s="73">
        <f>D19-D22</f>
        <v>11076987.107918855</v>
      </c>
      <c r="E24" s="73">
        <f t="shared" ref="E24:G24" si="4">E19-E22</f>
        <v>31648973.867918842</v>
      </c>
      <c r="F24" s="73">
        <f t="shared" si="4"/>
        <v>60179104.723118834</v>
      </c>
      <c r="G24" s="73">
        <f t="shared" si="4"/>
        <v>105269940.48555879</v>
      </c>
      <c r="H24" s="73">
        <f>H19-H22</f>
        <v>182327909.66914052</v>
      </c>
    </row>
    <row r="30" spans="1:8" ht="22.5" customHeight="1" x14ac:dyDescent="0.25"/>
  </sheetData>
  <mergeCells count="8">
    <mergeCell ref="A17:B17"/>
    <mergeCell ref="A21:B21"/>
    <mergeCell ref="A24:B24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showGridLines="0" topLeftCell="C1" zoomScaleNormal="100" workbookViewId="0">
      <selection activeCell="I27" sqref="I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5" t="s">
        <v>221</v>
      </c>
      <c r="B1" s="226"/>
      <c r="C1" s="226"/>
      <c r="D1" s="226"/>
      <c r="E1" s="226"/>
      <c r="F1" s="226"/>
      <c r="G1" s="226"/>
      <c r="H1" s="226"/>
    </row>
    <row r="2" spans="1:8" ht="22.5" customHeight="1" thickBot="1" x14ac:dyDescent="0.4">
      <c r="A2" s="227" t="s">
        <v>266</v>
      </c>
      <c r="B2" s="228"/>
      <c r="C2" s="228"/>
      <c r="D2" s="228"/>
      <c r="E2" s="228"/>
      <c r="F2" s="228"/>
      <c r="G2" s="228"/>
      <c r="H2" s="228"/>
    </row>
    <row r="3" spans="1:8" ht="15.75" thickBot="1" x14ac:dyDescent="0.3"/>
    <row r="4" spans="1:8" ht="22.5" customHeight="1" thickBot="1" x14ac:dyDescent="0.3">
      <c r="A4" s="229" t="s">
        <v>90</v>
      </c>
      <c r="B4" s="230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4" t="s">
        <v>163</v>
      </c>
      <c r="B5" s="235"/>
    </row>
    <row r="6" spans="1:8" x14ac:dyDescent="0.25">
      <c r="B6" s="83" t="s">
        <v>164</v>
      </c>
      <c r="C6" s="7">
        <f>'Proyección de Ventas e Incremen'!B17</f>
        <v>19300050</v>
      </c>
      <c r="D6" s="7"/>
      <c r="E6" s="7"/>
      <c r="F6" s="7"/>
      <c r="G6" s="7"/>
      <c r="H6" s="7"/>
    </row>
    <row r="7" spans="1:8" x14ac:dyDescent="0.25">
      <c r="B7" s="83" t="s">
        <v>168</v>
      </c>
      <c r="C7" s="7">
        <f>'Proyección de Ventas e Incremen'!B16</f>
        <v>15790950</v>
      </c>
      <c r="D7" s="7"/>
      <c r="E7" s="7"/>
      <c r="F7" s="7"/>
      <c r="G7" s="7"/>
      <c r="H7" s="7"/>
    </row>
    <row r="8" spans="1:8" ht="15.75" thickBot="1" x14ac:dyDescent="0.3">
      <c r="B8" s="83" t="s">
        <v>212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213</v>
      </c>
      <c r="C9" s="71">
        <f>SUM(C6:C8)</f>
        <v>35091000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34" t="s">
        <v>214</v>
      </c>
      <c r="B11" s="235"/>
    </row>
    <row r="12" spans="1:8" x14ac:dyDescent="0.25">
      <c r="B12" s="83" t="s">
        <v>218</v>
      </c>
      <c r="C12" s="3">
        <f>SUM('Costos de Operación Gravables'!B47:B49)</f>
        <v>35091000</v>
      </c>
      <c r="D12" s="3"/>
      <c r="E12" s="3"/>
      <c r="F12" s="3"/>
      <c r="G12" s="3"/>
      <c r="H12" s="3"/>
    </row>
    <row r="13" spans="1:8" x14ac:dyDescent="0.25">
      <c r="B13" s="83" t="s">
        <v>299</v>
      </c>
      <c r="C13" s="3"/>
      <c r="D13" s="3">
        <f>'Costos de Operación Gravables'!J10</f>
        <v>45480000</v>
      </c>
      <c r="E13" s="3">
        <f>'Costos de Operación Gravables'!K10</f>
        <v>48208800</v>
      </c>
      <c r="F13" s="3">
        <f>'Costos de Operación Gravables'!L10</f>
        <v>53029680.000000007</v>
      </c>
      <c r="G13" s="3">
        <f>'Costos de Operación Gravables'!M10</f>
        <v>58332648.000000015</v>
      </c>
      <c r="H13" s="3">
        <f>'Costos de Operación Gravables'!N10</f>
        <v>64165912.800000019</v>
      </c>
    </row>
    <row r="14" spans="1:8" x14ac:dyDescent="0.25">
      <c r="B14" s="83" t="s">
        <v>300</v>
      </c>
      <c r="C14" s="3"/>
      <c r="D14" s="3">
        <f>'Costos de Operación Gravables'!J20</f>
        <v>156000</v>
      </c>
      <c r="E14" s="3">
        <f>'Costos de Operación Gravables'!K20</f>
        <v>165360</v>
      </c>
      <c r="F14" s="3">
        <f>'Costos de Operación Gravables'!L20</f>
        <v>175281.6</v>
      </c>
      <c r="G14" s="3">
        <f>'Costos de Operación Gravables'!M20</f>
        <v>185798.49600000001</v>
      </c>
      <c r="H14" s="3">
        <f>'Costos de Operación Gravables'!N20</f>
        <v>196946.40576000002</v>
      </c>
    </row>
    <row r="15" spans="1:8" x14ac:dyDescent="0.25">
      <c r="B15" s="83" t="s">
        <v>296</v>
      </c>
      <c r="C15" s="3"/>
      <c r="D15" s="3">
        <f>'Costos de Operación Gravables'!J24</f>
        <v>1440000</v>
      </c>
      <c r="E15" s="3">
        <f>'Costos de Operación Gravables'!K24</f>
        <v>1526400</v>
      </c>
      <c r="F15" s="3">
        <f>'Costos de Operación Gravables'!L24</f>
        <v>1617984</v>
      </c>
      <c r="G15" s="3">
        <f>'Costos de Operación Gravables'!M24</f>
        <v>1715063.04</v>
      </c>
      <c r="H15" s="3">
        <f>'Costos de Operación Gravables'!N24</f>
        <v>1817966.8224000002</v>
      </c>
    </row>
    <row r="16" spans="1:8" x14ac:dyDescent="0.25">
      <c r="B16" s="83" t="s">
        <v>219</v>
      </c>
      <c r="C16" s="3"/>
      <c r="D16" s="3">
        <f>'Amortización y Depreciación'!G18</f>
        <v>1640000</v>
      </c>
      <c r="E16" s="3">
        <f>D16</f>
        <v>1640000</v>
      </c>
      <c r="F16" s="3">
        <f t="shared" ref="F16:H16" si="1">E16</f>
        <v>1640000</v>
      </c>
      <c r="G16" s="3">
        <f t="shared" si="1"/>
        <v>1640000</v>
      </c>
      <c r="H16" s="3">
        <f t="shared" si="1"/>
        <v>1640000</v>
      </c>
    </row>
    <row r="17" spans="1:8" x14ac:dyDescent="0.25">
      <c r="B17" s="83" t="s">
        <v>297</v>
      </c>
      <c r="C17" s="3"/>
      <c r="D17" s="3">
        <f>'Costos de Operación Gravables'!J4</f>
        <v>72000000</v>
      </c>
      <c r="E17" s="3">
        <f>'Costos de Operación Gravables'!K4</f>
        <v>79200000</v>
      </c>
      <c r="F17" s="3">
        <f>'Costos de Operación Gravables'!L4</f>
        <v>87120000</v>
      </c>
      <c r="G17" s="3">
        <f>'Costos de Operación Gravables'!M4</f>
        <v>95832000.000000015</v>
      </c>
      <c r="H17" s="3">
        <f>'Costos de Operación Gravables'!N4</f>
        <v>105415200.00000003</v>
      </c>
    </row>
    <row r="18" spans="1:8" x14ac:dyDescent="0.25">
      <c r="B18" s="83" t="s">
        <v>298</v>
      </c>
      <c r="C18" s="3"/>
      <c r="D18" s="3">
        <f>'Costos de Operación Gravables'!J7</f>
        <v>21462936</v>
      </c>
      <c r="E18" s="3">
        <f>'Costos de Operación Gravables'!K7</f>
        <v>23609229.600000001</v>
      </c>
      <c r="F18" s="3">
        <f>'Costos de Operación Gravables'!L7</f>
        <v>25970152.560000002</v>
      </c>
      <c r="G18" s="3">
        <f>'Costos de Operación Gravables'!M7</f>
        <v>28567167.816000003</v>
      </c>
      <c r="H18" s="3">
        <f>'Costos de Operación Gravables'!N7</f>
        <v>31423884.597600006</v>
      </c>
    </row>
    <row r="19" spans="1:8" x14ac:dyDescent="0.25">
      <c r="B19" s="83" t="s">
        <v>301</v>
      </c>
      <c r="C19" s="3"/>
      <c r="D19" s="3">
        <f>'Amortización y Depreciación'!G4</f>
        <v>5715545.3724325309</v>
      </c>
      <c r="E19" s="3">
        <f>'Amortización y Depreciación'!G5</f>
        <v>5715545.3724325309</v>
      </c>
      <c r="F19" s="3">
        <f>'Amortización y Depreciación'!G6</f>
        <v>5715545.3724325309</v>
      </c>
      <c r="G19" s="3">
        <f>'Amortización y Depreciación'!G7</f>
        <v>5715545.3724325309</v>
      </c>
      <c r="H19" s="3"/>
    </row>
    <row r="20" spans="1:8" ht="15.75" thickBot="1" x14ac:dyDescent="0.3">
      <c r="B20" s="83" t="s">
        <v>269</v>
      </c>
      <c r="C20" s="3"/>
      <c r="D20" s="3">
        <f>'Estado de Resultados'!D22</f>
        <v>5964531.5196486143</v>
      </c>
      <c r="E20" s="3">
        <f>'Estado de Resultados'!E22</f>
        <v>17041755.159648605</v>
      </c>
      <c r="F20" s="3">
        <f>'Estado de Resultados'!F22</f>
        <v>32404133.312448598</v>
      </c>
      <c r="G20" s="3">
        <f>'Estado de Resultados'!G22</f>
        <v>56683814.107608572</v>
      </c>
      <c r="H20" s="3">
        <f>'Estado de Resultados'!H22</f>
        <v>98176566.744921803</v>
      </c>
    </row>
    <row r="21" spans="1:8" ht="16.5" thickBot="1" x14ac:dyDescent="0.3">
      <c r="B21" s="70" t="s">
        <v>220</v>
      </c>
      <c r="C21" s="71">
        <f t="shared" ref="C21:H21" si="2">SUM(C12:C20)</f>
        <v>35091000</v>
      </c>
      <c r="D21" s="71">
        <f t="shared" si="2"/>
        <v>153859012.89208114</v>
      </c>
      <c r="E21" s="71">
        <f t="shared" si="2"/>
        <v>177107090.13208112</v>
      </c>
      <c r="F21" s="71">
        <f t="shared" si="2"/>
        <v>207672776.84488115</v>
      </c>
      <c r="G21" s="71">
        <f t="shared" si="2"/>
        <v>248672036.83204114</v>
      </c>
      <c r="H21" s="71">
        <f t="shared" si="2"/>
        <v>302836477.37068188</v>
      </c>
    </row>
    <row r="22" spans="1:8" ht="15.75" thickBot="1" x14ac:dyDescent="0.3"/>
    <row r="23" spans="1:8" ht="15.75" customHeight="1" thickBot="1" x14ac:dyDescent="0.3">
      <c r="A23" s="238" t="s">
        <v>228</v>
      </c>
      <c r="B23" s="239"/>
      <c r="C23" s="111">
        <f>-C21</f>
        <v>-35091000</v>
      </c>
      <c r="D23" s="71">
        <f>D9-D21</f>
        <v>9436987.1079188585</v>
      </c>
      <c r="E23" s="71">
        <f>E9-E21</f>
        <v>28482573.867918849</v>
      </c>
      <c r="F23" s="71">
        <f>F9-F21</f>
        <v>56921120.723118812</v>
      </c>
      <c r="G23" s="71">
        <f>G9-G21</f>
        <v>101914877.44555879</v>
      </c>
      <c r="H23" s="71">
        <f>H9-H21</f>
        <v>178869942.84674048</v>
      </c>
    </row>
    <row r="25" spans="1:8" x14ac:dyDescent="0.25">
      <c r="B25" s="15" t="s">
        <v>114</v>
      </c>
      <c r="C25" s="3"/>
      <c r="D25" s="3">
        <f>D16</f>
        <v>1640000</v>
      </c>
      <c r="E25" s="3">
        <f>D25</f>
        <v>1640000</v>
      </c>
      <c r="F25" s="3">
        <f t="shared" ref="F25:H25" si="3">E25</f>
        <v>1640000</v>
      </c>
      <c r="G25" s="3">
        <f t="shared" si="3"/>
        <v>1640000</v>
      </c>
      <c r="H25" s="3">
        <f t="shared" si="3"/>
        <v>1640000</v>
      </c>
    </row>
    <row r="26" spans="1:8" ht="15.75" thickBot="1" x14ac:dyDescent="0.3"/>
    <row r="27" spans="1:8" ht="22.5" customHeight="1" thickBot="1" x14ac:dyDescent="0.3">
      <c r="A27" s="221" t="s">
        <v>229</v>
      </c>
      <c r="B27" s="222"/>
      <c r="C27" s="73">
        <f>C23</f>
        <v>-35091000</v>
      </c>
      <c r="D27" s="73">
        <f>D23+D25</f>
        <v>11076987.107918859</v>
      </c>
      <c r="E27" s="73">
        <f t="shared" ref="E27:H27" si="4">E23+E25</f>
        <v>30122573.867918849</v>
      </c>
      <c r="F27" s="73">
        <f t="shared" si="4"/>
        <v>58561120.723118812</v>
      </c>
      <c r="G27" s="73">
        <f t="shared" si="4"/>
        <v>103554877.44555879</v>
      </c>
      <c r="H27" s="73">
        <f t="shared" si="4"/>
        <v>180509942.84674048</v>
      </c>
    </row>
    <row r="36" ht="22.5" customHeight="1" x14ac:dyDescent="0.25"/>
    <row r="37" ht="15" customHeight="1" x14ac:dyDescent="0.25"/>
  </sheetData>
  <mergeCells count="7">
    <mergeCell ref="A23:B23"/>
    <mergeCell ref="A27:B27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showGridLines="0" zoomScale="115" zoomScaleNormal="115" workbookViewId="0">
      <selection activeCell="N12" sqref="N1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25" t="s">
        <v>112</v>
      </c>
      <c r="B1" s="226"/>
      <c r="C1" s="226"/>
      <c r="D1" s="226"/>
      <c r="E1" s="226"/>
      <c r="F1" s="226"/>
      <c r="G1" s="226"/>
      <c r="H1" s="226"/>
    </row>
    <row r="2" spans="1:8" ht="22.5" customHeight="1" thickBot="1" x14ac:dyDescent="0.4">
      <c r="A2" s="227" t="s">
        <v>266</v>
      </c>
      <c r="B2" s="228"/>
      <c r="C2" s="228"/>
      <c r="D2" s="228"/>
      <c r="E2" s="228"/>
      <c r="F2" s="228"/>
      <c r="G2" s="228"/>
      <c r="H2" s="228"/>
    </row>
    <row r="3" spans="1:8" ht="15.75" thickBot="1" x14ac:dyDescent="0.3"/>
    <row r="4" spans="1:8" ht="22.5" customHeight="1" thickBot="1" x14ac:dyDescent="0.3">
      <c r="A4" s="229" t="s">
        <v>90</v>
      </c>
      <c r="B4" s="230"/>
      <c r="C4" s="66" t="s">
        <v>105</v>
      </c>
      <c r="D4" s="66" t="s">
        <v>106</v>
      </c>
      <c r="E4" s="66" t="s">
        <v>107</v>
      </c>
      <c r="F4" s="66" t="s">
        <v>108</v>
      </c>
      <c r="G4" s="66" t="s">
        <v>109</v>
      </c>
      <c r="H4" s="66" t="s">
        <v>110</v>
      </c>
    </row>
    <row r="5" spans="1:8" ht="15.75" thickBot="1" x14ac:dyDescent="0.3">
      <c r="A5" s="234" t="s">
        <v>113</v>
      </c>
      <c r="B5" s="235"/>
    </row>
    <row r="6" spans="1:8" x14ac:dyDescent="0.25">
      <c r="B6" s="135" t="s">
        <v>227</v>
      </c>
      <c r="C6" s="69">
        <f>'Flujo de Caja'!C27</f>
        <v>-35091000</v>
      </c>
      <c r="D6" s="69">
        <f>'Flujo de Caja'!D27</f>
        <v>11076987.107918859</v>
      </c>
      <c r="E6" s="69">
        <f>'Flujo de Caja'!E27</f>
        <v>30122573.867918849</v>
      </c>
      <c r="F6" s="69">
        <f>'Flujo de Caja'!F27</f>
        <v>58561120.723118812</v>
      </c>
      <c r="G6" s="69">
        <f>'Flujo de Caja'!G27</f>
        <v>103554877.44555879</v>
      </c>
      <c r="H6" s="69">
        <f>'Flujo de Caja'!H27</f>
        <v>180509942.84674048</v>
      </c>
    </row>
    <row r="7" spans="1:8" x14ac:dyDescent="0.25">
      <c r="B7" s="107" t="s">
        <v>279</v>
      </c>
      <c r="C7" s="7">
        <v>0</v>
      </c>
      <c r="D7" s="7">
        <f>'Flujo de Caja'!D16</f>
        <v>1640000</v>
      </c>
      <c r="E7" s="7">
        <f>'Flujo de Caja'!E16</f>
        <v>1640000</v>
      </c>
      <c r="F7" s="7">
        <f>'Flujo de Caja'!F16</f>
        <v>1640000</v>
      </c>
      <c r="G7" s="7">
        <f>'Flujo de Caja'!G16</f>
        <v>1640000</v>
      </c>
      <c r="H7" s="7">
        <f>'Flujo de Caja'!H16</f>
        <v>1640000</v>
      </c>
    </row>
    <row r="8" spans="1:8" x14ac:dyDescent="0.25">
      <c r="B8" s="136" t="s">
        <v>277</v>
      </c>
      <c r="C8" s="7">
        <v>0</v>
      </c>
      <c r="D8" s="7">
        <f>'Amortización y Depreciación'!H4</f>
        <v>3087931.2924325308</v>
      </c>
      <c r="E8" s="7">
        <f>'Amortización y Depreciación'!H5</f>
        <v>3601763.0594933042</v>
      </c>
      <c r="F8" s="7">
        <f>'Amortización y Depreciación'!H6</f>
        <v>4201096.4325929899</v>
      </c>
      <c r="G8" s="7">
        <f>'Amortización y Depreciación'!H7</f>
        <v>4900158.8789764633</v>
      </c>
      <c r="H8" s="7">
        <f>'Amortización y Depreciación'!H8</f>
        <v>-5.5994384038448329E-2</v>
      </c>
    </row>
    <row r="9" spans="1:8" x14ac:dyDescent="0.25">
      <c r="B9" s="136" t="s">
        <v>278</v>
      </c>
      <c r="C9" s="72">
        <v>0</v>
      </c>
      <c r="D9" s="7">
        <f>'Amortización y Depreciación'!F4</f>
        <v>2627614.08</v>
      </c>
      <c r="E9" s="7">
        <f>'Amortización y Depreciación'!F5</f>
        <v>2113782.3129392266</v>
      </c>
      <c r="F9" s="7">
        <f>'Amortización y Depreciación'!F6</f>
        <v>1514448.939839541</v>
      </c>
      <c r="G9" s="7">
        <f>'Amortización y Depreciación'!F7</f>
        <v>815386.49345606752</v>
      </c>
      <c r="H9" s="7">
        <f>'Amortización y Depreciación'!F8</f>
        <v>5.5994384038448329E-2</v>
      </c>
    </row>
    <row r="10" spans="1:8" x14ac:dyDescent="0.25">
      <c r="B10" s="136" t="s">
        <v>226</v>
      </c>
      <c r="C10" s="72">
        <f>'Flujo de Caja'!C20</f>
        <v>0</v>
      </c>
      <c r="D10" s="72">
        <f>'Flujo de Caja'!D20</f>
        <v>5964531.5196486143</v>
      </c>
      <c r="E10" s="72">
        <f>'Flujo de Caja'!E20</f>
        <v>17041755.159648605</v>
      </c>
      <c r="F10" s="72">
        <f>'Flujo de Caja'!F20</f>
        <v>32404133.312448598</v>
      </c>
      <c r="G10" s="72">
        <f>'Flujo de Caja'!G20</f>
        <v>56683814.107608572</v>
      </c>
      <c r="H10" s="72">
        <f>'Flujo de Caja'!H20</f>
        <v>98176566.744921803</v>
      </c>
    </row>
    <row r="11" spans="1:8" x14ac:dyDescent="0.25">
      <c r="B11" s="107" t="s">
        <v>295</v>
      </c>
      <c r="C11" s="7">
        <v>0</v>
      </c>
      <c r="D11" s="7">
        <f>'Costos de Operación Gravables'!J20</f>
        <v>156000</v>
      </c>
      <c r="E11" s="7">
        <f>'Costos de Operación Gravables'!K20</f>
        <v>165360</v>
      </c>
      <c r="F11" s="7">
        <f>'Costos de Operación Gravables'!L20</f>
        <v>175281.6</v>
      </c>
      <c r="G11" s="7">
        <f>'Costos de Operación Gravables'!M20</f>
        <v>185798.49600000001</v>
      </c>
      <c r="H11" s="7">
        <f>'Costos de Operación Gravables'!N20</f>
        <v>196946.40576000002</v>
      </c>
    </row>
    <row r="12" spans="1:8" x14ac:dyDescent="0.25">
      <c r="B12" s="107" t="s">
        <v>296</v>
      </c>
      <c r="C12" s="7">
        <v>0</v>
      </c>
      <c r="D12" s="7">
        <f>'Costos de Operación Gravables'!J24</f>
        <v>1440000</v>
      </c>
      <c r="E12" s="7">
        <f>'Costos de Operación Gravables'!K24</f>
        <v>1526400</v>
      </c>
      <c r="F12" s="7">
        <f>'Costos de Operación Gravables'!L24</f>
        <v>1617984</v>
      </c>
      <c r="G12" s="7">
        <f>'Costos de Operación Gravables'!M24</f>
        <v>1715063.04</v>
      </c>
      <c r="H12" s="7">
        <f>'Costos de Operación Gravables'!N24</f>
        <v>1817966.8224000002</v>
      </c>
    </row>
    <row r="13" spans="1:8" ht="16.5" thickBot="1" x14ac:dyDescent="0.3">
      <c r="B13" s="139" t="s">
        <v>115</v>
      </c>
      <c r="C13" s="140">
        <f>SUM(C6:C12)</f>
        <v>-35091000</v>
      </c>
      <c r="D13" s="140">
        <f>SUM(D6:D12)</f>
        <v>25993064.000000004</v>
      </c>
      <c r="E13" s="140">
        <f t="shared" ref="E13:H13" si="0">SUM(E6:E12)</f>
        <v>56211634.399999984</v>
      </c>
      <c r="F13" s="140">
        <f t="shared" si="0"/>
        <v>100114065.00799993</v>
      </c>
      <c r="G13" s="140">
        <f t="shared" si="0"/>
        <v>169495098.46159986</v>
      </c>
      <c r="H13" s="140">
        <f t="shared" si="0"/>
        <v>282341422.81982225</v>
      </c>
    </row>
    <row r="14" spans="1:8" ht="15.75" thickBot="1" x14ac:dyDescent="0.3"/>
    <row r="15" spans="1:8" ht="15.75" thickBot="1" x14ac:dyDescent="0.3">
      <c r="A15" s="234" t="s">
        <v>116</v>
      </c>
      <c r="B15" s="235"/>
    </row>
    <row r="16" spans="1:8" ht="15.75" thickBot="1" x14ac:dyDescent="0.3">
      <c r="B16" s="107" t="s">
        <v>222</v>
      </c>
      <c r="C16" s="69">
        <f>'Inversión Inicial'!B5</f>
        <v>8200000</v>
      </c>
      <c r="D16" s="3">
        <f>0</f>
        <v>0</v>
      </c>
      <c r="E16" s="3">
        <f>0</f>
        <v>0</v>
      </c>
      <c r="F16" s="3">
        <f>0</f>
        <v>0</v>
      </c>
      <c r="G16" s="3">
        <f>0</f>
        <v>0</v>
      </c>
      <c r="H16" s="3">
        <f>0</f>
        <v>0</v>
      </c>
    </row>
    <row r="17" spans="1:8" ht="16.5" thickBot="1" x14ac:dyDescent="0.3">
      <c r="B17" s="70" t="s">
        <v>117</v>
      </c>
      <c r="C17" s="71">
        <f t="shared" ref="C17:H17" si="1">SUM(C16:C16)</f>
        <v>8200000</v>
      </c>
      <c r="D17" s="71">
        <f t="shared" si="1"/>
        <v>0</v>
      </c>
      <c r="E17" s="71">
        <f t="shared" si="1"/>
        <v>0</v>
      </c>
      <c r="F17" s="71">
        <f t="shared" si="1"/>
        <v>0</v>
      </c>
      <c r="G17" s="71">
        <f t="shared" si="1"/>
        <v>0</v>
      </c>
      <c r="H17" s="71">
        <f t="shared" si="1"/>
        <v>0</v>
      </c>
    </row>
    <row r="18" spans="1:8" ht="15.75" thickBot="1" x14ac:dyDescent="0.3"/>
    <row r="19" spans="1:8" ht="15.75" thickBot="1" x14ac:dyDescent="0.3">
      <c r="A19" s="234" t="s">
        <v>118</v>
      </c>
      <c r="B19" s="235"/>
    </row>
    <row r="20" spans="1:8" x14ac:dyDescent="0.25">
      <c r="B20" s="135" t="s">
        <v>225</v>
      </c>
      <c r="C20" s="7">
        <f>'Proyección de Ventas e Incremen'!B17</f>
        <v>19300050</v>
      </c>
      <c r="D20" s="7">
        <f>0</f>
        <v>0</v>
      </c>
      <c r="E20" s="7">
        <f>0</f>
        <v>0</v>
      </c>
      <c r="F20" s="7">
        <f>0</f>
        <v>0</v>
      </c>
      <c r="G20" s="7">
        <f>0</f>
        <v>0</v>
      </c>
      <c r="H20" s="7">
        <f>0</f>
        <v>0</v>
      </c>
    </row>
    <row r="21" spans="1:8" x14ac:dyDescent="0.25">
      <c r="B21" s="107" t="s">
        <v>223</v>
      </c>
      <c r="C21" s="7">
        <f>'Proyección de Ventas e Incremen'!B16</f>
        <v>15790950</v>
      </c>
      <c r="D21" s="7">
        <f>0</f>
        <v>0</v>
      </c>
      <c r="E21" s="7">
        <f>0</f>
        <v>0</v>
      </c>
      <c r="F21" s="7">
        <f>0</f>
        <v>0</v>
      </c>
      <c r="G21" s="7">
        <f>0</f>
        <v>0</v>
      </c>
      <c r="H21" s="7">
        <f>0</f>
        <v>0</v>
      </c>
    </row>
    <row r="22" spans="1:8" x14ac:dyDescent="0.25">
      <c r="B22" s="107" t="s">
        <v>119</v>
      </c>
      <c r="C22" s="7">
        <f t="shared" ref="C22:H23" si="2">C8</f>
        <v>0</v>
      </c>
      <c r="D22" s="7">
        <f t="shared" si="2"/>
        <v>3087931.2924325308</v>
      </c>
      <c r="E22" s="7">
        <f t="shared" si="2"/>
        <v>3601763.0594933042</v>
      </c>
      <c r="F22" s="7">
        <f t="shared" si="2"/>
        <v>4201096.4325929899</v>
      </c>
      <c r="G22" s="7">
        <f t="shared" si="2"/>
        <v>4900158.8789764633</v>
      </c>
      <c r="H22" s="7">
        <f t="shared" si="2"/>
        <v>-5.5994384038448329E-2</v>
      </c>
    </row>
    <row r="23" spans="1:8" x14ac:dyDescent="0.25">
      <c r="B23" s="107" t="s">
        <v>111</v>
      </c>
      <c r="C23" s="7">
        <f t="shared" si="2"/>
        <v>0</v>
      </c>
      <c r="D23" s="7">
        <f t="shared" si="2"/>
        <v>2627614.08</v>
      </c>
      <c r="E23" s="7">
        <f t="shared" si="2"/>
        <v>2113782.3129392266</v>
      </c>
      <c r="F23" s="7">
        <f t="shared" si="2"/>
        <v>1514448.939839541</v>
      </c>
      <c r="G23" s="7">
        <f t="shared" si="2"/>
        <v>815386.49345606752</v>
      </c>
      <c r="H23" s="7">
        <f t="shared" si="2"/>
        <v>5.5994384038448329E-2</v>
      </c>
    </row>
    <row r="24" spans="1:8" ht="15.75" thickBot="1" x14ac:dyDescent="0.3">
      <c r="B24" s="107" t="s">
        <v>224</v>
      </c>
      <c r="C24" s="7">
        <v>0</v>
      </c>
      <c r="D24" s="7">
        <f>ABS('Balance General'!$D$31-'Balance General'!D31)</f>
        <v>0</v>
      </c>
      <c r="E24" s="7">
        <f>ABS('Balance General'!$D$31-'Balance General'!E31)</f>
        <v>11001823</v>
      </c>
      <c r="F24" s="7">
        <f>ABS('Balance General'!$D$31-'Balance General'!F31)</f>
        <v>26272618</v>
      </c>
      <c r="G24" s="7">
        <f>ABS('Balance General'!$D$31-'Balance General'!G31)</f>
        <v>50455219</v>
      </c>
      <c r="H24" s="7">
        <f>ABS('Balance General'!$D$31-'Balance General'!H31)</f>
        <v>91845068</v>
      </c>
    </row>
    <row r="25" spans="1:8" ht="16.5" thickBot="1" x14ac:dyDescent="0.3">
      <c r="B25" s="70" t="s">
        <v>120</v>
      </c>
      <c r="C25" s="71">
        <f>SUM(C20:C24)</f>
        <v>35091000</v>
      </c>
      <c r="D25" s="71">
        <f t="shared" ref="D25:H25" si="3">SUM(D20:D24)</f>
        <v>5715545.3724325309</v>
      </c>
      <c r="E25" s="71">
        <f t="shared" si="3"/>
        <v>16717368.37243253</v>
      </c>
      <c r="F25" s="71">
        <f t="shared" si="3"/>
        <v>31988163.37243253</v>
      </c>
      <c r="G25" s="71">
        <f t="shared" si="3"/>
        <v>56170764.37243253</v>
      </c>
      <c r="H25" s="71">
        <f t="shared" si="3"/>
        <v>91845068</v>
      </c>
    </row>
  </sheetData>
  <mergeCells count="6">
    <mergeCell ref="A19:B19"/>
    <mergeCell ref="A1:H1"/>
    <mergeCell ref="A2:H2"/>
    <mergeCell ref="A4:B4"/>
    <mergeCell ref="A5:B5"/>
    <mergeCell ref="A15:B15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8"/>
  <sheetViews>
    <sheetView showGridLines="0" zoomScale="115" zoomScaleNormal="115" workbookViewId="0">
      <selection activeCell="C14" sqref="C14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14.570312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40" t="s">
        <v>129</v>
      </c>
      <c r="C2" s="242"/>
      <c r="G2" s="247" t="s">
        <v>137</v>
      </c>
      <c r="H2" s="248"/>
      <c r="I2" s="248"/>
      <c r="J2" s="249"/>
    </row>
    <row r="3" spans="1:10" x14ac:dyDescent="0.25">
      <c r="B3" s="84" t="s">
        <v>305</v>
      </c>
      <c r="C3" s="132">
        <f>SUM('Proyección de Ventas e Incremen'!J18:J19)</f>
        <v>4944.24</v>
      </c>
      <c r="G3" s="245" t="s">
        <v>121</v>
      </c>
      <c r="H3" s="246"/>
      <c r="I3" s="128" t="s">
        <v>122</v>
      </c>
      <c r="J3" s="128" t="s">
        <v>123</v>
      </c>
    </row>
    <row r="4" spans="1:10" x14ac:dyDescent="0.25">
      <c r="A4" s="75"/>
      <c r="B4" s="85" t="s">
        <v>130</v>
      </c>
      <c r="C4" s="78">
        <f>J11/C3</f>
        <v>31599.867643965503</v>
      </c>
      <c r="G4" s="250" t="s">
        <v>124</v>
      </c>
      <c r="H4" s="251"/>
      <c r="I4" s="78">
        <v>0</v>
      </c>
      <c r="J4" s="78">
        <f>'Costos de Operación Gravables'!J15</f>
        <v>140393936</v>
      </c>
    </row>
    <row r="5" spans="1:10" x14ac:dyDescent="0.25">
      <c r="B5" s="85" t="s">
        <v>133</v>
      </c>
      <c r="C5" s="78">
        <f>SUM(I11:J11)/C3</f>
        <v>31954.9474944582</v>
      </c>
      <c r="G5" s="131" t="s">
        <v>125</v>
      </c>
      <c r="H5" s="78">
        <f>J4</f>
        <v>140393936</v>
      </c>
      <c r="I5" s="78">
        <v>0</v>
      </c>
      <c r="J5" s="78">
        <v>0</v>
      </c>
    </row>
    <row r="6" spans="1:10" ht="15.75" thickBot="1" x14ac:dyDescent="0.3">
      <c r="G6" s="250" t="s">
        <v>126</v>
      </c>
      <c r="H6" s="251"/>
      <c r="I6" s="78">
        <f>'Costos de Operación Gravables'!J26</f>
        <v>1596000</v>
      </c>
      <c r="J6" s="78">
        <v>0</v>
      </c>
    </row>
    <row r="7" spans="1:10" ht="15.75" thickBot="1" x14ac:dyDescent="0.3">
      <c r="B7" s="240" t="s">
        <v>311</v>
      </c>
      <c r="C7" s="241"/>
      <c r="D7" s="242"/>
      <c r="G7" s="250" t="s">
        <v>131</v>
      </c>
      <c r="H7" s="251"/>
      <c r="I7" s="78">
        <v>0</v>
      </c>
      <c r="J7" s="78">
        <f>'Amortización y Depreciación'!G18</f>
        <v>1640000</v>
      </c>
    </row>
    <row r="8" spans="1:10" x14ac:dyDescent="0.25">
      <c r="B8" s="84" t="s">
        <v>306</v>
      </c>
      <c r="C8" s="84" t="s">
        <v>307</v>
      </c>
      <c r="D8" s="84" t="s">
        <v>310</v>
      </c>
      <c r="G8" s="250" t="s">
        <v>132</v>
      </c>
      <c r="H8" s="251"/>
      <c r="I8" s="78">
        <v>0</v>
      </c>
      <c r="J8" s="78">
        <v>0</v>
      </c>
    </row>
    <row r="9" spans="1:10" x14ac:dyDescent="0.25">
      <c r="B9" s="84" t="s">
        <v>308</v>
      </c>
      <c r="C9" s="3">
        <f>SUM(I11:J11)</f>
        <v>157992929.59999999</v>
      </c>
      <c r="D9" s="146">
        <f>C9/4944</f>
        <v>31956.498705501617</v>
      </c>
      <c r="G9" s="243" t="s">
        <v>127</v>
      </c>
      <c r="H9" s="244"/>
      <c r="I9" s="81">
        <f>SUM(I4:I8)</f>
        <v>1596000</v>
      </c>
      <c r="J9" s="81">
        <f>SUM(J4:J8)</f>
        <v>142033936</v>
      </c>
    </row>
    <row r="10" spans="1:10" x14ac:dyDescent="0.25">
      <c r="B10" s="84" t="s">
        <v>309</v>
      </c>
      <c r="C10" s="3">
        <f>'Proyección de Ventas e Incremen'!J7</f>
        <v>163296000</v>
      </c>
      <c r="D10" s="146">
        <f>C10/4944</f>
        <v>33029.12621359223</v>
      </c>
      <c r="G10" s="80" t="s">
        <v>128</v>
      </c>
      <c r="H10" s="79">
        <v>0.1</v>
      </c>
      <c r="I10" s="78">
        <f>I9*$H$10</f>
        <v>159600</v>
      </c>
      <c r="J10" s="78">
        <f>J9*$H$10</f>
        <v>14203393.600000001</v>
      </c>
    </row>
    <row r="11" spans="1:10" ht="15.75" thickBot="1" x14ac:dyDescent="0.3">
      <c r="G11" s="129" t="s">
        <v>28</v>
      </c>
      <c r="H11" s="130"/>
      <c r="I11" s="82">
        <f>I9+I10</f>
        <v>1755600</v>
      </c>
      <c r="J11" s="82">
        <f>J9+J10</f>
        <v>156237329.59999999</v>
      </c>
    </row>
    <row r="12" spans="1:10" ht="15.75" thickBot="1" x14ac:dyDescent="0.3">
      <c r="B12" s="240" t="s">
        <v>134</v>
      </c>
      <c r="C12" s="242"/>
    </row>
    <row r="13" spans="1:10" x14ac:dyDescent="0.25">
      <c r="B13" s="84" t="s">
        <v>312</v>
      </c>
      <c r="C13" s="86">
        <f>C9/C3</f>
        <v>31954.9474944582</v>
      </c>
    </row>
    <row r="14" spans="1:10" x14ac:dyDescent="0.25">
      <c r="B14" s="85" t="s">
        <v>135</v>
      </c>
      <c r="C14" s="112">
        <v>4784</v>
      </c>
    </row>
    <row r="15" spans="1:10" x14ac:dyDescent="0.25">
      <c r="B15" s="85" t="s">
        <v>136</v>
      </c>
      <c r="C15" s="78">
        <f>33027*C14</f>
        <v>158001168</v>
      </c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</sheetData>
  <mergeCells count="10">
    <mergeCell ref="B7:D7"/>
    <mergeCell ref="B12:C12"/>
    <mergeCell ref="G9:H9"/>
    <mergeCell ref="G3:H3"/>
    <mergeCell ref="B2:C2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6004"/>
  <sheetViews>
    <sheetView showGridLines="0" topLeftCell="E1" zoomScale="85" zoomScaleNormal="85" workbookViewId="0">
      <selection activeCell="U33" sqref="U33"/>
    </sheetView>
  </sheetViews>
  <sheetFormatPr baseColWidth="10" defaultRowHeight="15" x14ac:dyDescent="0.25"/>
  <cols>
    <col min="2" max="2" width="11.42578125" style="89"/>
    <col min="3" max="3" width="12.5703125" bestFit="1" customWidth="1"/>
    <col min="4" max="4" width="12.5703125" style="87" bestFit="1" customWidth="1"/>
  </cols>
  <sheetData>
    <row r="1" spans="2:4" x14ac:dyDescent="0.25">
      <c r="C1" s="89"/>
      <c r="D1" s="60"/>
    </row>
    <row r="2" spans="2:4" x14ac:dyDescent="0.25">
      <c r="C2" s="89"/>
      <c r="D2" s="88">
        <v>33027</v>
      </c>
    </row>
    <row r="3" spans="2:4" x14ac:dyDescent="0.25">
      <c r="C3" s="90" t="s">
        <v>138</v>
      </c>
      <c r="D3" s="91" t="s">
        <v>139</v>
      </c>
    </row>
    <row r="4" spans="2:4" x14ac:dyDescent="0.25">
      <c r="B4" s="89">
        <v>0</v>
      </c>
      <c r="C4" s="39">
        <f>SUM('Costos Fijos y Punto de Equil.'!I11:J11)</f>
        <v>157992929.59999999</v>
      </c>
      <c r="D4" s="39">
        <f>$D$2*B4</f>
        <v>0</v>
      </c>
    </row>
    <row r="5" spans="2:4" x14ac:dyDescent="0.25">
      <c r="B5" s="89">
        <v>1</v>
      </c>
      <c r="C5" s="39">
        <f>$C4</f>
        <v>157992929.59999999</v>
      </c>
      <c r="D5" s="39">
        <f t="shared" ref="D5:D68" si="0">$D$2*B5</f>
        <v>33027</v>
      </c>
    </row>
    <row r="6" spans="2:4" x14ac:dyDescent="0.25">
      <c r="B6" s="89">
        <v>2</v>
      </c>
      <c r="C6" s="39">
        <f t="shared" ref="C6:C69" si="1">$C5</f>
        <v>157992929.59999999</v>
      </c>
      <c r="D6" s="39">
        <f t="shared" si="0"/>
        <v>66054</v>
      </c>
    </row>
    <row r="7" spans="2:4" x14ac:dyDescent="0.25">
      <c r="B7" s="89">
        <v>3</v>
      </c>
      <c r="C7" s="39">
        <f t="shared" si="1"/>
        <v>157992929.59999999</v>
      </c>
      <c r="D7" s="39">
        <f t="shared" si="0"/>
        <v>99081</v>
      </c>
    </row>
    <row r="8" spans="2:4" x14ac:dyDescent="0.25">
      <c r="B8" s="89">
        <v>4</v>
      </c>
      <c r="C8" s="39">
        <f t="shared" si="1"/>
        <v>157992929.59999999</v>
      </c>
      <c r="D8" s="39">
        <f t="shared" si="0"/>
        <v>132108</v>
      </c>
    </row>
    <row r="9" spans="2:4" x14ac:dyDescent="0.25">
      <c r="B9" s="89">
        <v>5</v>
      </c>
      <c r="C9" s="39">
        <f t="shared" si="1"/>
        <v>157992929.59999999</v>
      </c>
      <c r="D9" s="39">
        <f t="shared" si="0"/>
        <v>165135</v>
      </c>
    </row>
    <row r="10" spans="2:4" x14ac:dyDescent="0.25">
      <c r="B10" s="89">
        <v>6</v>
      </c>
      <c r="C10" s="39">
        <f t="shared" si="1"/>
        <v>157992929.59999999</v>
      </c>
      <c r="D10" s="39">
        <f t="shared" si="0"/>
        <v>198162</v>
      </c>
    </row>
    <row r="11" spans="2:4" x14ac:dyDescent="0.25">
      <c r="B11" s="89">
        <v>7</v>
      </c>
      <c r="C11" s="39">
        <f t="shared" si="1"/>
        <v>157992929.59999999</v>
      </c>
      <c r="D11" s="39">
        <f t="shared" si="0"/>
        <v>231189</v>
      </c>
    </row>
    <row r="12" spans="2:4" x14ac:dyDescent="0.25">
      <c r="B12" s="89">
        <v>8</v>
      </c>
      <c r="C12" s="39">
        <f t="shared" si="1"/>
        <v>157992929.59999999</v>
      </c>
      <c r="D12" s="39">
        <f t="shared" si="0"/>
        <v>264216</v>
      </c>
    </row>
    <row r="13" spans="2:4" x14ac:dyDescent="0.25">
      <c r="B13" s="89">
        <v>9</v>
      </c>
      <c r="C13" s="39">
        <f t="shared" si="1"/>
        <v>157992929.59999999</v>
      </c>
      <c r="D13" s="39">
        <f t="shared" si="0"/>
        <v>297243</v>
      </c>
    </row>
    <row r="14" spans="2:4" x14ac:dyDescent="0.25">
      <c r="B14" s="89">
        <v>10</v>
      </c>
      <c r="C14" s="39">
        <f t="shared" si="1"/>
        <v>157992929.59999999</v>
      </c>
      <c r="D14" s="39">
        <f t="shared" si="0"/>
        <v>330270</v>
      </c>
    </row>
    <row r="15" spans="2:4" x14ac:dyDescent="0.25">
      <c r="B15" s="89">
        <v>11</v>
      </c>
      <c r="C15" s="39">
        <f t="shared" si="1"/>
        <v>157992929.59999999</v>
      </c>
      <c r="D15" s="39">
        <f t="shared" si="0"/>
        <v>363297</v>
      </c>
    </row>
    <row r="16" spans="2:4" x14ac:dyDescent="0.25">
      <c r="B16" s="89">
        <v>12</v>
      </c>
      <c r="C16" s="39">
        <f t="shared" si="1"/>
        <v>157992929.59999999</v>
      </c>
      <c r="D16" s="39">
        <f t="shared" si="0"/>
        <v>396324</v>
      </c>
    </row>
    <row r="17" spans="2:4" x14ac:dyDescent="0.25">
      <c r="B17" s="89">
        <v>13</v>
      </c>
      <c r="C17" s="39">
        <f t="shared" si="1"/>
        <v>157992929.59999999</v>
      </c>
      <c r="D17" s="39">
        <f t="shared" si="0"/>
        <v>429351</v>
      </c>
    </row>
    <row r="18" spans="2:4" x14ac:dyDescent="0.25">
      <c r="B18" s="89">
        <v>14</v>
      </c>
      <c r="C18" s="39">
        <f t="shared" si="1"/>
        <v>157992929.59999999</v>
      </c>
      <c r="D18" s="39">
        <f t="shared" si="0"/>
        <v>462378</v>
      </c>
    </row>
    <row r="19" spans="2:4" x14ac:dyDescent="0.25">
      <c r="B19" s="89">
        <v>15</v>
      </c>
      <c r="C19" s="39">
        <f t="shared" si="1"/>
        <v>157992929.59999999</v>
      </c>
      <c r="D19" s="39">
        <f t="shared" si="0"/>
        <v>495405</v>
      </c>
    </row>
    <row r="20" spans="2:4" x14ac:dyDescent="0.25">
      <c r="B20" s="89">
        <v>16</v>
      </c>
      <c r="C20" s="39">
        <f t="shared" si="1"/>
        <v>157992929.59999999</v>
      </c>
      <c r="D20" s="39">
        <f t="shared" si="0"/>
        <v>528432</v>
      </c>
    </row>
    <row r="21" spans="2:4" x14ac:dyDescent="0.25">
      <c r="B21" s="89">
        <v>17</v>
      </c>
      <c r="C21" s="39">
        <f t="shared" si="1"/>
        <v>157992929.59999999</v>
      </c>
      <c r="D21" s="39">
        <f t="shared" si="0"/>
        <v>561459</v>
      </c>
    </row>
    <row r="22" spans="2:4" x14ac:dyDescent="0.25">
      <c r="B22" s="89">
        <v>18</v>
      </c>
      <c r="C22" s="39">
        <f t="shared" si="1"/>
        <v>157992929.59999999</v>
      </c>
      <c r="D22" s="39">
        <f t="shared" si="0"/>
        <v>594486</v>
      </c>
    </row>
    <row r="23" spans="2:4" x14ac:dyDescent="0.25">
      <c r="B23" s="89">
        <v>19</v>
      </c>
      <c r="C23" s="39">
        <f t="shared" si="1"/>
        <v>157992929.59999999</v>
      </c>
      <c r="D23" s="39">
        <f t="shared" si="0"/>
        <v>627513</v>
      </c>
    </row>
    <row r="24" spans="2:4" x14ac:dyDescent="0.25">
      <c r="B24" s="89">
        <v>20</v>
      </c>
      <c r="C24" s="39">
        <f t="shared" si="1"/>
        <v>157992929.59999999</v>
      </c>
      <c r="D24" s="39">
        <f t="shared" si="0"/>
        <v>660540</v>
      </c>
    </row>
    <row r="25" spans="2:4" x14ac:dyDescent="0.25">
      <c r="B25" s="89">
        <v>21</v>
      </c>
      <c r="C25" s="39">
        <f t="shared" si="1"/>
        <v>157992929.59999999</v>
      </c>
      <c r="D25" s="39">
        <f t="shared" si="0"/>
        <v>693567</v>
      </c>
    </row>
    <row r="26" spans="2:4" x14ac:dyDescent="0.25">
      <c r="B26" s="89">
        <v>22</v>
      </c>
      <c r="C26" s="39">
        <f t="shared" si="1"/>
        <v>157992929.59999999</v>
      </c>
      <c r="D26" s="39">
        <f t="shared" si="0"/>
        <v>726594</v>
      </c>
    </row>
    <row r="27" spans="2:4" x14ac:dyDescent="0.25">
      <c r="B27" s="89">
        <v>23</v>
      </c>
      <c r="C27" s="39">
        <f t="shared" si="1"/>
        <v>157992929.59999999</v>
      </c>
      <c r="D27" s="39">
        <f t="shared" si="0"/>
        <v>759621</v>
      </c>
    </row>
    <row r="28" spans="2:4" x14ac:dyDescent="0.25">
      <c r="B28" s="89">
        <v>24</v>
      </c>
      <c r="C28" s="39">
        <f t="shared" si="1"/>
        <v>157992929.59999999</v>
      </c>
      <c r="D28" s="39">
        <f t="shared" si="0"/>
        <v>792648</v>
      </c>
    </row>
    <row r="29" spans="2:4" x14ac:dyDescent="0.25">
      <c r="B29" s="89">
        <v>25</v>
      </c>
      <c r="C29" s="39">
        <f t="shared" si="1"/>
        <v>157992929.59999999</v>
      </c>
      <c r="D29" s="39">
        <f t="shared" si="0"/>
        <v>825675</v>
      </c>
    </row>
    <row r="30" spans="2:4" x14ac:dyDescent="0.25">
      <c r="B30" s="89">
        <v>26</v>
      </c>
      <c r="C30" s="39">
        <f t="shared" si="1"/>
        <v>157992929.59999999</v>
      </c>
      <c r="D30" s="39">
        <f t="shared" si="0"/>
        <v>858702</v>
      </c>
    </row>
    <row r="31" spans="2:4" x14ac:dyDescent="0.25">
      <c r="B31" s="89">
        <v>27</v>
      </c>
      <c r="C31" s="39">
        <f t="shared" si="1"/>
        <v>157992929.59999999</v>
      </c>
      <c r="D31" s="39">
        <f t="shared" si="0"/>
        <v>891729</v>
      </c>
    </row>
    <row r="32" spans="2:4" x14ac:dyDescent="0.25">
      <c r="B32" s="89">
        <v>28</v>
      </c>
      <c r="C32" s="39">
        <f t="shared" si="1"/>
        <v>157992929.59999999</v>
      </c>
      <c r="D32" s="39">
        <f t="shared" si="0"/>
        <v>924756</v>
      </c>
    </row>
    <row r="33" spans="2:4" x14ac:dyDescent="0.25">
      <c r="B33" s="89">
        <v>29</v>
      </c>
      <c r="C33" s="39">
        <f t="shared" si="1"/>
        <v>157992929.59999999</v>
      </c>
      <c r="D33" s="39">
        <f t="shared" si="0"/>
        <v>957783</v>
      </c>
    </row>
    <row r="34" spans="2:4" x14ac:dyDescent="0.25">
      <c r="B34" s="89">
        <v>30</v>
      </c>
      <c r="C34" s="39">
        <f t="shared" si="1"/>
        <v>157992929.59999999</v>
      </c>
      <c r="D34" s="39">
        <f t="shared" si="0"/>
        <v>990810</v>
      </c>
    </row>
    <row r="35" spans="2:4" x14ac:dyDescent="0.25">
      <c r="B35" s="89">
        <v>31</v>
      </c>
      <c r="C35" s="39">
        <f t="shared" si="1"/>
        <v>157992929.59999999</v>
      </c>
      <c r="D35" s="39">
        <f t="shared" si="0"/>
        <v>1023837</v>
      </c>
    </row>
    <row r="36" spans="2:4" x14ac:dyDescent="0.25">
      <c r="B36" s="89">
        <v>32</v>
      </c>
      <c r="C36" s="39">
        <f t="shared" si="1"/>
        <v>157992929.59999999</v>
      </c>
      <c r="D36" s="39">
        <f t="shared" si="0"/>
        <v>1056864</v>
      </c>
    </row>
    <row r="37" spans="2:4" x14ac:dyDescent="0.25">
      <c r="B37" s="89">
        <v>33</v>
      </c>
      <c r="C37" s="39">
        <f t="shared" si="1"/>
        <v>157992929.59999999</v>
      </c>
      <c r="D37" s="39">
        <f t="shared" si="0"/>
        <v>1089891</v>
      </c>
    </row>
    <row r="38" spans="2:4" x14ac:dyDescent="0.25">
      <c r="B38" s="89">
        <v>34</v>
      </c>
      <c r="C38" s="39">
        <f t="shared" si="1"/>
        <v>157992929.59999999</v>
      </c>
      <c r="D38" s="39">
        <f t="shared" si="0"/>
        <v>1122918</v>
      </c>
    </row>
    <row r="39" spans="2:4" x14ac:dyDescent="0.25">
      <c r="B39" s="89">
        <v>35</v>
      </c>
      <c r="C39" s="39">
        <f t="shared" si="1"/>
        <v>157992929.59999999</v>
      </c>
      <c r="D39" s="39">
        <f t="shared" si="0"/>
        <v>1155945</v>
      </c>
    </row>
    <row r="40" spans="2:4" x14ac:dyDescent="0.25">
      <c r="B40" s="89">
        <v>36</v>
      </c>
      <c r="C40" s="39">
        <f t="shared" si="1"/>
        <v>157992929.59999999</v>
      </c>
      <c r="D40" s="39">
        <f t="shared" si="0"/>
        <v>1188972</v>
      </c>
    </row>
    <row r="41" spans="2:4" x14ac:dyDescent="0.25">
      <c r="B41" s="89">
        <v>37</v>
      </c>
      <c r="C41" s="39">
        <f t="shared" si="1"/>
        <v>157992929.59999999</v>
      </c>
      <c r="D41" s="39">
        <f t="shared" si="0"/>
        <v>1221999</v>
      </c>
    </row>
    <row r="42" spans="2:4" x14ac:dyDescent="0.25">
      <c r="B42" s="89">
        <v>38</v>
      </c>
      <c r="C42" s="39">
        <f t="shared" si="1"/>
        <v>157992929.59999999</v>
      </c>
      <c r="D42" s="39">
        <f t="shared" si="0"/>
        <v>1255026</v>
      </c>
    </row>
    <row r="43" spans="2:4" x14ac:dyDescent="0.25">
      <c r="B43" s="89">
        <v>39</v>
      </c>
      <c r="C43" s="39">
        <f t="shared" si="1"/>
        <v>157992929.59999999</v>
      </c>
      <c r="D43" s="39">
        <f t="shared" si="0"/>
        <v>1288053</v>
      </c>
    </row>
    <row r="44" spans="2:4" x14ac:dyDescent="0.25">
      <c r="B44" s="89">
        <v>40</v>
      </c>
      <c r="C44" s="39">
        <f t="shared" si="1"/>
        <v>157992929.59999999</v>
      </c>
      <c r="D44" s="39">
        <f t="shared" si="0"/>
        <v>1321080</v>
      </c>
    </row>
    <row r="45" spans="2:4" x14ac:dyDescent="0.25">
      <c r="B45" s="89">
        <v>41</v>
      </c>
      <c r="C45" s="39">
        <f t="shared" si="1"/>
        <v>157992929.59999999</v>
      </c>
      <c r="D45" s="39">
        <f t="shared" si="0"/>
        <v>1354107</v>
      </c>
    </row>
    <row r="46" spans="2:4" x14ac:dyDescent="0.25">
      <c r="B46" s="89">
        <v>42</v>
      </c>
      <c r="C46" s="39">
        <f t="shared" si="1"/>
        <v>157992929.59999999</v>
      </c>
      <c r="D46" s="39">
        <f t="shared" si="0"/>
        <v>1387134</v>
      </c>
    </row>
    <row r="47" spans="2:4" x14ac:dyDescent="0.25">
      <c r="B47" s="89">
        <v>43</v>
      </c>
      <c r="C47" s="39">
        <f t="shared" si="1"/>
        <v>157992929.59999999</v>
      </c>
      <c r="D47" s="39">
        <f t="shared" si="0"/>
        <v>1420161</v>
      </c>
    </row>
    <row r="48" spans="2:4" x14ac:dyDescent="0.25">
      <c r="B48" s="89">
        <v>44</v>
      </c>
      <c r="C48" s="39">
        <f t="shared" si="1"/>
        <v>157992929.59999999</v>
      </c>
      <c r="D48" s="39">
        <f t="shared" si="0"/>
        <v>1453188</v>
      </c>
    </row>
    <row r="49" spans="2:4" x14ac:dyDescent="0.25">
      <c r="B49" s="89">
        <v>45</v>
      </c>
      <c r="C49" s="39">
        <f t="shared" si="1"/>
        <v>157992929.59999999</v>
      </c>
      <c r="D49" s="39">
        <f t="shared" si="0"/>
        <v>1486215</v>
      </c>
    </row>
    <row r="50" spans="2:4" x14ac:dyDescent="0.25">
      <c r="B50" s="89">
        <v>46</v>
      </c>
      <c r="C50" s="39">
        <f t="shared" si="1"/>
        <v>157992929.59999999</v>
      </c>
      <c r="D50" s="39">
        <f t="shared" si="0"/>
        <v>1519242</v>
      </c>
    </row>
    <row r="51" spans="2:4" x14ac:dyDescent="0.25">
      <c r="B51" s="89">
        <v>47</v>
      </c>
      <c r="C51" s="39">
        <f t="shared" si="1"/>
        <v>157992929.59999999</v>
      </c>
      <c r="D51" s="39">
        <f t="shared" si="0"/>
        <v>1552269</v>
      </c>
    </row>
    <row r="52" spans="2:4" x14ac:dyDescent="0.25">
      <c r="B52" s="89">
        <v>48</v>
      </c>
      <c r="C52" s="39">
        <f t="shared" si="1"/>
        <v>157992929.59999999</v>
      </c>
      <c r="D52" s="39">
        <f t="shared" si="0"/>
        <v>1585296</v>
      </c>
    </row>
    <row r="53" spans="2:4" x14ac:dyDescent="0.25">
      <c r="B53" s="89">
        <v>49</v>
      </c>
      <c r="C53" s="39">
        <f t="shared" si="1"/>
        <v>157992929.59999999</v>
      </c>
      <c r="D53" s="39">
        <f t="shared" si="0"/>
        <v>1618323</v>
      </c>
    </row>
    <row r="54" spans="2:4" x14ac:dyDescent="0.25">
      <c r="B54" s="89">
        <v>50</v>
      </c>
      <c r="C54" s="39">
        <f t="shared" si="1"/>
        <v>157992929.59999999</v>
      </c>
      <c r="D54" s="39">
        <f t="shared" si="0"/>
        <v>1651350</v>
      </c>
    </row>
    <row r="55" spans="2:4" x14ac:dyDescent="0.25">
      <c r="B55" s="89">
        <v>51</v>
      </c>
      <c r="C55" s="39">
        <f t="shared" si="1"/>
        <v>157992929.59999999</v>
      </c>
      <c r="D55" s="39">
        <f t="shared" si="0"/>
        <v>1684377</v>
      </c>
    </row>
    <row r="56" spans="2:4" x14ac:dyDescent="0.25">
      <c r="B56" s="89">
        <v>52</v>
      </c>
      <c r="C56" s="39">
        <f t="shared" si="1"/>
        <v>157992929.59999999</v>
      </c>
      <c r="D56" s="39">
        <f t="shared" si="0"/>
        <v>1717404</v>
      </c>
    </row>
    <row r="57" spans="2:4" x14ac:dyDescent="0.25">
      <c r="B57" s="89">
        <v>53</v>
      </c>
      <c r="C57" s="39">
        <f t="shared" si="1"/>
        <v>157992929.59999999</v>
      </c>
      <c r="D57" s="39">
        <f t="shared" si="0"/>
        <v>1750431</v>
      </c>
    </row>
    <row r="58" spans="2:4" x14ac:dyDescent="0.25">
      <c r="B58" s="89">
        <v>54</v>
      </c>
      <c r="C58" s="39">
        <f t="shared" si="1"/>
        <v>157992929.59999999</v>
      </c>
      <c r="D58" s="39">
        <f t="shared" si="0"/>
        <v>1783458</v>
      </c>
    </row>
    <row r="59" spans="2:4" x14ac:dyDescent="0.25">
      <c r="B59" s="89">
        <v>55</v>
      </c>
      <c r="C59" s="39">
        <f t="shared" si="1"/>
        <v>157992929.59999999</v>
      </c>
      <c r="D59" s="39">
        <f t="shared" si="0"/>
        <v>1816485</v>
      </c>
    </row>
    <row r="60" spans="2:4" x14ac:dyDescent="0.25">
      <c r="B60" s="89">
        <v>56</v>
      </c>
      <c r="C60" s="39">
        <f t="shared" si="1"/>
        <v>157992929.59999999</v>
      </c>
      <c r="D60" s="39">
        <f t="shared" si="0"/>
        <v>1849512</v>
      </c>
    </row>
    <row r="61" spans="2:4" x14ac:dyDescent="0.25">
      <c r="B61" s="89">
        <v>57</v>
      </c>
      <c r="C61" s="39">
        <f t="shared" si="1"/>
        <v>157992929.59999999</v>
      </c>
      <c r="D61" s="39">
        <f t="shared" si="0"/>
        <v>1882539</v>
      </c>
    </row>
    <row r="62" spans="2:4" x14ac:dyDescent="0.25">
      <c r="B62" s="89">
        <v>58</v>
      </c>
      <c r="C62" s="39">
        <f t="shared" si="1"/>
        <v>157992929.59999999</v>
      </c>
      <c r="D62" s="39">
        <f t="shared" si="0"/>
        <v>1915566</v>
      </c>
    </row>
    <row r="63" spans="2:4" x14ac:dyDescent="0.25">
      <c r="B63" s="89">
        <v>59</v>
      </c>
      <c r="C63" s="39">
        <f t="shared" si="1"/>
        <v>157992929.59999999</v>
      </c>
      <c r="D63" s="39">
        <f t="shared" si="0"/>
        <v>1948593</v>
      </c>
    </row>
    <row r="64" spans="2:4" x14ac:dyDescent="0.25">
      <c r="B64" s="89">
        <v>60</v>
      </c>
      <c r="C64" s="39">
        <f t="shared" si="1"/>
        <v>157992929.59999999</v>
      </c>
      <c r="D64" s="39">
        <f t="shared" si="0"/>
        <v>1981620</v>
      </c>
    </row>
    <row r="65" spans="2:4" x14ac:dyDescent="0.25">
      <c r="B65" s="89">
        <v>61</v>
      </c>
      <c r="C65" s="39">
        <f t="shared" si="1"/>
        <v>157992929.59999999</v>
      </c>
      <c r="D65" s="39">
        <f t="shared" si="0"/>
        <v>2014647</v>
      </c>
    </row>
    <row r="66" spans="2:4" x14ac:dyDescent="0.25">
      <c r="B66" s="89">
        <v>62</v>
      </c>
      <c r="C66" s="39">
        <f t="shared" si="1"/>
        <v>157992929.59999999</v>
      </c>
      <c r="D66" s="39">
        <f t="shared" si="0"/>
        <v>2047674</v>
      </c>
    </row>
    <row r="67" spans="2:4" x14ac:dyDescent="0.25">
      <c r="B67" s="89">
        <v>63</v>
      </c>
      <c r="C67" s="39">
        <f t="shared" si="1"/>
        <v>157992929.59999999</v>
      </c>
      <c r="D67" s="39">
        <f t="shared" si="0"/>
        <v>2080701</v>
      </c>
    </row>
    <row r="68" spans="2:4" x14ac:dyDescent="0.25">
      <c r="B68" s="89">
        <v>64</v>
      </c>
      <c r="C68" s="39">
        <f t="shared" si="1"/>
        <v>157992929.59999999</v>
      </c>
      <c r="D68" s="39">
        <f t="shared" si="0"/>
        <v>2113728</v>
      </c>
    </row>
    <row r="69" spans="2:4" x14ac:dyDescent="0.25">
      <c r="B69" s="89">
        <v>65</v>
      </c>
      <c r="C69" s="39">
        <f t="shared" si="1"/>
        <v>157992929.59999999</v>
      </c>
      <c r="D69" s="39">
        <f t="shared" ref="D69:D132" si="2">$D$2*B69</f>
        <v>2146755</v>
      </c>
    </row>
    <row r="70" spans="2:4" x14ac:dyDescent="0.25">
      <c r="B70" s="89">
        <v>66</v>
      </c>
      <c r="C70" s="39">
        <f t="shared" ref="C70:C133" si="3">$C69</f>
        <v>157992929.59999999</v>
      </c>
      <c r="D70" s="39">
        <f t="shared" si="2"/>
        <v>2179782</v>
      </c>
    </row>
    <row r="71" spans="2:4" x14ac:dyDescent="0.25">
      <c r="B71" s="89">
        <v>67</v>
      </c>
      <c r="C71" s="39">
        <f t="shared" si="3"/>
        <v>157992929.59999999</v>
      </c>
      <c r="D71" s="39">
        <f t="shared" si="2"/>
        <v>2212809</v>
      </c>
    </row>
    <row r="72" spans="2:4" x14ac:dyDescent="0.25">
      <c r="B72" s="89">
        <v>68</v>
      </c>
      <c r="C72" s="39">
        <f t="shared" si="3"/>
        <v>157992929.59999999</v>
      </c>
      <c r="D72" s="39">
        <f t="shared" si="2"/>
        <v>2245836</v>
      </c>
    </row>
    <row r="73" spans="2:4" x14ac:dyDescent="0.25">
      <c r="B73" s="89">
        <v>69</v>
      </c>
      <c r="C73" s="39">
        <f t="shared" si="3"/>
        <v>157992929.59999999</v>
      </c>
      <c r="D73" s="39">
        <f t="shared" si="2"/>
        <v>2278863</v>
      </c>
    </row>
    <row r="74" spans="2:4" x14ac:dyDescent="0.25">
      <c r="B74" s="89">
        <v>70</v>
      </c>
      <c r="C74" s="39">
        <f t="shared" si="3"/>
        <v>157992929.59999999</v>
      </c>
      <c r="D74" s="39">
        <f t="shared" si="2"/>
        <v>2311890</v>
      </c>
    </row>
    <row r="75" spans="2:4" x14ac:dyDescent="0.25">
      <c r="B75" s="89">
        <v>71</v>
      </c>
      <c r="C75" s="39">
        <f t="shared" si="3"/>
        <v>157992929.59999999</v>
      </c>
      <c r="D75" s="39">
        <f t="shared" si="2"/>
        <v>2344917</v>
      </c>
    </row>
    <row r="76" spans="2:4" x14ac:dyDescent="0.25">
      <c r="B76" s="89">
        <v>72</v>
      </c>
      <c r="C76" s="39">
        <f t="shared" si="3"/>
        <v>157992929.59999999</v>
      </c>
      <c r="D76" s="39">
        <f t="shared" si="2"/>
        <v>2377944</v>
      </c>
    </row>
    <row r="77" spans="2:4" x14ac:dyDescent="0.25">
      <c r="B77" s="89">
        <v>73</v>
      </c>
      <c r="C77" s="39">
        <f t="shared" si="3"/>
        <v>157992929.59999999</v>
      </c>
      <c r="D77" s="39">
        <f t="shared" si="2"/>
        <v>2410971</v>
      </c>
    </row>
    <row r="78" spans="2:4" x14ac:dyDescent="0.25">
      <c r="B78" s="89">
        <v>74</v>
      </c>
      <c r="C78" s="39">
        <f t="shared" si="3"/>
        <v>157992929.59999999</v>
      </c>
      <c r="D78" s="39">
        <f t="shared" si="2"/>
        <v>2443998</v>
      </c>
    </row>
    <row r="79" spans="2:4" x14ac:dyDescent="0.25">
      <c r="B79" s="89">
        <v>75</v>
      </c>
      <c r="C79" s="39">
        <f t="shared" si="3"/>
        <v>157992929.59999999</v>
      </c>
      <c r="D79" s="39">
        <f t="shared" si="2"/>
        <v>2477025</v>
      </c>
    </row>
    <row r="80" spans="2:4" x14ac:dyDescent="0.25">
      <c r="B80" s="89">
        <v>76</v>
      </c>
      <c r="C80" s="39">
        <f t="shared" si="3"/>
        <v>157992929.59999999</v>
      </c>
      <c r="D80" s="39">
        <f t="shared" si="2"/>
        <v>2510052</v>
      </c>
    </row>
    <row r="81" spans="2:4" x14ac:dyDescent="0.25">
      <c r="B81" s="89">
        <v>77</v>
      </c>
      <c r="C81" s="39">
        <f t="shared" si="3"/>
        <v>157992929.59999999</v>
      </c>
      <c r="D81" s="39">
        <f t="shared" si="2"/>
        <v>2543079</v>
      </c>
    </row>
    <row r="82" spans="2:4" x14ac:dyDescent="0.25">
      <c r="B82" s="89">
        <v>78</v>
      </c>
      <c r="C82" s="39">
        <f t="shared" si="3"/>
        <v>157992929.59999999</v>
      </c>
      <c r="D82" s="39">
        <f t="shared" si="2"/>
        <v>2576106</v>
      </c>
    </row>
    <row r="83" spans="2:4" x14ac:dyDescent="0.25">
      <c r="B83" s="89">
        <v>79</v>
      </c>
      <c r="C83" s="39">
        <f t="shared" si="3"/>
        <v>157992929.59999999</v>
      </c>
      <c r="D83" s="39">
        <f t="shared" si="2"/>
        <v>2609133</v>
      </c>
    </row>
    <row r="84" spans="2:4" x14ac:dyDescent="0.25">
      <c r="B84" s="89">
        <v>80</v>
      </c>
      <c r="C84" s="39">
        <f t="shared" si="3"/>
        <v>157992929.59999999</v>
      </c>
      <c r="D84" s="39">
        <f t="shared" si="2"/>
        <v>2642160</v>
      </c>
    </row>
    <row r="85" spans="2:4" x14ac:dyDescent="0.25">
      <c r="B85" s="89">
        <v>81</v>
      </c>
      <c r="C85" s="39">
        <f t="shared" si="3"/>
        <v>157992929.59999999</v>
      </c>
      <c r="D85" s="39">
        <f t="shared" si="2"/>
        <v>2675187</v>
      </c>
    </row>
    <row r="86" spans="2:4" x14ac:dyDescent="0.25">
      <c r="B86" s="89">
        <v>82</v>
      </c>
      <c r="C86" s="39">
        <f t="shared" si="3"/>
        <v>157992929.59999999</v>
      </c>
      <c r="D86" s="39">
        <f t="shared" si="2"/>
        <v>2708214</v>
      </c>
    </row>
    <row r="87" spans="2:4" x14ac:dyDescent="0.25">
      <c r="B87" s="89">
        <v>83</v>
      </c>
      <c r="C87" s="39">
        <f t="shared" si="3"/>
        <v>157992929.59999999</v>
      </c>
      <c r="D87" s="39">
        <f t="shared" si="2"/>
        <v>2741241</v>
      </c>
    </row>
    <row r="88" spans="2:4" x14ac:dyDescent="0.25">
      <c r="B88" s="89">
        <v>84</v>
      </c>
      <c r="C88" s="39">
        <f t="shared" si="3"/>
        <v>157992929.59999999</v>
      </c>
      <c r="D88" s="39">
        <f t="shared" si="2"/>
        <v>2774268</v>
      </c>
    </row>
    <row r="89" spans="2:4" x14ac:dyDescent="0.25">
      <c r="B89" s="89">
        <v>85</v>
      </c>
      <c r="C89" s="39">
        <f t="shared" si="3"/>
        <v>157992929.59999999</v>
      </c>
      <c r="D89" s="39">
        <f t="shared" si="2"/>
        <v>2807295</v>
      </c>
    </row>
    <row r="90" spans="2:4" x14ac:dyDescent="0.25">
      <c r="B90" s="89">
        <v>86</v>
      </c>
      <c r="C90" s="39">
        <f t="shared" si="3"/>
        <v>157992929.59999999</v>
      </c>
      <c r="D90" s="39">
        <f t="shared" si="2"/>
        <v>2840322</v>
      </c>
    </row>
    <row r="91" spans="2:4" x14ac:dyDescent="0.25">
      <c r="B91" s="89">
        <v>87</v>
      </c>
      <c r="C91" s="39">
        <f t="shared" si="3"/>
        <v>157992929.59999999</v>
      </c>
      <c r="D91" s="39">
        <f t="shared" si="2"/>
        <v>2873349</v>
      </c>
    </row>
    <row r="92" spans="2:4" x14ac:dyDescent="0.25">
      <c r="B92" s="89">
        <v>88</v>
      </c>
      <c r="C92" s="39">
        <f t="shared" si="3"/>
        <v>157992929.59999999</v>
      </c>
      <c r="D92" s="39">
        <f t="shared" si="2"/>
        <v>2906376</v>
      </c>
    </row>
    <row r="93" spans="2:4" x14ac:dyDescent="0.25">
      <c r="B93" s="89">
        <v>89</v>
      </c>
      <c r="C93" s="39">
        <f t="shared" si="3"/>
        <v>157992929.59999999</v>
      </c>
      <c r="D93" s="39">
        <f t="shared" si="2"/>
        <v>2939403</v>
      </c>
    </row>
    <row r="94" spans="2:4" x14ac:dyDescent="0.25">
      <c r="B94" s="89">
        <v>90</v>
      </c>
      <c r="C94" s="39">
        <f t="shared" si="3"/>
        <v>157992929.59999999</v>
      </c>
      <c r="D94" s="39">
        <f t="shared" si="2"/>
        <v>2972430</v>
      </c>
    </row>
    <row r="95" spans="2:4" x14ac:dyDescent="0.25">
      <c r="B95" s="89">
        <v>91</v>
      </c>
      <c r="C95" s="39">
        <f t="shared" si="3"/>
        <v>157992929.59999999</v>
      </c>
      <c r="D95" s="39">
        <f t="shared" si="2"/>
        <v>3005457</v>
      </c>
    </row>
    <row r="96" spans="2:4" x14ac:dyDescent="0.25">
      <c r="B96" s="89">
        <v>92</v>
      </c>
      <c r="C96" s="39">
        <f t="shared" si="3"/>
        <v>157992929.59999999</v>
      </c>
      <c r="D96" s="39">
        <f t="shared" si="2"/>
        <v>3038484</v>
      </c>
    </row>
    <row r="97" spans="2:4" x14ac:dyDescent="0.25">
      <c r="B97" s="89">
        <v>93</v>
      </c>
      <c r="C97" s="39">
        <f t="shared" si="3"/>
        <v>157992929.59999999</v>
      </c>
      <c r="D97" s="39">
        <f t="shared" si="2"/>
        <v>3071511</v>
      </c>
    </row>
    <row r="98" spans="2:4" x14ac:dyDescent="0.25">
      <c r="B98" s="89">
        <v>94</v>
      </c>
      <c r="C98" s="39">
        <f t="shared" si="3"/>
        <v>157992929.59999999</v>
      </c>
      <c r="D98" s="39">
        <f t="shared" si="2"/>
        <v>3104538</v>
      </c>
    </row>
    <row r="99" spans="2:4" x14ac:dyDescent="0.25">
      <c r="B99" s="89">
        <v>95</v>
      </c>
      <c r="C99" s="39">
        <f t="shared" si="3"/>
        <v>157992929.59999999</v>
      </c>
      <c r="D99" s="39">
        <f t="shared" si="2"/>
        <v>3137565</v>
      </c>
    </row>
    <row r="100" spans="2:4" x14ac:dyDescent="0.25">
      <c r="B100" s="89">
        <v>96</v>
      </c>
      <c r="C100" s="39">
        <f t="shared" si="3"/>
        <v>157992929.59999999</v>
      </c>
      <c r="D100" s="39">
        <f t="shared" si="2"/>
        <v>3170592</v>
      </c>
    </row>
    <row r="101" spans="2:4" x14ac:dyDescent="0.25">
      <c r="B101" s="89">
        <v>97</v>
      </c>
      <c r="C101" s="39">
        <f t="shared" si="3"/>
        <v>157992929.59999999</v>
      </c>
      <c r="D101" s="39">
        <f t="shared" si="2"/>
        <v>3203619</v>
      </c>
    </row>
    <row r="102" spans="2:4" x14ac:dyDescent="0.25">
      <c r="B102" s="89">
        <v>98</v>
      </c>
      <c r="C102" s="39">
        <f t="shared" si="3"/>
        <v>157992929.59999999</v>
      </c>
      <c r="D102" s="39">
        <f t="shared" si="2"/>
        <v>3236646</v>
      </c>
    </row>
    <row r="103" spans="2:4" x14ac:dyDescent="0.25">
      <c r="B103" s="89">
        <v>99</v>
      </c>
      <c r="C103" s="39">
        <f t="shared" si="3"/>
        <v>157992929.59999999</v>
      </c>
      <c r="D103" s="39">
        <f t="shared" si="2"/>
        <v>3269673</v>
      </c>
    </row>
    <row r="104" spans="2:4" x14ac:dyDescent="0.25">
      <c r="B104" s="89">
        <v>100</v>
      </c>
      <c r="C104" s="39">
        <f t="shared" si="3"/>
        <v>157992929.59999999</v>
      </c>
      <c r="D104" s="39">
        <f t="shared" si="2"/>
        <v>3302700</v>
      </c>
    </row>
    <row r="105" spans="2:4" x14ac:dyDescent="0.25">
      <c r="B105" s="89">
        <v>101</v>
      </c>
      <c r="C105" s="39">
        <f t="shared" si="3"/>
        <v>157992929.59999999</v>
      </c>
      <c r="D105" s="39">
        <f t="shared" si="2"/>
        <v>3335727</v>
      </c>
    </row>
    <row r="106" spans="2:4" x14ac:dyDescent="0.25">
      <c r="B106" s="89">
        <v>102</v>
      </c>
      <c r="C106" s="39">
        <f t="shared" si="3"/>
        <v>157992929.59999999</v>
      </c>
      <c r="D106" s="39">
        <f t="shared" si="2"/>
        <v>3368754</v>
      </c>
    </row>
    <row r="107" spans="2:4" x14ac:dyDescent="0.25">
      <c r="B107" s="89">
        <v>103</v>
      </c>
      <c r="C107" s="39">
        <f t="shared" si="3"/>
        <v>157992929.59999999</v>
      </c>
      <c r="D107" s="39">
        <f t="shared" si="2"/>
        <v>3401781</v>
      </c>
    </row>
    <row r="108" spans="2:4" x14ac:dyDescent="0.25">
      <c r="B108" s="89">
        <v>104</v>
      </c>
      <c r="C108" s="39">
        <f t="shared" si="3"/>
        <v>157992929.59999999</v>
      </c>
      <c r="D108" s="39">
        <f t="shared" si="2"/>
        <v>3434808</v>
      </c>
    </row>
    <row r="109" spans="2:4" x14ac:dyDescent="0.25">
      <c r="B109" s="89">
        <v>105</v>
      </c>
      <c r="C109" s="39">
        <f t="shared" si="3"/>
        <v>157992929.59999999</v>
      </c>
      <c r="D109" s="39">
        <f t="shared" si="2"/>
        <v>3467835</v>
      </c>
    </row>
    <row r="110" spans="2:4" x14ac:dyDescent="0.25">
      <c r="B110" s="89">
        <v>106</v>
      </c>
      <c r="C110" s="39">
        <f t="shared" si="3"/>
        <v>157992929.59999999</v>
      </c>
      <c r="D110" s="39">
        <f t="shared" si="2"/>
        <v>3500862</v>
      </c>
    </row>
    <row r="111" spans="2:4" x14ac:dyDescent="0.25">
      <c r="B111" s="89">
        <v>107</v>
      </c>
      <c r="C111" s="39">
        <f t="shared" si="3"/>
        <v>157992929.59999999</v>
      </c>
      <c r="D111" s="39">
        <f t="shared" si="2"/>
        <v>3533889</v>
      </c>
    </row>
    <row r="112" spans="2:4" x14ac:dyDescent="0.25">
      <c r="B112" s="89">
        <v>108</v>
      </c>
      <c r="C112" s="39">
        <f t="shared" si="3"/>
        <v>157992929.59999999</v>
      </c>
      <c r="D112" s="39">
        <f t="shared" si="2"/>
        <v>3566916</v>
      </c>
    </row>
    <row r="113" spans="2:4" x14ac:dyDescent="0.25">
      <c r="B113" s="89">
        <v>109</v>
      </c>
      <c r="C113" s="39">
        <f t="shared" si="3"/>
        <v>157992929.59999999</v>
      </c>
      <c r="D113" s="39">
        <f t="shared" si="2"/>
        <v>3599943</v>
      </c>
    </row>
    <row r="114" spans="2:4" x14ac:dyDescent="0.25">
      <c r="B114" s="89">
        <v>110</v>
      </c>
      <c r="C114" s="39">
        <f t="shared" si="3"/>
        <v>157992929.59999999</v>
      </c>
      <c r="D114" s="39">
        <f t="shared" si="2"/>
        <v>3632970</v>
      </c>
    </row>
    <row r="115" spans="2:4" x14ac:dyDescent="0.25">
      <c r="B115" s="89">
        <v>111</v>
      </c>
      <c r="C115" s="39">
        <f t="shared" si="3"/>
        <v>157992929.59999999</v>
      </c>
      <c r="D115" s="39">
        <f t="shared" si="2"/>
        <v>3665997</v>
      </c>
    </row>
    <row r="116" spans="2:4" x14ac:dyDescent="0.25">
      <c r="B116" s="89">
        <v>112</v>
      </c>
      <c r="C116" s="39">
        <f t="shared" si="3"/>
        <v>157992929.59999999</v>
      </c>
      <c r="D116" s="39">
        <f t="shared" si="2"/>
        <v>3699024</v>
      </c>
    </row>
    <row r="117" spans="2:4" x14ac:dyDescent="0.25">
      <c r="B117" s="89">
        <v>113</v>
      </c>
      <c r="C117" s="39">
        <f t="shared" si="3"/>
        <v>157992929.59999999</v>
      </c>
      <c r="D117" s="39">
        <f t="shared" si="2"/>
        <v>3732051</v>
      </c>
    </row>
    <row r="118" spans="2:4" x14ac:dyDescent="0.25">
      <c r="B118" s="89">
        <v>114</v>
      </c>
      <c r="C118" s="39">
        <f t="shared" si="3"/>
        <v>157992929.59999999</v>
      </c>
      <c r="D118" s="39">
        <f t="shared" si="2"/>
        <v>3765078</v>
      </c>
    </row>
    <row r="119" spans="2:4" x14ac:dyDescent="0.25">
      <c r="B119" s="89">
        <v>115</v>
      </c>
      <c r="C119" s="39">
        <f t="shared" si="3"/>
        <v>157992929.59999999</v>
      </c>
      <c r="D119" s="39">
        <f t="shared" si="2"/>
        <v>3798105</v>
      </c>
    </row>
    <row r="120" spans="2:4" x14ac:dyDescent="0.25">
      <c r="B120" s="89">
        <v>116</v>
      </c>
      <c r="C120" s="39">
        <f t="shared" si="3"/>
        <v>157992929.59999999</v>
      </c>
      <c r="D120" s="39">
        <f t="shared" si="2"/>
        <v>3831132</v>
      </c>
    </row>
    <row r="121" spans="2:4" x14ac:dyDescent="0.25">
      <c r="B121" s="89">
        <v>117</v>
      </c>
      <c r="C121" s="39">
        <f t="shared" si="3"/>
        <v>157992929.59999999</v>
      </c>
      <c r="D121" s="39">
        <f t="shared" si="2"/>
        <v>3864159</v>
      </c>
    </row>
    <row r="122" spans="2:4" x14ac:dyDescent="0.25">
      <c r="B122" s="89">
        <v>118</v>
      </c>
      <c r="C122" s="39">
        <f t="shared" si="3"/>
        <v>157992929.59999999</v>
      </c>
      <c r="D122" s="39">
        <f t="shared" si="2"/>
        <v>3897186</v>
      </c>
    </row>
    <row r="123" spans="2:4" x14ac:dyDescent="0.25">
      <c r="B123" s="89">
        <v>119</v>
      </c>
      <c r="C123" s="39">
        <f t="shared" si="3"/>
        <v>157992929.59999999</v>
      </c>
      <c r="D123" s="39">
        <f t="shared" si="2"/>
        <v>3930213</v>
      </c>
    </row>
    <row r="124" spans="2:4" x14ac:dyDescent="0.25">
      <c r="B124" s="89">
        <v>120</v>
      </c>
      <c r="C124" s="39">
        <f t="shared" si="3"/>
        <v>157992929.59999999</v>
      </c>
      <c r="D124" s="39">
        <f t="shared" si="2"/>
        <v>3963240</v>
      </c>
    </row>
    <row r="125" spans="2:4" x14ac:dyDescent="0.25">
      <c r="B125" s="89">
        <v>121</v>
      </c>
      <c r="C125" s="39">
        <f t="shared" si="3"/>
        <v>157992929.59999999</v>
      </c>
      <c r="D125" s="39">
        <f t="shared" si="2"/>
        <v>3996267</v>
      </c>
    </row>
    <row r="126" spans="2:4" x14ac:dyDescent="0.25">
      <c r="B126" s="89">
        <v>122</v>
      </c>
      <c r="C126" s="39">
        <f t="shared" si="3"/>
        <v>157992929.59999999</v>
      </c>
      <c r="D126" s="39">
        <f t="shared" si="2"/>
        <v>4029294</v>
      </c>
    </row>
    <row r="127" spans="2:4" x14ac:dyDescent="0.25">
      <c r="B127" s="89">
        <v>123</v>
      </c>
      <c r="C127" s="39">
        <f t="shared" si="3"/>
        <v>157992929.59999999</v>
      </c>
      <c r="D127" s="39">
        <f t="shared" si="2"/>
        <v>4062321</v>
      </c>
    </row>
    <row r="128" spans="2:4" x14ac:dyDescent="0.25">
      <c r="B128" s="89">
        <v>124</v>
      </c>
      <c r="C128" s="39">
        <f t="shared" si="3"/>
        <v>157992929.59999999</v>
      </c>
      <c r="D128" s="39">
        <f t="shared" si="2"/>
        <v>4095348</v>
      </c>
    </row>
    <row r="129" spans="2:4" x14ac:dyDescent="0.25">
      <c r="B129" s="89">
        <v>125</v>
      </c>
      <c r="C129" s="39">
        <f t="shared" si="3"/>
        <v>157992929.59999999</v>
      </c>
      <c r="D129" s="39">
        <f t="shared" si="2"/>
        <v>4128375</v>
      </c>
    </row>
    <row r="130" spans="2:4" x14ac:dyDescent="0.25">
      <c r="B130" s="89">
        <v>126</v>
      </c>
      <c r="C130" s="39">
        <f t="shared" si="3"/>
        <v>157992929.59999999</v>
      </c>
      <c r="D130" s="39">
        <f t="shared" si="2"/>
        <v>4161402</v>
      </c>
    </row>
    <row r="131" spans="2:4" x14ac:dyDescent="0.25">
      <c r="B131" s="89">
        <v>127</v>
      </c>
      <c r="C131" s="39">
        <f t="shared" si="3"/>
        <v>157992929.59999999</v>
      </c>
      <c r="D131" s="39">
        <f t="shared" si="2"/>
        <v>4194429</v>
      </c>
    </row>
    <row r="132" spans="2:4" x14ac:dyDescent="0.25">
      <c r="B132" s="89">
        <v>128</v>
      </c>
      <c r="C132" s="39">
        <f t="shared" si="3"/>
        <v>157992929.59999999</v>
      </c>
      <c r="D132" s="39">
        <f t="shared" si="2"/>
        <v>4227456</v>
      </c>
    </row>
    <row r="133" spans="2:4" x14ac:dyDescent="0.25">
      <c r="B133" s="89">
        <v>129</v>
      </c>
      <c r="C133" s="39">
        <f t="shared" si="3"/>
        <v>157992929.59999999</v>
      </c>
      <c r="D133" s="39">
        <f t="shared" ref="D133:D196" si="4">$D$2*B133</f>
        <v>4260483</v>
      </c>
    </row>
    <row r="134" spans="2:4" x14ac:dyDescent="0.25">
      <c r="B134" s="89">
        <v>130</v>
      </c>
      <c r="C134" s="39">
        <f t="shared" ref="C134:C197" si="5">$C133</f>
        <v>157992929.59999999</v>
      </c>
      <c r="D134" s="39">
        <f t="shared" si="4"/>
        <v>4293510</v>
      </c>
    </row>
    <row r="135" spans="2:4" x14ac:dyDescent="0.25">
      <c r="B135" s="89">
        <v>131</v>
      </c>
      <c r="C135" s="39">
        <f t="shared" si="5"/>
        <v>157992929.59999999</v>
      </c>
      <c r="D135" s="39">
        <f t="shared" si="4"/>
        <v>4326537</v>
      </c>
    </row>
    <row r="136" spans="2:4" x14ac:dyDescent="0.25">
      <c r="B136" s="89">
        <v>132</v>
      </c>
      <c r="C136" s="39">
        <f t="shared" si="5"/>
        <v>157992929.59999999</v>
      </c>
      <c r="D136" s="39">
        <f t="shared" si="4"/>
        <v>4359564</v>
      </c>
    </row>
    <row r="137" spans="2:4" x14ac:dyDescent="0.25">
      <c r="B137" s="89">
        <v>133</v>
      </c>
      <c r="C137" s="39">
        <f t="shared" si="5"/>
        <v>157992929.59999999</v>
      </c>
      <c r="D137" s="39">
        <f t="shared" si="4"/>
        <v>4392591</v>
      </c>
    </row>
    <row r="138" spans="2:4" x14ac:dyDescent="0.25">
      <c r="B138" s="89">
        <v>134</v>
      </c>
      <c r="C138" s="39">
        <f t="shared" si="5"/>
        <v>157992929.59999999</v>
      </c>
      <c r="D138" s="39">
        <f t="shared" si="4"/>
        <v>4425618</v>
      </c>
    </row>
    <row r="139" spans="2:4" x14ac:dyDescent="0.25">
      <c r="B139" s="89">
        <v>135</v>
      </c>
      <c r="C139" s="39">
        <f t="shared" si="5"/>
        <v>157992929.59999999</v>
      </c>
      <c r="D139" s="39">
        <f t="shared" si="4"/>
        <v>4458645</v>
      </c>
    </row>
    <row r="140" spans="2:4" x14ac:dyDescent="0.25">
      <c r="B140" s="89">
        <v>136</v>
      </c>
      <c r="C140" s="39">
        <f t="shared" si="5"/>
        <v>157992929.59999999</v>
      </c>
      <c r="D140" s="39">
        <f t="shared" si="4"/>
        <v>4491672</v>
      </c>
    </row>
    <row r="141" spans="2:4" x14ac:dyDescent="0.25">
      <c r="B141" s="89">
        <v>137</v>
      </c>
      <c r="C141" s="39">
        <f t="shared" si="5"/>
        <v>157992929.59999999</v>
      </c>
      <c r="D141" s="39">
        <f t="shared" si="4"/>
        <v>4524699</v>
      </c>
    </row>
    <row r="142" spans="2:4" x14ac:dyDescent="0.25">
      <c r="B142" s="89">
        <v>138</v>
      </c>
      <c r="C142" s="39">
        <f t="shared" si="5"/>
        <v>157992929.59999999</v>
      </c>
      <c r="D142" s="39">
        <f t="shared" si="4"/>
        <v>4557726</v>
      </c>
    </row>
    <row r="143" spans="2:4" x14ac:dyDescent="0.25">
      <c r="B143" s="89">
        <v>139</v>
      </c>
      <c r="C143" s="39">
        <f t="shared" si="5"/>
        <v>157992929.59999999</v>
      </c>
      <c r="D143" s="39">
        <f t="shared" si="4"/>
        <v>4590753</v>
      </c>
    </row>
    <row r="144" spans="2:4" x14ac:dyDescent="0.25">
      <c r="B144" s="89">
        <v>140</v>
      </c>
      <c r="C144" s="39">
        <f t="shared" si="5"/>
        <v>157992929.59999999</v>
      </c>
      <c r="D144" s="39">
        <f t="shared" si="4"/>
        <v>4623780</v>
      </c>
    </row>
    <row r="145" spans="2:4" x14ac:dyDescent="0.25">
      <c r="B145" s="89">
        <v>141</v>
      </c>
      <c r="C145" s="39">
        <f t="shared" si="5"/>
        <v>157992929.59999999</v>
      </c>
      <c r="D145" s="39">
        <f t="shared" si="4"/>
        <v>4656807</v>
      </c>
    </row>
    <row r="146" spans="2:4" x14ac:dyDescent="0.25">
      <c r="B146" s="89">
        <v>142</v>
      </c>
      <c r="C146" s="39">
        <f t="shared" si="5"/>
        <v>157992929.59999999</v>
      </c>
      <c r="D146" s="39">
        <f t="shared" si="4"/>
        <v>4689834</v>
      </c>
    </row>
    <row r="147" spans="2:4" x14ac:dyDescent="0.25">
      <c r="B147" s="89">
        <v>143</v>
      </c>
      <c r="C147" s="39">
        <f t="shared" si="5"/>
        <v>157992929.59999999</v>
      </c>
      <c r="D147" s="39">
        <f t="shared" si="4"/>
        <v>4722861</v>
      </c>
    </row>
    <row r="148" spans="2:4" x14ac:dyDescent="0.25">
      <c r="B148" s="89">
        <v>144</v>
      </c>
      <c r="C148" s="39">
        <f t="shared" si="5"/>
        <v>157992929.59999999</v>
      </c>
      <c r="D148" s="39">
        <f t="shared" si="4"/>
        <v>4755888</v>
      </c>
    </row>
    <row r="149" spans="2:4" x14ac:dyDescent="0.25">
      <c r="B149" s="89">
        <v>145</v>
      </c>
      <c r="C149" s="39">
        <f t="shared" si="5"/>
        <v>157992929.59999999</v>
      </c>
      <c r="D149" s="39">
        <f t="shared" si="4"/>
        <v>4788915</v>
      </c>
    </row>
    <row r="150" spans="2:4" x14ac:dyDescent="0.25">
      <c r="B150" s="89">
        <v>146</v>
      </c>
      <c r="C150" s="39">
        <f t="shared" si="5"/>
        <v>157992929.59999999</v>
      </c>
      <c r="D150" s="39">
        <f t="shared" si="4"/>
        <v>4821942</v>
      </c>
    </row>
    <row r="151" spans="2:4" x14ac:dyDescent="0.25">
      <c r="B151" s="89">
        <v>147</v>
      </c>
      <c r="C151" s="39">
        <f t="shared" si="5"/>
        <v>157992929.59999999</v>
      </c>
      <c r="D151" s="39">
        <f t="shared" si="4"/>
        <v>4854969</v>
      </c>
    </row>
    <row r="152" spans="2:4" x14ac:dyDescent="0.25">
      <c r="B152" s="89">
        <v>148</v>
      </c>
      <c r="C152" s="39">
        <f t="shared" si="5"/>
        <v>157992929.59999999</v>
      </c>
      <c r="D152" s="39">
        <f t="shared" si="4"/>
        <v>4887996</v>
      </c>
    </row>
    <row r="153" spans="2:4" x14ac:dyDescent="0.25">
      <c r="B153" s="89">
        <v>149</v>
      </c>
      <c r="C153" s="39">
        <f t="shared" si="5"/>
        <v>157992929.59999999</v>
      </c>
      <c r="D153" s="39">
        <f t="shared" si="4"/>
        <v>4921023</v>
      </c>
    </row>
    <row r="154" spans="2:4" x14ac:dyDescent="0.25">
      <c r="B154" s="89">
        <v>150</v>
      </c>
      <c r="C154" s="39">
        <f t="shared" si="5"/>
        <v>157992929.59999999</v>
      </c>
      <c r="D154" s="39">
        <f t="shared" si="4"/>
        <v>4954050</v>
      </c>
    </row>
    <row r="155" spans="2:4" x14ac:dyDescent="0.25">
      <c r="B155" s="89">
        <v>151</v>
      </c>
      <c r="C155" s="39">
        <f t="shared" si="5"/>
        <v>157992929.59999999</v>
      </c>
      <c r="D155" s="39">
        <f t="shared" si="4"/>
        <v>4987077</v>
      </c>
    </row>
    <row r="156" spans="2:4" x14ac:dyDescent="0.25">
      <c r="B156" s="89">
        <v>152</v>
      </c>
      <c r="C156" s="39">
        <f t="shared" si="5"/>
        <v>157992929.59999999</v>
      </c>
      <c r="D156" s="39">
        <f t="shared" si="4"/>
        <v>5020104</v>
      </c>
    </row>
    <row r="157" spans="2:4" x14ac:dyDescent="0.25">
      <c r="B157" s="89">
        <v>153</v>
      </c>
      <c r="C157" s="39">
        <f t="shared" si="5"/>
        <v>157992929.59999999</v>
      </c>
      <c r="D157" s="39">
        <f t="shared" si="4"/>
        <v>5053131</v>
      </c>
    </row>
    <row r="158" spans="2:4" x14ac:dyDescent="0.25">
      <c r="B158" s="89">
        <v>154</v>
      </c>
      <c r="C158" s="39">
        <f t="shared" si="5"/>
        <v>157992929.59999999</v>
      </c>
      <c r="D158" s="39">
        <f t="shared" si="4"/>
        <v>5086158</v>
      </c>
    </row>
    <row r="159" spans="2:4" x14ac:dyDescent="0.25">
      <c r="B159" s="89">
        <v>155</v>
      </c>
      <c r="C159" s="39">
        <f t="shared" si="5"/>
        <v>157992929.59999999</v>
      </c>
      <c r="D159" s="39">
        <f t="shared" si="4"/>
        <v>5119185</v>
      </c>
    </row>
    <row r="160" spans="2:4" x14ac:dyDescent="0.25">
      <c r="B160" s="89">
        <v>156</v>
      </c>
      <c r="C160" s="39">
        <f t="shared" si="5"/>
        <v>157992929.59999999</v>
      </c>
      <c r="D160" s="39">
        <f t="shared" si="4"/>
        <v>5152212</v>
      </c>
    </row>
    <row r="161" spans="2:4" x14ac:dyDescent="0.25">
      <c r="B161" s="89">
        <v>157</v>
      </c>
      <c r="C161" s="39">
        <f t="shared" si="5"/>
        <v>157992929.59999999</v>
      </c>
      <c r="D161" s="39">
        <f t="shared" si="4"/>
        <v>5185239</v>
      </c>
    </row>
    <row r="162" spans="2:4" x14ac:dyDescent="0.25">
      <c r="B162" s="89">
        <v>158</v>
      </c>
      <c r="C162" s="39">
        <f t="shared" si="5"/>
        <v>157992929.59999999</v>
      </c>
      <c r="D162" s="39">
        <f t="shared" si="4"/>
        <v>5218266</v>
      </c>
    </row>
    <row r="163" spans="2:4" x14ac:dyDescent="0.25">
      <c r="B163" s="89">
        <v>159</v>
      </c>
      <c r="C163" s="39">
        <f t="shared" si="5"/>
        <v>157992929.59999999</v>
      </c>
      <c r="D163" s="39">
        <f t="shared" si="4"/>
        <v>5251293</v>
      </c>
    </row>
    <row r="164" spans="2:4" x14ac:dyDescent="0.25">
      <c r="B164" s="89">
        <v>160</v>
      </c>
      <c r="C164" s="39">
        <f t="shared" si="5"/>
        <v>157992929.59999999</v>
      </c>
      <c r="D164" s="39">
        <f t="shared" si="4"/>
        <v>5284320</v>
      </c>
    </row>
    <row r="165" spans="2:4" x14ac:dyDescent="0.25">
      <c r="B165" s="89">
        <v>161</v>
      </c>
      <c r="C165" s="39">
        <f t="shared" si="5"/>
        <v>157992929.59999999</v>
      </c>
      <c r="D165" s="39">
        <f t="shared" si="4"/>
        <v>5317347</v>
      </c>
    </row>
    <row r="166" spans="2:4" x14ac:dyDescent="0.25">
      <c r="B166" s="89">
        <v>162</v>
      </c>
      <c r="C166" s="39">
        <f t="shared" si="5"/>
        <v>157992929.59999999</v>
      </c>
      <c r="D166" s="39">
        <f t="shared" si="4"/>
        <v>5350374</v>
      </c>
    </row>
    <row r="167" spans="2:4" x14ac:dyDescent="0.25">
      <c r="B167" s="89">
        <v>163</v>
      </c>
      <c r="C167" s="39">
        <f t="shared" si="5"/>
        <v>157992929.59999999</v>
      </c>
      <c r="D167" s="39">
        <f t="shared" si="4"/>
        <v>5383401</v>
      </c>
    </row>
    <row r="168" spans="2:4" x14ac:dyDescent="0.25">
      <c r="B168" s="89">
        <v>164</v>
      </c>
      <c r="C168" s="39">
        <f t="shared" si="5"/>
        <v>157992929.59999999</v>
      </c>
      <c r="D168" s="39">
        <f t="shared" si="4"/>
        <v>5416428</v>
      </c>
    </row>
    <row r="169" spans="2:4" x14ac:dyDescent="0.25">
      <c r="B169" s="89">
        <v>165</v>
      </c>
      <c r="C169" s="39">
        <f t="shared" si="5"/>
        <v>157992929.59999999</v>
      </c>
      <c r="D169" s="39">
        <f t="shared" si="4"/>
        <v>5449455</v>
      </c>
    </row>
    <row r="170" spans="2:4" x14ac:dyDescent="0.25">
      <c r="B170" s="89">
        <v>166</v>
      </c>
      <c r="C170" s="39">
        <f t="shared" si="5"/>
        <v>157992929.59999999</v>
      </c>
      <c r="D170" s="39">
        <f t="shared" si="4"/>
        <v>5482482</v>
      </c>
    </row>
    <row r="171" spans="2:4" x14ac:dyDescent="0.25">
      <c r="B171" s="89">
        <v>167</v>
      </c>
      <c r="C171" s="39">
        <f t="shared" si="5"/>
        <v>157992929.59999999</v>
      </c>
      <c r="D171" s="39">
        <f t="shared" si="4"/>
        <v>5515509</v>
      </c>
    </row>
    <row r="172" spans="2:4" x14ac:dyDescent="0.25">
      <c r="B172" s="89">
        <v>168</v>
      </c>
      <c r="C172" s="39">
        <f t="shared" si="5"/>
        <v>157992929.59999999</v>
      </c>
      <c r="D172" s="39">
        <f t="shared" si="4"/>
        <v>5548536</v>
      </c>
    </row>
    <row r="173" spans="2:4" x14ac:dyDescent="0.25">
      <c r="B173" s="89">
        <v>169</v>
      </c>
      <c r="C173" s="39">
        <f t="shared" si="5"/>
        <v>157992929.59999999</v>
      </c>
      <c r="D173" s="39">
        <f t="shared" si="4"/>
        <v>5581563</v>
      </c>
    </row>
    <row r="174" spans="2:4" x14ac:dyDescent="0.25">
      <c r="B174" s="89">
        <v>170</v>
      </c>
      <c r="C174" s="39">
        <f t="shared" si="5"/>
        <v>157992929.59999999</v>
      </c>
      <c r="D174" s="39">
        <f t="shared" si="4"/>
        <v>5614590</v>
      </c>
    </row>
    <row r="175" spans="2:4" x14ac:dyDescent="0.25">
      <c r="B175" s="89">
        <v>171</v>
      </c>
      <c r="C175" s="39">
        <f t="shared" si="5"/>
        <v>157992929.59999999</v>
      </c>
      <c r="D175" s="39">
        <f t="shared" si="4"/>
        <v>5647617</v>
      </c>
    </row>
    <row r="176" spans="2:4" x14ac:dyDescent="0.25">
      <c r="B176" s="89">
        <v>172</v>
      </c>
      <c r="C176" s="39">
        <f t="shared" si="5"/>
        <v>157992929.59999999</v>
      </c>
      <c r="D176" s="39">
        <f t="shared" si="4"/>
        <v>5680644</v>
      </c>
    </row>
    <row r="177" spans="2:4" x14ac:dyDescent="0.25">
      <c r="B177" s="89">
        <v>173</v>
      </c>
      <c r="C177" s="39">
        <f t="shared" si="5"/>
        <v>157992929.59999999</v>
      </c>
      <c r="D177" s="39">
        <f t="shared" si="4"/>
        <v>5713671</v>
      </c>
    </row>
    <row r="178" spans="2:4" x14ac:dyDescent="0.25">
      <c r="B178" s="89">
        <v>174</v>
      </c>
      <c r="C178" s="39">
        <f t="shared" si="5"/>
        <v>157992929.59999999</v>
      </c>
      <c r="D178" s="39">
        <f t="shared" si="4"/>
        <v>5746698</v>
      </c>
    </row>
    <row r="179" spans="2:4" x14ac:dyDescent="0.25">
      <c r="B179" s="89">
        <v>175</v>
      </c>
      <c r="C179" s="39">
        <f t="shared" si="5"/>
        <v>157992929.59999999</v>
      </c>
      <c r="D179" s="39">
        <f t="shared" si="4"/>
        <v>5779725</v>
      </c>
    </row>
    <row r="180" spans="2:4" x14ac:dyDescent="0.25">
      <c r="B180" s="89">
        <v>176</v>
      </c>
      <c r="C180" s="39">
        <f t="shared" si="5"/>
        <v>157992929.59999999</v>
      </c>
      <c r="D180" s="39">
        <f t="shared" si="4"/>
        <v>5812752</v>
      </c>
    </row>
    <row r="181" spans="2:4" x14ac:dyDescent="0.25">
      <c r="B181" s="89">
        <v>177</v>
      </c>
      <c r="C181" s="39">
        <f t="shared" si="5"/>
        <v>157992929.59999999</v>
      </c>
      <c r="D181" s="39">
        <f t="shared" si="4"/>
        <v>5845779</v>
      </c>
    </row>
    <row r="182" spans="2:4" x14ac:dyDescent="0.25">
      <c r="B182" s="89">
        <v>178</v>
      </c>
      <c r="C182" s="39">
        <f t="shared" si="5"/>
        <v>157992929.59999999</v>
      </c>
      <c r="D182" s="39">
        <f t="shared" si="4"/>
        <v>5878806</v>
      </c>
    </row>
    <row r="183" spans="2:4" x14ac:dyDescent="0.25">
      <c r="B183" s="89">
        <v>179</v>
      </c>
      <c r="C183" s="39">
        <f t="shared" si="5"/>
        <v>157992929.59999999</v>
      </c>
      <c r="D183" s="39">
        <f t="shared" si="4"/>
        <v>5911833</v>
      </c>
    </row>
    <row r="184" spans="2:4" x14ac:dyDescent="0.25">
      <c r="B184" s="89">
        <v>180</v>
      </c>
      <c r="C184" s="39">
        <f t="shared" si="5"/>
        <v>157992929.59999999</v>
      </c>
      <c r="D184" s="39">
        <f t="shared" si="4"/>
        <v>5944860</v>
      </c>
    </row>
    <row r="185" spans="2:4" x14ac:dyDescent="0.25">
      <c r="B185" s="89">
        <v>181</v>
      </c>
      <c r="C185" s="39">
        <f t="shared" si="5"/>
        <v>157992929.59999999</v>
      </c>
      <c r="D185" s="39">
        <f t="shared" si="4"/>
        <v>5977887</v>
      </c>
    </row>
    <row r="186" spans="2:4" x14ac:dyDescent="0.25">
      <c r="B186" s="89">
        <v>182</v>
      </c>
      <c r="C186" s="39">
        <f t="shared" si="5"/>
        <v>157992929.59999999</v>
      </c>
      <c r="D186" s="39">
        <f t="shared" si="4"/>
        <v>6010914</v>
      </c>
    </row>
    <row r="187" spans="2:4" x14ac:dyDescent="0.25">
      <c r="B187" s="89">
        <v>183</v>
      </c>
      <c r="C187" s="39">
        <f t="shared" si="5"/>
        <v>157992929.59999999</v>
      </c>
      <c r="D187" s="39">
        <f t="shared" si="4"/>
        <v>6043941</v>
      </c>
    </row>
    <row r="188" spans="2:4" x14ac:dyDescent="0.25">
      <c r="B188" s="89">
        <v>184</v>
      </c>
      <c r="C188" s="39">
        <f t="shared" si="5"/>
        <v>157992929.59999999</v>
      </c>
      <c r="D188" s="39">
        <f t="shared" si="4"/>
        <v>6076968</v>
      </c>
    </row>
    <row r="189" spans="2:4" x14ac:dyDescent="0.25">
      <c r="B189" s="89">
        <v>185</v>
      </c>
      <c r="C189" s="39">
        <f t="shared" si="5"/>
        <v>157992929.59999999</v>
      </c>
      <c r="D189" s="39">
        <f t="shared" si="4"/>
        <v>6109995</v>
      </c>
    </row>
    <row r="190" spans="2:4" x14ac:dyDescent="0.25">
      <c r="B190" s="89">
        <v>186</v>
      </c>
      <c r="C190" s="39">
        <f t="shared" si="5"/>
        <v>157992929.59999999</v>
      </c>
      <c r="D190" s="39">
        <f t="shared" si="4"/>
        <v>6143022</v>
      </c>
    </row>
    <row r="191" spans="2:4" x14ac:dyDescent="0.25">
      <c r="B191" s="89">
        <v>187</v>
      </c>
      <c r="C191" s="39">
        <f t="shared" si="5"/>
        <v>157992929.59999999</v>
      </c>
      <c r="D191" s="39">
        <f t="shared" si="4"/>
        <v>6176049</v>
      </c>
    </row>
    <row r="192" spans="2:4" x14ac:dyDescent="0.25">
      <c r="B192" s="89">
        <v>188</v>
      </c>
      <c r="C192" s="39">
        <f t="shared" si="5"/>
        <v>157992929.59999999</v>
      </c>
      <c r="D192" s="39">
        <f t="shared" si="4"/>
        <v>6209076</v>
      </c>
    </row>
    <row r="193" spans="2:4" x14ac:dyDescent="0.25">
      <c r="B193" s="89">
        <v>189</v>
      </c>
      <c r="C193" s="39">
        <f t="shared" si="5"/>
        <v>157992929.59999999</v>
      </c>
      <c r="D193" s="39">
        <f t="shared" si="4"/>
        <v>6242103</v>
      </c>
    </row>
    <row r="194" spans="2:4" x14ac:dyDescent="0.25">
      <c r="B194" s="89">
        <v>190</v>
      </c>
      <c r="C194" s="39">
        <f t="shared" si="5"/>
        <v>157992929.59999999</v>
      </c>
      <c r="D194" s="39">
        <f t="shared" si="4"/>
        <v>6275130</v>
      </c>
    </row>
    <row r="195" spans="2:4" x14ac:dyDescent="0.25">
      <c r="B195" s="89">
        <v>191</v>
      </c>
      <c r="C195" s="39">
        <f t="shared" si="5"/>
        <v>157992929.59999999</v>
      </c>
      <c r="D195" s="39">
        <f t="shared" si="4"/>
        <v>6308157</v>
      </c>
    </row>
    <row r="196" spans="2:4" x14ac:dyDescent="0.25">
      <c r="B196" s="89">
        <v>192</v>
      </c>
      <c r="C196" s="39">
        <f t="shared" si="5"/>
        <v>157992929.59999999</v>
      </c>
      <c r="D196" s="39">
        <f t="shared" si="4"/>
        <v>6341184</v>
      </c>
    </row>
    <row r="197" spans="2:4" x14ac:dyDescent="0.25">
      <c r="B197" s="89">
        <v>193</v>
      </c>
      <c r="C197" s="39">
        <f t="shared" si="5"/>
        <v>157992929.59999999</v>
      </c>
      <c r="D197" s="39">
        <f t="shared" ref="D197:D260" si="6">$D$2*B197</f>
        <v>6374211</v>
      </c>
    </row>
    <row r="198" spans="2:4" x14ac:dyDescent="0.25">
      <c r="B198" s="89">
        <v>194</v>
      </c>
      <c r="C198" s="39">
        <f t="shared" ref="C198:C261" si="7">$C197</f>
        <v>157992929.59999999</v>
      </c>
      <c r="D198" s="39">
        <f t="shared" si="6"/>
        <v>6407238</v>
      </c>
    </row>
    <row r="199" spans="2:4" x14ac:dyDescent="0.25">
      <c r="B199" s="89">
        <v>195</v>
      </c>
      <c r="C199" s="39">
        <f t="shared" si="7"/>
        <v>157992929.59999999</v>
      </c>
      <c r="D199" s="39">
        <f t="shared" si="6"/>
        <v>6440265</v>
      </c>
    </row>
    <row r="200" spans="2:4" x14ac:dyDescent="0.25">
      <c r="B200" s="89">
        <v>196</v>
      </c>
      <c r="C200" s="39">
        <f t="shared" si="7"/>
        <v>157992929.59999999</v>
      </c>
      <c r="D200" s="39">
        <f t="shared" si="6"/>
        <v>6473292</v>
      </c>
    </row>
    <row r="201" spans="2:4" x14ac:dyDescent="0.25">
      <c r="B201" s="89">
        <v>197</v>
      </c>
      <c r="C201" s="39">
        <f t="shared" si="7"/>
        <v>157992929.59999999</v>
      </c>
      <c r="D201" s="39">
        <f t="shared" si="6"/>
        <v>6506319</v>
      </c>
    </row>
    <row r="202" spans="2:4" x14ac:dyDescent="0.25">
      <c r="B202" s="89">
        <v>198</v>
      </c>
      <c r="C202" s="39">
        <f t="shared" si="7"/>
        <v>157992929.59999999</v>
      </c>
      <c r="D202" s="39">
        <f t="shared" si="6"/>
        <v>6539346</v>
      </c>
    </row>
    <row r="203" spans="2:4" x14ac:dyDescent="0.25">
      <c r="B203" s="89">
        <v>199</v>
      </c>
      <c r="C203" s="39">
        <f t="shared" si="7"/>
        <v>157992929.59999999</v>
      </c>
      <c r="D203" s="39">
        <f t="shared" si="6"/>
        <v>6572373</v>
      </c>
    </row>
    <row r="204" spans="2:4" x14ac:dyDescent="0.25">
      <c r="B204" s="89">
        <v>200</v>
      </c>
      <c r="C204" s="39">
        <f t="shared" si="7"/>
        <v>157992929.59999999</v>
      </c>
      <c r="D204" s="39">
        <f t="shared" si="6"/>
        <v>6605400</v>
      </c>
    </row>
    <row r="205" spans="2:4" x14ac:dyDescent="0.25">
      <c r="B205" s="89">
        <v>201</v>
      </c>
      <c r="C205" s="39">
        <f t="shared" si="7"/>
        <v>157992929.59999999</v>
      </c>
      <c r="D205" s="39">
        <f t="shared" si="6"/>
        <v>6638427</v>
      </c>
    </row>
    <row r="206" spans="2:4" x14ac:dyDescent="0.25">
      <c r="B206" s="89">
        <v>202</v>
      </c>
      <c r="C206" s="39">
        <f t="shared" si="7"/>
        <v>157992929.59999999</v>
      </c>
      <c r="D206" s="39">
        <f t="shared" si="6"/>
        <v>6671454</v>
      </c>
    </row>
    <row r="207" spans="2:4" x14ac:dyDescent="0.25">
      <c r="B207" s="89">
        <v>203</v>
      </c>
      <c r="C207" s="39">
        <f t="shared" si="7"/>
        <v>157992929.59999999</v>
      </c>
      <c r="D207" s="39">
        <f t="shared" si="6"/>
        <v>6704481</v>
      </c>
    </row>
    <row r="208" spans="2:4" x14ac:dyDescent="0.25">
      <c r="B208" s="89">
        <v>204</v>
      </c>
      <c r="C208" s="39">
        <f t="shared" si="7"/>
        <v>157992929.59999999</v>
      </c>
      <c r="D208" s="39">
        <f t="shared" si="6"/>
        <v>6737508</v>
      </c>
    </row>
    <row r="209" spans="2:4" x14ac:dyDescent="0.25">
      <c r="B209" s="89">
        <v>205</v>
      </c>
      <c r="C209" s="39">
        <f t="shared" si="7"/>
        <v>157992929.59999999</v>
      </c>
      <c r="D209" s="39">
        <f t="shared" si="6"/>
        <v>6770535</v>
      </c>
    </row>
    <row r="210" spans="2:4" x14ac:dyDescent="0.25">
      <c r="B210" s="89">
        <v>206</v>
      </c>
      <c r="C210" s="39">
        <f t="shared" si="7"/>
        <v>157992929.59999999</v>
      </c>
      <c r="D210" s="39">
        <f t="shared" si="6"/>
        <v>6803562</v>
      </c>
    </row>
    <row r="211" spans="2:4" x14ac:dyDescent="0.25">
      <c r="B211" s="89">
        <v>207</v>
      </c>
      <c r="C211" s="39">
        <f t="shared" si="7"/>
        <v>157992929.59999999</v>
      </c>
      <c r="D211" s="39">
        <f t="shared" si="6"/>
        <v>6836589</v>
      </c>
    </row>
    <row r="212" spans="2:4" x14ac:dyDescent="0.25">
      <c r="B212" s="89">
        <v>208</v>
      </c>
      <c r="C212" s="39">
        <f t="shared" si="7"/>
        <v>157992929.59999999</v>
      </c>
      <c r="D212" s="39">
        <f t="shared" si="6"/>
        <v>6869616</v>
      </c>
    </row>
    <row r="213" spans="2:4" x14ac:dyDescent="0.25">
      <c r="B213" s="89">
        <v>209</v>
      </c>
      <c r="C213" s="39">
        <f t="shared" si="7"/>
        <v>157992929.59999999</v>
      </c>
      <c r="D213" s="39">
        <f t="shared" si="6"/>
        <v>6902643</v>
      </c>
    </row>
    <row r="214" spans="2:4" x14ac:dyDescent="0.25">
      <c r="B214" s="89">
        <v>210</v>
      </c>
      <c r="C214" s="39">
        <f t="shared" si="7"/>
        <v>157992929.59999999</v>
      </c>
      <c r="D214" s="39">
        <f t="shared" si="6"/>
        <v>6935670</v>
      </c>
    </row>
    <row r="215" spans="2:4" x14ac:dyDescent="0.25">
      <c r="B215" s="89">
        <v>211</v>
      </c>
      <c r="C215" s="39">
        <f t="shared" si="7"/>
        <v>157992929.59999999</v>
      </c>
      <c r="D215" s="39">
        <f t="shared" si="6"/>
        <v>6968697</v>
      </c>
    </row>
    <row r="216" spans="2:4" x14ac:dyDescent="0.25">
      <c r="B216" s="89">
        <v>212</v>
      </c>
      <c r="C216" s="39">
        <f t="shared" si="7"/>
        <v>157992929.59999999</v>
      </c>
      <c r="D216" s="39">
        <f t="shared" si="6"/>
        <v>7001724</v>
      </c>
    </row>
    <row r="217" spans="2:4" x14ac:dyDescent="0.25">
      <c r="B217" s="89">
        <v>213</v>
      </c>
      <c r="C217" s="39">
        <f t="shared" si="7"/>
        <v>157992929.59999999</v>
      </c>
      <c r="D217" s="39">
        <f t="shared" si="6"/>
        <v>7034751</v>
      </c>
    </row>
    <row r="218" spans="2:4" x14ac:dyDescent="0.25">
      <c r="B218" s="89">
        <v>214</v>
      </c>
      <c r="C218" s="39">
        <f t="shared" si="7"/>
        <v>157992929.59999999</v>
      </c>
      <c r="D218" s="39">
        <f t="shared" si="6"/>
        <v>7067778</v>
      </c>
    </row>
    <row r="219" spans="2:4" x14ac:dyDescent="0.25">
      <c r="B219" s="89">
        <v>215</v>
      </c>
      <c r="C219" s="39">
        <f t="shared" si="7"/>
        <v>157992929.59999999</v>
      </c>
      <c r="D219" s="39">
        <f t="shared" si="6"/>
        <v>7100805</v>
      </c>
    </row>
    <row r="220" spans="2:4" x14ac:dyDescent="0.25">
      <c r="B220" s="89">
        <v>216</v>
      </c>
      <c r="C220" s="39">
        <f t="shared" si="7"/>
        <v>157992929.59999999</v>
      </c>
      <c r="D220" s="39">
        <f t="shared" si="6"/>
        <v>7133832</v>
      </c>
    </row>
    <row r="221" spans="2:4" x14ac:dyDescent="0.25">
      <c r="B221" s="89">
        <v>217</v>
      </c>
      <c r="C221" s="39">
        <f t="shared" si="7"/>
        <v>157992929.59999999</v>
      </c>
      <c r="D221" s="39">
        <f t="shared" si="6"/>
        <v>7166859</v>
      </c>
    </row>
    <row r="222" spans="2:4" x14ac:dyDescent="0.25">
      <c r="B222" s="89">
        <v>218</v>
      </c>
      <c r="C222" s="39">
        <f t="shared" si="7"/>
        <v>157992929.59999999</v>
      </c>
      <c r="D222" s="39">
        <f t="shared" si="6"/>
        <v>7199886</v>
      </c>
    </row>
    <row r="223" spans="2:4" x14ac:dyDescent="0.25">
      <c r="B223" s="89">
        <v>219</v>
      </c>
      <c r="C223" s="39">
        <f t="shared" si="7"/>
        <v>157992929.59999999</v>
      </c>
      <c r="D223" s="39">
        <f t="shared" si="6"/>
        <v>7232913</v>
      </c>
    </row>
    <row r="224" spans="2:4" x14ac:dyDescent="0.25">
      <c r="B224" s="89">
        <v>220</v>
      </c>
      <c r="C224" s="39">
        <f t="shared" si="7"/>
        <v>157992929.59999999</v>
      </c>
      <c r="D224" s="39">
        <f t="shared" si="6"/>
        <v>7265940</v>
      </c>
    </row>
    <row r="225" spans="2:4" x14ac:dyDescent="0.25">
      <c r="B225" s="89">
        <v>221</v>
      </c>
      <c r="C225" s="39">
        <f t="shared" si="7"/>
        <v>157992929.59999999</v>
      </c>
      <c r="D225" s="39">
        <f t="shared" si="6"/>
        <v>7298967</v>
      </c>
    </row>
    <row r="226" spans="2:4" x14ac:dyDescent="0.25">
      <c r="B226" s="89">
        <v>222</v>
      </c>
      <c r="C226" s="39">
        <f t="shared" si="7"/>
        <v>157992929.59999999</v>
      </c>
      <c r="D226" s="39">
        <f t="shared" si="6"/>
        <v>7331994</v>
      </c>
    </row>
    <row r="227" spans="2:4" x14ac:dyDescent="0.25">
      <c r="B227" s="89">
        <v>223</v>
      </c>
      <c r="C227" s="39">
        <f t="shared" si="7"/>
        <v>157992929.59999999</v>
      </c>
      <c r="D227" s="39">
        <f t="shared" si="6"/>
        <v>7365021</v>
      </c>
    </row>
    <row r="228" spans="2:4" x14ac:dyDescent="0.25">
      <c r="B228" s="89">
        <v>224</v>
      </c>
      <c r="C228" s="39">
        <f t="shared" si="7"/>
        <v>157992929.59999999</v>
      </c>
      <c r="D228" s="39">
        <f t="shared" si="6"/>
        <v>7398048</v>
      </c>
    </row>
    <row r="229" spans="2:4" x14ac:dyDescent="0.25">
      <c r="B229" s="89">
        <v>225</v>
      </c>
      <c r="C229" s="39">
        <f t="shared" si="7"/>
        <v>157992929.59999999</v>
      </c>
      <c r="D229" s="39">
        <f t="shared" si="6"/>
        <v>7431075</v>
      </c>
    </row>
    <row r="230" spans="2:4" x14ac:dyDescent="0.25">
      <c r="B230" s="89">
        <v>226</v>
      </c>
      <c r="C230" s="39">
        <f t="shared" si="7"/>
        <v>157992929.59999999</v>
      </c>
      <c r="D230" s="39">
        <f t="shared" si="6"/>
        <v>7464102</v>
      </c>
    </row>
    <row r="231" spans="2:4" x14ac:dyDescent="0.25">
      <c r="B231" s="89">
        <v>227</v>
      </c>
      <c r="C231" s="39">
        <f t="shared" si="7"/>
        <v>157992929.59999999</v>
      </c>
      <c r="D231" s="39">
        <f t="shared" si="6"/>
        <v>7497129</v>
      </c>
    </row>
    <row r="232" spans="2:4" x14ac:dyDescent="0.25">
      <c r="B232" s="89">
        <v>228</v>
      </c>
      <c r="C232" s="39">
        <f t="shared" si="7"/>
        <v>157992929.59999999</v>
      </c>
      <c r="D232" s="39">
        <f t="shared" si="6"/>
        <v>7530156</v>
      </c>
    </row>
    <row r="233" spans="2:4" x14ac:dyDescent="0.25">
      <c r="B233" s="89">
        <v>229</v>
      </c>
      <c r="C233" s="39">
        <f t="shared" si="7"/>
        <v>157992929.59999999</v>
      </c>
      <c r="D233" s="39">
        <f t="shared" si="6"/>
        <v>7563183</v>
      </c>
    </row>
    <row r="234" spans="2:4" x14ac:dyDescent="0.25">
      <c r="B234" s="89">
        <v>230</v>
      </c>
      <c r="C234" s="39">
        <f t="shared" si="7"/>
        <v>157992929.59999999</v>
      </c>
      <c r="D234" s="39">
        <f t="shared" si="6"/>
        <v>7596210</v>
      </c>
    </row>
    <row r="235" spans="2:4" x14ac:dyDescent="0.25">
      <c r="B235" s="89">
        <v>231</v>
      </c>
      <c r="C235" s="39">
        <f t="shared" si="7"/>
        <v>157992929.59999999</v>
      </c>
      <c r="D235" s="39">
        <f t="shared" si="6"/>
        <v>7629237</v>
      </c>
    </row>
    <row r="236" spans="2:4" x14ac:dyDescent="0.25">
      <c r="B236" s="89">
        <v>232</v>
      </c>
      <c r="C236" s="39">
        <f t="shared" si="7"/>
        <v>157992929.59999999</v>
      </c>
      <c r="D236" s="39">
        <f t="shared" si="6"/>
        <v>7662264</v>
      </c>
    </row>
    <row r="237" spans="2:4" x14ac:dyDescent="0.25">
      <c r="B237" s="89">
        <v>233</v>
      </c>
      <c r="C237" s="39">
        <f t="shared" si="7"/>
        <v>157992929.59999999</v>
      </c>
      <c r="D237" s="39">
        <f t="shared" si="6"/>
        <v>7695291</v>
      </c>
    </row>
    <row r="238" spans="2:4" x14ac:dyDescent="0.25">
      <c r="B238" s="89">
        <v>234</v>
      </c>
      <c r="C238" s="39">
        <f t="shared" si="7"/>
        <v>157992929.59999999</v>
      </c>
      <c r="D238" s="39">
        <f t="shared" si="6"/>
        <v>7728318</v>
      </c>
    </row>
    <row r="239" spans="2:4" x14ac:dyDescent="0.25">
      <c r="B239" s="89">
        <v>235</v>
      </c>
      <c r="C239" s="39">
        <f t="shared" si="7"/>
        <v>157992929.59999999</v>
      </c>
      <c r="D239" s="39">
        <f t="shared" si="6"/>
        <v>7761345</v>
      </c>
    </row>
    <row r="240" spans="2:4" x14ac:dyDescent="0.25">
      <c r="B240" s="89">
        <v>236</v>
      </c>
      <c r="C240" s="39">
        <f t="shared" si="7"/>
        <v>157992929.59999999</v>
      </c>
      <c r="D240" s="39">
        <f t="shared" si="6"/>
        <v>7794372</v>
      </c>
    </row>
    <row r="241" spans="2:4" x14ac:dyDescent="0.25">
      <c r="B241" s="89">
        <v>237</v>
      </c>
      <c r="C241" s="39">
        <f t="shared" si="7"/>
        <v>157992929.59999999</v>
      </c>
      <c r="D241" s="39">
        <f t="shared" si="6"/>
        <v>7827399</v>
      </c>
    </row>
    <row r="242" spans="2:4" x14ac:dyDescent="0.25">
      <c r="B242" s="89">
        <v>238</v>
      </c>
      <c r="C242" s="39">
        <f t="shared" si="7"/>
        <v>157992929.59999999</v>
      </c>
      <c r="D242" s="39">
        <f t="shared" si="6"/>
        <v>7860426</v>
      </c>
    </row>
    <row r="243" spans="2:4" x14ac:dyDescent="0.25">
      <c r="B243" s="89">
        <v>239</v>
      </c>
      <c r="C243" s="39">
        <f t="shared" si="7"/>
        <v>157992929.59999999</v>
      </c>
      <c r="D243" s="39">
        <f t="shared" si="6"/>
        <v>7893453</v>
      </c>
    </row>
    <row r="244" spans="2:4" x14ac:dyDescent="0.25">
      <c r="B244" s="89">
        <v>240</v>
      </c>
      <c r="C244" s="39">
        <f t="shared" si="7"/>
        <v>157992929.59999999</v>
      </c>
      <c r="D244" s="39">
        <f t="shared" si="6"/>
        <v>7926480</v>
      </c>
    </row>
    <row r="245" spans="2:4" x14ac:dyDescent="0.25">
      <c r="B245" s="89">
        <v>241</v>
      </c>
      <c r="C245" s="39">
        <f t="shared" si="7"/>
        <v>157992929.59999999</v>
      </c>
      <c r="D245" s="39">
        <f t="shared" si="6"/>
        <v>7959507</v>
      </c>
    </row>
    <row r="246" spans="2:4" x14ac:dyDescent="0.25">
      <c r="B246" s="89">
        <v>242</v>
      </c>
      <c r="C246" s="39">
        <f t="shared" si="7"/>
        <v>157992929.59999999</v>
      </c>
      <c r="D246" s="39">
        <f t="shared" si="6"/>
        <v>7992534</v>
      </c>
    </row>
    <row r="247" spans="2:4" x14ac:dyDescent="0.25">
      <c r="B247" s="89">
        <v>243</v>
      </c>
      <c r="C247" s="39">
        <f t="shared" si="7"/>
        <v>157992929.59999999</v>
      </c>
      <c r="D247" s="39">
        <f t="shared" si="6"/>
        <v>8025561</v>
      </c>
    </row>
    <row r="248" spans="2:4" x14ac:dyDescent="0.25">
      <c r="B248" s="89">
        <v>244</v>
      </c>
      <c r="C248" s="39">
        <f t="shared" si="7"/>
        <v>157992929.59999999</v>
      </c>
      <c r="D248" s="39">
        <f t="shared" si="6"/>
        <v>8058588</v>
      </c>
    </row>
    <row r="249" spans="2:4" x14ac:dyDescent="0.25">
      <c r="B249" s="89">
        <v>245</v>
      </c>
      <c r="C249" s="39">
        <f t="shared" si="7"/>
        <v>157992929.59999999</v>
      </c>
      <c r="D249" s="39">
        <f t="shared" si="6"/>
        <v>8091615</v>
      </c>
    </row>
    <row r="250" spans="2:4" x14ac:dyDescent="0.25">
      <c r="B250" s="89">
        <v>246</v>
      </c>
      <c r="C250" s="39">
        <f t="shared" si="7"/>
        <v>157992929.59999999</v>
      </c>
      <c r="D250" s="39">
        <f t="shared" si="6"/>
        <v>8124642</v>
      </c>
    </row>
    <row r="251" spans="2:4" x14ac:dyDescent="0.25">
      <c r="B251" s="89">
        <v>247</v>
      </c>
      <c r="C251" s="39">
        <f t="shared" si="7"/>
        <v>157992929.59999999</v>
      </c>
      <c r="D251" s="39">
        <f t="shared" si="6"/>
        <v>8157669</v>
      </c>
    </row>
    <row r="252" spans="2:4" x14ac:dyDescent="0.25">
      <c r="B252" s="89">
        <v>248</v>
      </c>
      <c r="C252" s="39">
        <f t="shared" si="7"/>
        <v>157992929.59999999</v>
      </c>
      <c r="D252" s="39">
        <f t="shared" si="6"/>
        <v>8190696</v>
      </c>
    </row>
    <row r="253" spans="2:4" x14ac:dyDescent="0.25">
      <c r="B253" s="89">
        <v>249</v>
      </c>
      <c r="C253" s="39">
        <f t="shared" si="7"/>
        <v>157992929.59999999</v>
      </c>
      <c r="D253" s="39">
        <f t="shared" si="6"/>
        <v>8223723</v>
      </c>
    </row>
    <row r="254" spans="2:4" x14ac:dyDescent="0.25">
      <c r="B254" s="89">
        <v>250</v>
      </c>
      <c r="C254" s="39">
        <f t="shared" si="7"/>
        <v>157992929.59999999</v>
      </c>
      <c r="D254" s="39">
        <f t="shared" si="6"/>
        <v>8256750</v>
      </c>
    </row>
    <row r="255" spans="2:4" x14ac:dyDescent="0.25">
      <c r="B255" s="89">
        <v>251</v>
      </c>
      <c r="C255" s="39">
        <f t="shared" si="7"/>
        <v>157992929.59999999</v>
      </c>
      <c r="D255" s="39">
        <f t="shared" si="6"/>
        <v>8289777</v>
      </c>
    </row>
    <row r="256" spans="2:4" x14ac:dyDescent="0.25">
      <c r="B256" s="89">
        <v>252</v>
      </c>
      <c r="C256" s="39">
        <f t="shared" si="7"/>
        <v>157992929.59999999</v>
      </c>
      <c r="D256" s="39">
        <f t="shared" si="6"/>
        <v>8322804</v>
      </c>
    </row>
    <row r="257" spans="2:4" x14ac:dyDescent="0.25">
      <c r="B257" s="89">
        <v>253</v>
      </c>
      <c r="C257" s="39">
        <f t="shared" si="7"/>
        <v>157992929.59999999</v>
      </c>
      <c r="D257" s="39">
        <f t="shared" si="6"/>
        <v>8355831</v>
      </c>
    </row>
    <row r="258" spans="2:4" x14ac:dyDescent="0.25">
      <c r="B258" s="89">
        <v>254</v>
      </c>
      <c r="C258" s="39">
        <f t="shared" si="7"/>
        <v>157992929.59999999</v>
      </c>
      <c r="D258" s="39">
        <f t="shared" si="6"/>
        <v>8388858</v>
      </c>
    </row>
    <row r="259" spans="2:4" x14ac:dyDescent="0.25">
      <c r="B259" s="89">
        <v>255</v>
      </c>
      <c r="C259" s="39">
        <f t="shared" si="7"/>
        <v>157992929.59999999</v>
      </c>
      <c r="D259" s="39">
        <f t="shared" si="6"/>
        <v>8421885</v>
      </c>
    </row>
    <row r="260" spans="2:4" x14ac:dyDescent="0.25">
      <c r="B260" s="89">
        <v>256</v>
      </c>
      <c r="C260" s="39">
        <f t="shared" si="7"/>
        <v>157992929.59999999</v>
      </c>
      <c r="D260" s="39">
        <f t="shared" si="6"/>
        <v>8454912</v>
      </c>
    </row>
    <row r="261" spans="2:4" x14ac:dyDescent="0.25">
      <c r="B261" s="89">
        <v>257</v>
      </c>
      <c r="C261" s="39">
        <f t="shared" si="7"/>
        <v>157992929.59999999</v>
      </c>
      <c r="D261" s="39">
        <f t="shared" ref="D261:D304" si="8">$D$2*B261</f>
        <v>8487939</v>
      </c>
    </row>
    <row r="262" spans="2:4" x14ac:dyDescent="0.25">
      <c r="B262" s="89">
        <v>258</v>
      </c>
      <c r="C262" s="39">
        <f t="shared" ref="C262:C325" si="9">$C261</f>
        <v>157992929.59999999</v>
      </c>
      <c r="D262" s="39">
        <f t="shared" si="8"/>
        <v>8520966</v>
      </c>
    </row>
    <row r="263" spans="2:4" x14ac:dyDescent="0.25">
      <c r="B263" s="89">
        <v>259</v>
      </c>
      <c r="C263" s="39">
        <f t="shared" si="9"/>
        <v>157992929.59999999</v>
      </c>
      <c r="D263" s="39">
        <f t="shared" si="8"/>
        <v>8553993</v>
      </c>
    </row>
    <row r="264" spans="2:4" x14ac:dyDescent="0.25">
      <c r="B264" s="89">
        <v>260</v>
      </c>
      <c r="C264" s="39">
        <f t="shared" si="9"/>
        <v>157992929.59999999</v>
      </c>
      <c r="D264" s="39">
        <f t="shared" si="8"/>
        <v>8587020</v>
      </c>
    </row>
    <row r="265" spans="2:4" x14ac:dyDescent="0.25">
      <c r="B265" s="89">
        <v>261</v>
      </c>
      <c r="C265" s="39">
        <f t="shared" si="9"/>
        <v>157992929.59999999</v>
      </c>
      <c r="D265" s="39">
        <f t="shared" si="8"/>
        <v>8620047</v>
      </c>
    </row>
    <row r="266" spans="2:4" x14ac:dyDescent="0.25">
      <c r="B266" s="89">
        <v>262</v>
      </c>
      <c r="C266" s="39">
        <f t="shared" si="9"/>
        <v>157992929.59999999</v>
      </c>
      <c r="D266" s="39">
        <f t="shared" si="8"/>
        <v>8653074</v>
      </c>
    </row>
    <row r="267" spans="2:4" x14ac:dyDescent="0.25">
      <c r="B267" s="89">
        <v>263</v>
      </c>
      <c r="C267" s="39">
        <f t="shared" si="9"/>
        <v>157992929.59999999</v>
      </c>
      <c r="D267" s="39">
        <f t="shared" si="8"/>
        <v>8686101</v>
      </c>
    </row>
    <row r="268" spans="2:4" x14ac:dyDescent="0.25">
      <c r="B268" s="89">
        <v>264</v>
      </c>
      <c r="C268" s="39">
        <f t="shared" si="9"/>
        <v>157992929.59999999</v>
      </c>
      <c r="D268" s="39">
        <f t="shared" si="8"/>
        <v>8719128</v>
      </c>
    </row>
    <row r="269" spans="2:4" x14ac:dyDescent="0.25">
      <c r="B269" s="89">
        <v>265</v>
      </c>
      <c r="C269" s="39">
        <f t="shared" si="9"/>
        <v>157992929.59999999</v>
      </c>
      <c r="D269" s="39">
        <f t="shared" si="8"/>
        <v>8752155</v>
      </c>
    </row>
    <row r="270" spans="2:4" x14ac:dyDescent="0.25">
      <c r="B270" s="89">
        <v>266</v>
      </c>
      <c r="C270" s="39">
        <f t="shared" si="9"/>
        <v>157992929.59999999</v>
      </c>
      <c r="D270" s="39">
        <f t="shared" si="8"/>
        <v>8785182</v>
      </c>
    </row>
    <row r="271" spans="2:4" x14ac:dyDescent="0.25">
      <c r="B271" s="89">
        <v>267</v>
      </c>
      <c r="C271" s="39">
        <f t="shared" si="9"/>
        <v>157992929.59999999</v>
      </c>
      <c r="D271" s="39">
        <f t="shared" si="8"/>
        <v>8818209</v>
      </c>
    </row>
    <row r="272" spans="2:4" x14ac:dyDescent="0.25">
      <c r="B272" s="89">
        <v>268</v>
      </c>
      <c r="C272" s="39">
        <f t="shared" si="9"/>
        <v>157992929.59999999</v>
      </c>
      <c r="D272" s="39">
        <f t="shared" si="8"/>
        <v>8851236</v>
      </c>
    </row>
    <row r="273" spans="2:4" x14ac:dyDescent="0.25">
      <c r="B273" s="89">
        <v>269</v>
      </c>
      <c r="C273" s="39">
        <f t="shared" si="9"/>
        <v>157992929.59999999</v>
      </c>
      <c r="D273" s="39">
        <f t="shared" si="8"/>
        <v>8884263</v>
      </c>
    </row>
    <row r="274" spans="2:4" x14ac:dyDescent="0.25">
      <c r="B274" s="89">
        <v>270</v>
      </c>
      <c r="C274" s="39">
        <f t="shared" si="9"/>
        <v>157992929.59999999</v>
      </c>
      <c r="D274" s="39">
        <f t="shared" si="8"/>
        <v>8917290</v>
      </c>
    </row>
    <row r="275" spans="2:4" x14ac:dyDescent="0.25">
      <c r="B275" s="89">
        <v>271</v>
      </c>
      <c r="C275" s="39">
        <f t="shared" si="9"/>
        <v>157992929.59999999</v>
      </c>
      <c r="D275" s="39">
        <f t="shared" si="8"/>
        <v>8950317</v>
      </c>
    </row>
    <row r="276" spans="2:4" x14ac:dyDescent="0.25">
      <c r="B276" s="89">
        <v>272</v>
      </c>
      <c r="C276" s="39">
        <f t="shared" si="9"/>
        <v>157992929.59999999</v>
      </c>
      <c r="D276" s="39">
        <f t="shared" si="8"/>
        <v>8983344</v>
      </c>
    </row>
    <row r="277" spans="2:4" x14ac:dyDescent="0.25">
      <c r="B277" s="89">
        <v>273</v>
      </c>
      <c r="C277" s="39">
        <f t="shared" si="9"/>
        <v>157992929.59999999</v>
      </c>
      <c r="D277" s="39">
        <f t="shared" si="8"/>
        <v>9016371</v>
      </c>
    </row>
    <row r="278" spans="2:4" x14ac:dyDescent="0.25">
      <c r="B278" s="89">
        <v>274</v>
      </c>
      <c r="C278" s="39">
        <f t="shared" si="9"/>
        <v>157992929.59999999</v>
      </c>
      <c r="D278" s="39">
        <f t="shared" si="8"/>
        <v>9049398</v>
      </c>
    </row>
    <row r="279" spans="2:4" x14ac:dyDescent="0.25">
      <c r="B279" s="89">
        <v>275</v>
      </c>
      <c r="C279" s="39">
        <f t="shared" si="9"/>
        <v>157992929.59999999</v>
      </c>
      <c r="D279" s="39">
        <f t="shared" si="8"/>
        <v>9082425</v>
      </c>
    </row>
    <row r="280" spans="2:4" x14ac:dyDescent="0.25">
      <c r="B280" s="89">
        <v>276</v>
      </c>
      <c r="C280" s="39">
        <f t="shared" si="9"/>
        <v>157992929.59999999</v>
      </c>
      <c r="D280" s="39">
        <f t="shared" si="8"/>
        <v>9115452</v>
      </c>
    </row>
    <row r="281" spans="2:4" x14ac:dyDescent="0.25">
      <c r="B281" s="89">
        <v>277</v>
      </c>
      <c r="C281" s="39">
        <f t="shared" si="9"/>
        <v>157992929.59999999</v>
      </c>
      <c r="D281" s="39">
        <f t="shared" si="8"/>
        <v>9148479</v>
      </c>
    </row>
    <row r="282" spans="2:4" x14ac:dyDescent="0.25">
      <c r="B282" s="89">
        <v>278</v>
      </c>
      <c r="C282" s="39">
        <f t="shared" si="9"/>
        <v>157992929.59999999</v>
      </c>
      <c r="D282" s="39">
        <f t="shared" si="8"/>
        <v>9181506</v>
      </c>
    </row>
    <row r="283" spans="2:4" x14ac:dyDescent="0.25">
      <c r="B283" s="89">
        <v>279</v>
      </c>
      <c r="C283" s="39">
        <f t="shared" si="9"/>
        <v>157992929.59999999</v>
      </c>
      <c r="D283" s="39">
        <f t="shared" si="8"/>
        <v>9214533</v>
      </c>
    </row>
    <row r="284" spans="2:4" x14ac:dyDescent="0.25">
      <c r="B284" s="89">
        <v>280</v>
      </c>
      <c r="C284" s="39">
        <f t="shared" si="9"/>
        <v>157992929.59999999</v>
      </c>
      <c r="D284" s="39">
        <f t="shared" si="8"/>
        <v>9247560</v>
      </c>
    </row>
    <row r="285" spans="2:4" x14ac:dyDescent="0.25">
      <c r="B285" s="89">
        <v>281</v>
      </c>
      <c r="C285" s="39">
        <f t="shared" si="9"/>
        <v>157992929.59999999</v>
      </c>
      <c r="D285" s="39">
        <f t="shared" si="8"/>
        <v>9280587</v>
      </c>
    </row>
    <row r="286" spans="2:4" x14ac:dyDescent="0.25">
      <c r="B286" s="89">
        <v>282</v>
      </c>
      <c r="C286" s="39">
        <f t="shared" si="9"/>
        <v>157992929.59999999</v>
      </c>
      <c r="D286" s="39">
        <f t="shared" si="8"/>
        <v>9313614</v>
      </c>
    </row>
    <row r="287" spans="2:4" x14ac:dyDescent="0.25">
      <c r="B287" s="89">
        <v>283</v>
      </c>
      <c r="C287" s="39">
        <f t="shared" si="9"/>
        <v>157992929.59999999</v>
      </c>
      <c r="D287" s="39">
        <f t="shared" si="8"/>
        <v>9346641</v>
      </c>
    </row>
    <row r="288" spans="2:4" x14ac:dyDescent="0.25">
      <c r="B288" s="89">
        <v>284</v>
      </c>
      <c r="C288" s="39">
        <f t="shared" si="9"/>
        <v>157992929.59999999</v>
      </c>
      <c r="D288" s="39">
        <f t="shared" si="8"/>
        <v>9379668</v>
      </c>
    </row>
    <row r="289" spans="2:4" x14ac:dyDescent="0.25">
      <c r="B289" s="89">
        <v>285</v>
      </c>
      <c r="C289" s="39">
        <f t="shared" si="9"/>
        <v>157992929.59999999</v>
      </c>
      <c r="D289" s="39">
        <f t="shared" si="8"/>
        <v>9412695</v>
      </c>
    </row>
    <row r="290" spans="2:4" x14ac:dyDescent="0.25">
      <c r="B290" s="89">
        <v>286</v>
      </c>
      <c r="C290" s="39">
        <f t="shared" si="9"/>
        <v>157992929.59999999</v>
      </c>
      <c r="D290" s="39">
        <f t="shared" si="8"/>
        <v>9445722</v>
      </c>
    </row>
    <row r="291" spans="2:4" x14ac:dyDescent="0.25">
      <c r="B291" s="89">
        <v>287</v>
      </c>
      <c r="C291" s="39">
        <f t="shared" si="9"/>
        <v>157992929.59999999</v>
      </c>
      <c r="D291" s="39">
        <f t="shared" si="8"/>
        <v>9478749</v>
      </c>
    </row>
    <row r="292" spans="2:4" x14ac:dyDescent="0.25">
      <c r="B292" s="89">
        <v>288</v>
      </c>
      <c r="C292" s="39">
        <f t="shared" si="9"/>
        <v>157992929.59999999</v>
      </c>
      <c r="D292" s="39">
        <f t="shared" si="8"/>
        <v>9511776</v>
      </c>
    </row>
    <row r="293" spans="2:4" x14ac:dyDescent="0.25">
      <c r="B293" s="89">
        <v>289</v>
      </c>
      <c r="C293" s="39">
        <f t="shared" si="9"/>
        <v>157992929.59999999</v>
      </c>
      <c r="D293" s="39">
        <f t="shared" si="8"/>
        <v>9544803</v>
      </c>
    </row>
    <row r="294" spans="2:4" x14ac:dyDescent="0.25">
      <c r="B294" s="89">
        <v>290</v>
      </c>
      <c r="C294" s="39">
        <f t="shared" si="9"/>
        <v>157992929.59999999</v>
      </c>
      <c r="D294" s="39">
        <f t="shared" si="8"/>
        <v>9577830</v>
      </c>
    </row>
    <row r="295" spans="2:4" x14ac:dyDescent="0.25">
      <c r="B295" s="89">
        <v>291</v>
      </c>
      <c r="C295" s="39">
        <f t="shared" si="9"/>
        <v>157992929.59999999</v>
      </c>
      <c r="D295" s="39">
        <f t="shared" si="8"/>
        <v>9610857</v>
      </c>
    </row>
    <row r="296" spans="2:4" x14ac:dyDescent="0.25">
      <c r="B296" s="89">
        <v>292</v>
      </c>
      <c r="C296" s="39">
        <f t="shared" si="9"/>
        <v>157992929.59999999</v>
      </c>
      <c r="D296" s="39">
        <f t="shared" si="8"/>
        <v>9643884</v>
      </c>
    </row>
    <row r="297" spans="2:4" x14ac:dyDescent="0.25">
      <c r="B297" s="89">
        <v>293</v>
      </c>
      <c r="C297" s="39">
        <f t="shared" si="9"/>
        <v>157992929.59999999</v>
      </c>
      <c r="D297" s="39">
        <f t="shared" si="8"/>
        <v>9676911</v>
      </c>
    </row>
    <row r="298" spans="2:4" x14ac:dyDescent="0.25">
      <c r="B298" s="89">
        <v>294</v>
      </c>
      <c r="C298" s="39">
        <f t="shared" si="9"/>
        <v>157992929.59999999</v>
      </c>
      <c r="D298" s="39">
        <f t="shared" si="8"/>
        <v>9709938</v>
      </c>
    </row>
    <row r="299" spans="2:4" x14ac:dyDescent="0.25">
      <c r="B299" s="89">
        <v>295</v>
      </c>
      <c r="C299" s="39">
        <f t="shared" si="9"/>
        <v>157992929.59999999</v>
      </c>
      <c r="D299" s="39">
        <f t="shared" si="8"/>
        <v>9742965</v>
      </c>
    </row>
    <row r="300" spans="2:4" x14ac:dyDescent="0.25">
      <c r="B300" s="89">
        <v>296</v>
      </c>
      <c r="C300" s="39">
        <f t="shared" si="9"/>
        <v>157992929.59999999</v>
      </c>
      <c r="D300" s="39">
        <f t="shared" si="8"/>
        <v>9775992</v>
      </c>
    </row>
    <row r="301" spans="2:4" x14ac:dyDescent="0.25">
      <c r="B301" s="89">
        <v>297</v>
      </c>
      <c r="C301" s="39">
        <f t="shared" si="9"/>
        <v>157992929.59999999</v>
      </c>
      <c r="D301" s="39">
        <f t="shared" si="8"/>
        <v>9809019</v>
      </c>
    </row>
    <row r="302" spans="2:4" x14ac:dyDescent="0.25">
      <c r="B302" s="89">
        <v>298</v>
      </c>
      <c r="C302" s="39">
        <f t="shared" si="9"/>
        <v>157992929.59999999</v>
      </c>
      <c r="D302" s="39">
        <f t="shared" si="8"/>
        <v>9842046</v>
      </c>
    </row>
    <row r="303" spans="2:4" x14ac:dyDescent="0.25">
      <c r="B303" s="89">
        <v>299</v>
      </c>
      <c r="C303" s="39">
        <f t="shared" si="9"/>
        <v>157992929.59999999</v>
      </c>
      <c r="D303" s="39">
        <f t="shared" si="8"/>
        <v>9875073</v>
      </c>
    </row>
    <row r="304" spans="2:4" x14ac:dyDescent="0.25">
      <c r="B304" s="89">
        <v>300</v>
      </c>
      <c r="C304" s="39">
        <f t="shared" si="9"/>
        <v>157992929.59999999</v>
      </c>
      <c r="D304" s="39">
        <f t="shared" si="8"/>
        <v>9908100</v>
      </c>
    </row>
    <row r="305" spans="2:4" x14ac:dyDescent="0.25">
      <c r="B305" s="89">
        <v>301</v>
      </c>
      <c r="C305" s="39">
        <f t="shared" si="9"/>
        <v>157992929.59999999</v>
      </c>
      <c r="D305" s="39">
        <f t="shared" ref="D305:D368" si="10">$D$2*B305</f>
        <v>9941127</v>
      </c>
    </row>
    <row r="306" spans="2:4" x14ac:dyDescent="0.25">
      <c r="B306" s="89">
        <v>302</v>
      </c>
      <c r="C306" s="39">
        <f t="shared" si="9"/>
        <v>157992929.59999999</v>
      </c>
      <c r="D306" s="39">
        <f t="shared" si="10"/>
        <v>9974154</v>
      </c>
    </row>
    <row r="307" spans="2:4" x14ac:dyDescent="0.25">
      <c r="B307" s="89">
        <v>303</v>
      </c>
      <c r="C307" s="39">
        <f t="shared" si="9"/>
        <v>157992929.59999999</v>
      </c>
      <c r="D307" s="39">
        <f t="shared" si="10"/>
        <v>10007181</v>
      </c>
    </row>
    <row r="308" spans="2:4" x14ac:dyDescent="0.25">
      <c r="B308" s="89">
        <v>304</v>
      </c>
      <c r="C308" s="39">
        <f t="shared" si="9"/>
        <v>157992929.59999999</v>
      </c>
      <c r="D308" s="39">
        <f t="shared" si="10"/>
        <v>10040208</v>
      </c>
    </row>
    <row r="309" spans="2:4" x14ac:dyDescent="0.25">
      <c r="B309" s="89">
        <v>305</v>
      </c>
      <c r="C309" s="39">
        <f t="shared" si="9"/>
        <v>157992929.59999999</v>
      </c>
      <c r="D309" s="39">
        <f t="shared" si="10"/>
        <v>10073235</v>
      </c>
    </row>
    <row r="310" spans="2:4" x14ac:dyDescent="0.25">
      <c r="B310" s="89">
        <v>306</v>
      </c>
      <c r="C310" s="39">
        <f t="shared" si="9"/>
        <v>157992929.59999999</v>
      </c>
      <c r="D310" s="39">
        <f t="shared" si="10"/>
        <v>10106262</v>
      </c>
    </row>
    <row r="311" spans="2:4" x14ac:dyDescent="0.25">
      <c r="B311" s="89">
        <v>307</v>
      </c>
      <c r="C311" s="39">
        <f t="shared" si="9"/>
        <v>157992929.59999999</v>
      </c>
      <c r="D311" s="39">
        <f t="shared" si="10"/>
        <v>10139289</v>
      </c>
    </row>
    <row r="312" spans="2:4" x14ac:dyDescent="0.25">
      <c r="B312" s="89">
        <v>308</v>
      </c>
      <c r="C312" s="39">
        <f t="shared" si="9"/>
        <v>157992929.59999999</v>
      </c>
      <c r="D312" s="39">
        <f t="shared" si="10"/>
        <v>10172316</v>
      </c>
    </row>
    <row r="313" spans="2:4" x14ac:dyDescent="0.25">
      <c r="B313" s="89">
        <v>309</v>
      </c>
      <c r="C313" s="39">
        <f t="shared" si="9"/>
        <v>157992929.59999999</v>
      </c>
      <c r="D313" s="39">
        <f t="shared" si="10"/>
        <v>10205343</v>
      </c>
    </row>
    <row r="314" spans="2:4" x14ac:dyDescent="0.25">
      <c r="B314" s="89">
        <v>310</v>
      </c>
      <c r="C314" s="39">
        <f t="shared" si="9"/>
        <v>157992929.59999999</v>
      </c>
      <c r="D314" s="39">
        <f t="shared" si="10"/>
        <v>10238370</v>
      </c>
    </row>
    <row r="315" spans="2:4" x14ac:dyDescent="0.25">
      <c r="B315" s="89">
        <v>311</v>
      </c>
      <c r="C315" s="39">
        <f t="shared" si="9"/>
        <v>157992929.59999999</v>
      </c>
      <c r="D315" s="39">
        <f t="shared" si="10"/>
        <v>10271397</v>
      </c>
    </row>
    <row r="316" spans="2:4" x14ac:dyDescent="0.25">
      <c r="B316" s="89">
        <v>312</v>
      </c>
      <c r="C316" s="39">
        <f t="shared" si="9"/>
        <v>157992929.59999999</v>
      </c>
      <c r="D316" s="39">
        <f t="shared" si="10"/>
        <v>10304424</v>
      </c>
    </row>
    <row r="317" spans="2:4" x14ac:dyDescent="0.25">
      <c r="B317" s="89">
        <v>313</v>
      </c>
      <c r="C317" s="39">
        <f t="shared" si="9"/>
        <v>157992929.59999999</v>
      </c>
      <c r="D317" s="39">
        <f t="shared" si="10"/>
        <v>10337451</v>
      </c>
    </row>
    <row r="318" spans="2:4" x14ac:dyDescent="0.25">
      <c r="B318" s="89">
        <v>314</v>
      </c>
      <c r="C318" s="39">
        <f t="shared" si="9"/>
        <v>157992929.59999999</v>
      </c>
      <c r="D318" s="39">
        <f t="shared" si="10"/>
        <v>10370478</v>
      </c>
    </row>
    <row r="319" spans="2:4" x14ac:dyDescent="0.25">
      <c r="B319" s="89">
        <v>315</v>
      </c>
      <c r="C319" s="39">
        <f t="shared" si="9"/>
        <v>157992929.59999999</v>
      </c>
      <c r="D319" s="39">
        <f t="shared" si="10"/>
        <v>10403505</v>
      </c>
    </row>
    <row r="320" spans="2:4" x14ac:dyDescent="0.25">
      <c r="B320" s="89">
        <v>316</v>
      </c>
      <c r="C320" s="39">
        <f t="shared" si="9"/>
        <v>157992929.59999999</v>
      </c>
      <c r="D320" s="39">
        <f t="shared" si="10"/>
        <v>10436532</v>
      </c>
    </row>
    <row r="321" spans="2:4" x14ac:dyDescent="0.25">
      <c r="B321" s="89">
        <v>317</v>
      </c>
      <c r="C321" s="39">
        <f t="shared" si="9"/>
        <v>157992929.59999999</v>
      </c>
      <c r="D321" s="39">
        <f t="shared" si="10"/>
        <v>10469559</v>
      </c>
    </row>
    <row r="322" spans="2:4" x14ac:dyDescent="0.25">
      <c r="B322" s="89">
        <v>318</v>
      </c>
      <c r="C322" s="39">
        <f t="shared" si="9"/>
        <v>157992929.59999999</v>
      </c>
      <c r="D322" s="39">
        <f t="shared" si="10"/>
        <v>10502586</v>
      </c>
    </row>
    <row r="323" spans="2:4" x14ac:dyDescent="0.25">
      <c r="B323" s="89">
        <v>319</v>
      </c>
      <c r="C323" s="39">
        <f t="shared" si="9"/>
        <v>157992929.59999999</v>
      </c>
      <c r="D323" s="39">
        <f t="shared" si="10"/>
        <v>10535613</v>
      </c>
    </row>
    <row r="324" spans="2:4" x14ac:dyDescent="0.25">
      <c r="B324" s="89">
        <v>320</v>
      </c>
      <c r="C324" s="39">
        <f t="shared" si="9"/>
        <v>157992929.59999999</v>
      </c>
      <c r="D324" s="39">
        <f t="shared" si="10"/>
        <v>10568640</v>
      </c>
    </row>
    <row r="325" spans="2:4" x14ac:dyDescent="0.25">
      <c r="B325" s="89">
        <v>321</v>
      </c>
      <c r="C325" s="39">
        <f t="shared" si="9"/>
        <v>157992929.59999999</v>
      </c>
      <c r="D325" s="39">
        <f t="shared" si="10"/>
        <v>10601667</v>
      </c>
    </row>
    <row r="326" spans="2:4" x14ac:dyDescent="0.25">
      <c r="B326" s="89">
        <v>322</v>
      </c>
      <c r="C326" s="39">
        <f t="shared" ref="C326:C389" si="11">$C325</f>
        <v>157992929.59999999</v>
      </c>
      <c r="D326" s="39">
        <f t="shared" si="10"/>
        <v>10634694</v>
      </c>
    </row>
    <row r="327" spans="2:4" x14ac:dyDescent="0.25">
      <c r="B327" s="89">
        <v>323</v>
      </c>
      <c r="C327" s="39">
        <f t="shared" si="11"/>
        <v>157992929.59999999</v>
      </c>
      <c r="D327" s="39">
        <f t="shared" si="10"/>
        <v>10667721</v>
      </c>
    </row>
    <row r="328" spans="2:4" x14ac:dyDescent="0.25">
      <c r="B328" s="89">
        <v>324</v>
      </c>
      <c r="C328" s="39">
        <f t="shared" si="11"/>
        <v>157992929.59999999</v>
      </c>
      <c r="D328" s="39">
        <f t="shared" si="10"/>
        <v>10700748</v>
      </c>
    </row>
    <row r="329" spans="2:4" x14ac:dyDescent="0.25">
      <c r="B329" s="89">
        <v>325</v>
      </c>
      <c r="C329" s="39">
        <f t="shared" si="11"/>
        <v>157992929.59999999</v>
      </c>
      <c r="D329" s="39">
        <f t="shared" si="10"/>
        <v>10733775</v>
      </c>
    </row>
    <row r="330" spans="2:4" x14ac:dyDescent="0.25">
      <c r="B330" s="89">
        <v>326</v>
      </c>
      <c r="C330" s="39">
        <f t="shared" si="11"/>
        <v>157992929.59999999</v>
      </c>
      <c r="D330" s="39">
        <f t="shared" si="10"/>
        <v>10766802</v>
      </c>
    </row>
    <row r="331" spans="2:4" x14ac:dyDescent="0.25">
      <c r="B331" s="89">
        <v>327</v>
      </c>
      <c r="C331" s="39">
        <f t="shared" si="11"/>
        <v>157992929.59999999</v>
      </c>
      <c r="D331" s="39">
        <f t="shared" si="10"/>
        <v>10799829</v>
      </c>
    </row>
    <row r="332" spans="2:4" x14ac:dyDescent="0.25">
      <c r="B332" s="89">
        <v>328</v>
      </c>
      <c r="C332" s="39">
        <f t="shared" si="11"/>
        <v>157992929.59999999</v>
      </c>
      <c r="D332" s="39">
        <f t="shared" si="10"/>
        <v>10832856</v>
      </c>
    </row>
    <row r="333" spans="2:4" x14ac:dyDescent="0.25">
      <c r="B333" s="89">
        <v>329</v>
      </c>
      <c r="C333" s="39">
        <f t="shared" si="11"/>
        <v>157992929.59999999</v>
      </c>
      <c r="D333" s="39">
        <f t="shared" si="10"/>
        <v>10865883</v>
      </c>
    </row>
    <row r="334" spans="2:4" x14ac:dyDescent="0.25">
      <c r="B334" s="89">
        <v>330</v>
      </c>
      <c r="C334" s="39">
        <f t="shared" si="11"/>
        <v>157992929.59999999</v>
      </c>
      <c r="D334" s="39">
        <f t="shared" si="10"/>
        <v>10898910</v>
      </c>
    </row>
    <row r="335" spans="2:4" x14ac:dyDescent="0.25">
      <c r="B335" s="89">
        <v>331</v>
      </c>
      <c r="C335" s="39">
        <f t="shared" si="11"/>
        <v>157992929.59999999</v>
      </c>
      <c r="D335" s="39">
        <f t="shared" si="10"/>
        <v>10931937</v>
      </c>
    </row>
    <row r="336" spans="2:4" x14ac:dyDescent="0.25">
      <c r="B336" s="89">
        <v>332</v>
      </c>
      <c r="C336" s="39">
        <f t="shared" si="11"/>
        <v>157992929.59999999</v>
      </c>
      <c r="D336" s="39">
        <f t="shared" si="10"/>
        <v>10964964</v>
      </c>
    </row>
    <row r="337" spans="2:4" x14ac:dyDescent="0.25">
      <c r="B337" s="89">
        <v>333</v>
      </c>
      <c r="C337" s="39">
        <f t="shared" si="11"/>
        <v>157992929.59999999</v>
      </c>
      <c r="D337" s="39">
        <f t="shared" si="10"/>
        <v>10997991</v>
      </c>
    </row>
    <row r="338" spans="2:4" x14ac:dyDescent="0.25">
      <c r="B338" s="89">
        <v>334</v>
      </c>
      <c r="C338" s="39">
        <f t="shared" si="11"/>
        <v>157992929.59999999</v>
      </c>
      <c r="D338" s="39">
        <f t="shared" si="10"/>
        <v>11031018</v>
      </c>
    </row>
    <row r="339" spans="2:4" x14ac:dyDescent="0.25">
      <c r="B339" s="89">
        <v>335</v>
      </c>
      <c r="C339" s="39">
        <f t="shared" si="11"/>
        <v>157992929.59999999</v>
      </c>
      <c r="D339" s="39">
        <f t="shared" si="10"/>
        <v>11064045</v>
      </c>
    </row>
    <row r="340" spans="2:4" x14ac:dyDescent="0.25">
      <c r="B340" s="89">
        <v>336</v>
      </c>
      <c r="C340" s="39">
        <f t="shared" si="11"/>
        <v>157992929.59999999</v>
      </c>
      <c r="D340" s="39">
        <f t="shared" si="10"/>
        <v>11097072</v>
      </c>
    </row>
    <row r="341" spans="2:4" x14ac:dyDescent="0.25">
      <c r="B341" s="89">
        <v>337</v>
      </c>
      <c r="C341" s="39">
        <f t="shared" si="11"/>
        <v>157992929.59999999</v>
      </c>
      <c r="D341" s="39">
        <f t="shared" si="10"/>
        <v>11130099</v>
      </c>
    </row>
    <row r="342" spans="2:4" x14ac:dyDescent="0.25">
      <c r="B342" s="89">
        <v>338</v>
      </c>
      <c r="C342" s="39">
        <f t="shared" si="11"/>
        <v>157992929.59999999</v>
      </c>
      <c r="D342" s="39">
        <f t="shared" si="10"/>
        <v>11163126</v>
      </c>
    </row>
    <row r="343" spans="2:4" x14ac:dyDescent="0.25">
      <c r="B343" s="89">
        <v>339</v>
      </c>
      <c r="C343" s="39">
        <f t="shared" si="11"/>
        <v>157992929.59999999</v>
      </c>
      <c r="D343" s="39">
        <f t="shared" si="10"/>
        <v>11196153</v>
      </c>
    </row>
    <row r="344" spans="2:4" x14ac:dyDescent="0.25">
      <c r="B344" s="89">
        <v>340</v>
      </c>
      <c r="C344" s="39">
        <f t="shared" si="11"/>
        <v>157992929.59999999</v>
      </c>
      <c r="D344" s="39">
        <f t="shared" si="10"/>
        <v>11229180</v>
      </c>
    </row>
    <row r="345" spans="2:4" x14ac:dyDescent="0.25">
      <c r="B345" s="89">
        <v>341</v>
      </c>
      <c r="C345" s="39">
        <f t="shared" si="11"/>
        <v>157992929.59999999</v>
      </c>
      <c r="D345" s="39">
        <f t="shared" si="10"/>
        <v>11262207</v>
      </c>
    </row>
    <row r="346" spans="2:4" x14ac:dyDescent="0.25">
      <c r="B346" s="89">
        <v>342</v>
      </c>
      <c r="C346" s="39">
        <f t="shared" si="11"/>
        <v>157992929.59999999</v>
      </c>
      <c r="D346" s="39">
        <f t="shared" si="10"/>
        <v>11295234</v>
      </c>
    </row>
    <row r="347" spans="2:4" x14ac:dyDescent="0.25">
      <c r="B347" s="89">
        <v>343</v>
      </c>
      <c r="C347" s="39">
        <f t="shared" si="11"/>
        <v>157992929.59999999</v>
      </c>
      <c r="D347" s="39">
        <f t="shared" si="10"/>
        <v>11328261</v>
      </c>
    </row>
    <row r="348" spans="2:4" x14ac:dyDescent="0.25">
      <c r="B348" s="89">
        <v>344</v>
      </c>
      <c r="C348" s="39">
        <f t="shared" si="11"/>
        <v>157992929.59999999</v>
      </c>
      <c r="D348" s="39">
        <f t="shared" si="10"/>
        <v>11361288</v>
      </c>
    </row>
    <row r="349" spans="2:4" x14ac:dyDescent="0.25">
      <c r="B349" s="89">
        <v>345</v>
      </c>
      <c r="C349" s="39">
        <f t="shared" si="11"/>
        <v>157992929.59999999</v>
      </c>
      <c r="D349" s="39">
        <f t="shared" si="10"/>
        <v>11394315</v>
      </c>
    </row>
    <row r="350" spans="2:4" x14ac:dyDescent="0.25">
      <c r="B350" s="89">
        <v>346</v>
      </c>
      <c r="C350" s="39">
        <f t="shared" si="11"/>
        <v>157992929.59999999</v>
      </c>
      <c r="D350" s="39">
        <f t="shared" si="10"/>
        <v>11427342</v>
      </c>
    </row>
    <row r="351" spans="2:4" x14ac:dyDescent="0.25">
      <c r="B351" s="89">
        <v>347</v>
      </c>
      <c r="C351" s="39">
        <f t="shared" si="11"/>
        <v>157992929.59999999</v>
      </c>
      <c r="D351" s="39">
        <f t="shared" si="10"/>
        <v>11460369</v>
      </c>
    </row>
    <row r="352" spans="2:4" x14ac:dyDescent="0.25">
      <c r="B352" s="89">
        <v>348</v>
      </c>
      <c r="C352" s="39">
        <f t="shared" si="11"/>
        <v>157992929.59999999</v>
      </c>
      <c r="D352" s="39">
        <f t="shared" si="10"/>
        <v>11493396</v>
      </c>
    </row>
    <row r="353" spans="2:4" x14ac:dyDescent="0.25">
      <c r="B353" s="89">
        <v>349</v>
      </c>
      <c r="C353" s="39">
        <f t="shared" si="11"/>
        <v>157992929.59999999</v>
      </c>
      <c r="D353" s="39">
        <f t="shared" si="10"/>
        <v>11526423</v>
      </c>
    </row>
    <row r="354" spans="2:4" x14ac:dyDescent="0.25">
      <c r="B354" s="89">
        <v>350</v>
      </c>
      <c r="C354" s="39">
        <f t="shared" si="11"/>
        <v>157992929.59999999</v>
      </c>
      <c r="D354" s="39">
        <f t="shared" si="10"/>
        <v>11559450</v>
      </c>
    </row>
    <row r="355" spans="2:4" x14ac:dyDescent="0.25">
      <c r="B355" s="89">
        <v>351</v>
      </c>
      <c r="C355" s="39">
        <f t="shared" si="11"/>
        <v>157992929.59999999</v>
      </c>
      <c r="D355" s="39">
        <f t="shared" si="10"/>
        <v>11592477</v>
      </c>
    </row>
    <row r="356" spans="2:4" x14ac:dyDescent="0.25">
      <c r="B356" s="89">
        <v>352</v>
      </c>
      <c r="C356" s="39">
        <f t="shared" si="11"/>
        <v>157992929.59999999</v>
      </c>
      <c r="D356" s="39">
        <f t="shared" si="10"/>
        <v>11625504</v>
      </c>
    </row>
    <row r="357" spans="2:4" x14ac:dyDescent="0.25">
      <c r="B357" s="89">
        <v>353</v>
      </c>
      <c r="C357" s="39">
        <f t="shared" si="11"/>
        <v>157992929.59999999</v>
      </c>
      <c r="D357" s="39">
        <f t="shared" si="10"/>
        <v>11658531</v>
      </c>
    </row>
    <row r="358" spans="2:4" x14ac:dyDescent="0.25">
      <c r="B358" s="89">
        <v>354</v>
      </c>
      <c r="C358" s="39">
        <f t="shared" si="11"/>
        <v>157992929.59999999</v>
      </c>
      <c r="D358" s="39">
        <f t="shared" si="10"/>
        <v>11691558</v>
      </c>
    </row>
    <row r="359" spans="2:4" x14ac:dyDescent="0.25">
      <c r="B359" s="89">
        <v>355</v>
      </c>
      <c r="C359" s="39">
        <f t="shared" si="11"/>
        <v>157992929.59999999</v>
      </c>
      <c r="D359" s="39">
        <f t="shared" si="10"/>
        <v>11724585</v>
      </c>
    </row>
    <row r="360" spans="2:4" x14ac:dyDescent="0.25">
      <c r="B360" s="89">
        <v>356</v>
      </c>
      <c r="C360" s="39">
        <f t="shared" si="11"/>
        <v>157992929.59999999</v>
      </c>
      <c r="D360" s="39">
        <f t="shared" si="10"/>
        <v>11757612</v>
      </c>
    </row>
    <row r="361" spans="2:4" x14ac:dyDescent="0.25">
      <c r="B361" s="89">
        <v>357</v>
      </c>
      <c r="C361" s="39">
        <f t="shared" si="11"/>
        <v>157992929.59999999</v>
      </c>
      <c r="D361" s="39">
        <f t="shared" si="10"/>
        <v>11790639</v>
      </c>
    </row>
    <row r="362" spans="2:4" x14ac:dyDescent="0.25">
      <c r="B362" s="89">
        <v>358</v>
      </c>
      <c r="C362" s="39">
        <f t="shared" si="11"/>
        <v>157992929.59999999</v>
      </c>
      <c r="D362" s="39">
        <f t="shared" si="10"/>
        <v>11823666</v>
      </c>
    </row>
    <row r="363" spans="2:4" x14ac:dyDescent="0.25">
      <c r="B363" s="89">
        <v>359</v>
      </c>
      <c r="C363" s="39">
        <f t="shared" si="11"/>
        <v>157992929.59999999</v>
      </c>
      <c r="D363" s="39">
        <f t="shared" si="10"/>
        <v>11856693</v>
      </c>
    </row>
    <row r="364" spans="2:4" x14ac:dyDescent="0.25">
      <c r="B364" s="89">
        <v>360</v>
      </c>
      <c r="C364" s="39">
        <f t="shared" si="11"/>
        <v>157992929.59999999</v>
      </c>
      <c r="D364" s="39">
        <f t="shared" si="10"/>
        <v>11889720</v>
      </c>
    </row>
    <row r="365" spans="2:4" x14ac:dyDescent="0.25">
      <c r="B365" s="89">
        <v>361</v>
      </c>
      <c r="C365" s="39">
        <f t="shared" si="11"/>
        <v>157992929.59999999</v>
      </c>
      <c r="D365" s="39">
        <f t="shared" si="10"/>
        <v>11922747</v>
      </c>
    </row>
    <row r="366" spans="2:4" x14ac:dyDescent="0.25">
      <c r="B366" s="89">
        <v>362</v>
      </c>
      <c r="C366" s="39">
        <f t="shared" si="11"/>
        <v>157992929.59999999</v>
      </c>
      <c r="D366" s="39">
        <f t="shared" si="10"/>
        <v>11955774</v>
      </c>
    </row>
    <row r="367" spans="2:4" x14ac:dyDescent="0.25">
      <c r="B367" s="89">
        <v>363</v>
      </c>
      <c r="C367" s="39">
        <f t="shared" si="11"/>
        <v>157992929.59999999</v>
      </c>
      <c r="D367" s="39">
        <f t="shared" si="10"/>
        <v>11988801</v>
      </c>
    </row>
    <row r="368" spans="2:4" x14ac:dyDescent="0.25">
      <c r="B368" s="89">
        <v>364</v>
      </c>
      <c r="C368" s="39">
        <f t="shared" si="11"/>
        <v>157992929.59999999</v>
      </c>
      <c r="D368" s="39">
        <f t="shared" si="10"/>
        <v>12021828</v>
      </c>
    </row>
    <row r="369" spans="2:4" x14ac:dyDescent="0.25">
      <c r="B369" s="89">
        <v>365</v>
      </c>
      <c r="C369" s="39">
        <f t="shared" si="11"/>
        <v>157992929.59999999</v>
      </c>
      <c r="D369" s="39">
        <f t="shared" ref="D369:D432" si="12">$D$2*B369</f>
        <v>12054855</v>
      </c>
    </row>
    <row r="370" spans="2:4" x14ac:dyDescent="0.25">
      <c r="B370" s="89">
        <v>366</v>
      </c>
      <c r="C370" s="39">
        <f t="shared" si="11"/>
        <v>157992929.59999999</v>
      </c>
      <c r="D370" s="39">
        <f t="shared" si="12"/>
        <v>12087882</v>
      </c>
    </row>
    <row r="371" spans="2:4" x14ac:dyDescent="0.25">
      <c r="B371" s="89">
        <v>367</v>
      </c>
      <c r="C371" s="39">
        <f t="shared" si="11"/>
        <v>157992929.59999999</v>
      </c>
      <c r="D371" s="39">
        <f t="shared" si="12"/>
        <v>12120909</v>
      </c>
    </row>
    <row r="372" spans="2:4" x14ac:dyDescent="0.25">
      <c r="B372" s="89">
        <v>368</v>
      </c>
      <c r="C372" s="39">
        <f t="shared" si="11"/>
        <v>157992929.59999999</v>
      </c>
      <c r="D372" s="39">
        <f t="shared" si="12"/>
        <v>12153936</v>
      </c>
    </row>
    <row r="373" spans="2:4" x14ac:dyDescent="0.25">
      <c r="B373" s="89">
        <v>369</v>
      </c>
      <c r="C373" s="39">
        <f t="shared" si="11"/>
        <v>157992929.59999999</v>
      </c>
      <c r="D373" s="39">
        <f t="shared" si="12"/>
        <v>12186963</v>
      </c>
    </row>
    <row r="374" spans="2:4" x14ac:dyDescent="0.25">
      <c r="B374" s="89">
        <v>370</v>
      </c>
      <c r="C374" s="39">
        <f t="shared" si="11"/>
        <v>157992929.59999999</v>
      </c>
      <c r="D374" s="39">
        <f t="shared" si="12"/>
        <v>12219990</v>
      </c>
    </row>
    <row r="375" spans="2:4" x14ac:dyDescent="0.25">
      <c r="B375" s="89">
        <v>371</v>
      </c>
      <c r="C375" s="39">
        <f t="shared" si="11"/>
        <v>157992929.59999999</v>
      </c>
      <c r="D375" s="39">
        <f t="shared" si="12"/>
        <v>12253017</v>
      </c>
    </row>
    <row r="376" spans="2:4" x14ac:dyDescent="0.25">
      <c r="B376" s="89">
        <v>372</v>
      </c>
      <c r="C376" s="39">
        <f t="shared" si="11"/>
        <v>157992929.59999999</v>
      </c>
      <c r="D376" s="39">
        <f t="shared" si="12"/>
        <v>12286044</v>
      </c>
    </row>
    <row r="377" spans="2:4" x14ac:dyDescent="0.25">
      <c r="B377" s="89">
        <v>373</v>
      </c>
      <c r="C377" s="39">
        <f t="shared" si="11"/>
        <v>157992929.59999999</v>
      </c>
      <c r="D377" s="39">
        <f t="shared" si="12"/>
        <v>12319071</v>
      </c>
    </row>
    <row r="378" spans="2:4" x14ac:dyDescent="0.25">
      <c r="B378" s="89">
        <v>374</v>
      </c>
      <c r="C378" s="39">
        <f t="shared" si="11"/>
        <v>157992929.59999999</v>
      </c>
      <c r="D378" s="39">
        <f t="shared" si="12"/>
        <v>12352098</v>
      </c>
    </row>
    <row r="379" spans="2:4" x14ac:dyDescent="0.25">
      <c r="B379" s="89">
        <v>375</v>
      </c>
      <c r="C379" s="39">
        <f t="shared" si="11"/>
        <v>157992929.59999999</v>
      </c>
      <c r="D379" s="39">
        <f t="shared" si="12"/>
        <v>12385125</v>
      </c>
    </row>
    <row r="380" spans="2:4" x14ac:dyDescent="0.25">
      <c r="B380" s="89">
        <v>376</v>
      </c>
      <c r="C380" s="39">
        <f t="shared" si="11"/>
        <v>157992929.59999999</v>
      </c>
      <c r="D380" s="39">
        <f t="shared" si="12"/>
        <v>12418152</v>
      </c>
    </row>
    <row r="381" spans="2:4" x14ac:dyDescent="0.25">
      <c r="B381" s="89">
        <v>377</v>
      </c>
      <c r="C381" s="39">
        <f t="shared" si="11"/>
        <v>157992929.59999999</v>
      </c>
      <c r="D381" s="39">
        <f t="shared" si="12"/>
        <v>12451179</v>
      </c>
    </row>
    <row r="382" spans="2:4" x14ac:dyDescent="0.25">
      <c r="B382" s="89">
        <v>378</v>
      </c>
      <c r="C382" s="39">
        <f t="shared" si="11"/>
        <v>157992929.59999999</v>
      </c>
      <c r="D382" s="39">
        <f t="shared" si="12"/>
        <v>12484206</v>
      </c>
    </row>
    <row r="383" spans="2:4" x14ac:dyDescent="0.25">
      <c r="B383" s="89">
        <v>379</v>
      </c>
      <c r="C383" s="39">
        <f t="shared" si="11"/>
        <v>157992929.59999999</v>
      </c>
      <c r="D383" s="39">
        <f t="shared" si="12"/>
        <v>12517233</v>
      </c>
    </row>
    <row r="384" spans="2:4" x14ac:dyDescent="0.25">
      <c r="B384" s="89">
        <v>380</v>
      </c>
      <c r="C384" s="39">
        <f t="shared" si="11"/>
        <v>157992929.59999999</v>
      </c>
      <c r="D384" s="39">
        <f t="shared" si="12"/>
        <v>12550260</v>
      </c>
    </row>
    <row r="385" spans="2:4" x14ac:dyDescent="0.25">
      <c r="B385" s="89">
        <v>381</v>
      </c>
      <c r="C385" s="39">
        <f t="shared" si="11"/>
        <v>157992929.59999999</v>
      </c>
      <c r="D385" s="39">
        <f t="shared" si="12"/>
        <v>12583287</v>
      </c>
    </row>
    <row r="386" spans="2:4" x14ac:dyDescent="0.25">
      <c r="B386" s="89">
        <v>382</v>
      </c>
      <c r="C386" s="39">
        <f t="shared" si="11"/>
        <v>157992929.59999999</v>
      </c>
      <c r="D386" s="39">
        <f t="shared" si="12"/>
        <v>12616314</v>
      </c>
    </row>
    <row r="387" spans="2:4" x14ac:dyDescent="0.25">
      <c r="B387" s="89">
        <v>383</v>
      </c>
      <c r="C387" s="39">
        <f t="shared" si="11"/>
        <v>157992929.59999999</v>
      </c>
      <c r="D387" s="39">
        <f t="shared" si="12"/>
        <v>12649341</v>
      </c>
    </row>
    <row r="388" spans="2:4" x14ac:dyDescent="0.25">
      <c r="B388" s="89">
        <v>384</v>
      </c>
      <c r="C388" s="39">
        <f t="shared" si="11"/>
        <v>157992929.59999999</v>
      </c>
      <c r="D388" s="39">
        <f t="shared" si="12"/>
        <v>12682368</v>
      </c>
    </row>
    <row r="389" spans="2:4" x14ac:dyDescent="0.25">
      <c r="B389" s="89">
        <v>385</v>
      </c>
      <c r="C389" s="39">
        <f t="shared" si="11"/>
        <v>157992929.59999999</v>
      </c>
      <c r="D389" s="39">
        <f t="shared" si="12"/>
        <v>12715395</v>
      </c>
    </row>
    <row r="390" spans="2:4" x14ac:dyDescent="0.25">
      <c r="B390" s="89">
        <v>386</v>
      </c>
      <c r="C390" s="39">
        <f t="shared" ref="C390:C453" si="13">$C389</f>
        <v>157992929.59999999</v>
      </c>
      <c r="D390" s="39">
        <f t="shared" si="12"/>
        <v>12748422</v>
      </c>
    </row>
    <row r="391" spans="2:4" x14ac:dyDescent="0.25">
      <c r="B391" s="89">
        <v>387</v>
      </c>
      <c r="C391" s="39">
        <f t="shared" si="13"/>
        <v>157992929.59999999</v>
      </c>
      <c r="D391" s="39">
        <f t="shared" si="12"/>
        <v>12781449</v>
      </c>
    </row>
    <row r="392" spans="2:4" x14ac:dyDescent="0.25">
      <c r="B392" s="89">
        <v>388</v>
      </c>
      <c r="C392" s="39">
        <f t="shared" si="13"/>
        <v>157992929.59999999</v>
      </c>
      <c r="D392" s="39">
        <f t="shared" si="12"/>
        <v>12814476</v>
      </c>
    </row>
    <row r="393" spans="2:4" x14ac:dyDescent="0.25">
      <c r="B393" s="89">
        <v>389</v>
      </c>
      <c r="C393" s="39">
        <f t="shared" si="13"/>
        <v>157992929.59999999</v>
      </c>
      <c r="D393" s="39">
        <f t="shared" si="12"/>
        <v>12847503</v>
      </c>
    </row>
    <row r="394" spans="2:4" x14ac:dyDescent="0.25">
      <c r="B394" s="89">
        <v>390</v>
      </c>
      <c r="C394" s="39">
        <f t="shared" si="13"/>
        <v>157992929.59999999</v>
      </c>
      <c r="D394" s="39">
        <f t="shared" si="12"/>
        <v>12880530</v>
      </c>
    </row>
    <row r="395" spans="2:4" x14ac:dyDescent="0.25">
      <c r="B395" s="89">
        <v>391</v>
      </c>
      <c r="C395" s="39">
        <f t="shared" si="13"/>
        <v>157992929.59999999</v>
      </c>
      <c r="D395" s="39">
        <f t="shared" si="12"/>
        <v>12913557</v>
      </c>
    </row>
    <row r="396" spans="2:4" x14ac:dyDescent="0.25">
      <c r="B396" s="89">
        <v>392</v>
      </c>
      <c r="C396" s="39">
        <f t="shared" si="13"/>
        <v>157992929.59999999</v>
      </c>
      <c r="D396" s="39">
        <f t="shared" si="12"/>
        <v>12946584</v>
      </c>
    </row>
    <row r="397" spans="2:4" x14ac:dyDescent="0.25">
      <c r="B397" s="89">
        <v>393</v>
      </c>
      <c r="C397" s="39">
        <f t="shared" si="13"/>
        <v>157992929.59999999</v>
      </c>
      <c r="D397" s="39">
        <f t="shared" si="12"/>
        <v>12979611</v>
      </c>
    </row>
    <row r="398" spans="2:4" x14ac:dyDescent="0.25">
      <c r="B398" s="89">
        <v>394</v>
      </c>
      <c r="C398" s="39">
        <f t="shared" si="13"/>
        <v>157992929.59999999</v>
      </c>
      <c r="D398" s="39">
        <f t="shared" si="12"/>
        <v>13012638</v>
      </c>
    </row>
    <row r="399" spans="2:4" x14ac:dyDescent="0.25">
      <c r="B399" s="89">
        <v>395</v>
      </c>
      <c r="C399" s="39">
        <f t="shared" si="13"/>
        <v>157992929.59999999</v>
      </c>
      <c r="D399" s="39">
        <f t="shared" si="12"/>
        <v>13045665</v>
      </c>
    </row>
    <row r="400" spans="2:4" x14ac:dyDescent="0.25">
      <c r="B400" s="89">
        <v>396</v>
      </c>
      <c r="C400" s="39">
        <f t="shared" si="13"/>
        <v>157992929.59999999</v>
      </c>
      <c r="D400" s="39">
        <f t="shared" si="12"/>
        <v>13078692</v>
      </c>
    </row>
    <row r="401" spans="2:4" x14ac:dyDescent="0.25">
      <c r="B401" s="89">
        <v>397</v>
      </c>
      <c r="C401" s="39">
        <f t="shared" si="13"/>
        <v>157992929.59999999</v>
      </c>
      <c r="D401" s="39">
        <f t="shared" si="12"/>
        <v>13111719</v>
      </c>
    </row>
    <row r="402" spans="2:4" x14ac:dyDescent="0.25">
      <c r="B402" s="89">
        <v>398</v>
      </c>
      <c r="C402" s="39">
        <f t="shared" si="13"/>
        <v>157992929.59999999</v>
      </c>
      <c r="D402" s="39">
        <f t="shared" si="12"/>
        <v>13144746</v>
      </c>
    </row>
    <row r="403" spans="2:4" x14ac:dyDescent="0.25">
      <c r="B403" s="89">
        <v>399</v>
      </c>
      <c r="C403" s="39">
        <f t="shared" si="13"/>
        <v>157992929.59999999</v>
      </c>
      <c r="D403" s="39">
        <f t="shared" si="12"/>
        <v>13177773</v>
      </c>
    </row>
    <row r="404" spans="2:4" x14ac:dyDescent="0.25">
      <c r="B404" s="89">
        <v>400</v>
      </c>
      <c r="C404" s="39">
        <f t="shared" si="13"/>
        <v>157992929.59999999</v>
      </c>
      <c r="D404" s="39">
        <f t="shared" si="12"/>
        <v>13210800</v>
      </c>
    </row>
    <row r="405" spans="2:4" x14ac:dyDescent="0.25">
      <c r="B405" s="89">
        <v>401</v>
      </c>
      <c r="C405" s="39">
        <f t="shared" si="13"/>
        <v>157992929.59999999</v>
      </c>
      <c r="D405" s="39">
        <f t="shared" si="12"/>
        <v>13243827</v>
      </c>
    </row>
    <row r="406" spans="2:4" x14ac:dyDescent="0.25">
      <c r="B406" s="89">
        <v>402</v>
      </c>
      <c r="C406" s="39">
        <f t="shared" si="13"/>
        <v>157992929.59999999</v>
      </c>
      <c r="D406" s="39">
        <f t="shared" si="12"/>
        <v>13276854</v>
      </c>
    </row>
    <row r="407" spans="2:4" x14ac:dyDescent="0.25">
      <c r="B407" s="89">
        <v>403</v>
      </c>
      <c r="C407" s="39">
        <f t="shared" si="13"/>
        <v>157992929.59999999</v>
      </c>
      <c r="D407" s="39">
        <f t="shared" si="12"/>
        <v>13309881</v>
      </c>
    </row>
    <row r="408" spans="2:4" x14ac:dyDescent="0.25">
      <c r="B408" s="89">
        <v>404</v>
      </c>
      <c r="C408" s="39">
        <f t="shared" si="13"/>
        <v>157992929.59999999</v>
      </c>
      <c r="D408" s="39">
        <f t="shared" si="12"/>
        <v>13342908</v>
      </c>
    </row>
    <row r="409" spans="2:4" x14ac:dyDescent="0.25">
      <c r="B409" s="89">
        <v>405</v>
      </c>
      <c r="C409" s="39">
        <f t="shared" si="13"/>
        <v>157992929.59999999</v>
      </c>
      <c r="D409" s="39">
        <f t="shared" si="12"/>
        <v>13375935</v>
      </c>
    </row>
    <row r="410" spans="2:4" x14ac:dyDescent="0.25">
      <c r="B410" s="89">
        <v>406</v>
      </c>
      <c r="C410" s="39">
        <f t="shared" si="13"/>
        <v>157992929.59999999</v>
      </c>
      <c r="D410" s="39">
        <f t="shared" si="12"/>
        <v>13408962</v>
      </c>
    </row>
    <row r="411" spans="2:4" x14ac:dyDescent="0.25">
      <c r="B411" s="89">
        <v>407</v>
      </c>
      <c r="C411" s="39">
        <f t="shared" si="13"/>
        <v>157992929.59999999</v>
      </c>
      <c r="D411" s="39">
        <f t="shared" si="12"/>
        <v>13441989</v>
      </c>
    </row>
    <row r="412" spans="2:4" x14ac:dyDescent="0.25">
      <c r="B412" s="89">
        <v>408</v>
      </c>
      <c r="C412" s="39">
        <f t="shared" si="13"/>
        <v>157992929.59999999</v>
      </c>
      <c r="D412" s="39">
        <f t="shared" si="12"/>
        <v>13475016</v>
      </c>
    </row>
    <row r="413" spans="2:4" x14ac:dyDescent="0.25">
      <c r="B413" s="89">
        <v>409</v>
      </c>
      <c r="C413" s="39">
        <f t="shared" si="13"/>
        <v>157992929.59999999</v>
      </c>
      <c r="D413" s="39">
        <f t="shared" si="12"/>
        <v>13508043</v>
      </c>
    </row>
    <row r="414" spans="2:4" x14ac:dyDescent="0.25">
      <c r="B414" s="89">
        <v>410</v>
      </c>
      <c r="C414" s="39">
        <f t="shared" si="13"/>
        <v>157992929.59999999</v>
      </c>
      <c r="D414" s="39">
        <f t="shared" si="12"/>
        <v>13541070</v>
      </c>
    </row>
    <row r="415" spans="2:4" x14ac:dyDescent="0.25">
      <c r="B415" s="89">
        <v>411</v>
      </c>
      <c r="C415" s="39">
        <f t="shared" si="13"/>
        <v>157992929.59999999</v>
      </c>
      <c r="D415" s="39">
        <f t="shared" si="12"/>
        <v>13574097</v>
      </c>
    </row>
    <row r="416" spans="2:4" x14ac:dyDescent="0.25">
      <c r="B416" s="89">
        <v>412</v>
      </c>
      <c r="C416" s="39">
        <f t="shared" si="13"/>
        <v>157992929.59999999</v>
      </c>
      <c r="D416" s="39">
        <f t="shared" si="12"/>
        <v>13607124</v>
      </c>
    </row>
    <row r="417" spans="2:4" x14ac:dyDescent="0.25">
      <c r="B417" s="89">
        <v>413</v>
      </c>
      <c r="C417" s="39">
        <f t="shared" si="13"/>
        <v>157992929.59999999</v>
      </c>
      <c r="D417" s="39">
        <f t="shared" si="12"/>
        <v>13640151</v>
      </c>
    </row>
    <row r="418" spans="2:4" x14ac:dyDescent="0.25">
      <c r="B418" s="89">
        <v>414</v>
      </c>
      <c r="C418" s="39">
        <f t="shared" si="13"/>
        <v>157992929.59999999</v>
      </c>
      <c r="D418" s="39">
        <f t="shared" si="12"/>
        <v>13673178</v>
      </c>
    </row>
    <row r="419" spans="2:4" x14ac:dyDescent="0.25">
      <c r="B419" s="89">
        <v>415</v>
      </c>
      <c r="C419" s="39">
        <f t="shared" si="13"/>
        <v>157992929.59999999</v>
      </c>
      <c r="D419" s="39">
        <f t="shared" si="12"/>
        <v>13706205</v>
      </c>
    </row>
    <row r="420" spans="2:4" x14ac:dyDescent="0.25">
      <c r="B420" s="89">
        <v>416</v>
      </c>
      <c r="C420" s="39">
        <f t="shared" si="13"/>
        <v>157992929.59999999</v>
      </c>
      <c r="D420" s="39">
        <f t="shared" si="12"/>
        <v>13739232</v>
      </c>
    </row>
    <row r="421" spans="2:4" x14ac:dyDescent="0.25">
      <c r="B421" s="89">
        <v>417</v>
      </c>
      <c r="C421" s="39">
        <f t="shared" si="13"/>
        <v>157992929.59999999</v>
      </c>
      <c r="D421" s="39">
        <f t="shared" si="12"/>
        <v>13772259</v>
      </c>
    </row>
    <row r="422" spans="2:4" x14ac:dyDescent="0.25">
      <c r="B422" s="89">
        <v>418</v>
      </c>
      <c r="C422" s="39">
        <f t="shared" si="13"/>
        <v>157992929.59999999</v>
      </c>
      <c r="D422" s="39">
        <f t="shared" si="12"/>
        <v>13805286</v>
      </c>
    </row>
    <row r="423" spans="2:4" x14ac:dyDescent="0.25">
      <c r="B423" s="89">
        <v>419</v>
      </c>
      <c r="C423" s="39">
        <f t="shared" si="13"/>
        <v>157992929.59999999</v>
      </c>
      <c r="D423" s="39">
        <f t="shared" si="12"/>
        <v>13838313</v>
      </c>
    </row>
    <row r="424" spans="2:4" x14ac:dyDescent="0.25">
      <c r="B424" s="89">
        <v>420</v>
      </c>
      <c r="C424" s="39">
        <f t="shared" si="13"/>
        <v>157992929.59999999</v>
      </c>
      <c r="D424" s="39">
        <f t="shared" si="12"/>
        <v>13871340</v>
      </c>
    </row>
    <row r="425" spans="2:4" x14ac:dyDescent="0.25">
      <c r="B425" s="89">
        <v>421</v>
      </c>
      <c r="C425" s="39">
        <f t="shared" si="13"/>
        <v>157992929.59999999</v>
      </c>
      <c r="D425" s="39">
        <f t="shared" si="12"/>
        <v>13904367</v>
      </c>
    </row>
    <row r="426" spans="2:4" x14ac:dyDescent="0.25">
      <c r="B426" s="89">
        <v>422</v>
      </c>
      <c r="C426" s="39">
        <f t="shared" si="13"/>
        <v>157992929.59999999</v>
      </c>
      <c r="D426" s="39">
        <f t="shared" si="12"/>
        <v>13937394</v>
      </c>
    </row>
    <row r="427" spans="2:4" x14ac:dyDescent="0.25">
      <c r="B427" s="89">
        <v>423</v>
      </c>
      <c r="C427" s="39">
        <f t="shared" si="13"/>
        <v>157992929.59999999</v>
      </c>
      <c r="D427" s="39">
        <f t="shared" si="12"/>
        <v>13970421</v>
      </c>
    </row>
    <row r="428" spans="2:4" x14ac:dyDescent="0.25">
      <c r="B428" s="89">
        <v>424</v>
      </c>
      <c r="C428" s="39">
        <f t="shared" si="13"/>
        <v>157992929.59999999</v>
      </c>
      <c r="D428" s="39">
        <f t="shared" si="12"/>
        <v>14003448</v>
      </c>
    </row>
    <row r="429" spans="2:4" x14ac:dyDescent="0.25">
      <c r="B429" s="89">
        <v>425</v>
      </c>
      <c r="C429" s="39">
        <f t="shared" si="13"/>
        <v>157992929.59999999</v>
      </c>
      <c r="D429" s="39">
        <f t="shared" si="12"/>
        <v>14036475</v>
      </c>
    </row>
    <row r="430" spans="2:4" x14ac:dyDescent="0.25">
      <c r="B430" s="89">
        <v>426</v>
      </c>
      <c r="C430" s="39">
        <f t="shared" si="13"/>
        <v>157992929.59999999</v>
      </c>
      <c r="D430" s="39">
        <f t="shared" si="12"/>
        <v>14069502</v>
      </c>
    </row>
    <row r="431" spans="2:4" x14ac:dyDescent="0.25">
      <c r="B431" s="89">
        <v>427</v>
      </c>
      <c r="C431" s="39">
        <f t="shared" si="13"/>
        <v>157992929.59999999</v>
      </c>
      <c r="D431" s="39">
        <f t="shared" si="12"/>
        <v>14102529</v>
      </c>
    </row>
    <row r="432" spans="2:4" x14ac:dyDescent="0.25">
      <c r="B432" s="89">
        <v>428</v>
      </c>
      <c r="C432" s="39">
        <f t="shared" si="13"/>
        <v>157992929.59999999</v>
      </c>
      <c r="D432" s="39">
        <f t="shared" si="12"/>
        <v>14135556</v>
      </c>
    </row>
    <row r="433" spans="2:4" x14ac:dyDescent="0.25">
      <c r="B433" s="89">
        <v>429</v>
      </c>
      <c r="C433" s="39">
        <f t="shared" si="13"/>
        <v>157992929.59999999</v>
      </c>
      <c r="D433" s="39">
        <f t="shared" ref="D433:D496" si="14">$D$2*B433</f>
        <v>14168583</v>
      </c>
    </row>
    <row r="434" spans="2:4" x14ac:dyDescent="0.25">
      <c r="B434" s="89">
        <v>430</v>
      </c>
      <c r="C434" s="39">
        <f t="shared" si="13"/>
        <v>157992929.59999999</v>
      </c>
      <c r="D434" s="39">
        <f t="shared" si="14"/>
        <v>14201610</v>
      </c>
    </row>
    <row r="435" spans="2:4" x14ac:dyDescent="0.25">
      <c r="B435" s="89">
        <v>431</v>
      </c>
      <c r="C435" s="39">
        <f t="shared" si="13"/>
        <v>157992929.59999999</v>
      </c>
      <c r="D435" s="39">
        <f t="shared" si="14"/>
        <v>14234637</v>
      </c>
    </row>
    <row r="436" spans="2:4" x14ac:dyDescent="0.25">
      <c r="B436" s="89">
        <v>432</v>
      </c>
      <c r="C436" s="39">
        <f t="shared" si="13"/>
        <v>157992929.59999999</v>
      </c>
      <c r="D436" s="39">
        <f t="shared" si="14"/>
        <v>14267664</v>
      </c>
    </row>
    <row r="437" spans="2:4" x14ac:dyDescent="0.25">
      <c r="B437" s="89">
        <v>433</v>
      </c>
      <c r="C437" s="39">
        <f t="shared" si="13"/>
        <v>157992929.59999999</v>
      </c>
      <c r="D437" s="39">
        <f t="shared" si="14"/>
        <v>14300691</v>
      </c>
    </row>
    <row r="438" spans="2:4" x14ac:dyDescent="0.25">
      <c r="B438" s="89">
        <v>434</v>
      </c>
      <c r="C438" s="39">
        <f t="shared" si="13"/>
        <v>157992929.59999999</v>
      </c>
      <c r="D438" s="39">
        <f t="shared" si="14"/>
        <v>14333718</v>
      </c>
    </row>
    <row r="439" spans="2:4" x14ac:dyDescent="0.25">
      <c r="B439" s="89">
        <v>435</v>
      </c>
      <c r="C439" s="39">
        <f t="shared" si="13"/>
        <v>157992929.59999999</v>
      </c>
      <c r="D439" s="39">
        <f t="shared" si="14"/>
        <v>14366745</v>
      </c>
    </row>
    <row r="440" spans="2:4" x14ac:dyDescent="0.25">
      <c r="B440" s="89">
        <v>436</v>
      </c>
      <c r="C440" s="39">
        <f t="shared" si="13"/>
        <v>157992929.59999999</v>
      </c>
      <c r="D440" s="39">
        <f t="shared" si="14"/>
        <v>14399772</v>
      </c>
    </row>
    <row r="441" spans="2:4" x14ac:dyDescent="0.25">
      <c r="B441" s="89">
        <v>437</v>
      </c>
      <c r="C441" s="39">
        <f t="shared" si="13"/>
        <v>157992929.59999999</v>
      </c>
      <c r="D441" s="39">
        <f t="shared" si="14"/>
        <v>14432799</v>
      </c>
    </row>
    <row r="442" spans="2:4" x14ac:dyDescent="0.25">
      <c r="B442" s="89">
        <v>438</v>
      </c>
      <c r="C442" s="39">
        <f t="shared" si="13"/>
        <v>157992929.59999999</v>
      </c>
      <c r="D442" s="39">
        <f t="shared" si="14"/>
        <v>14465826</v>
      </c>
    </row>
    <row r="443" spans="2:4" x14ac:dyDescent="0.25">
      <c r="B443" s="89">
        <v>439</v>
      </c>
      <c r="C443" s="39">
        <f t="shared" si="13"/>
        <v>157992929.59999999</v>
      </c>
      <c r="D443" s="39">
        <f t="shared" si="14"/>
        <v>14498853</v>
      </c>
    </row>
    <row r="444" spans="2:4" x14ac:dyDescent="0.25">
      <c r="B444" s="89">
        <v>440</v>
      </c>
      <c r="C444" s="39">
        <f t="shared" si="13"/>
        <v>157992929.59999999</v>
      </c>
      <c r="D444" s="39">
        <f t="shared" si="14"/>
        <v>14531880</v>
      </c>
    </row>
    <row r="445" spans="2:4" x14ac:dyDescent="0.25">
      <c r="B445" s="89">
        <v>441</v>
      </c>
      <c r="C445" s="39">
        <f t="shared" si="13"/>
        <v>157992929.59999999</v>
      </c>
      <c r="D445" s="39">
        <f t="shared" si="14"/>
        <v>14564907</v>
      </c>
    </row>
    <row r="446" spans="2:4" x14ac:dyDescent="0.25">
      <c r="B446" s="89">
        <v>442</v>
      </c>
      <c r="C446" s="39">
        <f t="shared" si="13"/>
        <v>157992929.59999999</v>
      </c>
      <c r="D446" s="39">
        <f t="shared" si="14"/>
        <v>14597934</v>
      </c>
    </row>
    <row r="447" spans="2:4" x14ac:dyDescent="0.25">
      <c r="B447" s="89">
        <v>443</v>
      </c>
      <c r="C447" s="39">
        <f t="shared" si="13"/>
        <v>157992929.59999999</v>
      </c>
      <c r="D447" s="39">
        <f t="shared" si="14"/>
        <v>14630961</v>
      </c>
    </row>
    <row r="448" spans="2:4" x14ac:dyDescent="0.25">
      <c r="B448" s="89">
        <v>444</v>
      </c>
      <c r="C448" s="39">
        <f t="shared" si="13"/>
        <v>157992929.59999999</v>
      </c>
      <c r="D448" s="39">
        <f t="shared" si="14"/>
        <v>14663988</v>
      </c>
    </row>
    <row r="449" spans="2:4" x14ac:dyDescent="0.25">
      <c r="B449" s="89">
        <v>445</v>
      </c>
      <c r="C449" s="39">
        <f t="shared" si="13"/>
        <v>157992929.59999999</v>
      </c>
      <c r="D449" s="39">
        <f t="shared" si="14"/>
        <v>14697015</v>
      </c>
    </row>
    <row r="450" spans="2:4" x14ac:dyDescent="0.25">
      <c r="B450" s="89">
        <v>446</v>
      </c>
      <c r="C450" s="39">
        <f t="shared" si="13"/>
        <v>157992929.59999999</v>
      </c>
      <c r="D450" s="39">
        <f t="shared" si="14"/>
        <v>14730042</v>
      </c>
    </row>
    <row r="451" spans="2:4" x14ac:dyDescent="0.25">
      <c r="B451" s="89">
        <v>447</v>
      </c>
      <c r="C451" s="39">
        <f t="shared" si="13"/>
        <v>157992929.59999999</v>
      </c>
      <c r="D451" s="39">
        <f t="shared" si="14"/>
        <v>14763069</v>
      </c>
    </row>
    <row r="452" spans="2:4" x14ac:dyDescent="0.25">
      <c r="B452" s="89">
        <v>448</v>
      </c>
      <c r="C452" s="39">
        <f t="shared" si="13"/>
        <v>157992929.59999999</v>
      </c>
      <c r="D452" s="39">
        <f t="shared" si="14"/>
        <v>14796096</v>
      </c>
    </row>
    <row r="453" spans="2:4" x14ac:dyDescent="0.25">
      <c r="B453" s="89">
        <v>449</v>
      </c>
      <c r="C453" s="39">
        <f t="shared" si="13"/>
        <v>157992929.59999999</v>
      </c>
      <c r="D453" s="39">
        <f t="shared" si="14"/>
        <v>14829123</v>
      </c>
    </row>
    <row r="454" spans="2:4" x14ac:dyDescent="0.25">
      <c r="B454" s="89">
        <v>450</v>
      </c>
      <c r="C454" s="39">
        <f t="shared" ref="C454:C517" si="15">$C453</f>
        <v>157992929.59999999</v>
      </c>
      <c r="D454" s="39">
        <f t="shared" si="14"/>
        <v>14862150</v>
      </c>
    </row>
    <row r="455" spans="2:4" x14ac:dyDescent="0.25">
      <c r="B455" s="89">
        <v>451</v>
      </c>
      <c r="C455" s="39">
        <f t="shared" si="15"/>
        <v>157992929.59999999</v>
      </c>
      <c r="D455" s="39">
        <f t="shared" si="14"/>
        <v>14895177</v>
      </c>
    </row>
    <row r="456" spans="2:4" x14ac:dyDescent="0.25">
      <c r="B456" s="89">
        <v>452</v>
      </c>
      <c r="C456" s="39">
        <f t="shared" si="15"/>
        <v>157992929.59999999</v>
      </c>
      <c r="D456" s="39">
        <f t="shared" si="14"/>
        <v>14928204</v>
      </c>
    </row>
    <row r="457" spans="2:4" x14ac:dyDescent="0.25">
      <c r="B457" s="89">
        <v>453</v>
      </c>
      <c r="C457" s="39">
        <f t="shared" si="15"/>
        <v>157992929.59999999</v>
      </c>
      <c r="D457" s="39">
        <f t="shared" si="14"/>
        <v>14961231</v>
      </c>
    </row>
    <row r="458" spans="2:4" x14ac:dyDescent="0.25">
      <c r="B458" s="89">
        <v>454</v>
      </c>
      <c r="C458" s="39">
        <f t="shared" si="15"/>
        <v>157992929.59999999</v>
      </c>
      <c r="D458" s="39">
        <f t="shared" si="14"/>
        <v>14994258</v>
      </c>
    </row>
    <row r="459" spans="2:4" x14ac:dyDescent="0.25">
      <c r="B459" s="89">
        <v>455</v>
      </c>
      <c r="C459" s="39">
        <f t="shared" si="15"/>
        <v>157992929.59999999</v>
      </c>
      <c r="D459" s="39">
        <f t="shared" si="14"/>
        <v>15027285</v>
      </c>
    </row>
    <row r="460" spans="2:4" x14ac:dyDescent="0.25">
      <c r="B460" s="89">
        <v>456</v>
      </c>
      <c r="C460" s="39">
        <f t="shared" si="15"/>
        <v>157992929.59999999</v>
      </c>
      <c r="D460" s="39">
        <f t="shared" si="14"/>
        <v>15060312</v>
      </c>
    </row>
    <row r="461" spans="2:4" x14ac:dyDescent="0.25">
      <c r="B461" s="89">
        <v>457</v>
      </c>
      <c r="C461" s="39">
        <f t="shared" si="15"/>
        <v>157992929.59999999</v>
      </c>
      <c r="D461" s="39">
        <f t="shared" si="14"/>
        <v>15093339</v>
      </c>
    </row>
    <row r="462" spans="2:4" x14ac:dyDescent="0.25">
      <c r="B462" s="89">
        <v>458</v>
      </c>
      <c r="C462" s="39">
        <f t="shared" si="15"/>
        <v>157992929.59999999</v>
      </c>
      <c r="D462" s="39">
        <f t="shared" si="14"/>
        <v>15126366</v>
      </c>
    </row>
    <row r="463" spans="2:4" x14ac:dyDescent="0.25">
      <c r="B463" s="89">
        <v>459</v>
      </c>
      <c r="C463" s="39">
        <f t="shared" si="15"/>
        <v>157992929.59999999</v>
      </c>
      <c r="D463" s="39">
        <f t="shared" si="14"/>
        <v>15159393</v>
      </c>
    </row>
    <row r="464" spans="2:4" x14ac:dyDescent="0.25">
      <c r="B464" s="89">
        <v>460</v>
      </c>
      <c r="C464" s="39">
        <f t="shared" si="15"/>
        <v>157992929.59999999</v>
      </c>
      <c r="D464" s="39">
        <f t="shared" si="14"/>
        <v>15192420</v>
      </c>
    </row>
    <row r="465" spans="2:4" x14ac:dyDescent="0.25">
      <c r="B465" s="89">
        <v>461</v>
      </c>
      <c r="C465" s="39">
        <f t="shared" si="15"/>
        <v>157992929.59999999</v>
      </c>
      <c r="D465" s="39">
        <f t="shared" si="14"/>
        <v>15225447</v>
      </c>
    </row>
    <row r="466" spans="2:4" x14ac:dyDescent="0.25">
      <c r="B466" s="89">
        <v>462</v>
      </c>
      <c r="C466" s="39">
        <f t="shared" si="15"/>
        <v>157992929.59999999</v>
      </c>
      <c r="D466" s="39">
        <f t="shared" si="14"/>
        <v>15258474</v>
      </c>
    </row>
    <row r="467" spans="2:4" x14ac:dyDescent="0.25">
      <c r="B467" s="89">
        <v>463</v>
      </c>
      <c r="C467" s="39">
        <f t="shared" si="15"/>
        <v>157992929.59999999</v>
      </c>
      <c r="D467" s="39">
        <f t="shared" si="14"/>
        <v>15291501</v>
      </c>
    </row>
    <row r="468" spans="2:4" x14ac:dyDescent="0.25">
      <c r="B468" s="89">
        <v>464</v>
      </c>
      <c r="C468" s="39">
        <f t="shared" si="15"/>
        <v>157992929.59999999</v>
      </c>
      <c r="D468" s="39">
        <f t="shared" si="14"/>
        <v>15324528</v>
      </c>
    </row>
    <row r="469" spans="2:4" x14ac:dyDescent="0.25">
      <c r="B469" s="89">
        <v>465</v>
      </c>
      <c r="C469" s="39">
        <f t="shared" si="15"/>
        <v>157992929.59999999</v>
      </c>
      <c r="D469" s="39">
        <f t="shared" si="14"/>
        <v>15357555</v>
      </c>
    </row>
    <row r="470" spans="2:4" x14ac:dyDescent="0.25">
      <c r="B470" s="89">
        <v>466</v>
      </c>
      <c r="C470" s="39">
        <f t="shared" si="15"/>
        <v>157992929.59999999</v>
      </c>
      <c r="D470" s="39">
        <f t="shared" si="14"/>
        <v>15390582</v>
      </c>
    </row>
    <row r="471" spans="2:4" x14ac:dyDescent="0.25">
      <c r="B471" s="89">
        <v>467</v>
      </c>
      <c r="C471" s="39">
        <f t="shared" si="15"/>
        <v>157992929.59999999</v>
      </c>
      <c r="D471" s="39">
        <f t="shared" si="14"/>
        <v>15423609</v>
      </c>
    </row>
    <row r="472" spans="2:4" x14ac:dyDescent="0.25">
      <c r="B472" s="89">
        <v>468</v>
      </c>
      <c r="C472" s="39">
        <f t="shared" si="15"/>
        <v>157992929.59999999</v>
      </c>
      <c r="D472" s="39">
        <f t="shared" si="14"/>
        <v>15456636</v>
      </c>
    </row>
    <row r="473" spans="2:4" x14ac:dyDescent="0.25">
      <c r="B473" s="89">
        <v>469</v>
      </c>
      <c r="C473" s="39">
        <f t="shared" si="15"/>
        <v>157992929.59999999</v>
      </c>
      <c r="D473" s="39">
        <f t="shared" si="14"/>
        <v>15489663</v>
      </c>
    </row>
    <row r="474" spans="2:4" x14ac:dyDescent="0.25">
      <c r="B474" s="89">
        <v>470</v>
      </c>
      <c r="C474" s="39">
        <f t="shared" si="15"/>
        <v>157992929.59999999</v>
      </c>
      <c r="D474" s="39">
        <f t="shared" si="14"/>
        <v>15522690</v>
      </c>
    </row>
    <row r="475" spans="2:4" x14ac:dyDescent="0.25">
      <c r="B475" s="89">
        <v>471</v>
      </c>
      <c r="C475" s="39">
        <f t="shared" si="15"/>
        <v>157992929.59999999</v>
      </c>
      <c r="D475" s="39">
        <f t="shared" si="14"/>
        <v>15555717</v>
      </c>
    </row>
    <row r="476" spans="2:4" x14ac:dyDescent="0.25">
      <c r="B476" s="89">
        <v>472</v>
      </c>
      <c r="C476" s="39">
        <f t="shared" si="15"/>
        <v>157992929.59999999</v>
      </c>
      <c r="D476" s="39">
        <f t="shared" si="14"/>
        <v>15588744</v>
      </c>
    </row>
    <row r="477" spans="2:4" x14ac:dyDescent="0.25">
      <c r="B477" s="89">
        <v>473</v>
      </c>
      <c r="C477" s="39">
        <f t="shared" si="15"/>
        <v>157992929.59999999</v>
      </c>
      <c r="D477" s="39">
        <f t="shared" si="14"/>
        <v>15621771</v>
      </c>
    </row>
    <row r="478" spans="2:4" x14ac:dyDescent="0.25">
      <c r="B478" s="89">
        <v>474</v>
      </c>
      <c r="C478" s="39">
        <f t="shared" si="15"/>
        <v>157992929.59999999</v>
      </c>
      <c r="D478" s="39">
        <f t="shared" si="14"/>
        <v>15654798</v>
      </c>
    </row>
    <row r="479" spans="2:4" x14ac:dyDescent="0.25">
      <c r="B479" s="89">
        <v>475</v>
      </c>
      <c r="C479" s="39">
        <f t="shared" si="15"/>
        <v>157992929.59999999</v>
      </c>
      <c r="D479" s="39">
        <f t="shared" si="14"/>
        <v>15687825</v>
      </c>
    </row>
    <row r="480" spans="2:4" x14ac:dyDescent="0.25">
      <c r="B480" s="89">
        <v>476</v>
      </c>
      <c r="C480" s="39">
        <f t="shared" si="15"/>
        <v>157992929.59999999</v>
      </c>
      <c r="D480" s="39">
        <f t="shared" si="14"/>
        <v>15720852</v>
      </c>
    </row>
    <row r="481" spans="2:4" x14ac:dyDescent="0.25">
      <c r="B481" s="89">
        <v>477</v>
      </c>
      <c r="C481" s="39">
        <f t="shared" si="15"/>
        <v>157992929.59999999</v>
      </c>
      <c r="D481" s="39">
        <f t="shared" si="14"/>
        <v>15753879</v>
      </c>
    </row>
    <row r="482" spans="2:4" x14ac:dyDescent="0.25">
      <c r="B482" s="89">
        <v>478</v>
      </c>
      <c r="C482" s="39">
        <f t="shared" si="15"/>
        <v>157992929.59999999</v>
      </c>
      <c r="D482" s="39">
        <f t="shared" si="14"/>
        <v>15786906</v>
      </c>
    </row>
    <row r="483" spans="2:4" x14ac:dyDescent="0.25">
      <c r="B483" s="89">
        <v>479</v>
      </c>
      <c r="C483" s="39">
        <f t="shared" si="15"/>
        <v>157992929.59999999</v>
      </c>
      <c r="D483" s="39">
        <f t="shared" si="14"/>
        <v>15819933</v>
      </c>
    </row>
    <row r="484" spans="2:4" x14ac:dyDescent="0.25">
      <c r="B484" s="89">
        <v>480</v>
      </c>
      <c r="C484" s="39">
        <f t="shared" si="15"/>
        <v>157992929.59999999</v>
      </c>
      <c r="D484" s="39">
        <f t="shared" si="14"/>
        <v>15852960</v>
      </c>
    </row>
    <row r="485" spans="2:4" x14ac:dyDescent="0.25">
      <c r="B485" s="89">
        <v>481</v>
      </c>
      <c r="C485" s="39">
        <f t="shared" si="15"/>
        <v>157992929.59999999</v>
      </c>
      <c r="D485" s="39">
        <f t="shared" si="14"/>
        <v>15885987</v>
      </c>
    </row>
    <row r="486" spans="2:4" x14ac:dyDescent="0.25">
      <c r="B486" s="89">
        <v>482</v>
      </c>
      <c r="C486" s="39">
        <f t="shared" si="15"/>
        <v>157992929.59999999</v>
      </c>
      <c r="D486" s="39">
        <f t="shared" si="14"/>
        <v>15919014</v>
      </c>
    </row>
    <row r="487" spans="2:4" x14ac:dyDescent="0.25">
      <c r="B487" s="89">
        <v>483</v>
      </c>
      <c r="C487" s="39">
        <f t="shared" si="15"/>
        <v>157992929.59999999</v>
      </c>
      <c r="D487" s="39">
        <f t="shared" si="14"/>
        <v>15952041</v>
      </c>
    </row>
    <row r="488" spans="2:4" x14ac:dyDescent="0.25">
      <c r="B488" s="89">
        <v>484</v>
      </c>
      <c r="C488" s="39">
        <f t="shared" si="15"/>
        <v>157992929.59999999</v>
      </c>
      <c r="D488" s="39">
        <f t="shared" si="14"/>
        <v>15985068</v>
      </c>
    </row>
    <row r="489" spans="2:4" x14ac:dyDescent="0.25">
      <c r="B489" s="89">
        <v>485</v>
      </c>
      <c r="C489" s="39">
        <f t="shared" si="15"/>
        <v>157992929.59999999</v>
      </c>
      <c r="D489" s="39">
        <f t="shared" si="14"/>
        <v>16018095</v>
      </c>
    </row>
    <row r="490" spans="2:4" x14ac:dyDescent="0.25">
      <c r="B490" s="89">
        <v>486</v>
      </c>
      <c r="C490" s="39">
        <f t="shared" si="15"/>
        <v>157992929.59999999</v>
      </c>
      <c r="D490" s="39">
        <f t="shared" si="14"/>
        <v>16051122</v>
      </c>
    </row>
    <row r="491" spans="2:4" x14ac:dyDescent="0.25">
      <c r="B491" s="89">
        <v>487</v>
      </c>
      <c r="C491" s="39">
        <f t="shared" si="15"/>
        <v>157992929.59999999</v>
      </c>
      <c r="D491" s="39">
        <f t="shared" si="14"/>
        <v>16084149</v>
      </c>
    </row>
    <row r="492" spans="2:4" x14ac:dyDescent="0.25">
      <c r="B492" s="89">
        <v>488</v>
      </c>
      <c r="C492" s="39">
        <f t="shared" si="15"/>
        <v>157992929.59999999</v>
      </c>
      <c r="D492" s="39">
        <f t="shared" si="14"/>
        <v>16117176</v>
      </c>
    </row>
    <row r="493" spans="2:4" x14ac:dyDescent="0.25">
      <c r="B493" s="89">
        <v>489</v>
      </c>
      <c r="C493" s="39">
        <f t="shared" si="15"/>
        <v>157992929.59999999</v>
      </c>
      <c r="D493" s="39">
        <f t="shared" si="14"/>
        <v>16150203</v>
      </c>
    </row>
    <row r="494" spans="2:4" x14ac:dyDescent="0.25">
      <c r="B494" s="89">
        <v>490</v>
      </c>
      <c r="C494" s="39">
        <f t="shared" si="15"/>
        <v>157992929.59999999</v>
      </c>
      <c r="D494" s="39">
        <f t="shared" si="14"/>
        <v>16183230</v>
      </c>
    </row>
    <row r="495" spans="2:4" x14ac:dyDescent="0.25">
      <c r="B495" s="89">
        <v>491</v>
      </c>
      <c r="C495" s="39">
        <f t="shared" si="15"/>
        <v>157992929.59999999</v>
      </c>
      <c r="D495" s="39">
        <f t="shared" si="14"/>
        <v>16216257</v>
      </c>
    </row>
    <row r="496" spans="2:4" x14ac:dyDescent="0.25">
      <c r="B496" s="89">
        <v>492</v>
      </c>
      <c r="C496" s="39">
        <f t="shared" si="15"/>
        <v>157992929.59999999</v>
      </c>
      <c r="D496" s="39">
        <f t="shared" si="14"/>
        <v>16249284</v>
      </c>
    </row>
    <row r="497" spans="2:4" x14ac:dyDescent="0.25">
      <c r="B497" s="89">
        <v>493</v>
      </c>
      <c r="C497" s="39">
        <f t="shared" si="15"/>
        <v>157992929.59999999</v>
      </c>
      <c r="D497" s="39">
        <f t="shared" ref="D497:D560" si="16">$D$2*B497</f>
        <v>16282311</v>
      </c>
    </row>
    <row r="498" spans="2:4" x14ac:dyDescent="0.25">
      <c r="B498" s="89">
        <v>494</v>
      </c>
      <c r="C498" s="39">
        <f t="shared" si="15"/>
        <v>157992929.59999999</v>
      </c>
      <c r="D498" s="39">
        <f t="shared" si="16"/>
        <v>16315338</v>
      </c>
    </row>
    <row r="499" spans="2:4" x14ac:dyDescent="0.25">
      <c r="B499" s="89">
        <v>495</v>
      </c>
      <c r="C499" s="39">
        <f t="shared" si="15"/>
        <v>157992929.59999999</v>
      </c>
      <c r="D499" s="39">
        <f t="shared" si="16"/>
        <v>16348365</v>
      </c>
    </row>
    <row r="500" spans="2:4" x14ac:dyDescent="0.25">
      <c r="B500" s="89">
        <v>496</v>
      </c>
      <c r="C500" s="39">
        <f t="shared" si="15"/>
        <v>157992929.59999999</v>
      </c>
      <c r="D500" s="39">
        <f t="shared" si="16"/>
        <v>16381392</v>
      </c>
    </row>
    <row r="501" spans="2:4" x14ac:dyDescent="0.25">
      <c r="B501" s="89">
        <v>497</v>
      </c>
      <c r="C501" s="39">
        <f t="shared" si="15"/>
        <v>157992929.59999999</v>
      </c>
      <c r="D501" s="39">
        <f t="shared" si="16"/>
        <v>16414419</v>
      </c>
    </row>
    <row r="502" spans="2:4" x14ac:dyDescent="0.25">
      <c r="B502" s="89">
        <v>498</v>
      </c>
      <c r="C502" s="39">
        <f t="shared" si="15"/>
        <v>157992929.59999999</v>
      </c>
      <c r="D502" s="39">
        <f t="shared" si="16"/>
        <v>16447446</v>
      </c>
    </row>
    <row r="503" spans="2:4" x14ac:dyDescent="0.25">
      <c r="B503" s="89">
        <v>499</v>
      </c>
      <c r="C503" s="39">
        <f t="shared" si="15"/>
        <v>157992929.59999999</v>
      </c>
      <c r="D503" s="39">
        <f t="shared" si="16"/>
        <v>16480473</v>
      </c>
    </row>
    <row r="504" spans="2:4" x14ac:dyDescent="0.25">
      <c r="B504" s="89">
        <v>500</v>
      </c>
      <c r="C504" s="39">
        <f t="shared" si="15"/>
        <v>157992929.59999999</v>
      </c>
      <c r="D504" s="39">
        <f t="shared" si="16"/>
        <v>16513500</v>
      </c>
    </row>
    <row r="505" spans="2:4" x14ac:dyDescent="0.25">
      <c r="B505" s="89">
        <v>501</v>
      </c>
      <c r="C505" s="39">
        <f t="shared" si="15"/>
        <v>157992929.59999999</v>
      </c>
      <c r="D505" s="39">
        <f t="shared" si="16"/>
        <v>16546527</v>
      </c>
    </row>
    <row r="506" spans="2:4" x14ac:dyDescent="0.25">
      <c r="B506" s="89">
        <v>502</v>
      </c>
      <c r="C506" s="39">
        <f t="shared" si="15"/>
        <v>157992929.59999999</v>
      </c>
      <c r="D506" s="39">
        <f t="shared" si="16"/>
        <v>16579554</v>
      </c>
    </row>
    <row r="507" spans="2:4" x14ac:dyDescent="0.25">
      <c r="B507" s="89">
        <v>503</v>
      </c>
      <c r="C507" s="39">
        <f t="shared" si="15"/>
        <v>157992929.59999999</v>
      </c>
      <c r="D507" s="39">
        <f t="shared" si="16"/>
        <v>16612581</v>
      </c>
    </row>
    <row r="508" spans="2:4" x14ac:dyDescent="0.25">
      <c r="B508" s="89">
        <v>504</v>
      </c>
      <c r="C508" s="39">
        <f t="shared" si="15"/>
        <v>157992929.59999999</v>
      </c>
      <c r="D508" s="39">
        <f t="shared" si="16"/>
        <v>16645608</v>
      </c>
    </row>
    <row r="509" spans="2:4" x14ac:dyDescent="0.25">
      <c r="B509" s="89">
        <v>505</v>
      </c>
      <c r="C509" s="39">
        <f t="shared" si="15"/>
        <v>157992929.59999999</v>
      </c>
      <c r="D509" s="39">
        <f t="shared" si="16"/>
        <v>16678635</v>
      </c>
    </row>
    <row r="510" spans="2:4" x14ac:dyDescent="0.25">
      <c r="B510" s="89">
        <v>506</v>
      </c>
      <c r="C510" s="39">
        <f t="shared" si="15"/>
        <v>157992929.59999999</v>
      </c>
      <c r="D510" s="39">
        <f t="shared" si="16"/>
        <v>16711662</v>
      </c>
    </row>
    <row r="511" spans="2:4" x14ac:dyDescent="0.25">
      <c r="B511" s="89">
        <v>507</v>
      </c>
      <c r="C511" s="39">
        <f t="shared" si="15"/>
        <v>157992929.59999999</v>
      </c>
      <c r="D511" s="39">
        <f t="shared" si="16"/>
        <v>16744689</v>
      </c>
    </row>
    <row r="512" spans="2:4" x14ac:dyDescent="0.25">
      <c r="B512" s="89">
        <v>508</v>
      </c>
      <c r="C512" s="39">
        <f t="shared" si="15"/>
        <v>157992929.59999999</v>
      </c>
      <c r="D512" s="39">
        <f t="shared" si="16"/>
        <v>16777716</v>
      </c>
    </row>
    <row r="513" spans="2:4" x14ac:dyDescent="0.25">
      <c r="B513" s="89">
        <v>509</v>
      </c>
      <c r="C513" s="39">
        <f t="shared" si="15"/>
        <v>157992929.59999999</v>
      </c>
      <c r="D513" s="39">
        <f t="shared" si="16"/>
        <v>16810743</v>
      </c>
    </row>
    <row r="514" spans="2:4" x14ac:dyDescent="0.25">
      <c r="B514" s="89">
        <v>510</v>
      </c>
      <c r="C514" s="39">
        <f t="shared" si="15"/>
        <v>157992929.59999999</v>
      </c>
      <c r="D514" s="39">
        <f t="shared" si="16"/>
        <v>16843770</v>
      </c>
    </row>
    <row r="515" spans="2:4" x14ac:dyDescent="0.25">
      <c r="B515" s="89">
        <v>511</v>
      </c>
      <c r="C515" s="39">
        <f t="shared" si="15"/>
        <v>157992929.59999999</v>
      </c>
      <c r="D515" s="39">
        <f t="shared" si="16"/>
        <v>16876797</v>
      </c>
    </row>
    <row r="516" spans="2:4" x14ac:dyDescent="0.25">
      <c r="B516" s="89">
        <v>512</v>
      </c>
      <c r="C516" s="39">
        <f t="shared" si="15"/>
        <v>157992929.59999999</v>
      </c>
      <c r="D516" s="39">
        <f t="shared" si="16"/>
        <v>16909824</v>
      </c>
    </row>
    <row r="517" spans="2:4" x14ac:dyDescent="0.25">
      <c r="B517" s="89">
        <v>513</v>
      </c>
      <c r="C517" s="39">
        <f t="shared" si="15"/>
        <v>157992929.59999999</v>
      </c>
      <c r="D517" s="39">
        <f t="shared" si="16"/>
        <v>16942851</v>
      </c>
    </row>
    <row r="518" spans="2:4" x14ac:dyDescent="0.25">
      <c r="B518" s="89">
        <v>514</v>
      </c>
      <c r="C518" s="39">
        <f t="shared" ref="C518:C581" si="17">$C517</f>
        <v>157992929.59999999</v>
      </c>
      <c r="D518" s="39">
        <f t="shared" si="16"/>
        <v>16975878</v>
      </c>
    </row>
    <row r="519" spans="2:4" x14ac:dyDescent="0.25">
      <c r="B519" s="89">
        <v>515</v>
      </c>
      <c r="C519" s="39">
        <f t="shared" si="17"/>
        <v>157992929.59999999</v>
      </c>
      <c r="D519" s="39">
        <f t="shared" si="16"/>
        <v>17008905</v>
      </c>
    </row>
    <row r="520" spans="2:4" x14ac:dyDescent="0.25">
      <c r="B520" s="89">
        <v>516</v>
      </c>
      <c r="C520" s="39">
        <f t="shared" si="17"/>
        <v>157992929.59999999</v>
      </c>
      <c r="D520" s="39">
        <f t="shared" si="16"/>
        <v>17041932</v>
      </c>
    </row>
    <row r="521" spans="2:4" x14ac:dyDescent="0.25">
      <c r="B521" s="89">
        <v>517</v>
      </c>
      <c r="C521" s="39">
        <f t="shared" si="17"/>
        <v>157992929.59999999</v>
      </c>
      <c r="D521" s="39">
        <f t="shared" si="16"/>
        <v>17074959</v>
      </c>
    </row>
    <row r="522" spans="2:4" x14ac:dyDescent="0.25">
      <c r="B522" s="89">
        <v>518</v>
      </c>
      <c r="C522" s="39">
        <f t="shared" si="17"/>
        <v>157992929.59999999</v>
      </c>
      <c r="D522" s="39">
        <f t="shared" si="16"/>
        <v>17107986</v>
      </c>
    </row>
    <row r="523" spans="2:4" x14ac:dyDescent="0.25">
      <c r="B523" s="89">
        <v>519</v>
      </c>
      <c r="C523" s="39">
        <f t="shared" si="17"/>
        <v>157992929.59999999</v>
      </c>
      <c r="D523" s="39">
        <f t="shared" si="16"/>
        <v>17141013</v>
      </c>
    </row>
    <row r="524" spans="2:4" x14ac:dyDescent="0.25">
      <c r="B524" s="89">
        <v>520</v>
      </c>
      <c r="C524" s="39">
        <f t="shared" si="17"/>
        <v>157992929.59999999</v>
      </c>
      <c r="D524" s="39">
        <f t="shared" si="16"/>
        <v>17174040</v>
      </c>
    </row>
    <row r="525" spans="2:4" x14ac:dyDescent="0.25">
      <c r="B525" s="89">
        <v>521</v>
      </c>
      <c r="C525" s="39">
        <f t="shared" si="17"/>
        <v>157992929.59999999</v>
      </c>
      <c r="D525" s="39">
        <f t="shared" si="16"/>
        <v>17207067</v>
      </c>
    </row>
    <row r="526" spans="2:4" x14ac:dyDescent="0.25">
      <c r="B526" s="89">
        <v>522</v>
      </c>
      <c r="C526" s="39">
        <f t="shared" si="17"/>
        <v>157992929.59999999</v>
      </c>
      <c r="D526" s="39">
        <f t="shared" si="16"/>
        <v>17240094</v>
      </c>
    </row>
    <row r="527" spans="2:4" x14ac:dyDescent="0.25">
      <c r="B527" s="89">
        <v>523</v>
      </c>
      <c r="C527" s="39">
        <f t="shared" si="17"/>
        <v>157992929.59999999</v>
      </c>
      <c r="D527" s="39">
        <f t="shared" si="16"/>
        <v>17273121</v>
      </c>
    </row>
    <row r="528" spans="2:4" x14ac:dyDescent="0.25">
      <c r="B528" s="89">
        <v>524</v>
      </c>
      <c r="C528" s="39">
        <f t="shared" si="17"/>
        <v>157992929.59999999</v>
      </c>
      <c r="D528" s="39">
        <f t="shared" si="16"/>
        <v>17306148</v>
      </c>
    </row>
    <row r="529" spans="2:4" x14ac:dyDescent="0.25">
      <c r="B529" s="89">
        <v>525</v>
      </c>
      <c r="C529" s="39">
        <f t="shared" si="17"/>
        <v>157992929.59999999</v>
      </c>
      <c r="D529" s="39">
        <f t="shared" si="16"/>
        <v>17339175</v>
      </c>
    </row>
    <row r="530" spans="2:4" x14ac:dyDescent="0.25">
      <c r="B530" s="89">
        <v>526</v>
      </c>
      <c r="C530" s="39">
        <f t="shared" si="17"/>
        <v>157992929.59999999</v>
      </c>
      <c r="D530" s="39">
        <f t="shared" si="16"/>
        <v>17372202</v>
      </c>
    </row>
    <row r="531" spans="2:4" x14ac:dyDescent="0.25">
      <c r="B531" s="89">
        <v>527</v>
      </c>
      <c r="C531" s="39">
        <f t="shared" si="17"/>
        <v>157992929.59999999</v>
      </c>
      <c r="D531" s="39">
        <f t="shared" si="16"/>
        <v>17405229</v>
      </c>
    </row>
    <row r="532" spans="2:4" x14ac:dyDescent="0.25">
      <c r="B532" s="89">
        <v>528</v>
      </c>
      <c r="C532" s="39">
        <f t="shared" si="17"/>
        <v>157992929.59999999</v>
      </c>
      <c r="D532" s="39">
        <f t="shared" si="16"/>
        <v>17438256</v>
      </c>
    </row>
    <row r="533" spans="2:4" x14ac:dyDescent="0.25">
      <c r="B533" s="89">
        <v>529</v>
      </c>
      <c r="C533" s="39">
        <f t="shared" si="17"/>
        <v>157992929.59999999</v>
      </c>
      <c r="D533" s="39">
        <f t="shared" si="16"/>
        <v>17471283</v>
      </c>
    </row>
    <row r="534" spans="2:4" x14ac:dyDescent="0.25">
      <c r="B534" s="89">
        <v>530</v>
      </c>
      <c r="C534" s="39">
        <f t="shared" si="17"/>
        <v>157992929.59999999</v>
      </c>
      <c r="D534" s="39">
        <f t="shared" si="16"/>
        <v>17504310</v>
      </c>
    </row>
    <row r="535" spans="2:4" x14ac:dyDescent="0.25">
      <c r="B535" s="89">
        <v>531</v>
      </c>
      <c r="C535" s="39">
        <f t="shared" si="17"/>
        <v>157992929.59999999</v>
      </c>
      <c r="D535" s="39">
        <f t="shared" si="16"/>
        <v>17537337</v>
      </c>
    </row>
    <row r="536" spans="2:4" x14ac:dyDescent="0.25">
      <c r="B536" s="89">
        <v>532</v>
      </c>
      <c r="C536" s="39">
        <f t="shared" si="17"/>
        <v>157992929.59999999</v>
      </c>
      <c r="D536" s="39">
        <f t="shared" si="16"/>
        <v>17570364</v>
      </c>
    </row>
    <row r="537" spans="2:4" x14ac:dyDescent="0.25">
      <c r="B537" s="89">
        <v>533</v>
      </c>
      <c r="C537" s="39">
        <f t="shared" si="17"/>
        <v>157992929.59999999</v>
      </c>
      <c r="D537" s="39">
        <f t="shared" si="16"/>
        <v>17603391</v>
      </c>
    </row>
    <row r="538" spans="2:4" x14ac:dyDescent="0.25">
      <c r="B538" s="89">
        <v>534</v>
      </c>
      <c r="C538" s="39">
        <f t="shared" si="17"/>
        <v>157992929.59999999</v>
      </c>
      <c r="D538" s="39">
        <f t="shared" si="16"/>
        <v>17636418</v>
      </c>
    </row>
    <row r="539" spans="2:4" x14ac:dyDescent="0.25">
      <c r="B539" s="89">
        <v>535</v>
      </c>
      <c r="C539" s="39">
        <f t="shared" si="17"/>
        <v>157992929.59999999</v>
      </c>
      <c r="D539" s="39">
        <f t="shared" si="16"/>
        <v>17669445</v>
      </c>
    </row>
    <row r="540" spans="2:4" x14ac:dyDescent="0.25">
      <c r="B540" s="89">
        <v>536</v>
      </c>
      <c r="C540" s="39">
        <f t="shared" si="17"/>
        <v>157992929.59999999</v>
      </c>
      <c r="D540" s="39">
        <f t="shared" si="16"/>
        <v>17702472</v>
      </c>
    </row>
    <row r="541" spans="2:4" x14ac:dyDescent="0.25">
      <c r="B541" s="89">
        <v>537</v>
      </c>
      <c r="C541" s="39">
        <f t="shared" si="17"/>
        <v>157992929.59999999</v>
      </c>
      <c r="D541" s="39">
        <f t="shared" si="16"/>
        <v>17735499</v>
      </c>
    </row>
    <row r="542" spans="2:4" x14ac:dyDescent="0.25">
      <c r="B542" s="89">
        <v>538</v>
      </c>
      <c r="C542" s="39">
        <f t="shared" si="17"/>
        <v>157992929.59999999</v>
      </c>
      <c r="D542" s="39">
        <f t="shared" si="16"/>
        <v>17768526</v>
      </c>
    </row>
    <row r="543" spans="2:4" x14ac:dyDescent="0.25">
      <c r="B543" s="89">
        <v>539</v>
      </c>
      <c r="C543" s="39">
        <f t="shared" si="17"/>
        <v>157992929.59999999</v>
      </c>
      <c r="D543" s="39">
        <f t="shared" si="16"/>
        <v>17801553</v>
      </c>
    </row>
    <row r="544" spans="2:4" x14ac:dyDescent="0.25">
      <c r="B544" s="89">
        <v>540</v>
      </c>
      <c r="C544" s="39">
        <f t="shared" si="17"/>
        <v>157992929.59999999</v>
      </c>
      <c r="D544" s="39">
        <f t="shared" si="16"/>
        <v>17834580</v>
      </c>
    </row>
    <row r="545" spans="2:4" x14ac:dyDescent="0.25">
      <c r="B545" s="89">
        <v>541</v>
      </c>
      <c r="C545" s="39">
        <f t="shared" si="17"/>
        <v>157992929.59999999</v>
      </c>
      <c r="D545" s="39">
        <f t="shared" si="16"/>
        <v>17867607</v>
      </c>
    </row>
    <row r="546" spans="2:4" x14ac:dyDescent="0.25">
      <c r="B546" s="89">
        <v>542</v>
      </c>
      <c r="C546" s="39">
        <f t="shared" si="17"/>
        <v>157992929.59999999</v>
      </c>
      <c r="D546" s="39">
        <f t="shared" si="16"/>
        <v>17900634</v>
      </c>
    </row>
    <row r="547" spans="2:4" x14ac:dyDescent="0.25">
      <c r="B547" s="89">
        <v>543</v>
      </c>
      <c r="C547" s="39">
        <f t="shared" si="17"/>
        <v>157992929.59999999</v>
      </c>
      <c r="D547" s="39">
        <f t="shared" si="16"/>
        <v>17933661</v>
      </c>
    </row>
    <row r="548" spans="2:4" x14ac:dyDescent="0.25">
      <c r="B548" s="89">
        <v>544</v>
      </c>
      <c r="C548" s="39">
        <f t="shared" si="17"/>
        <v>157992929.59999999</v>
      </c>
      <c r="D548" s="39">
        <f t="shared" si="16"/>
        <v>17966688</v>
      </c>
    </row>
    <row r="549" spans="2:4" x14ac:dyDescent="0.25">
      <c r="B549" s="89">
        <v>545</v>
      </c>
      <c r="C549" s="39">
        <f t="shared" si="17"/>
        <v>157992929.59999999</v>
      </c>
      <c r="D549" s="39">
        <f t="shared" si="16"/>
        <v>17999715</v>
      </c>
    </row>
    <row r="550" spans="2:4" x14ac:dyDescent="0.25">
      <c r="B550" s="89">
        <v>546</v>
      </c>
      <c r="C550" s="39">
        <f t="shared" si="17"/>
        <v>157992929.59999999</v>
      </c>
      <c r="D550" s="39">
        <f t="shared" si="16"/>
        <v>18032742</v>
      </c>
    </row>
    <row r="551" spans="2:4" x14ac:dyDescent="0.25">
      <c r="B551" s="89">
        <v>547</v>
      </c>
      <c r="C551" s="39">
        <f t="shared" si="17"/>
        <v>157992929.59999999</v>
      </c>
      <c r="D551" s="39">
        <f t="shared" si="16"/>
        <v>18065769</v>
      </c>
    </row>
    <row r="552" spans="2:4" x14ac:dyDescent="0.25">
      <c r="B552" s="89">
        <v>548</v>
      </c>
      <c r="C552" s="39">
        <f t="shared" si="17"/>
        <v>157992929.59999999</v>
      </c>
      <c r="D552" s="39">
        <f t="shared" si="16"/>
        <v>18098796</v>
      </c>
    </row>
    <row r="553" spans="2:4" x14ac:dyDescent="0.25">
      <c r="B553" s="89">
        <v>549</v>
      </c>
      <c r="C553" s="39">
        <f t="shared" si="17"/>
        <v>157992929.59999999</v>
      </c>
      <c r="D553" s="39">
        <f t="shared" si="16"/>
        <v>18131823</v>
      </c>
    </row>
    <row r="554" spans="2:4" x14ac:dyDescent="0.25">
      <c r="B554" s="89">
        <v>550</v>
      </c>
      <c r="C554" s="39">
        <f t="shared" si="17"/>
        <v>157992929.59999999</v>
      </c>
      <c r="D554" s="39">
        <f t="shared" si="16"/>
        <v>18164850</v>
      </c>
    </row>
    <row r="555" spans="2:4" x14ac:dyDescent="0.25">
      <c r="B555" s="89">
        <v>551</v>
      </c>
      <c r="C555" s="39">
        <f t="shared" si="17"/>
        <v>157992929.59999999</v>
      </c>
      <c r="D555" s="39">
        <f t="shared" si="16"/>
        <v>18197877</v>
      </c>
    </row>
    <row r="556" spans="2:4" x14ac:dyDescent="0.25">
      <c r="B556" s="89">
        <v>552</v>
      </c>
      <c r="C556" s="39">
        <f t="shared" si="17"/>
        <v>157992929.59999999</v>
      </c>
      <c r="D556" s="39">
        <f t="shared" si="16"/>
        <v>18230904</v>
      </c>
    </row>
    <row r="557" spans="2:4" x14ac:dyDescent="0.25">
      <c r="B557" s="89">
        <v>553</v>
      </c>
      <c r="C557" s="39">
        <f t="shared" si="17"/>
        <v>157992929.59999999</v>
      </c>
      <c r="D557" s="39">
        <f t="shared" si="16"/>
        <v>18263931</v>
      </c>
    </row>
    <row r="558" spans="2:4" x14ac:dyDescent="0.25">
      <c r="B558" s="89">
        <v>554</v>
      </c>
      <c r="C558" s="39">
        <f t="shared" si="17"/>
        <v>157992929.59999999</v>
      </c>
      <c r="D558" s="39">
        <f t="shared" si="16"/>
        <v>18296958</v>
      </c>
    </row>
    <row r="559" spans="2:4" x14ac:dyDescent="0.25">
      <c r="B559" s="89">
        <v>555</v>
      </c>
      <c r="C559" s="39">
        <f t="shared" si="17"/>
        <v>157992929.59999999</v>
      </c>
      <c r="D559" s="39">
        <f t="shared" si="16"/>
        <v>18329985</v>
      </c>
    </row>
    <row r="560" spans="2:4" x14ac:dyDescent="0.25">
      <c r="B560" s="89">
        <v>556</v>
      </c>
      <c r="C560" s="39">
        <f t="shared" si="17"/>
        <v>157992929.59999999</v>
      </c>
      <c r="D560" s="39">
        <f t="shared" si="16"/>
        <v>18363012</v>
      </c>
    </row>
    <row r="561" spans="2:4" x14ac:dyDescent="0.25">
      <c r="B561" s="89">
        <v>557</v>
      </c>
      <c r="C561" s="39">
        <f t="shared" si="17"/>
        <v>157992929.59999999</v>
      </c>
      <c r="D561" s="39">
        <f t="shared" ref="D561:D624" si="18">$D$2*B561</f>
        <v>18396039</v>
      </c>
    </row>
    <row r="562" spans="2:4" x14ac:dyDescent="0.25">
      <c r="B562" s="89">
        <v>558</v>
      </c>
      <c r="C562" s="39">
        <f t="shared" si="17"/>
        <v>157992929.59999999</v>
      </c>
      <c r="D562" s="39">
        <f t="shared" si="18"/>
        <v>18429066</v>
      </c>
    </row>
    <row r="563" spans="2:4" x14ac:dyDescent="0.25">
      <c r="B563" s="89">
        <v>559</v>
      </c>
      <c r="C563" s="39">
        <f t="shared" si="17"/>
        <v>157992929.59999999</v>
      </c>
      <c r="D563" s="39">
        <f t="shared" si="18"/>
        <v>18462093</v>
      </c>
    </row>
    <row r="564" spans="2:4" x14ac:dyDescent="0.25">
      <c r="B564" s="89">
        <v>560</v>
      </c>
      <c r="C564" s="39">
        <f t="shared" si="17"/>
        <v>157992929.59999999</v>
      </c>
      <c r="D564" s="39">
        <f t="shared" si="18"/>
        <v>18495120</v>
      </c>
    </row>
    <row r="565" spans="2:4" x14ac:dyDescent="0.25">
      <c r="B565" s="89">
        <v>561</v>
      </c>
      <c r="C565" s="39">
        <f t="shared" si="17"/>
        <v>157992929.59999999</v>
      </c>
      <c r="D565" s="39">
        <f t="shared" si="18"/>
        <v>18528147</v>
      </c>
    </row>
    <row r="566" spans="2:4" x14ac:dyDescent="0.25">
      <c r="B566" s="89">
        <v>562</v>
      </c>
      <c r="C566" s="39">
        <f t="shared" si="17"/>
        <v>157992929.59999999</v>
      </c>
      <c r="D566" s="39">
        <f t="shared" si="18"/>
        <v>18561174</v>
      </c>
    </row>
    <row r="567" spans="2:4" x14ac:dyDescent="0.25">
      <c r="B567" s="89">
        <v>563</v>
      </c>
      <c r="C567" s="39">
        <f t="shared" si="17"/>
        <v>157992929.59999999</v>
      </c>
      <c r="D567" s="39">
        <f t="shared" si="18"/>
        <v>18594201</v>
      </c>
    </row>
    <row r="568" spans="2:4" x14ac:dyDescent="0.25">
      <c r="B568" s="89">
        <v>564</v>
      </c>
      <c r="C568" s="39">
        <f t="shared" si="17"/>
        <v>157992929.59999999</v>
      </c>
      <c r="D568" s="39">
        <f t="shared" si="18"/>
        <v>18627228</v>
      </c>
    </row>
    <row r="569" spans="2:4" x14ac:dyDescent="0.25">
      <c r="B569" s="89">
        <v>565</v>
      </c>
      <c r="C569" s="39">
        <f t="shared" si="17"/>
        <v>157992929.59999999</v>
      </c>
      <c r="D569" s="39">
        <f t="shared" si="18"/>
        <v>18660255</v>
      </c>
    </row>
    <row r="570" spans="2:4" x14ac:dyDescent="0.25">
      <c r="B570" s="89">
        <v>566</v>
      </c>
      <c r="C570" s="39">
        <f t="shared" si="17"/>
        <v>157992929.59999999</v>
      </c>
      <c r="D570" s="39">
        <f t="shared" si="18"/>
        <v>18693282</v>
      </c>
    </row>
    <row r="571" spans="2:4" x14ac:dyDescent="0.25">
      <c r="B571" s="89">
        <v>567</v>
      </c>
      <c r="C571" s="39">
        <f t="shared" si="17"/>
        <v>157992929.59999999</v>
      </c>
      <c r="D571" s="39">
        <f t="shared" si="18"/>
        <v>18726309</v>
      </c>
    </row>
    <row r="572" spans="2:4" x14ac:dyDescent="0.25">
      <c r="B572" s="89">
        <v>568</v>
      </c>
      <c r="C572" s="39">
        <f t="shared" si="17"/>
        <v>157992929.59999999</v>
      </c>
      <c r="D572" s="39">
        <f t="shared" si="18"/>
        <v>18759336</v>
      </c>
    </row>
    <row r="573" spans="2:4" x14ac:dyDescent="0.25">
      <c r="B573" s="89">
        <v>569</v>
      </c>
      <c r="C573" s="39">
        <f t="shared" si="17"/>
        <v>157992929.59999999</v>
      </c>
      <c r="D573" s="39">
        <f t="shared" si="18"/>
        <v>18792363</v>
      </c>
    </row>
    <row r="574" spans="2:4" x14ac:dyDescent="0.25">
      <c r="B574" s="89">
        <v>570</v>
      </c>
      <c r="C574" s="39">
        <f t="shared" si="17"/>
        <v>157992929.59999999</v>
      </c>
      <c r="D574" s="39">
        <f t="shared" si="18"/>
        <v>18825390</v>
      </c>
    </row>
    <row r="575" spans="2:4" x14ac:dyDescent="0.25">
      <c r="B575" s="89">
        <v>571</v>
      </c>
      <c r="C575" s="39">
        <f t="shared" si="17"/>
        <v>157992929.59999999</v>
      </c>
      <c r="D575" s="39">
        <f t="shared" si="18"/>
        <v>18858417</v>
      </c>
    </row>
    <row r="576" spans="2:4" x14ac:dyDescent="0.25">
      <c r="B576" s="89">
        <v>572</v>
      </c>
      <c r="C576" s="39">
        <f t="shared" si="17"/>
        <v>157992929.59999999</v>
      </c>
      <c r="D576" s="39">
        <f t="shared" si="18"/>
        <v>18891444</v>
      </c>
    </row>
    <row r="577" spans="2:4" x14ac:dyDescent="0.25">
      <c r="B577" s="89">
        <v>573</v>
      </c>
      <c r="C577" s="39">
        <f t="shared" si="17"/>
        <v>157992929.59999999</v>
      </c>
      <c r="D577" s="39">
        <f t="shared" si="18"/>
        <v>18924471</v>
      </c>
    </row>
    <row r="578" spans="2:4" x14ac:dyDescent="0.25">
      <c r="B578" s="89">
        <v>574</v>
      </c>
      <c r="C578" s="39">
        <f t="shared" si="17"/>
        <v>157992929.59999999</v>
      </c>
      <c r="D578" s="39">
        <f t="shared" si="18"/>
        <v>18957498</v>
      </c>
    </row>
    <row r="579" spans="2:4" x14ac:dyDescent="0.25">
      <c r="B579" s="89">
        <v>575</v>
      </c>
      <c r="C579" s="39">
        <f t="shared" si="17"/>
        <v>157992929.59999999</v>
      </c>
      <c r="D579" s="39">
        <f t="shared" si="18"/>
        <v>18990525</v>
      </c>
    </row>
    <row r="580" spans="2:4" x14ac:dyDescent="0.25">
      <c r="B580" s="89">
        <v>576</v>
      </c>
      <c r="C580" s="39">
        <f t="shared" si="17"/>
        <v>157992929.59999999</v>
      </c>
      <c r="D580" s="39">
        <f t="shared" si="18"/>
        <v>19023552</v>
      </c>
    </row>
    <row r="581" spans="2:4" x14ac:dyDescent="0.25">
      <c r="B581" s="89">
        <v>577</v>
      </c>
      <c r="C581" s="39">
        <f t="shared" si="17"/>
        <v>157992929.59999999</v>
      </c>
      <c r="D581" s="39">
        <f t="shared" si="18"/>
        <v>19056579</v>
      </c>
    </row>
    <row r="582" spans="2:4" x14ac:dyDescent="0.25">
      <c r="B582" s="89">
        <v>578</v>
      </c>
      <c r="C582" s="39">
        <f t="shared" ref="C582:C645" si="19">$C581</f>
        <v>157992929.59999999</v>
      </c>
      <c r="D582" s="39">
        <f t="shared" si="18"/>
        <v>19089606</v>
      </c>
    </row>
    <row r="583" spans="2:4" x14ac:dyDescent="0.25">
      <c r="B583" s="89">
        <v>579</v>
      </c>
      <c r="C583" s="39">
        <f t="shared" si="19"/>
        <v>157992929.59999999</v>
      </c>
      <c r="D583" s="39">
        <f t="shared" si="18"/>
        <v>19122633</v>
      </c>
    </row>
    <row r="584" spans="2:4" x14ac:dyDescent="0.25">
      <c r="B584" s="89">
        <v>580</v>
      </c>
      <c r="C584" s="39">
        <f t="shared" si="19"/>
        <v>157992929.59999999</v>
      </c>
      <c r="D584" s="39">
        <f t="shared" si="18"/>
        <v>19155660</v>
      </c>
    </row>
    <row r="585" spans="2:4" x14ac:dyDescent="0.25">
      <c r="B585" s="89">
        <v>581</v>
      </c>
      <c r="C585" s="39">
        <f t="shared" si="19"/>
        <v>157992929.59999999</v>
      </c>
      <c r="D585" s="39">
        <f t="shared" si="18"/>
        <v>19188687</v>
      </c>
    </row>
    <row r="586" spans="2:4" x14ac:dyDescent="0.25">
      <c r="B586" s="89">
        <v>582</v>
      </c>
      <c r="C586" s="39">
        <f t="shared" si="19"/>
        <v>157992929.59999999</v>
      </c>
      <c r="D586" s="39">
        <f t="shared" si="18"/>
        <v>19221714</v>
      </c>
    </row>
    <row r="587" spans="2:4" x14ac:dyDescent="0.25">
      <c r="B587" s="89">
        <v>583</v>
      </c>
      <c r="C587" s="39">
        <f t="shared" si="19"/>
        <v>157992929.59999999</v>
      </c>
      <c r="D587" s="39">
        <f t="shared" si="18"/>
        <v>19254741</v>
      </c>
    </row>
    <row r="588" spans="2:4" x14ac:dyDescent="0.25">
      <c r="B588" s="89">
        <v>584</v>
      </c>
      <c r="C588" s="39">
        <f t="shared" si="19"/>
        <v>157992929.59999999</v>
      </c>
      <c r="D588" s="39">
        <f t="shared" si="18"/>
        <v>19287768</v>
      </c>
    </row>
    <row r="589" spans="2:4" x14ac:dyDescent="0.25">
      <c r="B589" s="89">
        <v>585</v>
      </c>
      <c r="C589" s="39">
        <f t="shared" si="19"/>
        <v>157992929.59999999</v>
      </c>
      <c r="D589" s="39">
        <f t="shared" si="18"/>
        <v>19320795</v>
      </c>
    </row>
    <row r="590" spans="2:4" x14ac:dyDescent="0.25">
      <c r="B590" s="89">
        <v>586</v>
      </c>
      <c r="C590" s="39">
        <f t="shared" si="19"/>
        <v>157992929.59999999</v>
      </c>
      <c r="D590" s="39">
        <f t="shared" si="18"/>
        <v>19353822</v>
      </c>
    </row>
    <row r="591" spans="2:4" x14ac:dyDescent="0.25">
      <c r="B591" s="89">
        <v>587</v>
      </c>
      <c r="C591" s="39">
        <f t="shared" si="19"/>
        <v>157992929.59999999</v>
      </c>
      <c r="D591" s="39">
        <f t="shared" si="18"/>
        <v>19386849</v>
      </c>
    </row>
    <row r="592" spans="2:4" x14ac:dyDescent="0.25">
      <c r="B592" s="89">
        <v>588</v>
      </c>
      <c r="C592" s="39">
        <f t="shared" si="19"/>
        <v>157992929.59999999</v>
      </c>
      <c r="D592" s="39">
        <f t="shared" si="18"/>
        <v>19419876</v>
      </c>
    </row>
    <row r="593" spans="2:4" x14ac:dyDescent="0.25">
      <c r="B593" s="89">
        <v>589</v>
      </c>
      <c r="C593" s="39">
        <f t="shared" si="19"/>
        <v>157992929.59999999</v>
      </c>
      <c r="D593" s="39">
        <f t="shared" si="18"/>
        <v>19452903</v>
      </c>
    </row>
    <row r="594" spans="2:4" x14ac:dyDescent="0.25">
      <c r="B594" s="89">
        <v>590</v>
      </c>
      <c r="C594" s="39">
        <f t="shared" si="19"/>
        <v>157992929.59999999</v>
      </c>
      <c r="D594" s="39">
        <f t="shared" si="18"/>
        <v>19485930</v>
      </c>
    </row>
    <row r="595" spans="2:4" x14ac:dyDescent="0.25">
      <c r="B595" s="89">
        <v>591</v>
      </c>
      <c r="C595" s="39">
        <f t="shared" si="19"/>
        <v>157992929.59999999</v>
      </c>
      <c r="D595" s="39">
        <f t="shared" si="18"/>
        <v>19518957</v>
      </c>
    </row>
    <row r="596" spans="2:4" x14ac:dyDescent="0.25">
      <c r="B596" s="89">
        <v>592</v>
      </c>
      <c r="C596" s="39">
        <f t="shared" si="19"/>
        <v>157992929.59999999</v>
      </c>
      <c r="D596" s="39">
        <f t="shared" si="18"/>
        <v>19551984</v>
      </c>
    </row>
    <row r="597" spans="2:4" x14ac:dyDescent="0.25">
      <c r="B597" s="89">
        <v>593</v>
      </c>
      <c r="C597" s="39">
        <f t="shared" si="19"/>
        <v>157992929.59999999</v>
      </c>
      <c r="D597" s="39">
        <f t="shared" si="18"/>
        <v>19585011</v>
      </c>
    </row>
    <row r="598" spans="2:4" x14ac:dyDescent="0.25">
      <c r="B598" s="89">
        <v>594</v>
      </c>
      <c r="C598" s="39">
        <f t="shared" si="19"/>
        <v>157992929.59999999</v>
      </c>
      <c r="D598" s="39">
        <f t="shared" si="18"/>
        <v>19618038</v>
      </c>
    </row>
    <row r="599" spans="2:4" x14ac:dyDescent="0.25">
      <c r="B599" s="89">
        <v>595</v>
      </c>
      <c r="C599" s="39">
        <f t="shared" si="19"/>
        <v>157992929.59999999</v>
      </c>
      <c r="D599" s="39">
        <f t="shared" si="18"/>
        <v>19651065</v>
      </c>
    </row>
    <row r="600" spans="2:4" x14ac:dyDescent="0.25">
      <c r="B600" s="89">
        <v>596</v>
      </c>
      <c r="C600" s="39">
        <f t="shared" si="19"/>
        <v>157992929.59999999</v>
      </c>
      <c r="D600" s="39">
        <f t="shared" si="18"/>
        <v>19684092</v>
      </c>
    </row>
    <row r="601" spans="2:4" x14ac:dyDescent="0.25">
      <c r="B601" s="89">
        <v>597</v>
      </c>
      <c r="C601" s="39">
        <f t="shared" si="19"/>
        <v>157992929.59999999</v>
      </c>
      <c r="D601" s="39">
        <f t="shared" si="18"/>
        <v>19717119</v>
      </c>
    </row>
    <row r="602" spans="2:4" x14ac:dyDescent="0.25">
      <c r="B602" s="89">
        <v>598</v>
      </c>
      <c r="C602" s="39">
        <f t="shared" si="19"/>
        <v>157992929.59999999</v>
      </c>
      <c r="D602" s="39">
        <f t="shared" si="18"/>
        <v>19750146</v>
      </c>
    </row>
    <row r="603" spans="2:4" x14ac:dyDescent="0.25">
      <c r="B603" s="89">
        <v>599</v>
      </c>
      <c r="C603" s="39">
        <f t="shared" si="19"/>
        <v>157992929.59999999</v>
      </c>
      <c r="D603" s="39">
        <f t="shared" si="18"/>
        <v>19783173</v>
      </c>
    </row>
    <row r="604" spans="2:4" x14ac:dyDescent="0.25">
      <c r="B604" s="89">
        <v>600</v>
      </c>
      <c r="C604" s="39">
        <f t="shared" si="19"/>
        <v>157992929.59999999</v>
      </c>
      <c r="D604" s="39">
        <f t="shared" si="18"/>
        <v>19816200</v>
      </c>
    </row>
    <row r="605" spans="2:4" x14ac:dyDescent="0.25">
      <c r="B605" s="89">
        <v>601</v>
      </c>
      <c r="C605" s="39">
        <f t="shared" si="19"/>
        <v>157992929.59999999</v>
      </c>
      <c r="D605" s="39">
        <f t="shared" si="18"/>
        <v>19849227</v>
      </c>
    </row>
    <row r="606" spans="2:4" x14ac:dyDescent="0.25">
      <c r="B606" s="89">
        <v>602</v>
      </c>
      <c r="C606" s="39">
        <f t="shared" si="19"/>
        <v>157992929.59999999</v>
      </c>
      <c r="D606" s="39">
        <f t="shared" si="18"/>
        <v>19882254</v>
      </c>
    </row>
    <row r="607" spans="2:4" x14ac:dyDescent="0.25">
      <c r="B607" s="89">
        <v>603</v>
      </c>
      <c r="C607" s="39">
        <f t="shared" si="19"/>
        <v>157992929.59999999</v>
      </c>
      <c r="D607" s="39">
        <f t="shared" si="18"/>
        <v>19915281</v>
      </c>
    </row>
    <row r="608" spans="2:4" x14ac:dyDescent="0.25">
      <c r="B608" s="89">
        <v>604</v>
      </c>
      <c r="C608" s="39">
        <f t="shared" si="19"/>
        <v>157992929.59999999</v>
      </c>
      <c r="D608" s="39">
        <f t="shared" si="18"/>
        <v>19948308</v>
      </c>
    </row>
    <row r="609" spans="2:4" x14ac:dyDescent="0.25">
      <c r="B609" s="89">
        <v>605</v>
      </c>
      <c r="C609" s="39">
        <f t="shared" si="19"/>
        <v>157992929.59999999</v>
      </c>
      <c r="D609" s="39">
        <f t="shared" si="18"/>
        <v>19981335</v>
      </c>
    </row>
    <row r="610" spans="2:4" x14ac:dyDescent="0.25">
      <c r="B610" s="89">
        <v>606</v>
      </c>
      <c r="C610" s="39">
        <f t="shared" si="19"/>
        <v>157992929.59999999</v>
      </c>
      <c r="D610" s="39">
        <f t="shared" si="18"/>
        <v>20014362</v>
      </c>
    </row>
    <row r="611" spans="2:4" x14ac:dyDescent="0.25">
      <c r="B611" s="89">
        <v>607</v>
      </c>
      <c r="C611" s="39">
        <f t="shared" si="19"/>
        <v>157992929.59999999</v>
      </c>
      <c r="D611" s="39">
        <f t="shared" si="18"/>
        <v>20047389</v>
      </c>
    </row>
    <row r="612" spans="2:4" x14ac:dyDescent="0.25">
      <c r="B612" s="89">
        <v>608</v>
      </c>
      <c r="C612" s="39">
        <f t="shared" si="19"/>
        <v>157992929.59999999</v>
      </c>
      <c r="D612" s="39">
        <f t="shared" si="18"/>
        <v>20080416</v>
      </c>
    </row>
    <row r="613" spans="2:4" x14ac:dyDescent="0.25">
      <c r="B613" s="89">
        <v>609</v>
      </c>
      <c r="C613" s="39">
        <f t="shared" si="19"/>
        <v>157992929.59999999</v>
      </c>
      <c r="D613" s="39">
        <f t="shared" si="18"/>
        <v>20113443</v>
      </c>
    </row>
    <row r="614" spans="2:4" x14ac:dyDescent="0.25">
      <c r="B614" s="89">
        <v>610</v>
      </c>
      <c r="C614" s="39">
        <f t="shared" si="19"/>
        <v>157992929.59999999</v>
      </c>
      <c r="D614" s="39">
        <f t="shared" si="18"/>
        <v>20146470</v>
      </c>
    </row>
    <row r="615" spans="2:4" x14ac:dyDescent="0.25">
      <c r="B615" s="89">
        <v>611</v>
      </c>
      <c r="C615" s="39">
        <f t="shared" si="19"/>
        <v>157992929.59999999</v>
      </c>
      <c r="D615" s="39">
        <f t="shared" si="18"/>
        <v>20179497</v>
      </c>
    </row>
    <row r="616" spans="2:4" x14ac:dyDescent="0.25">
      <c r="B616" s="89">
        <v>612</v>
      </c>
      <c r="C616" s="39">
        <f t="shared" si="19"/>
        <v>157992929.59999999</v>
      </c>
      <c r="D616" s="39">
        <f t="shared" si="18"/>
        <v>20212524</v>
      </c>
    </row>
    <row r="617" spans="2:4" x14ac:dyDescent="0.25">
      <c r="B617" s="89">
        <v>613</v>
      </c>
      <c r="C617" s="39">
        <f t="shared" si="19"/>
        <v>157992929.59999999</v>
      </c>
      <c r="D617" s="39">
        <f t="shared" si="18"/>
        <v>20245551</v>
      </c>
    </row>
    <row r="618" spans="2:4" x14ac:dyDescent="0.25">
      <c r="B618" s="89">
        <v>614</v>
      </c>
      <c r="C618" s="39">
        <f t="shared" si="19"/>
        <v>157992929.59999999</v>
      </c>
      <c r="D618" s="39">
        <f t="shared" si="18"/>
        <v>20278578</v>
      </c>
    </row>
    <row r="619" spans="2:4" x14ac:dyDescent="0.25">
      <c r="B619" s="89">
        <v>615</v>
      </c>
      <c r="C619" s="39">
        <f t="shared" si="19"/>
        <v>157992929.59999999</v>
      </c>
      <c r="D619" s="39">
        <f t="shared" si="18"/>
        <v>20311605</v>
      </c>
    </row>
    <row r="620" spans="2:4" x14ac:dyDescent="0.25">
      <c r="B620" s="89">
        <v>616</v>
      </c>
      <c r="C620" s="39">
        <f t="shared" si="19"/>
        <v>157992929.59999999</v>
      </c>
      <c r="D620" s="39">
        <f t="shared" si="18"/>
        <v>20344632</v>
      </c>
    </row>
    <row r="621" spans="2:4" x14ac:dyDescent="0.25">
      <c r="B621" s="89">
        <v>617</v>
      </c>
      <c r="C621" s="39">
        <f t="shared" si="19"/>
        <v>157992929.59999999</v>
      </c>
      <c r="D621" s="39">
        <f t="shared" si="18"/>
        <v>20377659</v>
      </c>
    </row>
    <row r="622" spans="2:4" x14ac:dyDescent="0.25">
      <c r="B622" s="89">
        <v>618</v>
      </c>
      <c r="C622" s="39">
        <f t="shared" si="19"/>
        <v>157992929.59999999</v>
      </c>
      <c r="D622" s="39">
        <f t="shared" si="18"/>
        <v>20410686</v>
      </c>
    </row>
    <row r="623" spans="2:4" x14ac:dyDescent="0.25">
      <c r="B623" s="89">
        <v>619</v>
      </c>
      <c r="C623" s="39">
        <f t="shared" si="19"/>
        <v>157992929.59999999</v>
      </c>
      <c r="D623" s="39">
        <f t="shared" si="18"/>
        <v>20443713</v>
      </c>
    </row>
    <row r="624" spans="2:4" x14ac:dyDescent="0.25">
      <c r="B624" s="89">
        <v>620</v>
      </c>
      <c r="C624" s="39">
        <f t="shared" si="19"/>
        <v>157992929.59999999</v>
      </c>
      <c r="D624" s="39">
        <f t="shared" si="18"/>
        <v>20476740</v>
      </c>
    </row>
    <row r="625" spans="2:4" x14ac:dyDescent="0.25">
      <c r="B625" s="89">
        <v>621</v>
      </c>
      <c r="C625" s="39">
        <f t="shared" si="19"/>
        <v>157992929.59999999</v>
      </c>
      <c r="D625" s="39">
        <f t="shared" ref="D625:D688" si="20">$D$2*B625</f>
        <v>20509767</v>
      </c>
    </row>
    <row r="626" spans="2:4" x14ac:dyDescent="0.25">
      <c r="B626" s="89">
        <v>622</v>
      </c>
      <c r="C626" s="39">
        <f t="shared" si="19"/>
        <v>157992929.59999999</v>
      </c>
      <c r="D626" s="39">
        <f t="shared" si="20"/>
        <v>20542794</v>
      </c>
    </row>
    <row r="627" spans="2:4" x14ac:dyDescent="0.25">
      <c r="B627" s="89">
        <v>623</v>
      </c>
      <c r="C627" s="39">
        <f t="shared" si="19"/>
        <v>157992929.59999999</v>
      </c>
      <c r="D627" s="39">
        <f t="shared" si="20"/>
        <v>20575821</v>
      </c>
    </row>
    <row r="628" spans="2:4" x14ac:dyDescent="0.25">
      <c r="B628" s="89">
        <v>624</v>
      </c>
      <c r="C628" s="39">
        <f t="shared" si="19"/>
        <v>157992929.59999999</v>
      </c>
      <c r="D628" s="39">
        <f t="shared" si="20"/>
        <v>20608848</v>
      </c>
    </row>
    <row r="629" spans="2:4" x14ac:dyDescent="0.25">
      <c r="B629" s="89">
        <v>625</v>
      </c>
      <c r="C629" s="39">
        <f t="shared" si="19"/>
        <v>157992929.59999999</v>
      </c>
      <c r="D629" s="39">
        <f t="shared" si="20"/>
        <v>20641875</v>
      </c>
    </row>
    <row r="630" spans="2:4" x14ac:dyDescent="0.25">
      <c r="B630" s="89">
        <v>626</v>
      </c>
      <c r="C630" s="39">
        <f t="shared" si="19"/>
        <v>157992929.59999999</v>
      </c>
      <c r="D630" s="39">
        <f t="shared" si="20"/>
        <v>20674902</v>
      </c>
    </row>
    <row r="631" spans="2:4" x14ac:dyDescent="0.25">
      <c r="B631" s="89">
        <v>627</v>
      </c>
      <c r="C631" s="39">
        <f t="shared" si="19"/>
        <v>157992929.59999999</v>
      </c>
      <c r="D631" s="39">
        <f t="shared" si="20"/>
        <v>20707929</v>
      </c>
    </row>
    <row r="632" spans="2:4" x14ac:dyDescent="0.25">
      <c r="B632" s="89">
        <v>628</v>
      </c>
      <c r="C632" s="39">
        <f t="shared" si="19"/>
        <v>157992929.59999999</v>
      </c>
      <c r="D632" s="39">
        <f t="shared" si="20"/>
        <v>20740956</v>
      </c>
    </row>
    <row r="633" spans="2:4" x14ac:dyDescent="0.25">
      <c r="B633" s="89">
        <v>629</v>
      </c>
      <c r="C633" s="39">
        <f t="shared" si="19"/>
        <v>157992929.59999999</v>
      </c>
      <c r="D633" s="39">
        <f t="shared" si="20"/>
        <v>20773983</v>
      </c>
    </row>
    <row r="634" spans="2:4" x14ac:dyDescent="0.25">
      <c r="B634" s="89">
        <v>630</v>
      </c>
      <c r="C634" s="39">
        <f t="shared" si="19"/>
        <v>157992929.59999999</v>
      </c>
      <c r="D634" s="39">
        <f t="shared" si="20"/>
        <v>20807010</v>
      </c>
    </row>
    <row r="635" spans="2:4" x14ac:dyDescent="0.25">
      <c r="B635" s="89">
        <v>631</v>
      </c>
      <c r="C635" s="39">
        <f t="shared" si="19"/>
        <v>157992929.59999999</v>
      </c>
      <c r="D635" s="39">
        <f t="shared" si="20"/>
        <v>20840037</v>
      </c>
    </row>
    <row r="636" spans="2:4" x14ac:dyDescent="0.25">
      <c r="B636" s="89">
        <v>632</v>
      </c>
      <c r="C636" s="39">
        <f t="shared" si="19"/>
        <v>157992929.59999999</v>
      </c>
      <c r="D636" s="39">
        <f t="shared" si="20"/>
        <v>20873064</v>
      </c>
    </row>
    <row r="637" spans="2:4" x14ac:dyDescent="0.25">
      <c r="B637" s="89">
        <v>633</v>
      </c>
      <c r="C637" s="39">
        <f t="shared" si="19"/>
        <v>157992929.59999999</v>
      </c>
      <c r="D637" s="39">
        <f t="shared" si="20"/>
        <v>20906091</v>
      </c>
    </row>
    <row r="638" spans="2:4" x14ac:dyDescent="0.25">
      <c r="B638" s="89">
        <v>634</v>
      </c>
      <c r="C638" s="39">
        <f t="shared" si="19"/>
        <v>157992929.59999999</v>
      </c>
      <c r="D638" s="39">
        <f t="shared" si="20"/>
        <v>20939118</v>
      </c>
    </row>
    <row r="639" spans="2:4" x14ac:dyDescent="0.25">
      <c r="B639" s="89">
        <v>635</v>
      </c>
      <c r="C639" s="39">
        <f t="shared" si="19"/>
        <v>157992929.59999999</v>
      </c>
      <c r="D639" s="39">
        <f t="shared" si="20"/>
        <v>20972145</v>
      </c>
    </row>
    <row r="640" spans="2:4" x14ac:dyDescent="0.25">
      <c r="B640" s="89">
        <v>636</v>
      </c>
      <c r="C640" s="39">
        <f t="shared" si="19"/>
        <v>157992929.59999999</v>
      </c>
      <c r="D640" s="39">
        <f t="shared" si="20"/>
        <v>21005172</v>
      </c>
    </row>
    <row r="641" spans="2:4" x14ac:dyDescent="0.25">
      <c r="B641" s="89">
        <v>637</v>
      </c>
      <c r="C641" s="39">
        <f t="shared" si="19"/>
        <v>157992929.59999999</v>
      </c>
      <c r="D641" s="39">
        <f t="shared" si="20"/>
        <v>21038199</v>
      </c>
    </row>
    <row r="642" spans="2:4" x14ac:dyDescent="0.25">
      <c r="B642" s="89">
        <v>638</v>
      </c>
      <c r="C642" s="39">
        <f t="shared" si="19"/>
        <v>157992929.59999999</v>
      </c>
      <c r="D642" s="39">
        <f t="shared" si="20"/>
        <v>21071226</v>
      </c>
    </row>
    <row r="643" spans="2:4" x14ac:dyDescent="0.25">
      <c r="B643" s="89">
        <v>639</v>
      </c>
      <c r="C643" s="39">
        <f t="shared" si="19"/>
        <v>157992929.59999999</v>
      </c>
      <c r="D643" s="39">
        <f t="shared" si="20"/>
        <v>21104253</v>
      </c>
    </row>
    <row r="644" spans="2:4" x14ac:dyDescent="0.25">
      <c r="B644" s="89">
        <v>640</v>
      </c>
      <c r="C644" s="39">
        <f t="shared" si="19"/>
        <v>157992929.59999999</v>
      </c>
      <c r="D644" s="39">
        <f t="shared" si="20"/>
        <v>21137280</v>
      </c>
    </row>
    <row r="645" spans="2:4" x14ac:dyDescent="0.25">
      <c r="B645" s="89">
        <v>641</v>
      </c>
      <c r="C645" s="39">
        <f t="shared" si="19"/>
        <v>157992929.59999999</v>
      </c>
      <c r="D645" s="39">
        <f t="shared" si="20"/>
        <v>21170307</v>
      </c>
    </row>
    <row r="646" spans="2:4" x14ac:dyDescent="0.25">
      <c r="B646" s="89">
        <v>642</v>
      </c>
      <c r="C646" s="39">
        <f t="shared" ref="C646:C709" si="21">$C645</f>
        <v>157992929.59999999</v>
      </c>
      <c r="D646" s="39">
        <f t="shared" si="20"/>
        <v>21203334</v>
      </c>
    </row>
    <row r="647" spans="2:4" x14ac:dyDescent="0.25">
      <c r="B647" s="89">
        <v>643</v>
      </c>
      <c r="C647" s="39">
        <f t="shared" si="21"/>
        <v>157992929.59999999</v>
      </c>
      <c r="D647" s="39">
        <f t="shared" si="20"/>
        <v>21236361</v>
      </c>
    </row>
    <row r="648" spans="2:4" x14ac:dyDescent="0.25">
      <c r="B648" s="89">
        <v>644</v>
      </c>
      <c r="C648" s="39">
        <f t="shared" si="21"/>
        <v>157992929.59999999</v>
      </c>
      <c r="D648" s="39">
        <f t="shared" si="20"/>
        <v>21269388</v>
      </c>
    </row>
    <row r="649" spans="2:4" x14ac:dyDescent="0.25">
      <c r="B649" s="89">
        <v>645</v>
      </c>
      <c r="C649" s="39">
        <f t="shared" si="21"/>
        <v>157992929.59999999</v>
      </c>
      <c r="D649" s="39">
        <f t="shared" si="20"/>
        <v>21302415</v>
      </c>
    </row>
    <row r="650" spans="2:4" x14ac:dyDescent="0.25">
      <c r="B650" s="89">
        <v>646</v>
      </c>
      <c r="C650" s="39">
        <f t="shared" si="21"/>
        <v>157992929.59999999</v>
      </c>
      <c r="D650" s="39">
        <f t="shared" si="20"/>
        <v>21335442</v>
      </c>
    </row>
    <row r="651" spans="2:4" x14ac:dyDescent="0.25">
      <c r="B651" s="89">
        <v>647</v>
      </c>
      <c r="C651" s="39">
        <f t="shared" si="21"/>
        <v>157992929.59999999</v>
      </c>
      <c r="D651" s="39">
        <f t="shared" si="20"/>
        <v>21368469</v>
      </c>
    </row>
    <row r="652" spans="2:4" x14ac:dyDescent="0.25">
      <c r="B652" s="89">
        <v>648</v>
      </c>
      <c r="C652" s="39">
        <f t="shared" si="21"/>
        <v>157992929.59999999</v>
      </c>
      <c r="D652" s="39">
        <f t="shared" si="20"/>
        <v>21401496</v>
      </c>
    </row>
    <row r="653" spans="2:4" x14ac:dyDescent="0.25">
      <c r="B653" s="89">
        <v>649</v>
      </c>
      <c r="C653" s="39">
        <f t="shared" si="21"/>
        <v>157992929.59999999</v>
      </c>
      <c r="D653" s="39">
        <f t="shared" si="20"/>
        <v>21434523</v>
      </c>
    </row>
    <row r="654" spans="2:4" x14ac:dyDescent="0.25">
      <c r="B654" s="89">
        <v>650</v>
      </c>
      <c r="C654" s="39">
        <f t="shared" si="21"/>
        <v>157992929.59999999</v>
      </c>
      <c r="D654" s="39">
        <f t="shared" si="20"/>
        <v>21467550</v>
      </c>
    </row>
    <row r="655" spans="2:4" x14ac:dyDescent="0.25">
      <c r="B655" s="89">
        <v>651</v>
      </c>
      <c r="C655" s="39">
        <f t="shared" si="21"/>
        <v>157992929.59999999</v>
      </c>
      <c r="D655" s="39">
        <f t="shared" si="20"/>
        <v>21500577</v>
      </c>
    </row>
    <row r="656" spans="2:4" x14ac:dyDescent="0.25">
      <c r="B656" s="89">
        <v>652</v>
      </c>
      <c r="C656" s="39">
        <f t="shared" si="21"/>
        <v>157992929.59999999</v>
      </c>
      <c r="D656" s="39">
        <f t="shared" si="20"/>
        <v>21533604</v>
      </c>
    </row>
    <row r="657" spans="2:4" x14ac:dyDescent="0.25">
      <c r="B657" s="89">
        <v>653</v>
      </c>
      <c r="C657" s="39">
        <f t="shared" si="21"/>
        <v>157992929.59999999</v>
      </c>
      <c r="D657" s="39">
        <f t="shared" si="20"/>
        <v>21566631</v>
      </c>
    </row>
    <row r="658" spans="2:4" x14ac:dyDescent="0.25">
      <c r="B658" s="89">
        <v>654</v>
      </c>
      <c r="C658" s="39">
        <f t="shared" si="21"/>
        <v>157992929.59999999</v>
      </c>
      <c r="D658" s="39">
        <f t="shared" si="20"/>
        <v>21599658</v>
      </c>
    </row>
    <row r="659" spans="2:4" x14ac:dyDescent="0.25">
      <c r="B659" s="89">
        <v>655</v>
      </c>
      <c r="C659" s="39">
        <f t="shared" si="21"/>
        <v>157992929.59999999</v>
      </c>
      <c r="D659" s="39">
        <f t="shared" si="20"/>
        <v>21632685</v>
      </c>
    </row>
    <row r="660" spans="2:4" x14ac:dyDescent="0.25">
      <c r="B660" s="89">
        <v>656</v>
      </c>
      <c r="C660" s="39">
        <f t="shared" si="21"/>
        <v>157992929.59999999</v>
      </c>
      <c r="D660" s="39">
        <f t="shared" si="20"/>
        <v>21665712</v>
      </c>
    </row>
    <row r="661" spans="2:4" x14ac:dyDescent="0.25">
      <c r="B661" s="89">
        <v>657</v>
      </c>
      <c r="C661" s="39">
        <f t="shared" si="21"/>
        <v>157992929.59999999</v>
      </c>
      <c r="D661" s="39">
        <f t="shared" si="20"/>
        <v>21698739</v>
      </c>
    </row>
    <row r="662" spans="2:4" x14ac:dyDescent="0.25">
      <c r="B662" s="89">
        <v>658</v>
      </c>
      <c r="C662" s="39">
        <f t="shared" si="21"/>
        <v>157992929.59999999</v>
      </c>
      <c r="D662" s="39">
        <f t="shared" si="20"/>
        <v>21731766</v>
      </c>
    </row>
    <row r="663" spans="2:4" x14ac:dyDescent="0.25">
      <c r="B663" s="89">
        <v>659</v>
      </c>
      <c r="C663" s="39">
        <f t="shared" si="21"/>
        <v>157992929.59999999</v>
      </c>
      <c r="D663" s="39">
        <f t="shared" si="20"/>
        <v>21764793</v>
      </c>
    </row>
    <row r="664" spans="2:4" x14ac:dyDescent="0.25">
      <c r="B664" s="89">
        <v>660</v>
      </c>
      <c r="C664" s="39">
        <f t="shared" si="21"/>
        <v>157992929.59999999</v>
      </c>
      <c r="D664" s="39">
        <f t="shared" si="20"/>
        <v>21797820</v>
      </c>
    </row>
    <row r="665" spans="2:4" x14ac:dyDescent="0.25">
      <c r="B665" s="89">
        <v>661</v>
      </c>
      <c r="C665" s="39">
        <f t="shared" si="21"/>
        <v>157992929.59999999</v>
      </c>
      <c r="D665" s="39">
        <f t="shared" si="20"/>
        <v>21830847</v>
      </c>
    </row>
    <row r="666" spans="2:4" x14ac:dyDescent="0.25">
      <c r="B666" s="89">
        <v>662</v>
      </c>
      <c r="C666" s="39">
        <f t="shared" si="21"/>
        <v>157992929.59999999</v>
      </c>
      <c r="D666" s="39">
        <f t="shared" si="20"/>
        <v>21863874</v>
      </c>
    </row>
    <row r="667" spans="2:4" x14ac:dyDescent="0.25">
      <c r="B667" s="89">
        <v>663</v>
      </c>
      <c r="C667" s="39">
        <f t="shared" si="21"/>
        <v>157992929.59999999</v>
      </c>
      <c r="D667" s="39">
        <f t="shared" si="20"/>
        <v>21896901</v>
      </c>
    </row>
    <row r="668" spans="2:4" x14ac:dyDescent="0.25">
      <c r="B668" s="89">
        <v>664</v>
      </c>
      <c r="C668" s="39">
        <f t="shared" si="21"/>
        <v>157992929.59999999</v>
      </c>
      <c r="D668" s="39">
        <f t="shared" si="20"/>
        <v>21929928</v>
      </c>
    </row>
    <row r="669" spans="2:4" x14ac:dyDescent="0.25">
      <c r="B669" s="89">
        <v>665</v>
      </c>
      <c r="C669" s="39">
        <f t="shared" si="21"/>
        <v>157992929.59999999</v>
      </c>
      <c r="D669" s="39">
        <f t="shared" si="20"/>
        <v>21962955</v>
      </c>
    </row>
    <row r="670" spans="2:4" x14ac:dyDescent="0.25">
      <c r="B670" s="89">
        <v>666</v>
      </c>
      <c r="C670" s="39">
        <f t="shared" si="21"/>
        <v>157992929.59999999</v>
      </c>
      <c r="D670" s="39">
        <f t="shared" si="20"/>
        <v>21995982</v>
      </c>
    </row>
    <row r="671" spans="2:4" x14ac:dyDescent="0.25">
      <c r="B671" s="89">
        <v>667</v>
      </c>
      <c r="C671" s="39">
        <f t="shared" si="21"/>
        <v>157992929.59999999</v>
      </c>
      <c r="D671" s="39">
        <f t="shared" si="20"/>
        <v>22029009</v>
      </c>
    </row>
    <row r="672" spans="2:4" x14ac:dyDescent="0.25">
      <c r="B672" s="89">
        <v>668</v>
      </c>
      <c r="C672" s="39">
        <f t="shared" si="21"/>
        <v>157992929.59999999</v>
      </c>
      <c r="D672" s="39">
        <f t="shared" si="20"/>
        <v>22062036</v>
      </c>
    </row>
    <row r="673" spans="2:4" x14ac:dyDescent="0.25">
      <c r="B673" s="89">
        <v>669</v>
      </c>
      <c r="C673" s="39">
        <f t="shared" si="21"/>
        <v>157992929.59999999</v>
      </c>
      <c r="D673" s="39">
        <f t="shared" si="20"/>
        <v>22095063</v>
      </c>
    </row>
    <row r="674" spans="2:4" x14ac:dyDescent="0.25">
      <c r="B674" s="89">
        <v>670</v>
      </c>
      <c r="C674" s="39">
        <f t="shared" si="21"/>
        <v>157992929.59999999</v>
      </c>
      <c r="D674" s="39">
        <f t="shared" si="20"/>
        <v>22128090</v>
      </c>
    </row>
    <row r="675" spans="2:4" x14ac:dyDescent="0.25">
      <c r="B675" s="89">
        <v>671</v>
      </c>
      <c r="C675" s="39">
        <f t="shared" si="21"/>
        <v>157992929.59999999</v>
      </c>
      <c r="D675" s="39">
        <f t="shared" si="20"/>
        <v>22161117</v>
      </c>
    </row>
    <row r="676" spans="2:4" x14ac:dyDescent="0.25">
      <c r="B676" s="89">
        <v>672</v>
      </c>
      <c r="C676" s="39">
        <f t="shared" si="21"/>
        <v>157992929.59999999</v>
      </c>
      <c r="D676" s="39">
        <f t="shared" si="20"/>
        <v>22194144</v>
      </c>
    </row>
    <row r="677" spans="2:4" x14ac:dyDescent="0.25">
      <c r="B677" s="89">
        <v>673</v>
      </c>
      <c r="C677" s="39">
        <f t="shared" si="21"/>
        <v>157992929.59999999</v>
      </c>
      <c r="D677" s="39">
        <f t="shared" si="20"/>
        <v>22227171</v>
      </c>
    </row>
    <row r="678" spans="2:4" x14ac:dyDescent="0.25">
      <c r="B678" s="89">
        <v>674</v>
      </c>
      <c r="C678" s="39">
        <f t="shared" si="21"/>
        <v>157992929.59999999</v>
      </c>
      <c r="D678" s="39">
        <f t="shared" si="20"/>
        <v>22260198</v>
      </c>
    </row>
    <row r="679" spans="2:4" x14ac:dyDescent="0.25">
      <c r="B679" s="89">
        <v>675</v>
      </c>
      <c r="C679" s="39">
        <f t="shared" si="21"/>
        <v>157992929.59999999</v>
      </c>
      <c r="D679" s="39">
        <f t="shared" si="20"/>
        <v>22293225</v>
      </c>
    </row>
    <row r="680" spans="2:4" x14ac:dyDescent="0.25">
      <c r="B680" s="89">
        <v>676</v>
      </c>
      <c r="C680" s="39">
        <f t="shared" si="21"/>
        <v>157992929.59999999</v>
      </c>
      <c r="D680" s="39">
        <f t="shared" si="20"/>
        <v>22326252</v>
      </c>
    </row>
    <row r="681" spans="2:4" x14ac:dyDescent="0.25">
      <c r="B681" s="89">
        <v>677</v>
      </c>
      <c r="C681" s="39">
        <f t="shared" si="21"/>
        <v>157992929.59999999</v>
      </c>
      <c r="D681" s="39">
        <f t="shared" si="20"/>
        <v>22359279</v>
      </c>
    </row>
    <row r="682" spans="2:4" x14ac:dyDescent="0.25">
      <c r="B682" s="89">
        <v>678</v>
      </c>
      <c r="C682" s="39">
        <f t="shared" si="21"/>
        <v>157992929.59999999</v>
      </c>
      <c r="D682" s="39">
        <f t="shared" si="20"/>
        <v>22392306</v>
      </c>
    </row>
    <row r="683" spans="2:4" x14ac:dyDescent="0.25">
      <c r="B683" s="89">
        <v>679</v>
      </c>
      <c r="C683" s="39">
        <f t="shared" si="21"/>
        <v>157992929.59999999</v>
      </c>
      <c r="D683" s="39">
        <f t="shared" si="20"/>
        <v>22425333</v>
      </c>
    </row>
    <row r="684" spans="2:4" x14ac:dyDescent="0.25">
      <c r="B684" s="89">
        <v>680</v>
      </c>
      <c r="C684" s="39">
        <f t="shared" si="21"/>
        <v>157992929.59999999</v>
      </c>
      <c r="D684" s="39">
        <f t="shared" si="20"/>
        <v>22458360</v>
      </c>
    </row>
    <row r="685" spans="2:4" x14ac:dyDescent="0.25">
      <c r="B685" s="89">
        <v>681</v>
      </c>
      <c r="C685" s="39">
        <f t="shared" si="21"/>
        <v>157992929.59999999</v>
      </c>
      <c r="D685" s="39">
        <f t="shared" si="20"/>
        <v>22491387</v>
      </c>
    </row>
    <row r="686" spans="2:4" x14ac:dyDescent="0.25">
      <c r="B686" s="89">
        <v>682</v>
      </c>
      <c r="C686" s="39">
        <f t="shared" si="21"/>
        <v>157992929.59999999</v>
      </c>
      <c r="D686" s="39">
        <f t="shared" si="20"/>
        <v>22524414</v>
      </c>
    </row>
    <row r="687" spans="2:4" x14ac:dyDescent="0.25">
      <c r="B687" s="89">
        <v>683</v>
      </c>
      <c r="C687" s="39">
        <f t="shared" si="21"/>
        <v>157992929.59999999</v>
      </c>
      <c r="D687" s="39">
        <f t="shared" si="20"/>
        <v>22557441</v>
      </c>
    </row>
    <row r="688" spans="2:4" x14ac:dyDescent="0.25">
      <c r="B688" s="89">
        <v>684</v>
      </c>
      <c r="C688" s="39">
        <f t="shared" si="21"/>
        <v>157992929.59999999</v>
      </c>
      <c r="D688" s="39">
        <f t="shared" si="20"/>
        <v>22590468</v>
      </c>
    </row>
    <row r="689" spans="2:4" x14ac:dyDescent="0.25">
      <c r="B689" s="89">
        <v>685</v>
      </c>
      <c r="C689" s="39">
        <f t="shared" si="21"/>
        <v>157992929.59999999</v>
      </c>
      <c r="D689" s="39">
        <f t="shared" ref="D689:D752" si="22">$D$2*B689</f>
        <v>22623495</v>
      </c>
    </row>
    <row r="690" spans="2:4" x14ac:dyDescent="0.25">
      <c r="B690" s="89">
        <v>686</v>
      </c>
      <c r="C690" s="39">
        <f t="shared" si="21"/>
        <v>157992929.59999999</v>
      </c>
      <c r="D690" s="39">
        <f t="shared" si="22"/>
        <v>22656522</v>
      </c>
    </row>
    <row r="691" spans="2:4" x14ac:dyDescent="0.25">
      <c r="B691" s="89">
        <v>687</v>
      </c>
      <c r="C691" s="39">
        <f t="shared" si="21"/>
        <v>157992929.59999999</v>
      </c>
      <c r="D691" s="39">
        <f t="shared" si="22"/>
        <v>22689549</v>
      </c>
    </row>
    <row r="692" spans="2:4" x14ac:dyDescent="0.25">
      <c r="B692" s="89">
        <v>688</v>
      </c>
      <c r="C692" s="39">
        <f t="shared" si="21"/>
        <v>157992929.59999999</v>
      </c>
      <c r="D692" s="39">
        <f t="shared" si="22"/>
        <v>22722576</v>
      </c>
    </row>
    <row r="693" spans="2:4" x14ac:dyDescent="0.25">
      <c r="B693" s="89">
        <v>689</v>
      </c>
      <c r="C693" s="39">
        <f t="shared" si="21"/>
        <v>157992929.59999999</v>
      </c>
      <c r="D693" s="39">
        <f t="shared" si="22"/>
        <v>22755603</v>
      </c>
    </row>
    <row r="694" spans="2:4" x14ac:dyDescent="0.25">
      <c r="B694" s="89">
        <v>690</v>
      </c>
      <c r="C694" s="39">
        <f t="shared" si="21"/>
        <v>157992929.59999999</v>
      </c>
      <c r="D694" s="39">
        <f t="shared" si="22"/>
        <v>22788630</v>
      </c>
    </row>
    <row r="695" spans="2:4" x14ac:dyDescent="0.25">
      <c r="B695" s="89">
        <v>691</v>
      </c>
      <c r="C695" s="39">
        <f t="shared" si="21"/>
        <v>157992929.59999999</v>
      </c>
      <c r="D695" s="39">
        <f t="shared" si="22"/>
        <v>22821657</v>
      </c>
    </row>
    <row r="696" spans="2:4" x14ac:dyDescent="0.25">
      <c r="B696" s="89">
        <v>692</v>
      </c>
      <c r="C696" s="39">
        <f t="shared" si="21"/>
        <v>157992929.59999999</v>
      </c>
      <c r="D696" s="39">
        <f t="shared" si="22"/>
        <v>22854684</v>
      </c>
    </row>
    <row r="697" spans="2:4" x14ac:dyDescent="0.25">
      <c r="B697" s="89">
        <v>693</v>
      </c>
      <c r="C697" s="39">
        <f t="shared" si="21"/>
        <v>157992929.59999999</v>
      </c>
      <c r="D697" s="39">
        <f t="shared" si="22"/>
        <v>22887711</v>
      </c>
    </row>
    <row r="698" spans="2:4" x14ac:dyDescent="0.25">
      <c r="B698" s="89">
        <v>694</v>
      </c>
      <c r="C698" s="39">
        <f t="shared" si="21"/>
        <v>157992929.59999999</v>
      </c>
      <c r="D698" s="39">
        <f t="shared" si="22"/>
        <v>22920738</v>
      </c>
    </row>
    <row r="699" spans="2:4" x14ac:dyDescent="0.25">
      <c r="B699" s="89">
        <v>695</v>
      </c>
      <c r="C699" s="39">
        <f t="shared" si="21"/>
        <v>157992929.59999999</v>
      </c>
      <c r="D699" s="39">
        <f t="shared" si="22"/>
        <v>22953765</v>
      </c>
    </row>
    <row r="700" spans="2:4" x14ac:dyDescent="0.25">
      <c r="B700" s="89">
        <v>696</v>
      </c>
      <c r="C700" s="39">
        <f t="shared" si="21"/>
        <v>157992929.59999999</v>
      </c>
      <c r="D700" s="39">
        <f t="shared" si="22"/>
        <v>22986792</v>
      </c>
    </row>
    <row r="701" spans="2:4" x14ac:dyDescent="0.25">
      <c r="B701" s="89">
        <v>697</v>
      </c>
      <c r="C701" s="39">
        <f t="shared" si="21"/>
        <v>157992929.59999999</v>
      </c>
      <c r="D701" s="39">
        <f t="shared" si="22"/>
        <v>23019819</v>
      </c>
    </row>
    <row r="702" spans="2:4" x14ac:dyDescent="0.25">
      <c r="B702" s="89">
        <v>698</v>
      </c>
      <c r="C702" s="39">
        <f t="shared" si="21"/>
        <v>157992929.59999999</v>
      </c>
      <c r="D702" s="39">
        <f t="shared" si="22"/>
        <v>23052846</v>
      </c>
    </row>
    <row r="703" spans="2:4" x14ac:dyDescent="0.25">
      <c r="B703" s="89">
        <v>699</v>
      </c>
      <c r="C703" s="39">
        <f t="shared" si="21"/>
        <v>157992929.59999999</v>
      </c>
      <c r="D703" s="39">
        <f t="shared" si="22"/>
        <v>23085873</v>
      </c>
    </row>
    <row r="704" spans="2:4" x14ac:dyDescent="0.25">
      <c r="B704" s="89">
        <v>700</v>
      </c>
      <c r="C704" s="39">
        <f t="shared" si="21"/>
        <v>157992929.59999999</v>
      </c>
      <c r="D704" s="39">
        <f t="shared" si="22"/>
        <v>23118900</v>
      </c>
    </row>
    <row r="705" spans="2:4" x14ac:dyDescent="0.25">
      <c r="B705" s="89">
        <v>701</v>
      </c>
      <c r="C705" s="39">
        <f t="shared" si="21"/>
        <v>157992929.59999999</v>
      </c>
      <c r="D705" s="39">
        <f t="shared" si="22"/>
        <v>23151927</v>
      </c>
    </row>
    <row r="706" spans="2:4" x14ac:dyDescent="0.25">
      <c r="B706" s="89">
        <v>702</v>
      </c>
      <c r="C706" s="39">
        <f t="shared" si="21"/>
        <v>157992929.59999999</v>
      </c>
      <c r="D706" s="39">
        <f t="shared" si="22"/>
        <v>23184954</v>
      </c>
    </row>
    <row r="707" spans="2:4" x14ac:dyDescent="0.25">
      <c r="B707" s="89">
        <v>703</v>
      </c>
      <c r="C707" s="39">
        <f t="shared" si="21"/>
        <v>157992929.59999999</v>
      </c>
      <c r="D707" s="39">
        <f t="shared" si="22"/>
        <v>23217981</v>
      </c>
    </row>
    <row r="708" spans="2:4" x14ac:dyDescent="0.25">
      <c r="B708" s="89">
        <v>704</v>
      </c>
      <c r="C708" s="39">
        <f t="shared" si="21"/>
        <v>157992929.59999999</v>
      </c>
      <c r="D708" s="39">
        <f t="shared" si="22"/>
        <v>23251008</v>
      </c>
    </row>
    <row r="709" spans="2:4" x14ac:dyDescent="0.25">
      <c r="B709" s="89">
        <v>705</v>
      </c>
      <c r="C709" s="39">
        <f t="shared" si="21"/>
        <v>157992929.59999999</v>
      </c>
      <c r="D709" s="39">
        <f t="shared" si="22"/>
        <v>23284035</v>
      </c>
    </row>
    <row r="710" spans="2:4" x14ac:dyDescent="0.25">
      <c r="B710" s="89">
        <v>706</v>
      </c>
      <c r="C710" s="39">
        <f t="shared" ref="C710:C773" si="23">$C709</f>
        <v>157992929.59999999</v>
      </c>
      <c r="D710" s="39">
        <f t="shared" si="22"/>
        <v>23317062</v>
      </c>
    </row>
    <row r="711" spans="2:4" x14ac:dyDescent="0.25">
      <c r="B711" s="89">
        <v>707</v>
      </c>
      <c r="C711" s="39">
        <f t="shared" si="23"/>
        <v>157992929.59999999</v>
      </c>
      <c r="D711" s="39">
        <f t="shared" si="22"/>
        <v>23350089</v>
      </c>
    </row>
    <row r="712" spans="2:4" x14ac:dyDescent="0.25">
      <c r="B712" s="89">
        <v>708</v>
      </c>
      <c r="C712" s="39">
        <f t="shared" si="23"/>
        <v>157992929.59999999</v>
      </c>
      <c r="D712" s="39">
        <f t="shared" si="22"/>
        <v>23383116</v>
      </c>
    </row>
    <row r="713" spans="2:4" x14ac:dyDescent="0.25">
      <c r="B713" s="89">
        <v>709</v>
      </c>
      <c r="C713" s="39">
        <f t="shared" si="23"/>
        <v>157992929.59999999</v>
      </c>
      <c r="D713" s="39">
        <f t="shared" si="22"/>
        <v>23416143</v>
      </c>
    </row>
    <row r="714" spans="2:4" x14ac:dyDescent="0.25">
      <c r="B714" s="89">
        <v>710</v>
      </c>
      <c r="C714" s="39">
        <f t="shared" si="23"/>
        <v>157992929.59999999</v>
      </c>
      <c r="D714" s="39">
        <f t="shared" si="22"/>
        <v>23449170</v>
      </c>
    </row>
    <row r="715" spans="2:4" x14ac:dyDescent="0.25">
      <c r="B715" s="89">
        <v>711</v>
      </c>
      <c r="C715" s="39">
        <f t="shared" si="23"/>
        <v>157992929.59999999</v>
      </c>
      <c r="D715" s="39">
        <f t="shared" si="22"/>
        <v>23482197</v>
      </c>
    </row>
    <row r="716" spans="2:4" x14ac:dyDescent="0.25">
      <c r="B716" s="89">
        <v>712</v>
      </c>
      <c r="C716" s="39">
        <f t="shared" si="23"/>
        <v>157992929.59999999</v>
      </c>
      <c r="D716" s="39">
        <f t="shared" si="22"/>
        <v>23515224</v>
      </c>
    </row>
    <row r="717" spans="2:4" x14ac:dyDescent="0.25">
      <c r="B717" s="89">
        <v>713</v>
      </c>
      <c r="C717" s="39">
        <f t="shared" si="23"/>
        <v>157992929.59999999</v>
      </c>
      <c r="D717" s="39">
        <f t="shared" si="22"/>
        <v>23548251</v>
      </c>
    </row>
    <row r="718" spans="2:4" x14ac:dyDescent="0.25">
      <c r="B718" s="89">
        <v>714</v>
      </c>
      <c r="C718" s="39">
        <f t="shared" si="23"/>
        <v>157992929.59999999</v>
      </c>
      <c r="D718" s="39">
        <f t="shared" si="22"/>
        <v>23581278</v>
      </c>
    </row>
    <row r="719" spans="2:4" x14ac:dyDescent="0.25">
      <c r="B719" s="89">
        <v>715</v>
      </c>
      <c r="C719" s="39">
        <f t="shared" si="23"/>
        <v>157992929.59999999</v>
      </c>
      <c r="D719" s="39">
        <f t="shared" si="22"/>
        <v>23614305</v>
      </c>
    </row>
    <row r="720" spans="2:4" x14ac:dyDescent="0.25">
      <c r="B720" s="89">
        <v>716</v>
      </c>
      <c r="C720" s="39">
        <f t="shared" si="23"/>
        <v>157992929.59999999</v>
      </c>
      <c r="D720" s="39">
        <f t="shared" si="22"/>
        <v>23647332</v>
      </c>
    </row>
    <row r="721" spans="2:4" x14ac:dyDescent="0.25">
      <c r="B721" s="89">
        <v>717</v>
      </c>
      <c r="C721" s="39">
        <f t="shared" si="23"/>
        <v>157992929.59999999</v>
      </c>
      <c r="D721" s="39">
        <f t="shared" si="22"/>
        <v>23680359</v>
      </c>
    </row>
    <row r="722" spans="2:4" x14ac:dyDescent="0.25">
      <c r="B722" s="89">
        <v>718</v>
      </c>
      <c r="C722" s="39">
        <f t="shared" si="23"/>
        <v>157992929.59999999</v>
      </c>
      <c r="D722" s="39">
        <f t="shared" si="22"/>
        <v>23713386</v>
      </c>
    </row>
    <row r="723" spans="2:4" x14ac:dyDescent="0.25">
      <c r="B723" s="89">
        <v>719</v>
      </c>
      <c r="C723" s="39">
        <f t="shared" si="23"/>
        <v>157992929.59999999</v>
      </c>
      <c r="D723" s="39">
        <f t="shared" si="22"/>
        <v>23746413</v>
      </c>
    </row>
    <row r="724" spans="2:4" x14ac:dyDescent="0.25">
      <c r="B724" s="89">
        <v>720</v>
      </c>
      <c r="C724" s="39">
        <f t="shared" si="23"/>
        <v>157992929.59999999</v>
      </c>
      <c r="D724" s="39">
        <f t="shared" si="22"/>
        <v>23779440</v>
      </c>
    </row>
    <row r="725" spans="2:4" x14ac:dyDescent="0.25">
      <c r="B725" s="89">
        <v>721</v>
      </c>
      <c r="C725" s="39">
        <f t="shared" si="23"/>
        <v>157992929.59999999</v>
      </c>
      <c r="D725" s="39">
        <f t="shared" si="22"/>
        <v>23812467</v>
      </c>
    </row>
    <row r="726" spans="2:4" x14ac:dyDescent="0.25">
      <c r="B726" s="89">
        <v>722</v>
      </c>
      <c r="C726" s="39">
        <f t="shared" si="23"/>
        <v>157992929.59999999</v>
      </c>
      <c r="D726" s="39">
        <f t="shared" si="22"/>
        <v>23845494</v>
      </c>
    </row>
    <row r="727" spans="2:4" x14ac:dyDescent="0.25">
      <c r="B727" s="89">
        <v>723</v>
      </c>
      <c r="C727" s="39">
        <f t="shared" si="23"/>
        <v>157992929.59999999</v>
      </c>
      <c r="D727" s="39">
        <f t="shared" si="22"/>
        <v>23878521</v>
      </c>
    </row>
    <row r="728" spans="2:4" x14ac:dyDescent="0.25">
      <c r="B728" s="89">
        <v>724</v>
      </c>
      <c r="C728" s="39">
        <f t="shared" si="23"/>
        <v>157992929.59999999</v>
      </c>
      <c r="D728" s="39">
        <f t="shared" si="22"/>
        <v>23911548</v>
      </c>
    </row>
    <row r="729" spans="2:4" x14ac:dyDescent="0.25">
      <c r="B729" s="89">
        <v>725</v>
      </c>
      <c r="C729" s="39">
        <f t="shared" si="23"/>
        <v>157992929.59999999</v>
      </c>
      <c r="D729" s="39">
        <f t="shared" si="22"/>
        <v>23944575</v>
      </c>
    </row>
    <row r="730" spans="2:4" x14ac:dyDescent="0.25">
      <c r="B730" s="89">
        <v>726</v>
      </c>
      <c r="C730" s="39">
        <f t="shared" si="23"/>
        <v>157992929.59999999</v>
      </c>
      <c r="D730" s="39">
        <f t="shared" si="22"/>
        <v>23977602</v>
      </c>
    </row>
    <row r="731" spans="2:4" x14ac:dyDescent="0.25">
      <c r="B731" s="89">
        <v>727</v>
      </c>
      <c r="C731" s="39">
        <f t="shared" si="23"/>
        <v>157992929.59999999</v>
      </c>
      <c r="D731" s="39">
        <f t="shared" si="22"/>
        <v>24010629</v>
      </c>
    </row>
    <row r="732" spans="2:4" x14ac:dyDescent="0.25">
      <c r="B732" s="89">
        <v>728</v>
      </c>
      <c r="C732" s="39">
        <f t="shared" si="23"/>
        <v>157992929.59999999</v>
      </c>
      <c r="D732" s="39">
        <f t="shared" si="22"/>
        <v>24043656</v>
      </c>
    </row>
    <row r="733" spans="2:4" x14ac:dyDescent="0.25">
      <c r="B733" s="89">
        <v>729</v>
      </c>
      <c r="C733" s="39">
        <f t="shared" si="23"/>
        <v>157992929.59999999</v>
      </c>
      <c r="D733" s="39">
        <f t="shared" si="22"/>
        <v>24076683</v>
      </c>
    </row>
    <row r="734" spans="2:4" x14ac:dyDescent="0.25">
      <c r="B734" s="89">
        <v>730</v>
      </c>
      <c r="C734" s="39">
        <f t="shared" si="23"/>
        <v>157992929.59999999</v>
      </c>
      <c r="D734" s="39">
        <f t="shared" si="22"/>
        <v>24109710</v>
      </c>
    </row>
    <row r="735" spans="2:4" x14ac:dyDescent="0.25">
      <c r="B735" s="89">
        <v>731</v>
      </c>
      <c r="C735" s="39">
        <f t="shared" si="23"/>
        <v>157992929.59999999</v>
      </c>
      <c r="D735" s="39">
        <f t="shared" si="22"/>
        <v>24142737</v>
      </c>
    </row>
    <row r="736" spans="2:4" x14ac:dyDescent="0.25">
      <c r="B736" s="89">
        <v>732</v>
      </c>
      <c r="C736" s="39">
        <f t="shared" si="23"/>
        <v>157992929.59999999</v>
      </c>
      <c r="D736" s="39">
        <f t="shared" si="22"/>
        <v>24175764</v>
      </c>
    </row>
    <row r="737" spans="2:4" x14ac:dyDescent="0.25">
      <c r="B737" s="89">
        <v>733</v>
      </c>
      <c r="C737" s="39">
        <f t="shared" si="23"/>
        <v>157992929.59999999</v>
      </c>
      <c r="D737" s="39">
        <f t="shared" si="22"/>
        <v>24208791</v>
      </c>
    </row>
    <row r="738" spans="2:4" x14ac:dyDescent="0.25">
      <c r="B738" s="89">
        <v>734</v>
      </c>
      <c r="C738" s="39">
        <f t="shared" si="23"/>
        <v>157992929.59999999</v>
      </c>
      <c r="D738" s="39">
        <f t="shared" si="22"/>
        <v>24241818</v>
      </c>
    </row>
    <row r="739" spans="2:4" x14ac:dyDescent="0.25">
      <c r="B739" s="89">
        <v>735</v>
      </c>
      <c r="C739" s="39">
        <f t="shared" si="23"/>
        <v>157992929.59999999</v>
      </c>
      <c r="D739" s="39">
        <f t="shared" si="22"/>
        <v>24274845</v>
      </c>
    </row>
    <row r="740" spans="2:4" x14ac:dyDescent="0.25">
      <c r="B740" s="89">
        <v>736</v>
      </c>
      <c r="C740" s="39">
        <f t="shared" si="23"/>
        <v>157992929.59999999</v>
      </c>
      <c r="D740" s="39">
        <f t="shared" si="22"/>
        <v>24307872</v>
      </c>
    </row>
    <row r="741" spans="2:4" x14ac:dyDescent="0.25">
      <c r="B741" s="89">
        <v>737</v>
      </c>
      <c r="C741" s="39">
        <f t="shared" si="23"/>
        <v>157992929.59999999</v>
      </c>
      <c r="D741" s="39">
        <f t="shared" si="22"/>
        <v>24340899</v>
      </c>
    </row>
    <row r="742" spans="2:4" x14ac:dyDescent="0.25">
      <c r="B742" s="89">
        <v>738</v>
      </c>
      <c r="C742" s="39">
        <f t="shared" si="23"/>
        <v>157992929.59999999</v>
      </c>
      <c r="D742" s="39">
        <f t="shared" si="22"/>
        <v>24373926</v>
      </c>
    </row>
    <row r="743" spans="2:4" x14ac:dyDescent="0.25">
      <c r="B743" s="89">
        <v>739</v>
      </c>
      <c r="C743" s="39">
        <f t="shared" si="23"/>
        <v>157992929.59999999</v>
      </c>
      <c r="D743" s="39">
        <f t="shared" si="22"/>
        <v>24406953</v>
      </c>
    </row>
    <row r="744" spans="2:4" x14ac:dyDescent="0.25">
      <c r="B744" s="89">
        <v>740</v>
      </c>
      <c r="C744" s="39">
        <f t="shared" si="23"/>
        <v>157992929.59999999</v>
      </c>
      <c r="D744" s="39">
        <f t="shared" si="22"/>
        <v>24439980</v>
      </c>
    </row>
    <row r="745" spans="2:4" x14ac:dyDescent="0.25">
      <c r="B745" s="89">
        <v>741</v>
      </c>
      <c r="C745" s="39">
        <f t="shared" si="23"/>
        <v>157992929.59999999</v>
      </c>
      <c r="D745" s="39">
        <f t="shared" si="22"/>
        <v>24473007</v>
      </c>
    </row>
    <row r="746" spans="2:4" x14ac:dyDescent="0.25">
      <c r="B746" s="89">
        <v>742</v>
      </c>
      <c r="C746" s="39">
        <f t="shared" si="23"/>
        <v>157992929.59999999</v>
      </c>
      <c r="D746" s="39">
        <f t="shared" si="22"/>
        <v>24506034</v>
      </c>
    </row>
    <row r="747" spans="2:4" x14ac:dyDescent="0.25">
      <c r="B747" s="89">
        <v>743</v>
      </c>
      <c r="C747" s="39">
        <f t="shared" si="23"/>
        <v>157992929.59999999</v>
      </c>
      <c r="D747" s="39">
        <f t="shared" si="22"/>
        <v>24539061</v>
      </c>
    </row>
    <row r="748" spans="2:4" x14ac:dyDescent="0.25">
      <c r="B748" s="89">
        <v>744</v>
      </c>
      <c r="C748" s="39">
        <f t="shared" si="23"/>
        <v>157992929.59999999</v>
      </c>
      <c r="D748" s="39">
        <f t="shared" si="22"/>
        <v>24572088</v>
      </c>
    </row>
    <row r="749" spans="2:4" x14ac:dyDescent="0.25">
      <c r="B749" s="89">
        <v>745</v>
      </c>
      <c r="C749" s="39">
        <f t="shared" si="23"/>
        <v>157992929.59999999</v>
      </c>
      <c r="D749" s="39">
        <f t="shared" si="22"/>
        <v>24605115</v>
      </c>
    </row>
    <row r="750" spans="2:4" x14ac:dyDescent="0.25">
      <c r="B750" s="89">
        <v>746</v>
      </c>
      <c r="C750" s="39">
        <f t="shared" si="23"/>
        <v>157992929.59999999</v>
      </c>
      <c r="D750" s="39">
        <f t="shared" si="22"/>
        <v>24638142</v>
      </c>
    </row>
    <row r="751" spans="2:4" x14ac:dyDescent="0.25">
      <c r="B751" s="89">
        <v>747</v>
      </c>
      <c r="C751" s="39">
        <f t="shared" si="23"/>
        <v>157992929.59999999</v>
      </c>
      <c r="D751" s="39">
        <f t="shared" si="22"/>
        <v>24671169</v>
      </c>
    </row>
    <row r="752" spans="2:4" x14ac:dyDescent="0.25">
      <c r="B752" s="89">
        <v>748</v>
      </c>
      <c r="C752" s="39">
        <f t="shared" si="23"/>
        <v>157992929.59999999</v>
      </c>
      <c r="D752" s="39">
        <f t="shared" si="22"/>
        <v>24704196</v>
      </c>
    </row>
    <row r="753" spans="2:4" x14ac:dyDescent="0.25">
      <c r="B753" s="89">
        <v>749</v>
      </c>
      <c r="C753" s="39">
        <f t="shared" si="23"/>
        <v>157992929.59999999</v>
      </c>
      <c r="D753" s="39">
        <f t="shared" ref="D753:D816" si="24">$D$2*B753</f>
        <v>24737223</v>
      </c>
    </row>
    <row r="754" spans="2:4" x14ac:dyDescent="0.25">
      <c r="B754" s="89">
        <v>750</v>
      </c>
      <c r="C754" s="39">
        <f t="shared" si="23"/>
        <v>157992929.59999999</v>
      </c>
      <c r="D754" s="39">
        <f t="shared" si="24"/>
        <v>24770250</v>
      </c>
    </row>
    <row r="755" spans="2:4" x14ac:dyDescent="0.25">
      <c r="B755" s="89">
        <v>751</v>
      </c>
      <c r="C755" s="39">
        <f t="shared" si="23"/>
        <v>157992929.59999999</v>
      </c>
      <c r="D755" s="39">
        <f t="shared" si="24"/>
        <v>24803277</v>
      </c>
    </row>
    <row r="756" spans="2:4" x14ac:dyDescent="0.25">
      <c r="B756" s="89">
        <v>752</v>
      </c>
      <c r="C756" s="39">
        <f t="shared" si="23"/>
        <v>157992929.59999999</v>
      </c>
      <c r="D756" s="39">
        <f t="shared" si="24"/>
        <v>24836304</v>
      </c>
    </row>
    <row r="757" spans="2:4" x14ac:dyDescent="0.25">
      <c r="B757" s="89">
        <v>753</v>
      </c>
      <c r="C757" s="39">
        <f t="shared" si="23"/>
        <v>157992929.59999999</v>
      </c>
      <c r="D757" s="39">
        <f t="shared" si="24"/>
        <v>24869331</v>
      </c>
    </row>
    <row r="758" spans="2:4" x14ac:dyDescent="0.25">
      <c r="B758" s="89">
        <v>754</v>
      </c>
      <c r="C758" s="39">
        <f t="shared" si="23"/>
        <v>157992929.59999999</v>
      </c>
      <c r="D758" s="39">
        <f t="shared" si="24"/>
        <v>24902358</v>
      </c>
    </row>
    <row r="759" spans="2:4" x14ac:dyDescent="0.25">
      <c r="B759" s="89">
        <v>755</v>
      </c>
      <c r="C759" s="39">
        <f t="shared" si="23"/>
        <v>157992929.59999999</v>
      </c>
      <c r="D759" s="39">
        <f t="shared" si="24"/>
        <v>24935385</v>
      </c>
    </row>
    <row r="760" spans="2:4" x14ac:dyDescent="0.25">
      <c r="B760" s="89">
        <v>756</v>
      </c>
      <c r="C760" s="39">
        <f t="shared" si="23"/>
        <v>157992929.59999999</v>
      </c>
      <c r="D760" s="39">
        <f t="shared" si="24"/>
        <v>24968412</v>
      </c>
    </row>
    <row r="761" spans="2:4" x14ac:dyDescent="0.25">
      <c r="B761" s="89">
        <v>757</v>
      </c>
      <c r="C761" s="39">
        <f t="shared" si="23"/>
        <v>157992929.59999999</v>
      </c>
      <c r="D761" s="39">
        <f t="shared" si="24"/>
        <v>25001439</v>
      </c>
    </row>
    <row r="762" spans="2:4" x14ac:dyDescent="0.25">
      <c r="B762" s="89">
        <v>758</v>
      </c>
      <c r="C762" s="39">
        <f t="shared" si="23"/>
        <v>157992929.59999999</v>
      </c>
      <c r="D762" s="39">
        <f t="shared" si="24"/>
        <v>25034466</v>
      </c>
    </row>
    <row r="763" spans="2:4" x14ac:dyDescent="0.25">
      <c r="B763" s="89">
        <v>759</v>
      </c>
      <c r="C763" s="39">
        <f t="shared" si="23"/>
        <v>157992929.59999999</v>
      </c>
      <c r="D763" s="39">
        <f t="shared" si="24"/>
        <v>25067493</v>
      </c>
    </row>
    <row r="764" spans="2:4" x14ac:dyDescent="0.25">
      <c r="B764" s="89">
        <v>760</v>
      </c>
      <c r="C764" s="39">
        <f t="shared" si="23"/>
        <v>157992929.59999999</v>
      </c>
      <c r="D764" s="39">
        <f t="shared" si="24"/>
        <v>25100520</v>
      </c>
    </row>
    <row r="765" spans="2:4" x14ac:dyDescent="0.25">
      <c r="B765" s="89">
        <v>761</v>
      </c>
      <c r="C765" s="39">
        <f t="shared" si="23"/>
        <v>157992929.59999999</v>
      </c>
      <c r="D765" s="39">
        <f t="shared" si="24"/>
        <v>25133547</v>
      </c>
    </row>
    <row r="766" spans="2:4" x14ac:dyDescent="0.25">
      <c r="B766" s="89">
        <v>762</v>
      </c>
      <c r="C766" s="39">
        <f t="shared" si="23"/>
        <v>157992929.59999999</v>
      </c>
      <c r="D766" s="39">
        <f t="shared" si="24"/>
        <v>25166574</v>
      </c>
    </row>
    <row r="767" spans="2:4" x14ac:dyDescent="0.25">
      <c r="B767" s="89">
        <v>763</v>
      </c>
      <c r="C767" s="39">
        <f t="shared" si="23"/>
        <v>157992929.59999999</v>
      </c>
      <c r="D767" s="39">
        <f t="shared" si="24"/>
        <v>25199601</v>
      </c>
    </row>
    <row r="768" spans="2:4" x14ac:dyDescent="0.25">
      <c r="B768" s="89">
        <v>764</v>
      </c>
      <c r="C768" s="39">
        <f t="shared" si="23"/>
        <v>157992929.59999999</v>
      </c>
      <c r="D768" s="39">
        <f t="shared" si="24"/>
        <v>25232628</v>
      </c>
    </row>
    <row r="769" spans="2:4" x14ac:dyDescent="0.25">
      <c r="B769" s="89">
        <v>765</v>
      </c>
      <c r="C769" s="39">
        <f t="shared" si="23"/>
        <v>157992929.59999999</v>
      </c>
      <c r="D769" s="39">
        <f t="shared" si="24"/>
        <v>25265655</v>
      </c>
    </row>
    <row r="770" spans="2:4" x14ac:dyDescent="0.25">
      <c r="B770" s="89">
        <v>766</v>
      </c>
      <c r="C770" s="39">
        <f t="shared" si="23"/>
        <v>157992929.59999999</v>
      </c>
      <c r="D770" s="39">
        <f t="shared" si="24"/>
        <v>25298682</v>
      </c>
    </row>
    <row r="771" spans="2:4" x14ac:dyDescent="0.25">
      <c r="B771" s="89">
        <v>767</v>
      </c>
      <c r="C771" s="39">
        <f t="shared" si="23"/>
        <v>157992929.59999999</v>
      </c>
      <c r="D771" s="39">
        <f t="shared" si="24"/>
        <v>25331709</v>
      </c>
    </row>
    <row r="772" spans="2:4" x14ac:dyDescent="0.25">
      <c r="B772" s="89">
        <v>768</v>
      </c>
      <c r="C772" s="39">
        <f t="shared" si="23"/>
        <v>157992929.59999999</v>
      </c>
      <c r="D772" s="39">
        <f t="shared" si="24"/>
        <v>25364736</v>
      </c>
    </row>
    <row r="773" spans="2:4" x14ac:dyDescent="0.25">
      <c r="B773" s="89">
        <v>769</v>
      </c>
      <c r="C773" s="39">
        <f t="shared" si="23"/>
        <v>157992929.59999999</v>
      </c>
      <c r="D773" s="39">
        <f t="shared" si="24"/>
        <v>25397763</v>
      </c>
    </row>
    <row r="774" spans="2:4" x14ac:dyDescent="0.25">
      <c r="B774" s="89">
        <v>770</v>
      </c>
      <c r="C774" s="39">
        <f t="shared" ref="C774:C837" si="25">$C773</f>
        <v>157992929.59999999</v>
      </c>
      <c r="D774" s="39">
        <f t="shared" si="24"/>
        <v>25430790</v>
      </c>
    </row>
    <row r="775" spans="2:4" x14ac:dyDescent="0.25">
      <c r="B775" s="89">
        <v>771</v>
      </c>
      <c r="C775" s="39">
        <f t="shared" si="25"/>
        <v>157992929.59999999</v>
      </c>
      <c r="D775" s="39">
        <f t="shared" si="24"/>
        <v>25463817</v>
      </c>
    </row>
    <row r="776" spans="2:4" x14ac:dyDescent="0.25">
      <c r="B776" s="89">
        <v>772</v>
      </c>
      <c r="C776" s="39">
        <f t="shared" si="25"/>
        <v>157992929.59999999</v>
      </c>
      <c r="D776" s="39">
        <f t="shared" si="24"/>
        <v>25496844</v>
      </c>
    </row>
    <row r="777" spans="2:4" x14ac:dyDescent="0.25">
      <c r="B777" s="89">
        <v>773</v>
      </c>
      <c r="C777" s="39">
        <f t="shared" si="25"/>
        <v>157992929.59999999</v>
      </c>
      <c r="D777" s="39">
        <f t="shared" si="24"/>
        <v>25529871</v>
      </c>
    </row>
    <row r="778" spans="2:4" x14ac:dyDescent="0.25">
      <c r="B778" s="89">
        <v>774</v>
      </c>
      <c r="C778" s="39">
        <f t="shared" si="25"/>
        <v>157992929.59999999</v>
      </c>
      <c r="D778" s="39">
        <f t="shared" si="24"/>
        <v>25562898</v>
      </c>
    </row>
    <row r="779" spans="2:4" x14ac:dyDescent="0.25">
      <c r="B779" s="89">
        <v>775</v>
      </c>
      <c r="C779" s="39">
        <f t="shared" si="25"/>
        <v>157992929.59999999</v>
      </c>
      <c r="D779" s="39">
        <f t="shared" si="24"/>
        <v>25595925</v>
      </c>
    </row>
    <row r="780" spans="2:4" x14ac:dyDescent="0.25">
      <c r="B780" s="89">
        <v>776</v>
      </c>
      <c r="C780" s="39">
        <f t="shared" si="25"/>
        <v>157992929.59999999</v>
      </c>
      <c r="D780" s="39">
        <f t="shared" si="24"/>
        <v>25628952</v>
      </c>
    </row>
    <row r="781" spans="2:4" x14ac:dyDescent="0.25">
      <c r="B781" s="89">
        <v>777</v>
      </c>
      <c r="C781" s="39">
        <f t="shared" si="25"/>
        <v>157992929.59999999</v>
      </c>
      <c r="D781" s="39">
        <f t="shared" si="24"/>
        <v>25661979</v>
      </c>
    </row>
    <row r="782" spans="2:4" x14ac:dyDescent="0.25">
      <c r="B782" s="89">
        <v>778</v>
      </c>
      <c r="C782" s="39">
        <f t="shared" si="25"/>
        <v>157992929.59999999</v>
      </c>
      <c r="D782" s="39">
        <f t="shared" si="24"/>
        <v>25695006</v>
      </c>
    </row>
    <row r="783" spans="2:4" x14ac:dyDescent="0.25">
      <c r="B783" s="89">
        <v>779</v>
      </c>
      <c r="C783" s="39">
        <f t="shared" si="25"/>
        <v>157992929.59999999</v>
      </c>
      <c r="D783" s="39">
        <f t="shared" si="24"/>
        <v>25728033</v>
      </c>
    </row>
    <row r="784" spans="2:4" x14ac:dyDescent="0.25">
      <c r="B784" s="89">
        <v>780</v>
      </c>
      <c r="C784" s="39">
        <f t="shared" si="25"/>
        <v>157992929.59999999</v>
      </c>
      <c r="D784" s="39">
        <f t="shared" si="24"/>
        <v>25761060</v>
      </c>
    </row>
    <row r="785" spans="2:4" x14ac:dyDescent="0.25">
      <c r="B785" s="89">
        <v>781</v>
      </c>
      <c r="C785" s="39">
        <f t="shared" si="25"/>
        <v>157992929.59999999</v>
      </c>
      <c r="D785" s="39">
        <f t="shared" si="24"/>
        <v>25794087</v>
      </c>
    </row>
    <row r="786" spans="2:4" x14ac:dyDescent="0.25">
      <c r="B786" s="89">
        <v>782</v>
      </c>
      <c r="C786" s="39">
        <f t="shared" si="25"/>
        <v>157992929.59999999</v>
      </c>
      <c r="D786" s="39">
        <f t="shared" si="24"/>
        <v>25827114</v>
      </c>
    </row>
    <row r="787" spans="2:4" x14ac:dyDescent="0.25">
      <c r="B787" s="89">
        <v>783</v>
      </c>
      <c r="C787" s="39">
        <f t="shared" si="25"/>
        <v>157992929.59999999</v>
      </c>
      <c r="D787" s="39">
        <f t="shared" si="24"/>
        <v>25860141</v>
      </c>
    </row>
    <row r="788" spans="2:4" x14ac:dyDescent="0.25">
      <c r="B788" s="89">
        <v>784</v>
      </c>
      <c r="C788" s="39">
        <f t="shared" si="25"/>
        <v>157992929.59999999</v>
      </c>
      <c r="D788" s="39">
        <f t="shared" si="24"/>
        <v>25893168</v>
      </c>
    </row>
    <row r="789" spans="2:4" x14ac:dyDescent="0.25">
      <c r="B789" s="89">
        <v>785</v>
      </c>
      <c r="C789" s="39">
        <f t="shared" si="25"/>
        <v>157992929.59999999</v>
      </c>
      <c r="D789" s="39">
        <f t="shared" si="24"/>
        <v>25926195</v>
      </c>
    </row>
    <row r="790" spans="2:4" x14ac:dyDescent="0.25">
      <c r="B790" s="89">
        <v>786</v>
      </c>
      <c r="C790" s="39">
        <f t="shared" si="25"/>
        <v>157992929.59999999</v>
      </c>
      <c r="D790" s="39">
        <f t="shared" si="24"/>
        <v>25959222</v>
      </c>
    </row>
    <row r="791" spans="2:4" x14ac:dyDescent="0.25">
      <c r="B791" s="89">
        <v>787</v>
      </c>
      <c r="C791" s="39">
        <f t="shared" si="25"/>
        <v>157992929.59999999</v>
      </c>
      <c r="D791" s="39">
        <f t="shared" si="24"/>
        <v>25992249</v>
      </c>
    </row>
    <row r="792" spans="2:4" x14ac:dyDescent="0.25">
      <c r="B792" s="89">
        <v>788</v>
      </c>
      <c r="C792" s="39">
        <f t="shared" si="25"/>
        <v>157992929.59999999</v>
      </c>
      <c r="D792" s="39">
        <f t="shared" si="24"/>
        <v>26025276</v>
      </c>
    </row>
    <row r="793" spans="2:4" x14ac:dyDescent="0.25">
      <c r="B793" s="89">
        <v>789</v>
      </c>
      <c r="C793" s="39">
        <f t="shared" si="25"/>
        <v>157992929.59999999</v>
      </c>
      <c r="D793" s="39">
        <f t="shared" si="24"/>
        <v>26058303</v>
      </c>
    </row>
    <row r="794" spans="2:4" x14ac:dyDescent="0.25">
      <c r="B794" s="89">
        <v>790</v>
      </c>
      <c r="C794" s="39">
        <f t="shared" si="25"/>
        <v>157992929.59999999</v>
      </c>
      <c r="D794" s="39">
        <f t="shared" si="24"/>
        <v>26091330</v>
      </c>
    </row>
    <row r="795" spans="2:4" x14ac:dyDescent="0.25">
      <c r="B795" s="89">
        <v>791</v>
      </c>
      <c r="C795" s="39">
        <f t="shared" si="25"/>
        <v>157992929.59999999</v>
      </c>
      <c r="D795" s="39">
        <f t="shared" si="24"/>
        <v>26124357</v>
      </c>
    </row>
    <row r="796" spans="2:4" x14ac:dyDescent="0.25">
      <c r="B796" s="89">
        <v>792</v>
      </c>
      <c r="C796" s="39">
        <f t="shared" si="25"/>
        <v>157992929.59999999</v>
      </c>
      <c r="D796" s="39">
        <f t="shared" si="24"/>
        <v>26157384</v>
      </c>
    </row>
    <row r="797" spans="2:4" x14ac:dyDescent="0.25">
      <c r="B797" s="89">
        <v>793</v>
      </c>
      <c r="C797" s="39">
        <f t="shared" si="25"/>
        <v>157992929.59999999</v>
      </c>
      <c r="D797" s="39">
        <f t="shared" si="24"/>
        <v>26190411</v>
      </c>
    </row>
    <row r="798" spans="2:4" x14ac:dyDescent="0.25">
      <c r="B798" s="89">
        <v>794</v>
      </c>
      <c r="C798" s="39">
        <f t="shared" si="25"/>
        <v>157992929.59999999</v>
      </c>
      <c r="D798" s="39">
        <f t="shared" si="24"/>
        <v>26223438</v>
      </c>
    </row>
    <row r="799" spans="2:4" x14ac:dyDescent="0.25">
      <c r="B799" s="89">
        <v>795</v>
      </c>
      <c r="C799" s="39">
        <f t="shared" si="25"/>
        <v>157992929.59999999</v>
      </c>
      <c r="D799" s="39">
        <f t="shared" si="24"/>
        <v>26256465</v>
      </c>
    </row>
    <row r="800" spans="2:4" x14ac:dyDescent="0.25">
      <c r="B800" s="89">
        <v>796</v>
      </c>
      <c r="C800" s="39">
        <f t="shared" si="25"/>
        <v>157992929.59999999</v>
      </c>
      <c r="D800" s="39">
        <f t="shared" si="24"/>
        <v>26289492</v>
      </c>
    </row>
    <row r="801" spans="2:4" x14ac:dyDescent="0.25">
      <c r="B801" s="89">
        <v>797</v>
      </c>
      <c r="C801" s="39">
        <f t="shared" si="25"/>
        <v>157992929.59999999</v>
      </c>
      <c r="D801" s="39">
        <f t="shared" si="24"/>
        <v>26322519</v>
      </c>
    </row>
    <row r="802" spans="2:4" x14ac:dyDescent="0.25">
      <c r="B802" s="89">
        <v>798</v>
      </c>
      <c r="C802" s="39">
        <f t="shared" si="25"/>
        <v>157992929.59999999</v>
      </c>
      <c r="D802" s="39">
        <f t="shared" si="24"/>
        <v>26355546</v>
      </c>
    </row>
    <row r="803" spans="2:4" x14ac:dyDescent="0.25">
      <c r="B803" s="89">
        <v>799</v>
      </c>
      <c r="C803" s="39">
        <f t="shared" si="25"/>
        <v>157992929.59999999</v>
      </c>
      <c r="D803" s="39">
        <f t="shared" si="24"/>
        <v>26388573</v>
      </c>
    </row>
    <row r="804" spans="2:4" x14ac:dyDescent="0.25">
      <c r="B804" s="89">
        <v>800</v>
      </c>
      <c r="C804" s="39">
        <f t="shared" si="25"/>
        <v>157992929.59999999</v>
      </c>
      <c r="D804" s="39">
        <f t="shared" si="24"/>
        <v>26421600</v>
      </c>
    </row>
    <row r="805" spans="2:4" x14ac:dyDescent="0.25">
      <c r="B805" s="89">
        <v>801</v>
      </c>
      <c r="C805" s="39">
        <f t="shared" si="25"/>
        <v>157992929.59999999</v>
      </c>
      <c r="D805" s="39">
        <f t="shared" si="24"/>
        <v>26454627</v>
      </c>
    </row>
    <row r="806" spans="2:4" x14ac:dyDescent="0.25">
      <c r="B806" s="89">
        <v>802</v>
      </c>
      <c r="C806" s="39">
        <f t="shared" si="25"/>
        <v>157992929.59999999</v>
      </c>
      <c r="D806" s="39">
        <f t="shared" si="24"/>
        <v>26487654</v>
      </c>
    </row>
    <row r="807" spans="2:4" x14ac:dyDescent="0.25">
      <c r="B807" s="89">
        <v>803</v>
      </c>
      <c r="C807" s="39">
        <f t="shared" si="25"/>
        <v>157992929.59999999</v>
      </c>
      <c r="D807" s="39">
        <f t="shared" si="24"/>
        <v>26520681</v>
      </c>
    </row>
    <row r="808" spans="2:4" x14ac:dyDescent="0.25">
      <c r="B808" s="89">
        <v>804</v>
      </c>
      <c r="C808" s="39">
        <f t="shared" si="25"/>
        <v>157992929.59999999</v>
      </c>
      <c r="D808" s="39">
        <f t="shared" si="24"/>
        <v>26553708</v>
      </c>
    </row>
    <row r="809" spans="2:4" x14ac:dyDescent="0.25">
      <c r="B809" s="89">
        <v>805</v>
      </c>
      <c r="C809" s="39">
        <f t="shared" si="25"/>
        <v>157992929.59999999</v>
      </c>
      <c r="D809" s="39">
        <f t="shared" si="24"/>
        <v>26586735</v>
      </c>
    </row>
    <row r="810" spans="2:4" x14ac:dyDescent="0.25">
      <c r="B810" s="89">
        <v>806</v>
      </c>
      <c r="C810" s="39">
        <f t="shared" si="25"/>
        <v>157992929.59999999</v>
      </c>
      <c r="D810" s="39">
        <f t="shared" si="24"/>
        <v>26619762</v>
      </c>
    </row>
    <row r="811" spans="2:4" x14ac:dyDescent="0.25">
      <c r="B811" s="89">
        <v>807</v>
      </c>
      <c r="C811" s="39">
        <f t="shared" si="25"/>
        <v>157992929.59999999</v>
      </c>
      <c r="D811" s="39">
        <f t="shared" si="24"/>
        <v>26652789</v>
      </c>
    </row>
    <row r="812" spans="2:4" x14ac:dyDescent="0.25">
      <c r="B812" s="89">
        <v>808</v>
      </c>
      <c r="C812" s="39">
        <f t="shared" si="25"/>
        <v>157992929.59999999</v>
      </c>
      <c r="D812" s="39">
        <f t="shared" si="24"/>
        <v>26685816</v>
      </c>
    </row>
    <row r="813" spans="2:4" x14ac:dyDescent="0.25">
      <c r="B813" s="89">
        <v>809</v>
      </c>
      <c r="C813" s="39">
        <f t="shared" si="25"/>
        <v>157992929.59999999</v>
      </c>
      <c r="D813" s="39">
        <f t="shared" si="24"/>
        <v>26718843</v>
      </c>
    </row>
    <row r="814" spans="2:4" x14ac:dyDescent="0.25">
      <c r="B814" s="89">
        <v>810</v>
      </c>
      <c r="C814" s="39">
        <f t="shared" si="25"/>
        <v>157992929.59999999</v>
      </c>
      <c r="D814" s="39">
        <f t="shared" si="24"/>
        <v>26751870</v>
      </c>
    </row>
    <row r="815" spans="2:4" x14ac:dyDescent="0.25">
      <c r="B815" s="89">
        <v>811</v>
      </c>
      <c r="C815" s="39">
        <f t="shared" si="25"/>
        <v>157992929.59999999</v>
      </c>
      <c r="D815" s="39">
        <f t="shared" si="24"/>
        <v>26784897</v>
      </c>
    </row>
    <row r="816" spans="2:4" x14ac:dyDescent="0.25">
      <c r="B816" s="89">
        <v>812</v>
      </c>
      <c r="C816" s="39">
        <f t="shared" si="25"/>
        <v>157992929.59999999</v>
      </c>
      <c r="D816" s="39">
        <f t="shared" si="24"/>
        <v>26817924</v>
      </c>
    </row>
    <row r="817" spans="2:4" x14ac:dyDescent="0.25">
      <c r="B817" s="89">
        <v>813</v>
      </c>
      <c r="C817" s="39">
        <f t="shared" si="25"/>
        <v>157992929.59999999</v>
      </c>
      <c r="D817" s="39">
        <f t="shared" ref="D817:D880" si="26">$D$2*B817</f>
        <v>26850951</v>
      </c>
    </row>
    <row r="818" spans="2:4" x14ac:dyDescent="0.25">
      <c r="B818" s="89">
        <v>814</v>
      </c>
      <c r="C818" s="39">
        <f t="shared" si="25"/>
        <v>157992929.59999999</v>
      </c>
      <c r="D818" s="39">
        <f t="shared" si="26"/>
        <v>26883978</v>
      </c>
    </row>
    <row r="819" spans="2:4" x14ac:dyDescent="0.25">
      <c r="B819" s="89">
        <v>815</v>
      </c>
      <c r="C819" s="39">
        <f t="shared" si="25"/>
        <v>157992929.59999999</v>
      </c>
      <c r="D819" s="39">
        <f t="shared" si="26"/>
        <v>26917005</v>
      </c>
    </row>
    <row r="820" spans="2:4" x14ac:dyDescent="0.25">
      <c r="B820" s="89">
        <v>816</v>
      </c>
      <c r="C820" s="39">
        <f t="shared" si="25"/>
        <v>157992929.59999999</v>
      </c>
      <c r="D820" s="39">
        <f t="shared" si="26"/>
        <v>26950032</v>
      </c>
    </row>
    <row r="821" spans="2:4" x14ac:dyDescent="0.25">
      <c r="B821" s="89">
        <v>817</v>
      </c>
      <c r="C821" s="39">
        <f t="shared" si="25"/>
        <v>157992929.59999999</v>
      </c>
      <c r="D821" s="39">
        <f t="shared" si="26"/>
        <v>26983059</v>
      </c>
    </row>
    <row r="822" spans="2:4" x14ac:dyDescent="0.25">
      <c r="B822" s="89">
        <v>818</v>
      </c>
      <c r="C822" s="39">
        <f t="shared" si="25"/>
        <v>157992929.59999999</v>
      </c>
      <c r="D822" s="39">
        <f t="shared" si="26"/>
        <v>27016086</v>
      </c>
    </row>
    <row r="823" spans="2:4" x14ac:dyDescent="0.25">
      <c r="B823" s="89">
        <v>819</v>
      </c>
      <c r="C823" s="39">
        <f t="shared" si="25"/>
        <v>157992929.59999999</v>
      </c>
      <c r="D823" s="39">
        <f t="shared" si="26"/>
        <v>27049113</v>
      </c>
    </row>
    <row r="824" spans="2:4" x14ac:dyDescent="0.25">
      <c r="B824" s="89">
        <v>820</v>
      </c>
      <c r="C824" s="39">
        <f t="shared" si="25"/>
        <v>157992929.59999999</v>
      </c>
      <c r="D824" s="39">
        <f t="shared" si="26"/>
        <v>27082140</v>
      </c>
    </row>
    <row r="825" spans="2:4" x14ac:dyDescent="0.25">
      <c r="B825" s="89">
        <v>821</v>
      </c>
      <c r="C825" s="39">
        <f t="shared" si="25"/>
        <v>157992929.59999999</v>
      </c>
      <c r="D825" s="39">
        <f t="shared" si="26"/>
        <v>27115167</v>
      </c>
    </row>
    <row r="826" spans="2:4" x14ac:dyDescent="0.25">
      <c r="B826" s="89">
        <v>822</v>
      </c>
      <c r="C826" s="39">
        <f t="shared" si="25"/>
        <v>157992929.59999999</v>
      </c>
      <c r="D826" s="39">
        <f t="shared" si="26"/>
        <v>27148194</v>
      </c>
    </row>
    <row r="827" spans="2:4" x14ac:dyDescent="0.25">
      <c r="B827" s="89">
        <v>823</v>
      </c>
      <c r="C827" s="39">
        <f t="shared" si="25"/>
        <v>157992929.59999999</v>
      </c>
      <c r="D827" s="39">
        <f t="shared" si="26"/>
        <v>27181221</v>
      </c>
    </row>
    <row r="828" spans="2:4" x14ac:dyDescent="0.25">
      <c r="B828" s="89">
        <v>824</v>
      </c>
      <c r="C828" s="39">
        <f t="shared" si="25"/>
        <v>157992929.59999999</v>
      </c>
      <c r="D828" s="39">
        <f t="shared" si="26"/>
        <v>27214248</v>
      </c>
    </row>
    <row r="829" spans="2:4" x14ac:dyDescent="0.25">
      <c r="B829" s="89">
        <v>825</v>
      </c>
      <c r="C829" s="39">
        <f t="shared" si="25"/>
        <v>157992929.59999999</v>
      </c>
      <c r="D829" s="39">
        <f t="shared" si="26"/>
        <v>27247275</v>
      </c>
    </row>
    <row r="830" spans="2:4" x14ac:dyDescent="0.25">
      <c r="B830" s="89">
        <v>826</v>
      </c>
      <c r="C830" s="39">
        <f t="shared" si="25"/>
        <v>157992929.59999999</v>
      </c>
      <c r="D830" s="39">
        <f t="shared" si="26"/>
        <v>27280302</v>
      </c>
    </row>
    <row r="831" spans="2:4" x14ac:dyDescent="0.25">
      <c r="B831" s="89">
        <v>827</v>
      </c>
      <c r="C831" s="39">
        <f t="shared" si="25"/>
        <v>157992929.59999999</v>
      </c>
      <c r="D831" s="39">
        <f t="shared" si="26"/>
        <v>27313329</v>
      </c>
    </row>
    <row r="832" spans="2:4" x14ac:dyDescent="0.25">
      <c r="B832" s="89">
        <v>828</v>
      </c>
      <c r="C832" s="39">
        <f t="shared" si="25"/>
        <v>157992929.59999999</v>
      </c>
      <c r="D832" s="39">
        <f t="shared" si="26"/>
        <v>27346356</v>
      </c>
    </row>
    <row r="833" spans="2:4" x14ac:dyDescent="0.25">
      <c r="B833" s="89">
        <v>829</v>
      </c>
      <c r="C833" s="39">
        <f t="shared" si="25"/>
        <v>157992929.59999999</v>
      </c>
      <c r="D833" s="39">
        <f t="shared" si="26"/>
        <v>27379383</v>
      </c>
    </row>
    <row r="834" spans="2:4" x14ac:dyDescent="0.25">
      <c r="B834" s="89">
        <v>830</v>
      </c>
      <c r="C834" s="39">
        <f t="shared" si="25"/>
        <v>157992929.59999999</v>
      </c>
      <c r="D834" s="39">
        <f t="shared" si="26"/>
        <v>27412410</v>
      </c>
    </row>
    <row r="835" spans="2:4" x14ac:dyDescent="0.25">
      <c r="B835" s="89">
        <v>831</v>
      </c>
      <c r="C835" s="39">
        <f t="shared" si="25"/>
        <v>157992929.59999999</v>
      </c>
      <c r="D835" s="39">
        <f t="shared" si="26"/>
        <v>27445437</v>
      </c>
    </row>
    <row r="836" spans="2:4" x14ac:dyDescent="0.25">
      <c r="B836" s="89">
        <v>832</v>
      </c>
      <c r="C836" s="39">
        <f t="shared" si="25"/>
        <v>157992929.59999999</v>
      </c>
      <c r="D836" s="39">
        <f t="shared" si="26"/>
        <v>27478464</v>
      </c>
    </row>
    <row r="837" spans="2:4" x14ac:dyDescent="0.25">
      <c r="B837" s="89">
        <v>833</v>
      </c>
      <c r="C837" s="39">
        <f t="shared" si="25"/>
        <v>157992929.59999999</v>
      </c>
      <c r="D837" s="39">
        <f t="shared" si="26"/>
        <v>27511491</v>
      </c>
    </row>
    <row r="838" spans="2:4" x14ac:dyDescent="0.25">
      <c r="B838" s="89">
        <v>834</v>
      </c>
      <c r="C838" s="39">
        <f t="shared" ref="C838:C901" si="27">$C837</f>
        <v>157992929.59999999</v>
      </c>
      <c r="D838" s="39">
        <f t="shared" si="26"/>
        <v>27544518</v>
      </c>
    </row>
    <row r="839" spans="2:4" x14ac:dyDescent="0.25">
      <c r="B839" s="89">
        <v>835</v>
      </c>
      <c r="C839" s="39">
        <f t="shared" si="27"/>
        <v>157992929.59999999</v>
      </c>
      <c r="D839" s="39">
        <f t="shared" si="26"/>
        <v>27577545</v>
      </c>
    </row>
    <row r="840" spans="2:4" x14ac:dyDescent="0.25">
      <c r="B840" s="89">
        <v>836</v>
      </c>
      <c r="C840" s="39">
        <f t="shared" si="27"/>
        <v>157992929.59999999</v>
      </c>
      <c r="D840" s="39">
        <f t="shared" si="26"/>
        <v>27610572</v>
      </c>
    </row>
    <row r="841" spans="2:4" x14ac:dyDescent="0.25">
      <c r="B841" s="89">
        <v>837</v>
      </c>
      <c r="C841" s="39">
        <f t="shared" si="27"/>
        <v>157992929.59999999</v>
      </c>
      <c r="D841" s="39">
        <f t="shared" si="26"/>
        <v>27643599</v>
      </c>
    </row>
    <row r="842" spans="2:4" x14ac:dyDescent="0.25">
      <c r="B842" s="89">
        <v>838</v>
      </c>
      <c r="C842" s="39">
        <f t="shared" si="27"/>
        <v>157992929.59999999</v>
      </c>
      <c r="D842" s="39">
        <f t="shared" si="26"/>
        <v>27676626</v>
      </c>
    </row>
    <row r="843" spans="2:4" x14ac:dyDescent="0.25">
      <c r="B843" s="89">
        <v>839</v>
      </c>
      <c r="C843" s="39">
        <f t="shared" si="27"/>
        <v>157992929.59999999</v>
      </c>
      <c r="D843" s="39">
        <f t="shared" si="26"/>
        <v>27709653</v>
      </c>
    </row>
    <row r="844" spans="2:4" x14ac:dyDescent="0.25">
      <c r="B844" s="89">
        <v>840</v>
      </c>
      <c r="C844" s="39">
        <f t="shared" si="27"/>
        <v>157992929.59999999</v>
      </c>
      <c r="D844" s="39">
        <f t="shared" si="26"/>
        <v>27742680</v>
      </c>
    </row>
    <row r="845" spans="2:4" x14ac:dyDescent="0.25">
      <c r="B845" s="89">
        <v>841</v>
      </c>
      <c r="C845" s="39">
        <f t="shared" si="27"/>
        <v>157992929.59999999</v>
      </c>
      <c r="D845" s="39">
        <f t="shared" si="26"/>
        <v>27775707</v>
      </c>
    </row>
    <row r="846" spans="2:4" x14ac:dyDescent="0.25">
      <c r="B846" s="89">
        <v>842</v>
      </c>
      <c r="C846" s="39">
        <f t="shared" si="27"/>
        <v>157992929.59999999</v>
      </c>
      <c r="D846" s="39">
        <f t="shared" si="26"/>
        <v>27808734</v>
      </c>
    </row>
    <row r="847" spans="2:4" x14ac:dyDescent="0.25">
      <c r="B847" s="89">
        <v>843</v>
      </c>
      <c r="C847" s="39">
        <f t="shared" si="27"/>
        <v>157992929.59999999</v>
      </c>
      <c r="D847" s="39">
        <f t="shared" si="26"/>
        <v>27841761</v>
      </c>
    </row>
    <row r="848" spans="2:4" x14ac:dyDescent="0.25">
      <c r="B848" s="89">
        <v>844</v>
      </c>
      <c r="C848" s="39">
        <f t="shared" si="27"/>
        <v>157992929.59999999</v>
      </c>
      <c r="D848" s="39">
        <f t="shared" si="26"/>
        <v>27874788</v>
      </c>
    </row>
    <row r="849" spans="2:4" x14ac:dyDescent="0.25">
      <c r="B849" s="89">
        <v>845</v>
      </c>
      <c r="C849" s="39">
        <f t="shared" si="27"/>
        <v>157992929.59999999</v>
      </c>
      <c r="D849" s="39">
        <f t="shared" si="26"/>
        <v>27907815</v>
      </c>
    </row>
    <row r="850" spans="2:4" x14ac:dyDescent="0.25">
      <c r="B850" s="89">
        <v>846</v>
      </c>
      <c r="C850" s="39">
        <f t="shared" si="27"/>
        <v>157992929.59999999</v>
      </c>
      <c r="D850" s="39">
        <f t="shared" si="26"/>
        <v>27940842</v>
      </c>
    </row>
    <row r="851" spans="2:4" x14ac:dyDescent="0.25">
      <c r="B851" s="89">
        <v>847</v>
      </c>
      <c r="C851" s="39">
        <f t="shared" si="27"/>
        <v>157992929.59999999</v>
      </c>
      <c r="D851" s="39">
        <f t="shared" si="26"/>
        <v>27973869</v>
      </c>
    </row>
    <row r="852" spans="2:4" x14ac:dyDescent="0.25">
      <c r="B852" s="89">
        <v>848</v>
      </c>
      <c r="C852" s="39">
        <f t="shared" si="27"/>
        <v>157992929.59999999</v>
      </c>
      <c r="D852" s="39">
        <f t="shared" si="26"/>
        <v>28006896</v>
      </c>
    </row>
    <row r="853" spans="2:4" x14ac:dyDescent="0.25">
      <c r="B853" s="89">
        <v>849</v>
      </c>
      <c r="C853" s="39">
        <f t="shared" si="27"/>
        <v>157992929.59999999</v>
      </c>
      <c r="D853" s="39">
        <f t="shared" si="26"/>
        <v>28039923</v>
      </c>
    </row>
    <row r="854" spans="2:4" x14ac:dyDescent="0.25">
      <c r="B854" s="89">
        <v>850</v>
      </c>
      <c r="C854" s="39">
        <f t="shared" si="27"/>
        <v>157992929.59999999</v>
      </c>
      <c r="D854" s="39">
        <f t="shared" si="26"/>
        <v>28072950</v>
      </c>
    </row>
    <row r="855" spans="2:4" x14ac:dyDescent="0.25">
      <c r="B855" s="89">
        <v>851</v>
      </c>
      <c r="C855" s="39">
        <f t="shared" si="27"/>
        <v>157992929.59999999</v>
      </c>
      <c r="D855" s="39">
        <f t="shared" si="26"/>
        <v>28105977</v>
      </c>
    </row>
    <row r="856" spans="2:4" x14ac:dyDescent="0.25">
      <c r="B856" s="89">
        <v>852</v>
      </c>
      <c r="C856" s="39">
        <f t="shared" si="27"/>
        <v>157992929.59999999</v>
      </c>
      <c r="D856" s="39">
        <f t="shared" si="26"/>
        <v>28139004</v>
      </c>
    </row>
    <row r="857" spans="2:4" x14ac:dyDescent="0.25">
      <c r="B857" s="89">
        <v>853</v>
      </c>
      <c r="C857" s="39">
        <f t="shared" si="27"/>
        <v>157992929.59999999</v>
      </c>
      <c r="D857" s="39">
        <f t="shared" si="26"/>
        <v>28172031</v>
      </c>
    </row>
    <row r="858" spans="2:4" x14ac:dyDescent="0.25">
      <c r="B858" s="89">
        <v>854</v>
      </c>
      <c r="C858" s="39">
        <f t="shared" si="27"/>
        <v>157992929.59999999</v>
      </c>
      <c r="D858" s="39">
        <f t="shared" si="26"/>
        <v>28205058</v>
      </c>
    </row>
    <row r="859" spans="2:4" x14ac:dyDescent="0.25">
      <c r="B859" s="89">
        <v>855</v>
      </c>
      <c r="C859" s="39">
        <f t="shared" si="27"/>
        <v>157992929.59999999</v>
      </c>
      <c r="D859" s="39">
        <f t="shared" si="26"/>
        <v>28238085</v>
      </c>
    </row>
    <row r="860" spans="2:4" x14ac:dyDescent="0.25">
      <c r="B860" s="89">
        <v>856</v>
      </c>
      <c r="C860" s="39">
        <f t="shared" si="27"/>
        <v>157992929.59999999</v>
      </c>
      <c r="D860" s="39">
        <f t="shared" si="26"/>
        <v>28271112</v>
      </c>
    </row>
    <row r="861" spans="2:4" x14ac:dyDescent="0.25">
      <c r="B861" s="89">
        <v>857</v>
      </c>
      <c r="C861" s="39">
        <f t="shared" si="27"/>
        <v>157992929.59999999</v>
      </c>
      <c r="D861" s="39">
        <f t="shared" si="26"/>
        <v>28304139</v>
      </c>
    </row>
    <row r="862" spans="2:4" x14ac:dyDescent="0.25">
      <c r="B862" s="89">
        <v>858</v>
      </c>
      <c r="C862" s="39">
        <f t="shared" si="27"/>
        <v>157992929.59999999</v>
      </c>
      <c r="D862" s="39">
        <f t="shared" si="26"/>
        <v>28337166</v>
      </c>
    </row>
    <row r="863" spans="2:4" x14ac:dyDescent="0.25">
      <c r="B863" s="89">
        <v>859</v>
      </c>
      <c r="C863" s="39">
        <f t="shared" si="27"/>
        <v>157992929.59999999</v>
      </c>
      <c r="D863" s="39">
        <f t="shared" si="26"/>
        <v>28370193</v>
      </c>
    </row>
    <row r="864" spans="2:4" x14ac:dyDescent="0.25">
      <c r="B864" s="89">
        <v>860</v>
      </c>
      <c r="C864" s="39">
        <f t="shared" si="27"/>
        <v>157992929.59999999</v>
      </c>
      <c r="D864" s="39">
        <f t="shared" si="26"/>
        <v>28403220</v>
      </c>
    </row>
    <row r="865" spans="2:4" x14ac:dyDescent="0.25">
      <c r="B865" s="89">
        <v>861</v>
      </c>
      <c r="C865" s="39">
        <f t="shared" si="27"/>
        <v>157992929.59999999</v>
      </c>
      <c r="D865" s="39">
        <f t="shared" si="26"/>
        <v>28436247</v>
      </c>
    </row>
    <row r="866" spans="2:4" x14ac:dyDescent="0.25">
      <c r="B866" s="89">
        <v>862</v>
      </c>
      <c r="C866" s="39">
        <f t="shared" si="27"/>
        <v>157992929.59999999</v>
      </c>
      <c r="D866" s="39">
        <f t="shared" si="26"/>
        <v>28469274</v>
      </c>
    </row>
    <row r="867" spans="2:4" x14ac:dyDescent="0.25">
      <c r="B867" s="89">
        <v>863</v>
      </c>
      <c r="C867" s="39">
        <f t="shared" si="27"/>
        <v>157992929.59999999</v>
      </c>
      <c r="D867" s="39">
        <f t="shared" si="26"/>
        <v>28502301</v>
      </c>
    </row>
    <row r="868" spans="2:4" x14ac:dyDescent="0.25">
      <c r="B868" s="89">
        <v>864</v>
      </c>
      <c r="C868" s="39">
        <f t="shared" si="27"/>
        <v>157992929.59999999</v>
      </c>
      <c r="D868" s="39">
        <f t="shared" si="26"/>
        <v>28535328</v>
      </c>
    </row>
    <row r="869" spans="2:4" x14ac:dyDescent="0.25">
      <c r="B869" s="89">
        <v>865</v>
      </c>
      <c r="C869" s="39">
        <f t="shared" si="27"/>
        <v>157992929.59999999</v>
      </c>
      <c r="D869" s="39">
        <f t="shared" si="26"/>
        <v>28568355</v>
      </c>
    </row>
    <row r="870" spans="2:4" x14ac:dyDescent="0.25">
      <c r="B870" s="89">
        <v>866</v>
      </c>
      <c r="C870" s="39">
        <f t="shared" si="27"/>
        <v>157992929.59999999</v>
      </c>
      <c r="D870" s="39">
        <f t="shared" si="26"/>
        <v>28601382</v>
      </c>
    </row>
    <row r="871" spans="2:4" x14ac:dyDescent="0.25">
      <c r="B871" s="89">
        <v>867</v>
      </c>
      <c r="C871" s="39">
        <f t="shared" si="27"/>
        <v>157992929.59999999</v>
      </c>
      <c r="D871" s="39">
        <f t="shared" si="26"/>
        <v>28634409</v>
      </c>
    </row>
    <row r="872" spans="2:4" x14ac:dyDescent="0.25">
      <c r="B872" s="89">
        <v>868</v>
      </c>
      <c r="C872" s="39">
        <f t="shared" si="27"/>
        <v>157992929.59999999</v>
      </c>
      <c r="D872" s="39">
        <f t="shared" si="26"/>
        <v>28667436</v>
      </c>
    </row>
    <row r="873" spans="2:4" x14ac:dyDescent="0.25">
      <c r="B873" s="89">
        <v>869</v>
      </c>
      <c r="C873" s="39">
        <f t="shared" si="27"/>
        <v>157992929.59999999</v>
      </c>
      <c r="D873" s="39">
        <f t="shared" si="26"/>
        <v>28700463</v>
      </c>
    </row>
    <row r="874" spans="2:4" x14ac:dyDescent="0.25">
      <c r="B874" s="89">
        <v>870</v>
      </c>
      <c r="C874" s="39">
        <f t="shared" si="27"/>
        <v>157992929.59999999</v>
      </c>
      <c r="D874" s="39">
        <f t="shared" si="26"/>
        <v>28733490</v>
      </c>
    </row>
    <row r="875" spans="2:4" x14ac:dyDescent="0.25">
      <c r="B875" s="89">
        <v>871</v>
      </c>
      <c r="C875" s="39">
        <f t="shared" si="27"/>
        <v>157992929.59999999</v>
      </c>
      <c r="D875" s="39">
        <f t="shared" si="26"/>
        <v>28766517</v>
      </c>
    </row>
    <row r="876" spans="2:4" x14ac:dyDescent="0.25">
      <c r="B876" s="89">
        <v>872</v>
      </c>
      <c r="C876" s="39">
        <f t="shared" si="27"/>
        <v>157992929.59999999</v>
      </c>
      <c r="D876" s="39">
        <f t="shared" si="26"/>
        <v>28799544</v>
      </c>
    </row>
    <row r="877" spans="2:4" x14ac:dyDescent="0.25">
      <c r="B877" s="89">
        <v>873</v>
      </c>
      <c r="C877" s="39">
        <f t="shared" si="27"/>
        <v>157992929.59999999</v>
      </c>
      <c r="D877" s="39">
        <f t="shared" si="26"/>
        <v>28832571</v>
      </c>
    </row>
    <row r="878" spans="2:4" x14ac:dyDescent="0.25">
      <c r="B878" s="89">
        <v>874</v>
      </c>
      <c r="C878" s="39">
        <f t="shared" si="27"/>
        <v>157992929.59999999</v>
      </c>
      <c r="D878" s="39">
        <f t="shared" si="26"/>
        <v>28865598</v>
      </c>
    </row>
    <row r="879" spans="2:4" x14ac:dyDescent="0.25">
      <c r="B879" s="89">
        <v>875</v>
      </c>
      <c r="C879" s="39">
        <f t="shared" si="27"/>
        <v>157992929.59999999</v>
      </c>
      <c r="D879" s="39">
        <f t="shared" si="26"/>
        <v>28898625</v>
      </c>
    </row>
    <row r="880" spans="2:4" x14ac:dyDescent="0.25">
      <c r="B880" s="89">
        <v>876</v>
      </c>
      <c r="C880" s="39">
        <f t="shared" si="27"/>
        <v>157992929.59999999</v>
      </c>
      <c r="D880" s="39">
        <f t="shared" si="26"/>
        <v>28931652</v>
      </c>
    </row>
    <row r="881" spans="2:4" x14ac:dyDescent="0.25">
      <c r="B881" s="89">
        <v>877</v>
      </c>
      <c r="C881" s="39">
        <f t="shared" si="27"/>
        <v>157992929.59999999</v>
      </c>
      <c r="D881" s="39">
        <f t="shared" ref="D881:D944" si="28">$D$2*B881</f>
        <v>28964679</v>
      </c>
    </row>
    <row r="882" spans="2:4" x14ac:dyDescent="0.25">
      <c r="B882" s="89">
        <v>878</v>
      </c>
      <c r="C882" s="39">
        <f t="shared" si="27"/>
        <v>157992929.59999999</v>
      </c>
      <c r="D882" s="39">
        <f t="shared" si="28"/>
        <v>28997706</v>
      </c>
    </row>
    <row r="883" spans="2:4" x14ac:dyDescent="0.25">
      <c r="B883" s="89">
        <v>879</v>
      </c>
      <c r="C883" s="39">
        <f t="shared" si="27"/>
        <v>157992929.59999999</v>
      </c>
      <c r="D883" s="39">
        <f t="shared" si="28"/>
        <v>29030733</v>
      </c>
    </row>
    <row r="884" spans="2:4" x14ac:dyDescent="0.25">
      <c r="B884" s="89">
        <v>880</v>
      </c>
      <c r="C884" s="39">
        <f t="shared" si="27"/>
        <v>157992929.59999999</v>
      </c>
      <c r="D884" s="39">
        <f t="shared" si="28"/>
        <v>29063760</v>
      </c>
    </row>
    <row r="885" spans="2:4" x14ac:dyDescent="0.25">
      <c r="B885" s="89">
        <v>881</v>
      </c>
      <c r="C885" s="39">
        <f t="shared" si="27"/>
        <v>157992929.59999999</v>
      </c>
      <c r="D885" s="39">
        <f t="shared" si="28"/>
        <v>29096787</v>
      </c>
    </row>
    <row r="886" spans="2:4" x14ac:dyDescent="0.25">
      <c r="B886" s="89">
        <v>882</v>
      </c>
      <c r="C886" s="39">
        <f t="shared" si="27"/>
        <v>157992929.59999999</v>
      </c>
      <c r="D886" s="39">
        <f t="shared" si="28"/>
        <v>29129814</v>
      </c>
    </row>
    <row r="887" spans="2:4" x14ac:dyDescent="0.25">
      <c r="B887" s="89">
        <v>883</v>
      </c>
      <c r="C887" s="39">
        <f t="shared" si="27"/>
        <v>157992929.59999999</v>
      </c>
      <c r="D887" s="39">
        <f t="shared" si="28"/>
        <v>29162841</v>
      </c>
    </row>
    <row r="888" spans="2:4" x14ac:dyDescent="0.25">
      <c r="B888" s="89">
        <v>884</v>
      </c>
      <c r="C888" s="39">
        <f t="shared" si="27"/>
        <v>157992929.59999999</v>
      </c>
      <c r="D888" s="39">
        <f t="shared" si="28"/>
        <v>29195868</v>
      </c>
    </row>
    <row r="889" spans="2:4" x14ac:dyDescent="0.25">
      <c r="B889" s="89">
        <v>885</v>
      </c>
      <c r="C889" s="39">
        <f t="shared" si="27"/>
        <v>157992929.59999999</v>
      </c>
      <c r="D889" s="39">
        <f t="shared" si="28"/>
        <v>29228895</v>
      </c>
    </row>
    <row r="890" spans="2:4" x14ac:dyDescent="0.25">
      <c r="B890" s="89">
        <v>886</v>
      </c>
      <c r="C890" s="39">
        <f t="shared" si="27"/>
        <v>157992929.59999999</v>
      </c>
      <c r="D890" s="39">
        <f t="shared" si="28"/>
        <v>29261922</v>
      </c>
    </row>
    <row r="891" spans="2:4" x14ac:dyDescent="0.25">
      <c r="B891" s="89">
        <v>887</v>
      </c>
      <c r="C891" s="39">
        <f t="shared" si="27"/>
        <v>157992929.59999999</v>
      </c>
      <c r="D891" s="39">
        <f t="shared" si="28"/>
        <v>29294949</v>
      </c>
    </row>
    <row r="892" spans="2:4" x14ac:dyDescent="0.25">
      <c r="B892" s="89">
        <v>888</v>
      </c>
      <c r="C892" s="39">
        <f t="shared" si="27"/>
        <v>157992929.59999999</v>
      </c>
      <c r="D892" s="39">
        <f t="shared" si="28"/>
        <v>29327976</v>
      </c>
    </row>
    <row r="893" spans="2:4" x14ac:dyDescent="0.25">
      <c r="B893" s="89">
        <v>889</v>
      </c>
      <c r="C893" s="39">
        <f t="shared" si="27"/>
        <v>157992929.59999999</v>
      </c>
      <c r="D893" s="39">
        <f t="shared" si="28"/>
        <v>29361003</v>
      </c>
    </row>
    <row r="894" spans="2:4" x14ac:dyDescent="0.25">
      <c r="B894" s="89">
        <v>890</v>
      </c>
      <c r="C894" s="39">
        <f t="shared" si="27"/>
        <v>157992929.59999999</v>
      </c>
      <c r="D894" s="39">
        <f t="shared" si="28"/>
        <v>29394030</v>
      </c>
    </row>
    <row r="895" spans="2:4" x14ac:dyDescent="0.25">
      <c r="B895" s="89">
        <v>891</v>
      </c>
      <c r="C895" s="39">
        <f t="shared" si="27"/>
        <v>157992929.59999999</v>
      </c>
      <c r="D895" s="39">
        <f t="shared" si="28"/>
        <v>29427057</v>
      </c>
    </row>
    <row r="896" spans="2:4" x14ac:dyDescent="0.25">
      <c r="B896" s="89">
        <v>892</v>
      </c>
      <c r="C896" s="39">
        <f t="shared" si="27"/>
        <v>157992929.59999999</v>
      </c>
      <c r="D896" s="39">
        <f t="shared" si="28"/>
        <v>29460084</v>
      </c>
    </row>
    <row r="897" spans="2:4" x14ac:dyDescent="0.25">
      <c r="B897" s="89">
        <v>893</v>
      </c>
      <c r="C897" s="39">
        <f t="shared" si="27"/>
        <v>157992929.59999999</v>
      </c>
      <c r="D897" s="39">
        <f t="shared" si="28"/>
        <v>29493111</v>
      </c>
    </row>
    <row r="898" spans="2:4" x14ac:dyDescent="0.25">
      <c r="B898" s="89">
        <v>894</v>
      </c>
      <c r="C898" s="39">
        <f t="shared" si="27"/>
        <v>157992929.59999999</v>
      </c>
      <c r="D898" s="39">
        <f t="shared" si="28"/>
        <v>29526138</v>
      </c>
    </row>
    <row r="899" spans="2:4" x14ac:dyDescent="0.25">
      <c r="B899" s="89">
        <v>895</v>
      </c>
      <c r="C899" s="39">
        <f t="shared" si="27"/>
        <v>157992929.59999999</v>
      </c>
      <c r="D899" s="39">
        <f t="shared" si="28"/>
        <v>29559165</v>
      </c>
    </row>
    <row r="900" spans="2:4" x14ac:dyDescent="0.25">
      <c r="B900" s="89">
        <v>896</v>
      </c>
      <c r="C900" s="39">
        <f t="shared" si="27"/>
        <v>157992929.59999999</v>
      </c>
      <c r="D900" s="39">
        <f t="shared" si="28"/>
        <v>29592192</v>
      </c>
    </row>
    <row r="901" spans="2:4" x14ac:dyDescent="0.25">
      <c r="B901" s="89">
        <v>897</v>
      </c>
      <c r="C901" s="39">
        <f t="shared" si="27"/>
        <v>157992929.59999999</v>
      </c>
      <c r="D901" s="39">
        <f t="shared" si="28"/>
        <v>29625219</v>
      </c>
    </row>
    <row r="902" spans="2:4" x14ac:dyDescent="0.25">
      <c r="B902" s="89">
        <v>898</v>
      </c>
      <c r="C902" s="39">
        <f t="shared" ref="C902:C965" si="29">$C901</f>
        <v>157992929.59999999</v>
      </c>
      <c r="D902" s="39">
        <f t="shared" si="28"/>
        <v>29658246</v>
      </c>
    </row>
    <row r="903" spans="2:4" x14ac:dyDescent="0.25">
      <c r="B903" s="89">
        <v>899</v>
      </c>
      <c r="C903" s="39">
        <f t="shared" si="29"/>
        <v>157992929.59999999</v>
      </c>
      <c r="D903" s="39">
        <f t="shared" si="28"/>
        <v>29691273</v>
      </c>
    </row>
    <row r="904" spans="2:4" x14ac:dyDescent="0.25">
      <c r="B904" s="89">
        <v>900</v>
      </c>
      <c r="C904" s="39">
        <f t="shared" si="29"/>
        <v>157992929.59999999</v>
      </c>
      <c r="D904" s="39">
        <f t="shared" si="28"/>
        <v>29724300</v>
      </c>
    </row>
    <row r="905" spans="2:4" x14ac:dyDescent="0.25">
      <c r="B905" s="89">
        <v>901</v>
      </c>
      <c r="C905" s="39">
        <f t="shared" si="29"/>
        <v>157992929.59999999</v>
      </c>
      <c r="D905" s="39">
        <f t="shared" si="28"/>
        <v>29757327</v>
      </c>
    </row>
    <row r="906" spans="2:4" x14ac:dyDescent="0.25">
      <c r="B906" s="89">
        <v>902</v>
      </c>
      <c r="C906" s="39">
        <f t="shared" si="29"/>
        <v>157992929.59999999</v>
      </c>
      <c r="D906" s="39">
        <f t="shared" si="28"/>
        <v>29790354</v>
      </c>
    </row>
    <row r="907" spans="2:4" x14ac:dyDescent="0.25">
      <c r="B907" s="89">
        <v>903</v>
      </c>
      <c r="C907" s="39">
        <f t="shared" si="29"/>
        <v>157992929.59999999</v>
      </c>
      <c r="D907" s="39">
        <f t="shared" si="28"/>
        <v>29823381</v>
      </c>
    </row>
    <row r="908" spans="2:4" x14ac:dyDescent="0.25">
      <c r="B908" s="89">
        <v>904</v>
      </c>
      <c r="C908" s="39">
        <f t="shared" si="29"/>
        <v>157992929.59999999</v>
      </c>
      <c r="D908" s="39">
        <f t="shared" si="28"/>
        <v>29856408</v>
      </c>
    </row>
    <row r="909" spans="2:4" x14ac:dyDescent="0.25">
      <c r="B909" s="89">
        <v>905</v>
      </c>
      <c r="C909" s="39">
        <f t="shared" si="29"/>
        <v>157992929.59999999</v>
      </c>
      <c r="D909" s="39">
        <f t="shared" si="28"/>
        <v>29889435</v>
      </c>
    </row>
    <row r="910" spans="2:4" x14ac:dyDescent="0.25">
      <c r="B910" s="89">
        <v>906</v>
      </c>
      <c r="C910" s="39">
        <f t="shared" si="29"/>
        <v>157992929.59999999</v>
      </c>
      <c r="D910" s="39">
        <f t="shared" si="28"/>
        <v>29922462</v>
      </c>
    </row>
    <row r="911" spans="2:4" x14ac:dyDescent="0.25">
      <c r="B911" s="89">
        <v>907</v>
      </c>
      <c r="C911" s="39">
        <f t="shared" si="29"/>
        <v>157992929.59999999</v>
      </c>
      <c r="D911" s="39">
        <f t="shared" si="28"/>
        <v>29955489</v>
      </c>
    </row>
    <row r="912" spans="2:4" x14ac:dyDescent="0.25">
      <c r="B912" s="89">
        <v>908</v>
      </c>
      <c r="C912" s="39">
        <f t="shared" si="29"/>
        <v>157992929.59999999</v>
      </c>
      <c r="D912" s="39">
        <f t="shared" si="28"/>
        <v>29988516</v>
      </c>
    </row>
    <row r="913" spans="2:4" x14ac:dyDescent="0.25">
      <c r="B913" s="89">
        <v>909</v>
      </c>
      <c r="C913" s="39">
        <f t="shared" si="29"/>
        <v>157992929.59999999</v>
      </c>
      <c r="D913" s="39">
        <f t="shared" si="28"/>
        <v>30021543</v>
      </c>
    </row>
    <row r="914" spans="2:4" x14ac:dyDescent="0.25">
      <c r="B914" s="89">
        <v>910</v>
      </c>
      <c r="C914" s="39">
        <f t="shared" si="29"/>
        <v>157992929.59999999</v>
      </c>
      <c r="D914" s="39">
        <f t="shared" si="28"/>
        <v>30054570</v>
      </c>
    </row>
    <row r="915" spans="2:4" x14ac:dyDescent="0.25">
      <c r="B915" s="89">
        <v>911</v>
      </c>
      <c r="C915" s="39">
        <f t="shared" si="29"/>
        <v>157992929.59999999</v>
      </c>
      <c r="D915" s="39">
        <f t="shared" si="28"/>
        <v>30087597</v>
      </c>
    </row>
    <row r="916" spans="2:4" x14ac:dyDescent="0.25">
      <c r="B916" s="89">
        <v>912</v>
      </c>
      <c r="C916" s="39">
        <f t="shared" si="29"/>
        <v>157992929.59999999</v>
      </c>
      <c r="D916" s="39">
        <f t="shared" si="28"/>
        <v>30120624</v>
      </c>
    </row>
    <row r="917" spans="2:4" x14ac:dyDescent="0.25">
      <c r="B917" s="89">
        <v>913</v>
      </c>
      <c r="C917" s="39">
        <f t="shared" si="29"/>
        <v>157992929.59999999</v>
      </c>
      <c r="D917" s="39">
        <f t="shared" si="28"/>
        <v>30153651</v>
      </c>
    </row>
    <row r="918" spans="2:4" x14ac:dyDescent="0.25">
      <c r="B918" s="89">
        <v>914</v>
      </c>
      <c r="C918" s="39">
        <f t="shared" si="29"/>
        <v>157992929.59999999</v>
      </c>
      <c r="D918" s="39">
        <f t="shared" si="28"/>
        <v>30186678</v>
      </c>
    </row>
    <row r="919" spans="2:4" x14ac:dyDescent="0.25">
      <c r="B919" s="89">
        <v>915</v>
      </c>
      <c r="C919" s="39">
        <f t="shared" si="29"/>
        <v>157992929.59999999</v>
      </c>
      <c r="D919" s="39">
        <f t="shared" si="28"/>
        <v>30219705</v>
      </c>
    </row>
    <row r="920" spans="2:4" x14ac:dyDescent="0.25">
      <c r="B920" s="89">
        <v>916</v>
      </c>
      <c r="C920" s="39">
        <f t="shared" si="29"/>
        <v>157992929.59999999</v>
      </c>
      <c r="D920" s="39">
        <f t="shared" si="28"/>
        <v>30252732</v>
      </c>
    </row>
    <row r="921" spans="2:4" x14ac:dyDescent="0.25">
      <c r="B921" s="89">
        <v>917</v>
      </c>
      <c r="C921" s="39">
        <f t="shared" si="29"/>
        <v>157992929.59999999</v>
      </c>
      <c r="D921" s="39">
        <f t="shared" si="28"/>
        <v>30285759</v>
      </c>
    </row>
    <row r="922" spans="2:4" x14ac:dyDescent="0.25">
      <c r="B922" s="89">
        <v>918</v>
      </c>
      <c r="C922" s="39">
        <f t="shared" si="29"/>
        <v>157992929.59999999</v>
      </c>
      <c r="D922" s="39">
        <f t="shared" si="28"/>
        <v>30318786</v>
      </c>
    </row>
    <row r="923" spans="2:4" x14ac:dyDescent="0.25">
      <c r="B923" s="89">
        <v>919</v>
      </c>
      <c r="C923" s="39">
        <f t="shared" si="29"/>
        <v>157992929.59999999</v>
      </c>
      <c r="D923" s="39">
        <f t="shared" si="28"/>
        <v>30351813</v>
      </c>
    </row>
    <row r="924" spans="2:4" x14ac:dyDescent="0.25">
      <c r="B924" s="89">
        <v>920</v>
      </c>
      <c r="C924" s="39">
        <f t="shared" si="29"/>
        <v>157992929.59999999</v>
      </c>
      <c r="D924" s="39">
        <f t="shared" si="28"/>
        <v>30384840</v>
      </c>
    </row>
    <row r="925" spans="2:4" x14ac:dyDescent="0.25">
      <c r="B925" s="89">
        <v>921</v>
      </c>
      <c r="C925" s="39">
        <f t="shared" si="29"/>
        <v>157992929.59999999</v>
      </c>
      <c r="D925" s="39">
        <f t="shared" si="28"/>
        <v>30417867</v>
      </c>
    </row>
    <row r="926" spans="2:4" x14ac:dyDescent="0.25">
      <c r="B926" s="89">
        <v>922</v>
      </c>
      <c r="C926" s="39">
        <f t="shared" si="29"/>
        <v>157992929.59999999</v>
      </c>
      <c r="D926" s="39">
        <f t="shared" si="28"/>
        <v>30450894</v>
      </c>
    </row>
    <row r="927" spans="2:4" x14ac:dyDescent="0.25">
      <c r="B927" s="89">
        <v>923</v>
      </c>
      <c r="C927" s="39">
        <f t="shared" si="29"/>
        <v>157992929.59999999</v>
      </c>
      <c r="D927" s="39">
        <f t="shared" si="28"/>
        <v>30483921</v>
      </c>
    </row>
    <row r="928" spans="2:4" x14ac:dyDescent="0.25">
      <c r="B928" s="89">
        <v>924</v>
      </c>
      <c r="C928" s="39">
        <f t="shared" si="29"/>
        <v>157992929.59999999</v>
      </c>
      <c r="D928" s="39">
        <f t="shared" si="28"/>
        <v>30516948</v>
      </c>
    </row>
    <row r="929" spans="2:4" x14ac:dyDescent="0.25">
      <c r="B929" s="89">
        <v>925</v>
      </c>
      <c r="C929" s="39">
        <f t="shared" si="29"/>
        <v>157992929.59999999</v>
      </c>
      <c r="D929" s="39">
        <f t="shared" si="28"/>
        <v>30549975</v>
      </c>
    </row>
    <row r="930" spans="2:4" x14ac:dyDescent="0.25">
      <c r="B930" s="89">
        <v>926</v>
      </c>
      <c r="C930" s="39">
        <f t="shared" si="29"/>
        <v>157992929.59999999</v>
      </c>
      <c r="D930" s="39">
        <f t="shared" si="28"/>
        <v>30583002</v>
      </c>
    </row>
    <row r="931" spans="2:4" x14ac:dyDescent="0.25">
      <c r="B931" s="89">
        <v>927</v>
      </c>
      <c r="C931" s="39">
        <f t="shared" si="29"/>
        <v>157992929.59999999</v>
      </c>
      <c r="D931" s="39">
        <f t="shared" si="28"/>
        <v>30616029</v>
      </c>
    </row>
    <row r="932" spans="2:4" x14ac:dyDescent="0.25">
      <c r="B932" s="89">
        <v>928</v>
      </c>
      <c r="C932" s="39">
        <f t="shared" si="29"/>
        <v>157992929.59999999</v>
      </c>
      <c r="D932" s="39">
        <f t="shared" si="28"/>
        <v>30649056</v>
      </c>
    </row>
    <row r="933" spans="2:4" x14ac:dyDescent="0.25">
      <c r="B933" s="89">
        <v>929</v>
      </c>
      <c r="C933" s="39">
        <f t="shared" si="29"/>
        <v>157992929.59999999</v>
      </c>
      <c r="D933" s="39">
        <f t="shared" si="28"/>
        <v>30682083</v>
      </c>
    </row>
    <row r="934" spans="2:4" x14ac:dyDescent="0.25">
      <c r="B934" s="89">
        <v>930</v>
      </c>
      <c r="C934" s="39">
        <f t="shared" si="29"/>
        <v>157992929.59999999</v>
      </c>
      <c r="D934" s="39">
        <f t="shared" si="28"/>
        <v>30715110</v>
      </c>
    </row>
    <row r="935" spans="2:4" x14ac:dyDescent="0.25">
      <c r="B935" s="89">
        <v>931</v>
      </c>
      <c r="C935" s="39">
        <f t="shared" si="29"/>
        <v>157992929.59999999</v>
      </c>
      <c r="D935" s="39">
        <f t="shared" si="28"/>
        <v>30748137</v>
      </c>
    </row>
    <row r="936" spans="2:4" x14ac:dyDescent="0.25">
      <c r="B936" s="89">
        <v>932</v>
      </c>
      <c r="C936" s="39">
        <f t="shared" si="29"/>
        <v>157992929.59999999</v>
      </c>
      <c r="D936" s="39">
        <f t="shared" si="28"/>
        <v>30781164</v>
      </c>
    </row>
    <row r="937" spans="2:4" x14ac:dyDescent="0.25">
      <c r="B937" s="89">
        <v>933</v>
      </c>
      <c r="C937" s="39">
        <f t="shared" si="29"/>
        <v>157992929.59999999</v>
      </c>
      <c r="D937" s="39">
        <f t="shared" si="28"/>
        <v>30814191</v>
      </c>
    </row>
    <row r="938" spans="2:4" x14ac:dyDescent="0.25">
      <c r="B938" s="89">
        <v>934</v>
      </c>
      <c r="C938" s="39">
        <f t="shared" si="29"/>
        <v>157992929.59999999</v>
      </c>
      <c r="D938" s="39">
        <f t="shared" si="28"/>
        <v>30847218</v>
      </c>
    </row>
    <row r="939" spans="2:4" x14ac:dyDescent="0.25">
      <c r="B939" s="89">
        <v>935</v>
      </c>
      <c r="C939" s="39">
        <f t="shared" si="29"/>
        <v>157992929.59999999</v>
      </c>
      <c r="D939" s="39">
        <f t="shared" si="28"/>
        <v>30880245</v>
      </c>
    </row>
    <row r="940" spans="2:4" x14ac:dyDescent="0.25">
      <c r="B940" s="89">
        <v>936</v>
      </c>
      <c r="C940" s="39">
        <f t="shared" si="29"/>
        <v>157992929.59999999</v>
      </c>
      <c r="D940" s="39">
        <f t="shared" si="28"/>
        <v>30913272</v>
      </c>
    </row>
    <row r="941" spans="2:4" x14ac:dyDescent="0.25">
      <c r="B941" s="89">
        <v>937</v>
      </c>
      <c r="C941" s="39">
        <f t="shared" si="29"/>
        <v>157992929.59999999</v>
      </c>
      <c r="D941" s="39">
        <f t="shared" si="28"/>
        <v>30946299</v>
      </c>
    </row>
    <row r="942" spans="2:4" x14ac:dyDescent="0.25">
      <c r="B942" s="89">
        <v>938</v>
      </c>
      <c r="C942" s="39">
        <f t="shared" si="29"/>
        <v>157992929.59999999</v>
      </c>
      <c r="D942" s="39">
        <f t="shared" si="28"/>
        <v>30979326</v>
      </c>
    </row>
    <row r="943" spans="2:4" x14ac:dyDescent="0.25">
      <c r="B943" s="89">
        <v>939</v>
      </c>
      <c r="C943" s="39">
        <f t="shared" si="29"/>
        <v>157992929.59999999</v>
      </c>
      <c r="D943" s="39">
        <f t="shared" si="28"/>
        <v>31012353</v>
      </c>
    </row>
    <row r="944" spans="2:4" x14ac:dyDescent="0.25">
      <c r="B944" s="89">
        <v>940</v>
      </c>
      <c r="C944" s="39">
        <f t="shared" si="29"/>
        <v>157992929.59999999</v>
      </c>
      <c r="D944" s="39">
        <f t="shared" si="28"/>
        <v>31045380</v>
      </c>
    </row>
    <row r="945" spans="2:4" x14ac:dyDescent="0.25">
      <c r="B945" s="89">
        <v>941</v>
      </c>
      <c r="C945" s="39">
        <f t="shared" si="29"/>
        <v>157992929.59999999</v>
      </c>
      <c r="D945" s="39">
        <f t="shared" ref="D945:D1008" si="30">$D$2*B945</f>
        <v>31078407</v>
      </c>
    </row>
    <row r="946" spans="2:4" x14ac:dyDescent="0.25">
      <c r="B946" s="89">
        <v>942</v>
      </c>
      <c r="C946" s="39">
        <f t="shared" si="29"/>
        <v>157992929.59999999</v>
      </c>
      <c r="D946" s="39">
        <f t="shared" si="30"/>
        <v>31111434</v>
      </c>
    </row>
    <row r="947" spans="2:4" x14ac:dyDescent="0.25">
      <c r="B947" s="89">
        <v>943</v>
      </c>
      <c r="C947" s="39">
        <f t="shared" si="29"/>
        <v>157992929.59999999</v>
      </c>
      <c r="D947" s="39">
        <f t="shared" si="30"/>
        <v>31144461</v>
      </c>
    </row>
    <row r="948" spans="2:4" x14ac:dyDescent="0.25">
      <c r="B948" s="89">
        <v>944</v>
      </c>
      <c r="C948" s="39">
        <f t="shared" si="29"/>
        <v>157992929.59999999</v>
      </c>
      <c r="D948" s="39">
        <f t="shared" si="30"/>
        <v>31177488</v>
      </c>
    </row>
    <row r="949" spans="2:4" x14ac:dyDescent="0.25">
      <c r="B949" s="89">
        <v>945</v>
      </c>
      <c r="C949" s="39">
        <f t="shared" si="29"/>
        <v>157992929.59999999</v>
      </c>
      <c r="D949" s="39">
        <f t="shared" si="30"/>
        <v>31210515</v>
      </c>
    </row>
    <row r="950" spans="2:4" x14ac:dyDescent="0.25">
      <c r="B950" s="89">
        <v>946</v>
      </c>
      <c r="C950" s="39">
        <f t="shared" si="29"/>
        <v>157992929.59999999</v>
      </c>
      <c r="D950" s="39">
        <f t="shared" si="30"/>
        <v>31243542</v>
      </c>
    </row>
    <row r="951" spans="2:4" x14ac:dyDescent="0.25">
      <c r="B951" s="89">
        <v>947</v>
      </c>
      <c r="C951" s="39">
        <f t="shared" si="29"/>
        <v>157992929.59999999</v>
      </c>
      <c r="D951" s="39">
        <f t="shared" si="30"/>
        <v>31276569</v>
      </c>
    </row>
    <row r="952" spans="2:4" x14ac:dyDescent="0.25">
      <c r="B952" s="89">
        <v>948</v>
      </c>
      <c r="C952" s="39">
        <f t="shared" si="29"/>
        <v>157992929.59999999</v>
      </c>
      <c r="D952" s="39">
        <f t="shared" si="30"/>
        <v>31309596</v>
      </c>
    </row>
    <row r="953" spans="2:4" x14ac:dyDescent="0.25">
      <c r="B953" s="89">
        <v>949</v>
      </c>
      <c r="C953" s="39">
        <f t="shared" si="29"/>
        <v>157992929.59999999</v>
      </c>
      <c r="D953" s="39">
        <f t="shared" si="30"/>
        <v>31342623</v>
      </c>
    </row>
    <row r="954" spans="2:4" x14ac:dyDescent="0.25">
      <c r="B954" s="89">
        <v>950</v>
      </c>
      <c r="C954" s="39">
        <f t="shared" si="29"/>
        <v>157992929.59999999</v>
      </c>
      <c r="D954" s="39">
        <f t="shared" si="30"/>
        <v>31375650</v>
      </c>
    </row>
    <row r="955" spans="2:4" x14ac:dyDescent="0.25">
      <c r="B955" s="89">
        <v>951</v>
      </c>
      <c r="C955" s="39">
        <f t="shared" si="29"/>
        <v>157992929.59999999</v>
      </c>
      <c r="D955" s="39">
        <f t="shared" si="30"/>
        <v>31408677</v>
      </c>
    </row>
    <row r="956" spans="2:4" x14ac:dyDescent="0.25">
      <c r="B956" s="89">
        <v>952</v>
      </c>
      <c r="C956" s="39">
        <f t="shared" si="29"/>
        <v>157992929.59999999</v>
      </c>
      <c r="D956" s="39">
        <f t="shared" si="30"/>
        <v>31441704</v>
      </c>
    </row>
    <row r="957" spans="2:4" x14ac:dyDescent="0.25">
      <c r="B957" s="89">
        <v>953</v>
      </c>
      <c r="C957" s="39">
        <f t="shared" si="29"/>
        <v>157992929.59999999</v>
      </c>
      <c r="D957" s="39">
        <f t="shared" si="30"/>
        <v>31474731</v>
      </c>
    </row>
    <row r="958" spans="2:4" x14ac:dyDescent="0.25">
      <c r="B958" s="89">
        <v>954</v>
      </c>
      <c r="C958" s="39">
        <f t="shared" si="29"/>
        <v>157992929.59999999</v>
      </c>
      <c r="D958" s="39">
        <f t="shared" si="30"/>
        <v>31507758</v>
      </c>
    </row>
    <row r="959" spans="2:4" x14ac:dyDescent="0.25">
      <c r="B959" s="89">
        <v>955</v>
      </c>
      <c r="C959" s="39">
        <f t="shared" si="29"/>
        <v>157992929.59999999</v>
      </c>
      <c r="D959" s="39">
        <f t="shared" si="30"/>
        <v>31540785</v>
      </c>
    </row>
    <row r="960" spans="2:4" x14ac:dyDescent="0.25">
      <c r="B960" s="89">
        <v>956</v>
      </c>
      <c r="C960" s="39">
        <f t="shared" si="29"/>
        <v>157992929.59999999</v>
      </c>
      <c r="D960" s="39">
        <f t="shared" si="30"/>
        <v>31573812</v>
      </c>
    </row>
    <row r="961" spans="2:4" x14ac:dyDescent="0.25">
      <c r="B961" s="89">
        <v>957</v>
      </c>
      <c r="C961" s="39">
        <f t="shared" si="29"/>
        <v>157992929.59999999</v>
      </c>
      <c r="D961" s="39">
        <f t="shared" si="30"/>
        <v>31606839</v>
      </c>
    </row>
    <row r="962" spans="2:4" x14ac:dyDescent="0.25">
      <c r="B962" s="89">
        <v>958</v>
      </c>
      <c r="C962" s="39">
        <f t="shared" si="29"/>
        <v>157992929.59999999</v>
      </c>
      <c r="D962" s="39">
        <f t="shared" si="30"/>
        <v>31639866</v>
      </c>
    </row>
    <row r="963" spans="2:4" x14ac:dyDescent="0.25">
      <c r="B963" s="89">
        <v>959</v>
      </c>
      <c r="C963" s="39">
        <f t="shared" si="29"/>
        <v>157992929.59999999</v>
      </c>
      <c r="D963" s="39">
        <f t="shared" si="30"/>
        <v>31672893</v>
      </c>
    </row>
    <row r="964" spans="2:4" x14ac:dyDescent="0.25">
      <c r="B964" s="89">
        <v>960</v>
      </c>
      <c r="C964" s="39">
        <f t="shared" si="29"/>
        <v>157992929.59999999</v>
      </c>
      <c r="D964" s="39">
        <f t="shared" si="30"/>
        <v>31705920</v>
      </c>
    </row>
    <row r="965" spans="2:4" x14ac:dyDescent="0.25">
      <c r="B965" s="89">
        <v>961</v>
      </c>
      <c r="C965" s="39">
        <f t="shared" si="29"/>
        <v>157992929.59999999</v>
      </c>
      <c r="D965" s="39">
        <f t="shared" si="30"/>
        <v>31738947</v>
      </c>
    </row>
    <row r="966" spans="2:4" x14ac:dyDescent="0.25">
      <c r="B966" s="89">
        <v>962</v>
      </c>
      <c r="C966" s="39">
        <f t="shared" ref="C966:C1029" si="31">$C965</f>
        <v>157992929.59999999</v>
      </c>
      <c r="D966" s="39">
        <f t="shared" si="30"/>
        <v>31771974</v>
      </c>
    </row>
    <row r="967" spans="2:4" x14ac:dyDescent="0.25">
      <c r="B967" s="89">
        <v>963</v>
      </c>
      <c r="C967" s="39">
        <f t="shared" si="31"/>
        <v>157992929.59999999</v>
      </c>
      <c r="D967" s="39">
        <f t="shared" si="30"/>
        <v>31805001</v>
      </c>
    </row>
    <row r="968" spans="2:4" x14ac:dyDescent="0.25">
      <c r="B968" s="89">
        <v>964</v>
      </c>
      <c r="C968" s="39">
        <f t="shared" si="31"/>
        <v>157992929.59999999</v>
      </c>
      <c r="D968" s="39">
        <f t="shared" si="30"/>
        <v>31838028</v>
      </c>
    </row>
    <row r="969" spans="2:4" x14ac:dyDescent="0.25">
      <c r="B969" s="89">
        <v>965</v>
      </c>
      <c r="C969" s="39">
        <f t="shared" si="31"/>
        <v>157992929.59999999</v>
      </c>
      <c r="D969" s="39">
        <f t="shared" si="30"/>
        <v>31871055</v>
      </c>
    </row>
    <row r="970" spans="2:4" x14ac:dyDescent="0.25">
      <c r="B970" s="89">
        <v>966</v>
      </c>
      <c r="C970" s="39">
        <f t="shared" si="31"/>
        <v>157992929.59999999</v>
      </c>
      <c r="D970" s="39">
        <f t="shared" si="30"/>
        <v>31904082</v>
      </c>
    </row>
    <row r="971" spans="2:4" x14ac:dyDescent="0.25">
      <c r="B971" s="89">
        <v>967</v>
      </c>
      <c r="C971" s="39">
        <f t="shared" si="31"/>
        <v>157992929.59999999</v>
      </c>
      <c r="D971" s="39">
        <f t="shared" si="30"/>
        <v>31937109</v>
      </c>
    </row>
    <row r="972" spans="2:4" x14ac:dyDescent="0.25">
      <c r="B972" s="89">
        <v>968</v>
      </c>
      <c r="C972" s="39">
        <f t="shared" si="31"/>
        <v>157992929.59999999</v>
      </c>
      <c r="D972" s="39">
        <f t="shared" si="30"/>
        <v>31970136</v>
      </c>
    </row>
    <row r="973" spans="2:4" x14ac:dyDescent="0.25">
      <c r="B973" s="89">
        <v>969</v>
      </c>
      <c r="C973" s="39">
        <f t="shared" si="31"/>
        <v>157992929.59999999</v>
      </c>
      <c r="D973" s="39">
        <f t="shared" si="30"/>
        <v>32003163</v>
      </c>
    </row>
    <row r="974" spans="2:4" x14ac:dyDescent="0.25">
      <c r="B974" s="89">
        <v>970</v>
      </c>
      <c r="C974" s="39">
        <f t="shared" si="31"/>
        <v>157992929.59999999</v>
      </c>
      <c r="D974" s="39">
        <f t="shared" si="30"/>
        <v>32036190</v>
      </c>
    </row>
    <row r="975" spans="2:4" x14ac:dyDescent="0.25">
      <c r="B975" s="89">
        <v>971</v>
      </c>
      <c r="C975" s="39">
        <f t="shared" si="31"/>
        <v>157992929.59999999</v>
      </c>
      <c r="D975" s="39">
        <f t="shared" si="30"/>
        <v>32069217</v>
      </c>
    </row>
    <row r="976" spans="2:4" x14ac:dyDescent="0.25">
      <c r="B976" s="89">
        <v>972</v>
      </c>
      <c r="C976" s="39">
        <f t="shared" si="31"/>
        <v>157992929.59999999</v>
      </c>
      <c r="D976" s="39">
        <f t="shared" si="30"/>
        <v>32102244</v>
      </c>
    </row>
    <row r="977" spans="2:4" x14ac:dyDescent="0.25">
      <c r="B977" s="89">
        <v>973</v>
      </c>
      <c r="C977" s="39">
        <f t="shared" si="31"/>
        <v>157992929.59999999</v>
      </c>
      <c r="D977" s="39">
        <f t="shared" si="30"/>
        <v>32135271</v>
      </c>
    </row>
    <row r="978" spans="2:4" x14ac:dyDescent="0.25">
      <c r="B978" s="89">
        <v>974</v>
      </c>
      <c r="C978" s="39">
        <f t="shared" si="31"/>
        <v>157992929.59999999</v>
      </c>
      <c r="D978" s="39">
        <f t="shared" si="30"/>
        <v>32168298</v>
      </c>
    </row>
    <row r="979" spans="2:4" x14ac:dyDescent="0.25">
      <c r="B979" s="89">
        <v>975</v>
      </c>
      <c r="C979" s="39">
        <f t="shared" si="31"/>
        <v>157992929.59999999</v>
      </c>
      <c r="D979" s="39">
        <f t="shared" si="30"/>
        <v>32201325</v>
      </c>
    </row>
    <row r="980" spans="2:4" x14ac:dyDescent="0.25">
      <c r="B980" s="89">
        <v>976</v>
      </c>
      <c r="C980" s="39">
        <f t="shared" si="31"/>
        <v>157992929.59999999</v>
      </c>
      <c r="D980" s="39">
        <f t="shared" si="30"/>
        <v>32234352</v>
      </c>
    </row>
    <row r="981" spans="2:4" x14ac:dyDescent="0.25">
      <c r="B981" s="89">
        <v>977</v>
      </c>
      <c r="C981" s="39">
        <f t="shared" si="31"/>
        <v>157992929.59999999</v>
      </c>
      <c r="D981" s="39">
        <f t="shared" si="30"/>
        <v>32267379</v>
      </c>
    </row>
    <row r="982" spans="2:4" x14ac:dyDescent="0.25">
      <c r="B982" s="89">
        <v>978</v>
      </c>
      <c r="C982" s="39">
        <f t="shared" si="31"/>
        <v>157992929.59999999</v>
      </c>
      <c r="D982" s="39">
        <f t="shared" si="30"/>
        <v>32300406</v>
      </c>
    </row>
    <row r="983" spans="2:4" x14ac:dyDescent="0.25">
      <c r="B983" s="89">
        <v>979</v>
      </c>
      <c r="C983" s="39">
        <f t="shared" si="31"/>
        <v>157992929.59999999</v>
      </c>
      <c r="D983" s="39">
        <f t="shared" si="30"/>
        <v>32333433</v>
      </c>
    </row>
    <row r="984" spans="2:4" x14ac:dyDescent="0.25">
      <c r="B984" s="89">
        <v>980</v>
      </c>
      <c r="C984" s="39">
        <f t="shared" si="31"/>
        <v>157992929.59999999</v>
      </c>
      <c r="D984" s="39">
        <f t="shared" si="30"/>
        <v>32366460</v>
      </c>
    </row>
    <row r="985" spans="2:4" x14ac:dyDescent="0.25">
      <c r="B985" s="89">
        <v>981</v>
      </c>
      <c r="C985" s="39">
        <f t="shared" si="31"/>
        <v>157992929.59999999</v>
      </c>
      <c r="D985" s="39">
        <f t="shared" si="30"/>
        <v>32399487</v>
      </c>
    </row>
    <row r="986" spans="2:4" x14ac:dyDescent="0.25">
      <c r="B986" s="89">
        <v>982</v>
      </c>
      <c r="C986" s="39">
        <f t="shared" si="31"/>
        <v>157992929.59999999</v>
      </c>
      <c r="D986" s="39">
        <f t="shared" si="30"/>
        <v>32432514</v>
      </c>
    </row>
    <row r="987" spans="2:4" x14ac:dyDescent="0.25">
      <c r="B987" s="89">
        <v>983</v>
      </c>
      <c r="C987" s="39">
        <f t="shared" si="31"/>
        <v>157992929.59999999</v>
      </c>
      <c r="D987" s="39">
        <f t="shared" si="30"/>
        <v>32465541</v>
      </c>
    </row>
    <row r="988" spans="2:4" x14ac:dyDescent="0.25">
      <c r="B988" s="89">
        <v>984</v>
      </c>
      <c r="C988" s="39">
        <f t="shared" si="31"/>
        <v>157992929.59999999</v>
      </c>
      <c r="D988" s="39">
        <f t="shared" si="30"/>
        <v>32498568</v>
      </c>
    </row>
    <row r="989" spans="2:4" x14ac:dyDescent="0.25">
      <c r="B989" s="89">
        <v>985</v>
      </c>
      <c r="C989" s="39">
        <f t="shared" si="31"/>
        <v>157992929.59999999</v>
      </c>
      <c r="D989" s="39">
        <f t="shared" si="30"/>
        <v>32531595</v>
      </c>
    </row>
    <row r="990" spans="2:4" x14ac:dyDescent="0.25">
      <c r="B990" s="89">
        <v>986</v>
      </c>
      <c r="C990" s="39">
        <f t="shared" si="31"/>
        <v>157992929.59999999</v>
      </c>
      <c r="D990" s="39">
        <f t="shared" si="30"/>
        <v>32564622</v>
      </c>
    </row>
    <row r="991" spans="2:4" x14ac:dyDescent="0.25">
      <c r="B991" s="89">
        <v>987</v>
      </c>
      <c r="C991" s="39">
        <f t="shared" si="31"/>
        <v>157992929.59999999</v>
      </c>
      <c r="D991" s="39">
        <f t="shared" si="30"/>
        <v>32597649</v>
      </c>
    </row>
    <row r="992" spans="2:4" x14ac:dyDescent="0.25">
      <c r="B992" s="89">
        <v>988</v>
      </c>
      <c r="C992" s="39">
        <f t="shared" si="31"/>
        <v>157992929.59999999</v>
      </c>
      <c r="D992" s="39">
        <f t="shared" si="30"/>
        <v>32630676</v>
      </c>
    </row>
    <row r="993" spans="2:4" x14ac:dyDescent="0.25">
      <c r="B993" s="89">
        <v>989</v>
      </c>
      <c r="C993" s="39">
        <f t="shared" si="31"/>
        <v>157992929.59999999</v>
      </c>
      <c r="D993" s="39">
        <f t="shared" si="30"/>
        <v>32663703</v>
      </c>
    </row>
    <row r="994" spans="2:4" x14ac:dyDescent="0.25">
      <c r="B994" s="89">
        <v>990</v>
      </c>
      <c r="C994" s="39">
        <f t="shared" si="31"/>
        <v>157992929.59999999</v>
      </c>
      <c r="D994" s="39">
        <f t="shared" si="30"/>
        <v>32696730</v>
      </c>
    </row>
    <row r="995" spans="2:4" x14ac:dyDescent="0.25">
      <c r="B995" s="89">
        <v>991</v>
      </c>
      <c r="C995" s="39">
        <f t="shared" si="31"/>
        <v>157992929.59999999</v>
      </c>
      <c r="D995" s="39">
        <f t="shared" si="30"/>
        <v>32729757</v>
      </c>
    </row>
    <row r="996" spans="2:4" x14ac:dyDescent="0.25">
      <c r="B996" s="89">
        <v>992</v>
      </c>
      <c r="C996" s="39">
        <f t="shared" si="31"/>
        <v>157992929.59999999</v>
      </c>
      <c r="D996" s="39">
        <f t="shared" si="30"/>
        <v>32762784</v>
      </c>
    </row>
    <row r="997" spans="2:4" x14ac:dyDescent="0.25">
      <c r="B997" s="89">
        <v>993</v>
      </c>
      <c r="C997" s="39">
        <f t="shared" si="31"/>
        <v>157992929.59999999</v>
      </c>
      <c r="D997" s="39">
        <f t="shared" si="30"/>
        <v>32795811</v>
      </c>
    </row>
    <row r="998" spans="2:4" x14ac:dyDescent="0.25">
      <c r="B998" s="89">
        <v>994</v>
      </c>
      <c r="C998" s="39">
        <f t="shared" si="31"/>
        <v>157992929.59999999</v>
      </c>
      <c r="D998" s="39">
        <f t="shared" si="30"/>
        <v>32828838</v>
      </c>
    </row>
    <row r="999" spans="2:4" x14ac:dyDescent="0.25">
      <c r="B999" s="89">
        <v>995</v>
      </c>
      <c r="C999" s="39">
        <f t="shared" si="31"/>
        <v>157992929.59999999</v>
      </c>
      <c r="D999" s="39">
        <f t="shared" si="30"/>
        <v>32861865</v>
      </c>
    </row>
    <row r="1000" spans="2:4" x14ac:dyDescent="0.25">
      <c r="B1000" s="89">
        <v>996</v>
      </c>
      <c r="C1000" s="39">
        <f t="shared" si="31"/>
        <v>157992929.59999999</v>
      </c>
      <c r="D1000" s="39">
        <f t="shared" si="30"/>
        <v>32894892</v>
      </c>
    </row>
    <row r="1001" spans="2:4" x14ac:dyDescent="0.25">
      <c r="B1001" s="89">
        <v>997</v>
      </c>
      <c r="C1001" s="39">
        <f t="shared" si="31"/>
        <v>157992929.59999999</v>
      </c>
      <c r="D1001" s="39">
        <f t="shared" si="30"/>
        <v>32927919</v>
      </c>
    </row>
    <row r="1002" spans="2:4" x14ac:dyDescent="0.25">
      <c r="B1002" s="89">
        <v>998</v>
      </c>
      <c r="C1002" s="39">
        <f t="shared" si="31"/>
        <v>157992929.59999999</v>
      </c>
      <c r="D1002" s="39">
        <f t="shared" si="30"/>
        <v>32960946</v>
      </c>
    </row>
    <row r="1003" spans="2:4" x14ac:dyDescent="0.25">
      <c r="B1003" s="89">
        <v>999</v>
      </c>
      <c r="C1003" s="39">
        <f t="shared" si="31"/>
        <v>157992929.59999999</v>
      </c>
      <c r="D1003" s="39">
        <f t="shared" si="30"/>
        <v>32993973</v>
      </c>
    </row>
    <row r="1004" spans="2:4" x14ac:dyDescent="0.25">
      <c r="B1004" s="89">
        <v>1000</v>
      </c>
      <c r="C1004" s="39">
        <f t="shared" si="31"/>
        <v>157992929.59999999</v>
      </c>
      <c r="D1004" s="39">
        <f t="shared" si="30"/>
        <v>33027000</v>
      </c>
    </row>
    <row r="1005" spans="2:4" x14ac:dyDescent="0.25">
      <c r="B1005" s="89">
        <v>1001</v>
      </c>
      <c r="C1005" s="39">
        <f t="shared" si="31"/>
        <v>157992929.59999999</v>
      </c>
      <c r="D1005" s="39">
        <f t="shared" si="30"/>
        <v>33060027</v>
      </c>
    </row>
    <row r="1006" spans="2:4" x14ac:dyDescent="0.25">
      <c r="B1006" s="89">
        <v>1002</v>
      </c>
      <c r="C1006" s="39">
        <f t="shared" si="31"/>
        <v>157992929.59999999</v>
      </c>
      <c r="D1006" s="39">
        <f t="shared" si="30"/>
        <v>33093054</v>
      </c>
    </row>
    <row r="1007" spans="2:4" x14ac:dyDescent="0.25">
      <c r="B1007" s="89">
        <v>1003</v>
      </c>
      <c r="C1007" s="39">
        <f t="shared" si="31"/>
        <v>157992929.59999999</v>
      </c>
      <c r="D1007" s="39">
        <f t="shared" si="30"/>
        <v>33126081</v>
      </c>
    </row>
    <row r="1008" spans="2:4" x14ac:dyDescent="0.25">
      <c r="B1008" s="89">
        <v>1004</v>
      </c>
      <c r="C1008" s="39">
        <f t="shared" si="31"/>
        <v>157992929.59999999</v>
      </c>
      <c r="D1008" s="39">
        <f t="shared" si="30"/>
        <v>33159108</v>
      </c>
    </row>
    <row r="1009" spans="2:4" x14ac:dyDescent="0.25">
      <c r="B1009" s="89">
        <v>1005</v>
      </c>
      <c r="C1009" s="39">
        <f t="shared" si="31"/>
        <v>157992929.59999999</v>
      </c>
      <c r="D1009" s="39">
        <f t="shared" ref="D1009:D1072" si="32">$D$2*B1009</f>
        <v>33192135</v>
      </c>
    </row>
    <row r="1010" spans="2:4" x14ac:dyDescent="0.25">
      <c r="B1010" s="89">
        <v>1006</v>
      </c>
      <c r="C1010" s="39">
        <f t="shared" si="31"/>
        <v>157992929.59999999</v>
      </c>
      <c r="D1010" s="39">
        <f t="shared" si="32"/>
        <v>33225162</v>
      </c>
    </row>
    <row r="1011" spans="2:4" x14ac:dyDescent="0.25">
      <c r="B1011" s="89">
        <v>1007</v>
      </c>
      <c r="C1011" s="39">
        <f t="shared" si="31"/>
        <v>157992929.59999999</v>
      </c>
      <c r="D1011" s="39">
        <f t="shared" si="32"/>
        <v>33258189</v>
      </c>
    </row>
    <row r="1012" spans="2:4" x14ac:dyDescent="0.25">
      <c r="B1012" s="89">
        <v>1008</v>
      </c>
      <c r="C1012" s="39">
        <f t="shared" si="31"/>
        <v>157992929.59999999</v>
      </c>
      <c r="D1012" s="39">
        <f t="shared" si="32"/>
        <v>33291216</v>
      </c>
    </row>
    <row r="1013" spans="2:4" x14ac:dyDescent="0.25">
      <c r="B1013" s="89">
        <v>1009</v>
      </c>
      <c r="C1013" s="39">
        <f t="shared" si="31"/>
        <v>157992929.59999999</v>
      </c>
      <c r="D1013" s="39">
        <f t="shared" si="32"/>
        <v>33324243</v>
      </c>
    </row>
    <row r="1014" spans="2:4" x14ac:dyDescent="0.25">
      <c r="B1014" s="89">
        <v>1010</v>
      </c>
      <c r="C1014" s="39">
        <f t="shared" si="31"/>
        <v>157992929.59999999</v>
      </c>
      <c r="D1014" s="39">
        <f t="shared" si="32"/>
        <v>33357270</v>
      </c>
    </row>
    <row r="1015" spans="2:4" x14ac:dyDescent="0.25">
      <c r="B1015" s="89">
        <v>1011</v>
      </c>
      <c r="C1015" s="39">
        <f t="shared" si="31"/>
        <v>157992929.59999999</v>
      </c>
      <c r="D1015" s="39">
        <f t="shared" si="32"/>
        <v>33390297</v>
      </c>
    </row>
    <row r="1016" spans="2:4" x14ac:dyDescent="0.25">
      <c r="B1016" s="89">
        <v>1012</v>
      </c>
      <c r="C1016" s="39">
        <f t="shared" si="31"/>
        <v>157992929.59999999</v>
      </c>
      <c r="D1016" s="39">
        <f t="shared" si="32"/>
        <v>33423324</v>
      </c>
    </row>
    <row r="1017" spans="2:4" x14ac:dyDescent="0.25">
      <c r="B1017" s="89">
        <v>1013</v>
      </c>
      <c r="C1017" s="39">
        <f t="shared" si="31"/>
        <v>157992929.59999999</v>
      </c>
      <c r="D1017" s="39">
        <f t="shared" si="32"/>
        <v>33456351</v>
      </c>
    </row>
    <row r="1018" spans="2:4" x14ac:dyDescent="0.25">
      <c r="B1018" s="89">
        <v>1014</v>
      </c>
      <c r="C1018" s="39">
        <f t="shared" si="31"/>
        <v>157992929.59999999</v>
      </c>
      <c r="D1018" s="39">
        <f t="shared" si="32"/>
        <v>33489378</v>
      </c>
    </row>
    <row r="1019" spans="2:4" x14ac:dyDescent="0.25">
      <c r="B1019" s="89">
        <v>1015</v>
      </c>
      <c r="C1019" s="39">
        <f t="shared" si="31"/>
        <v>157992929.59999999</v>
      </c>
      <c r="D1019" s="39">
        <f t="shared" si="32"/>
        <v>33522405</v>
      </c>
    </row>
    <row r="1020" spans="2:4" x14ac:dyDescent="0.25">
      <c r="B1020" s="89">
        <v>1016</v>
      </c>
      <c r="C1020" s="39">
        <f t="shared" si="31"/>
        <v>157992929.59999999</v>
      </c>
      <c r="D1020" s="39">
        <f t="shared" si="32"/>
        <v>33555432</v>
      </c>
    </row>
    <row r="1021" spans="2:4" x14ac:dyDescent="0.25">
      <c r="B1021" s="89">
        <v>1017</v>
      </c>
      <c r="C1021" s="39">
        <f t="shared" si="31"/>
        <v>157992929.59999999</v>
      </c>
      <c r="D1021" s="39">
        <f t="shared" si="32"/>
        <v>33588459</v>
      </c>
    </row>
    <row r="1022" spans="2:4" x14ac:dyDescent="0.25">
      <c r="B1022" s="89">
        <v>1018</v>
      </c>
      <c r="C1022" s="39">
        <f t="shared" si="31"/>
        <v>157992929.59999999</v>
      </c>
      <c r="D1022" s="39">
        <f t="shared" si="32"/>
        <v>33621486</v>
      </c>
    </row>
    <row r="1023" spans="2:4" x14ac:dyDescent="0.25">
      <c r="B1023" s="89">
        <v>1019</v>
      </c>
      <c r="C1023" s="39">
        <f t="shared" si="31"/>
        <v>157992929.59999999</v>
      </c>
      <c r="D1023" s="39">
        <f t="shared" si="32"/>
        <v>33654513</v>
      </c>
    </row>
    <row r="1024" spans="2:4" x14ac:dyDescent="0.25">
      <c r="B1024" s="89">
        <v>1020</v>
      </c>
      <c r="C1024" s="39">
        <f t="shared" si="31"/>
        <v>157992929.59999999</v>
      </c>
      <c r="D1024" s="39">
        <f t="shared" si="32"/>
        <v>33687540</v>
      </c>
    </row>
    <row r="1025" spans="2:4" x14ac:dyDescent="0.25">
      <c r="B1025" s="89">
        <v>1021</v>
      </c>
      <c r="C1025" s="39">
        <f t="shared" si="31"/>
        <v>157992929.59999999</v>
      </c>
      <c r="D1025" s="39">
        <f t="shared" si="32"/>
        <v>33720567</v>
      </c>
    </row>
    <row r="1026" spans="2:4" x14ac:dyDescent="0.25">
      <c r="B1026" s="89">
        <v>1022</v>
      </c>
      <c r="C1026" s="39">
        <f t="shared" si="31"/>
        <v>157992929.59999999</v>
      </c>
      <c r="D1026" s="39">
        <f t="shared" si="32"/>
        <v>33753594</v>
      </c>
    </row>
    <row r="1027" spans="2:4" x14ac:dyDescent="0.25">
      <c r="B1027" s="89">
        <v>1023</v>
      </c>
      <c r="C1027" s="39">
        <f t="shared" si="31"/>
        <v>157992929.59999999</v>
      </c>
      <c r="D1027" s="39">
        <f t="shared" si="32"/>
        <v>33786621</v>
      </c>
    </row>
    <row r="1028" spans="2:4" x14ac:dyDescent="0.25">
      <c r="B1028" s="89">
        <v>1024</v>
      </c>
      <c r="C1028" s="39">
        <f t="shared" si="31"/>
        <v>157992929.59999999</v>
      </c>
      <c r="D1028" s="39">
        <f t="shared" si="32"/>
        <v>33819648</v>
      </c>
    </row>
    <row r="1029" spans="2:4" x14ac:dyDescent="0.25">
      <c r="B1029" s="89">
        <v>1025</v>
      </c>
      <c r="C1029" s="39">
        <f t="shared" si="31"/>
        <v>157992929.59999999</v>
      </c>
      <c r="D1029" s="39">
        <f t="shared" si="32"/>
        <v>33852675</v>
      </c>
    </row>
    <row r="1030" spans="2:4" x14ac:dyDescent="0.25">
      <c r="B1030" s="89">
        <v>1026</v>
      </c>
      <c r="C1030" s="39">
        <f t="shared" ref="C1030:C1093" si="33">$C1029</f>
        <v>157992929.59999999</v>
      </c>
      <c r="D1030" s="39">
        <f t="shared" si="32"/>
        <v>33885702</v>
      </c>
    </row>
    <row r="1031" spans="2:4" x14ac:dyDescent="0.25">
      <c r="B1031" s="89">
        <v>1027</v>
      </c>
      <c r="C1031" s="39">
        <f t="shared" si="33"/>
        <v>157992929.59999999</v>
      </c>
      <c r="D1031" s="39">
        <f t="shared" si="32"/>
        <v>33918729</v>
      </c>
    </row>
    <row r="1032" spans="2:4" x14ac:dyDescent="0.25">
      <c r="B1032" s="89">
        <v>1028</v>
      </c>
      <c r="C1032" s="39">
        <f t="shared" si="33"/>
        <v>157992929.59999999</v>
      </c>
      <c r="D1032" s="39">
        <f t="shared" si="32"/>
        <v>33951756</v>
      </c>
    </row>
    <row r="1033" spans="2:4" x14ac:dyDescent="0.25">
      <c r="B1033" s="89">
        <v>1029</v>
      </c>
      <c r="C1033" s="39">
        <f t="shared" si="33"/>
        <v>157992929.59999999</v>
      </c>
      <c r="D1033" s="39">
        <f t="shared" si="32"/>
        <v>33984783</v>
      </c>
    </row>
    <row r="1034" spans="2:4" x14ac:dyDescent="0.25">
      <c r="B1034" s="89">
        <v>1030</v>
      </c>
      <c r="C1034" s="39">
        <f t="shared" si="33"/>
        <v>157992929.59999999</v>
      </c>
      <c r="D1034" s="39">
        <f t="shared" si="32"/>
        <v>34017810</v>
      </c>
    </row>
    <row r="1035" spans="2:4" x14ac:dyDescent="0.25">
      <c r="B1035" s="89">
        <v>1031</v>
      </c>
      <c r="C1035" s="39">
        <f t="shared" si="33"/>
        <v>157992929.59999999</v>
      </c>
      <c r="D1035" s="39">
        <f t="shared" si="32"/>
        <v>34050837</v>
      </c>
    </row>
    <row r="1036" spans="2:4" x14ac:dyDescent="0.25">
      <c r="B1036" s="89">
        <v>1032</v>
      </c>
      <c r="C1036" s="39">
        <f t="shared" si="33"/>
        <v>157992929.59999999</v>
      </c>
      <c r="D1036" s="39">
        <f t="shared" si="32"/>
        <v>34083864</v>
      </c>
    </row>
    <row r="1037" spans="2:4" x14ac:dyDescent="0.25">
      <c r="B1037" s="89">
        <v>1033</v>
      </c>
      <c r="C1037" s="39">
        <f t="shared" si="33"/>
        <v>157992929.59999999</v>
      </c>
      <c r="D1037" s="39">
        <f t="shared" si="32"/>
        <v>34116891</v>
      </c>
    </row>
    <row r="1038" spans="2:4" x14ac:dyDescent="0.25">
      <c r="B1038" s="89">
        <v>1034</v>
      </c>
      <c r="C1038" s="39">
        <f t="shared" si="33"/>
        <v>157992929.59999999</v>
      </c>
      <c r="D1038" s="39">
        <f t="shared" si="32"/>
        <v>34149918</v>
      </c>
    </row>
    <row r="1039" spans="2:4" x14ac:dyDescent="0.25">
      <c r="B1039" s="89">
        <v>1035</v>
      </c>
      <c r="C1039" s="39">
        <f t="shared" si="33"/>
        <v>157992929.59999999</v>
      </c>
      <c r="D1039" s="39">
        <f t="shared" si="32"/>
        <v>34182945</v>
      </c>
    </row>
    <row r="1040" spans="2:4" x14ac:dyDescent="0.25">
      <c r="B1040" s="89">
        <v>1036</v>
      </c>
      <c r="C1040" s="39">
        <f t="shared" si="33"/>
        <v>157992929.59999999</v>
      </c>
      <c r="D1040" s="39">
        <f t="shared" si="32"/>
        <v>34215972</v>
      </c>
    </row>
    <row r="1041" spans="2:4" x14ac:dyDescent="0.25">
      <c r="B1041" s="89">
        <v>1037</v>
      </c>
      <c r="C1041" s="39">
        <f t="shared" si="33"/>
        <v>157992929.59999999</v>
      </c>
      <c r="D1041" s="39">
        <f t="shared" si="32"/>
        <v>34248999</v>
      </c>
    </row>
    <row r="1042" spans="2:4" x14ac:dyDescent="0.25">
      <c r="B1042" s="89">
        <v>1038</v>
      </c>
      <c r="C1042" s="39">
        <f t="shared" si="33"/>
        <v>157992929.59999999</v>
      </c>
      <c r="D1042" s="39">
        <f t="shared" si="32"/>
        <v>34282026</v>
      </c>
    </row>
    <row r="1043" spans="2:4" x14ac:dyDescent="0.25">
      <c r="B1043" s="89">
        <v>1039</v>
      </c>
      <c r="C1043" s="39">
        <f t="shared" si="33"/>
        <v>157992929.59999999</v>
      </c>
      <c r="D1043" s="39">
        <f t="shared" si="32"/>
        <v>34315053</v>
      </c>
    </row>
    <row r="1044" spans="2:4" x14ac:dyDescent="0.25">
      <c r="B1044" s="89">
        <v>1040</v>
      </c>
      <c r="C1044" s="39">
        <f t="shared" si="33"/>
        <v>157992929.59999999</v>
      </c>
      <c r="D1044" s="39">
        <f t="shared" si="32"/>
        <v>34348080</v>
      </c>
    </row>
    <row r="1045" spans="2:4" x14ac:dyDescent="0.25">
      <c r="B1045" s="89">
        <v>1041</v>
      </c>
      <c r="C1045" s="39">
        <f t="shared" si="33"/>
        <v>157992929.59999999</v>
      </c>
      <c r="D1045" s="39">
        <f t="shared" si="32"/>
        <v>34381107</v>
      </c>
    </row>
    <row r="1046" spans="2:4" x14ac:dyDescent="0.25">
      <c r="B1046" s="89">
        <v>1042</v>
      </c>
      <c r="C1046" s="39">
        <f t="shared" si="33"/>
        <v>157992929.59999999</v>
      </c>
      <c r="D1046" s="39">
        <f t="shared" si="32"/>
        <v>34414134</v>
      </c>
    </row>
    <row r="1047" spans="2:4" x14ac:dyDescent="0.25">
      <c r="B1047" s="89">
        <v>1043</v>
      </c>
      <c r="C1047" s="39">
        <f t="shared" si="33"/>
        <v>157992929.59999999</v>
      </c>
      <c r="D1047" s="39">
        <f t="shared" si="32"/>
        <v>34447161</v>
      </c>
    </row>
    <row r="1048" spans="2:4" x14ac:dyDescent="0.25">
      <c r="B1048" s="89">
        <v>1044</v>
      </c>
      <c r="C1048" s="39">
        <f t="shared" si="33"/>
        <v>157992929.59999999</v>
      </c>
      <c r="D1048" s="39">
        <f t="shared" si="32"/>
        <v>34480188</v>
      </c>
    </row>
    <row r="1049" spans="2:4" x14ac:dyDescent="0.25">
      <c r="B1049" s="89">
        <v>1045</v>
      </c>
      <c r="C1049" s="39">
        <f t="shared" si="33"/>
        <v>157992929.59999999</v>
      </c>
      <c r="D1049" s="39">
        <f t="shared" si="32"/>
        <v>34513215</v>
      </c>
    </row>
    <row r="1050" spans="2:4" x14ac:dyDescent="0.25">
      <c r="B1050" s="89">
        <v>1046</v>
      </c>
      <c r="C1050" s="39">
        <f t="shared" si="33"/>
        <v>157992929.59999999</v>
      </c>
      <c r="D1050" s="39">
        <f t="shared" si="32"/>
        <v>34546242</v>
      </c>
    </row>
    <row r="1051" spans="2:4" x14ac:dyDescent="0.25">
      <c r="B1051" s="89">
        <v>1047</v>
      </c>
      <c r="C1051" s="39">
        <f t="shared" si="33"/>
        <v>157992929.59999999</v>
      </c>
      <c r="D1051" s="39">
        <f t="shared" si="32"/>
        <v>34579269</v>
      </c>
    </row>
    <row r="1052" spans="2:4" x14ac:dyDescent="0.25">
      <c r="B1052" s="89">
        <v>1048</v>
      </c>
      <c r="C1052" s="39">
        <f t="shared" si="33"/>
        <v>157992929.59999999</v>
      </c>
      <c r="D1052" s="39">
        <f t="shared" si="32"/>
        <v>34612296</v>
      </c>
    </row>
    <row r="1053" spans="2:4" x14ac:dyDescent="0.25">
      <c r="B1053" s="89">
        <v>1049</v>
      </c>
      <c r="C1053" s="39">
        <f t="shared" si="33"/>
        <v>157992929.59999999</v>
      </c>
      <c r="D1053" s="39">
        <f t="shared" si="32"/>
        <v>34645323</v>
      </c>
    </row>
    <row r="1054" spans="2:4" x14ac:dyDescent="0.25">
      <c r="B1054" s="89">
        <v>1050</v>
      </c>
      <c r="C1054" s="39">
        <f t="shared" si="33"/>
        <v>157992929.59999999</v>
      </c>
      <c r="D1054" s="39">
        <f t="shared" si="32"/>
        <v>34678350</v>
      </c>
    </row>
    <row r="1055" spans="2:4" x14ac:dyDescent="0.25">
      <c r="B1055" s="89">
        <v>1051</v>
      </c>
      <c r="C1055" s="39">
        <f t="shared" si="33"/>
        <v>157992929.59999999</v>
      </c>
      <c r="D1055" s="39">
        <f t="shared" si="32"/>
        <v>34711377</v>
      </c>
    </row>
    <row r="1056" spans="2:4" x14ac:dyDescent="0.25">
      <c r="B1056" s="89">
        <v>1052</v>
      </c>
      <c r="C1056" s="39">
        <f t="shared" si="33"/>
        <v>157992929.59999999</v>
      </c>
      <c r="D1056" s="39">
        <f t="shared" si="32"/>
        <v>34744404</v>
      </c>
    </row>
    <row r="1057" spans="2:4" x14ac:dyDescent="0.25">
      <c r="B1057" s="89">
        <v>1053</v>
      </c>
      <c r="C1057" s="39">
        <f t="shared" si="33"/>
        <v>157992929.59999999</v>
      </c>
      <c r="D1057" s="39">
        <f t="shared" si="32"/>
        <v>34777431</v>
      </c>
    </row>
    <row r="1058" spans="2:4" x14ac:dyDescent="0.25">
      <c r="B1058" s="89">
        <v>1054</v>
      </c>
      <c r="C1058" s="39">
        <f t="shared" si="33"/>
        <v>157992929.59999999</v>
      </c>
      <c r="D1058" s="39">
        <f t="shared" si="32"/>
        <v>34810458</v>
      </c>
    </row>
    <row r="1059" spans="2:4" x14ac:dyDescent="0.25">
      <c r="B1059" s="89">
        <v>1055</v>
      </c>
      <c r="C1059" s="39">
        <f t="shared" si="33"/>
        <v>157992929.59999999</v>
      </c>
      <c r="D1059" s="39">
        <f t="shared" si="32"/>
        <v>34843485</v>
      </c>
    </row>
    <row r="1060" spans="2:4" x14ac:dyDescent="0.25">
      <c r="B1060" s="89">
        <v>1056</v>
      </c>
      <c r="C1060" s="39">
        <f t="shared" si="33"/>
        <v>157992929.59999999</v>
      </c>
      <c r="D1060" s="39">
        <f t="shared" si="32"/>
        <v>34876512</v>
      </c>
    </row>
    <row r="1061" spans="2:4" x14ac:dyDescent="0.25">
      <c r="B1061" s="89">
        <v>1057</v>
      </c>
      <c r="C1061" s="39">
        <f t="shared" si="33"/>
        <v>157992929.59999999</v>
      </c>
      <c r="D1061" s="39">
        <f t="shared" si="32"/>
        <v>34909539</v>
      </c>
    </row>
    <row r="1062" spans="2:4" x14ac:dyDescent="0.25">
      <c r="B1062" s="89">
        <v>1058</v>
      </c>
      <c r="C1062" s="39">
        <f t="shared" si="33"/>
        <v>157992929.59999999</v>
      </c>
      <c r="D1062" s="39">
        <f t="shared" si="32"/>
        <v>34942566</v>
      </c>
    </row>
    <row r="1063" spans="2:4" x14ac:dyDescent="0.25">
      <c r="B1063" s="89">
        <v>1059</v>
      </c>
      <c r="C1063" s="39">
        <f t="shared" si="33"/>
        <v>157992929.59999999</v>
      </c>
      <c r="D1063" s="39">
        <f t="shared" si="32"/>
        <v>34975593</v>
      </c>
    </row>
    <row r="1064" spans="2:4" x14ac:dyDescent="0.25">
      <c r="B1064" s="89">
        <v>1060</v>
      </c>
      <c r="C1064" s="39">
        <f t="shared" si="33"/>
        <v>157992929.59999999</v>
      </c>
      <c r="D1064" s="39">
        <f t="shared" si="32"/>
        <v>35008620</v>
      </c>
    </row>
    <row r="1065" spans="2:4" x14ac:dyDescent="0.25">
      <c r="B1065" s="89">
        <v>1061</v>
      </c>
      <c r="C1065" s="39">
        <f t="shared" si="33"/>
        <v>157992929.59999999</v>
      </c>
      <c r="D1065" s="39">
        <f t="shared" si="32"/>
        <v>35041647</v>
      </c>
    </row>
    <row r="1066" spans="2:4" x14ac:dyDescent="0.25">
      <c r="B1066" s="89">
        <v>1062</v>
      </c>
      <c r="C1066" s="39">
        <f t="shared" si="33"/>
        <v>157992929.59999999</v>
      </c>
      <c r="D1066" s="39">
        <f t="shared" si="32"/>
        <v>35074674</v>
      </c>
    </row>
    <row r="1067" spans="2:4" x14ac:dyDescent="0.25">
      <c r="B1067" s="89">
        <v>1063</v>
      </c>
      <c r="C1067" s="39">
        <f t="shared" si="33"/>
        <v>157992929.59999999</v>
      </c>
      <c r="D1067" s="39">
        <f t="shared" si="32"/>
        <v>35107701</v>
      </c>
    </row>
    <row r="1068" spans="2:4" x14ac:dyDescent="0.25">
      <c r="B1068" s="89">
        <v>1064</v>
      </c>
      <c r="C1068" s="39">
        <f t="shared" si="33"/>
        <v>157992929.59999999</v>
      </c>
      <c r="D1068" s="39">
        <f t="shared" si="32"/>
        <v>35140728</v>
      </c>
    </row>
    <row r="1069" spans="2:4" x14ac:dyDescent="0.25">
      <c r="B1069" s="89">
        <v>1065</v>
      </c>
      <c r="C1069" s="39">
        <f t="shared" si="33"/>
        <v>157992929.59999999</v>
      </c>
      <c r="D1069" s="39">
        <f t="shared" si="32"/>
        <v>35173755</v>
      </c>
    </row>
    <row r="1070" spans="2:4" x14ac:dyDescent="0.25">
      <c r="B1070" s="89">
        <v>1066</v>
      </c>
      <c r="C1070" s="39">
        <f t="shared" si="33"/>
        <v>157992929.59999999</v>
      </c>
      <c r="D1070" s="39">
        <f t="shared" si="32"/>
        <v>35206782</v>
      </c>
    </row>
    <row r="1071" spans="2:4" x14ac:dyDescent="0.25">
      <c r="B1071" s="89">
        <v>1067</v>
      </c>
      <c r="C1071" s="39">
        <f t="shared" si="33"/>
        <v>157992929.59999999</v>
      </c>
      <c r="D1071" s="39">
        <f t="shared" si="32"/>
        <v>35239809</v>
      </c>
    </row>
    <row r="1072" spans="2:4" x14ac:dyDescent="0.25">
      <c r="B1072" s="89">
        <v>1068</v>
      </c>
      <c r="C1072" s="39">
        <f t="shared" si="33"/>
        <v>157992929.59999999</v>
      </c>
      <c r="D1072" s="39">
        <f t="shared" si="32"/>
        <v>35272836</v>
      </c>
    </row>
    <row r="1073" spans="2:4" x14ac:dyDescent="0.25">
      <c r="B1073" s="89">
        <v>1069</v>
      </c>
      <c r="C1073" s="39">
        <f t="shared" si="33"/>
        <v>157992929.59999999</v>
      </c>
      <c r="D1073" s="39">
        <f t="shared" ref="D1073:D1136" si="34">$D$2*B1073</f>
        <v>35305863</v>
      </c>
    </row>
    <row r="1074" spans="2:4" x14ac:dyDescent="0.25">
      <c r="B1074" s="89">
        <v>1070</v>
      </c>
      <c r="C1074" s="39">
        <f t="shared" si="33"/>
        <v>157992929.59999999</v>
      </c>
      <c r="D1074" s="39">
        <f t="shared" si="34"/>
        <v>35338890</v>
      </c>
    </row>
    <row r="1075" spans="2:4" x14ac:dyDescent="0.25">
      <c r="B1075" s="89">
        <v>1071</v>
      </c>
      <c r="C1075" s="39">
        <f t="shared" si="33"/>
        <v>157992929.59999999</v>
      </c>
      <c r="D1075" s="39">
        <f t="shared" si="34"/>
        <v>35371917</v>
      </c>
    </row>
    <row r="1076" spans="2:4" x14ac:dyDescent="0.25">
      <c r="B1076" s="89">
        <v>1072</v>
      </c>
      <c r="C1076" s="39">
        <f t="shared" si="33"/>
        <v>157992929.59999999</v>
      </c>
      <c r="D1076" s="39">
        <f t="shared" si="34"/>
        <v>35404944</v>
      </c>
    </row>
    <row r="1077" spans="2:4" x14ac:dyDescent="0.25">
      <c r="B1077" s="89">
        <v>1073</v>
      </c>
      <c r="C1077" s="39">
        <f t="shared" si="33"/>
        <v>157992929.59999999</v>
      </c>
      <c r="D1077" s="39">
        <f t="shared" si="34"/>
        <v>35437971</v>
      </c>
    </row>
    <row r="1078" spans="2:4" x14ac:dyDescent="0.25">
      <c r="B1078" s="89">
        <v>1074</v>
      </c>
      <c r="C1078" s="39">
        <f t="shared" si="33"/>
        <v>157992929.59999999</v>
      </c>
      <c r="D1078" s="39">
        <f t="shared" si="34"/>
        <v>35470998</v>
      </c>
    </row>
    <row r="1079" spans="2:4" x14ac:dyDescent="0.25">
      <c r="B1079" s="89">
        <v>1075</v>
      </c>
      <c r="C1079" s="39">
        <f t="shared" si="33"/>
        <v>157992929.59999999</v>
      </c>
      <c r="D1079" s="39">
        <f t="shared" si="34"/>
        <v>35504025</v>
      </c>
    </row>
    <row r="1080" spans="2:4" x14ac:dyDescent="0.25">
      <c r="B1080" s="89">
        <v>1076</v>
      </c>
      <c r="C1080" s="39">
        <f t="shared" si="33"/>
        <v>157992929.59999999</v>
      </c>
      <c r="D1080" s="39">
        <f t="shared" si="34"/>
        <v>35537052</v>
      </c>
    </row>
    <row r="1081" spans="2:4" x14ac:dyDescent="0.25">
      <c r="B1081" s="89">
        <v>1077</v>
      </c>
      <c r="C1081" s="39">
        <f t="shared" si="33"/>
        <v>157992929.59999999</v>
      </c>
      <c r="D1081" s="39">
        <f t="shared" si="34"/>
        <v>35570079</v>
      </c>
    </row>
    <row r="1082" spans="2:4" x14ac:dyDescent="0.25">
      <c r="B1082" s="89">
        <v>1078</v>
      </c>
      <c r="C1082" s="39">
        <f t="shared" si="33"/>
        <v>157992929.59999999</v>
      </c>
      <c r="D1082" s="39">
        <f t="shared" si="34"/>
        <v>35603106</v>
      </c>
    </row>
    <row r="1083" spans="2:4" x14ac:dyDescent="0.25">
      <c r="B1083" s="89">
        <v>1079</v>
      </c>
      <c r="C1083" s="39">
        <f t="shared" si="33"/>
        <v>157992929.59999999</v>
      </c>
      <c r="D1083" s="39">
        <f t="shared" si="34"/>
        <v>35636133</v>
      </c>
    </row>
    <row r="1084" spans="2:4" x14ac:dyDescent="0.25">
      <c r="B1084" s="89">
        <v>1080</v>
      </c>
      <c r="C1084" s="39">
        <f t="shared" si="33"/>
        <v>157992929.59999999</v>
      </c>
      <c r="D1084" s="39">
        <f t="shared" si="34"/>
        <v>35669160</v>
      </c>
    </row>
    <row r="1085" spans="2:4" x14ac:dyDescent="0.25">
      <c r="B1085" s="89">
        <v>1081</v>
      </c>
      <c r="C1085" s="39">
        <f t="shared" si="33"/>
        <v>157992929.59999999</v>
      </c>
      <c r="D1085" s="39">
        <f t="shared" si="34"/>
        <v>35702187</v>
      </c>
    </row>
    <row r="1086" spans="2:4" x14ac:dyDescent="0.25">
      <c r="B1086" s="89">
        <v>1082</v>
      </c>
      <c r="C1086" s="39">
        <f t="shared" si="33"/>
        <v>157992929.59999999</v>
      </c>
      <c r="D1086" s="39">
        <f t="shared" si="34"/>
        <v>35735214</v>
      </c>
    </row>
    <row r="1087" spans="2:4" x14ac:dyDescent="0.25">
      <c r="B1087" s="89">
        <v>1083</v>
      </c>
      <c r="C1087" s="39">
        <f t="shared" si="33"/>
        <v>157992929.59999999</v>
      </c>
      <c r="D1087" s="39">
        <f t="shared" si="34"/>
        <v>35768241</v>
      </c>
    </row>
    <row r="1088" spans="2:4" x14ac:dyDescent="0.25">
      <c r="B1088" s="89">
        <v>1084</v>
      </c>
      <c r="C1088" s="39">
        <f t="shared" si="33"/>
        <v>157992929.59999999</v>
      </c>
      <c r="D1088" s="39">
        <f t="shared" si="34"/>
        <v>35801268</v>
      </c>
    </row>
    <row r="1089" spans="2:4" x14ac:dyDescent="0.25">
      <c r="B1089" s="89">
        <v>1085</v>
      </c>
      <c r="C1089" s="39">
        <f t="shared" si="33"/>
        <v>157992929.59999999</v>
      </c>
      <c r="D1089" s="39">
        <f t="shared" si="34"/>
        <v>35834295</v>
      </c>
    </row>
    <row r="1090" spans="2:4" x14ac:dyDescent="0.25">
      <c r="B1090" s="89">
        <v>1086</v>
      </c>
      <c r="C1090" s="39">
        <f t="shared" si="33"/>
        <v>157992929.59999999</v>
      </c>
      <c r="D1090" s="39">
        <f t="shared" si="34"/>
        <v>35867322</v>
      </c>
    </row>
    <row r="1091" spans="2:4" x14ac:dyDescent="0.25">
      <c r="B1091" s="89">
        <v>1087</v>
      </c>
      <c r="C1091" s="39">
        <f t="shared" si="33"/>
        <v>157992929.59999999</v>
      </c>
      <c r="D1091" s="39">
        <f t="shared" si="34"/>
        <v>35900349</v>
      </c>
    </row>
    <row r="1092" spans="2:4" x14ac:dyDescent="0.25">
      <c r="B1092" s="89">
        <v>1088</v>
      </c>
      <c r="C1092" s="39">
        <f t="shared" si="33"/>
        <v>157992929.59999999</v>
      </c>
      <c r="D1092" s="39">
        <f t="shared" si="34"/>
        <v>35933376</v>
      </c>
    </row>
    <row r="1093" spans="2:4" x14ac:dyDescent="0.25">
      <c r="B1093" s="89">
        <v>1089</v>
      </c>
      <c r="C1093" s="39">
        <f t="shared" si="33"/>
        <v>157992929.59999999</v>
      </c>
      <c r="D1093" s="39">
        <f t="shared" si="34"/>
        <v>35966403</v>
      </c>
    </row>
    <row r="1094" spans="2:4" x14ac:dyDescent="0.25">
      <c r="B1094" s="89">
        <v>1090</v>
      </c>
      <c r="C1094" s="39">
        <f t="shared" ref="C1094:C1157" si="35">$C1093</f>
        <v>157992929.59999999</v>
      </c>
      <c r="D1094" s="39">
        <f t="shared" si="34"/>
        <v>35999430</v>
      </c>
    </row>
    <row r="1095" spans="2:4" x14ac:dyDescent="0.25">
      <c r="B1095" s="89">
        <v>1091</v>
      </c>
      <c r="C1095" s="39">
        <f t="shared" si="35"/>
        <v>157992929.59999999</v>
      </c>
      <c r="D1095" s="39">
        <f t="shared" si="34"/>
        <v>36032457</v>
      </c>
    </row>
    <row r="1096" spans="2:4" x14ac:dyDescent="0.25">
      <c r="B1096" s="89">
        <v>1092</v>
      </c>
      <c r="C1096" s="39">
        <f t="shared" si="35"/>
        <v>157992929.59999999</v>
      </c>
      <c r="D1096" s="39">
        <f t="shared" si="34"/>
        <v>36065484</v>
      </c>
    </row>
    <row r="1097" spans="2:4" x14ac:dyDescent="0.25">
      <c r="B1097" s="89">
        <v>1093</v>
      </c>
      <c r="C1097" s="39">
        <f t="shared" si="35"/>
        <v>157992929.59999999</v>
      </c>
      <c r="D1097" s="39">
        <f t="shared" si="34"/>
        <v>36098511</v>
      </c>
    </row>
    <row r="1098" spans="2:4" x14ac:dyDescent="0.25">
      <c r="B1098" s="89">
        <v>1094</v>
      </c>
      <c r="C1098" s="39">
        <f t="shared" si="35"/>
        <v>157992929.59999999</v>
      </c>
      <c r="D1098" s="39">
        <f t="shared" si="34"/>
        <v>36131538</v>
      </c>
    </row>
    <row r="1099" spans="2:4" x14ac:dyDescent="0.25">
      <c r="B1099" s="89">
        <v>1095</v>
      </c>
      <c r="C1099" s="39">
        <f t="shared" si="35"/>
        <v>157992929.59999999</v>
      </c>
      <c r="D1099" s="39">
        <f t="shared" si="34"/>
        <v>36164565</v>
      </c>
    </row>
    <row r="1100" spans="2:4" x14ac:dyDescent="0.25">
      <c r="B1100" s="89">
        <v>1096</v>
      </c>
      <c r="C1100" s="39">
        <f t="shared" si="35"/>
        <v>157992929.59999999</v>
      </c>
      <c r="D1100" s="39">
        <f t="shared" si="34"/>
        <v>36197592</v>
      </c>
    </row>
    <row r="1101" spans="2:4" x14ac:dyDescent="0.25">
      <c r="B1101" s="89">
        <v>1097</v>
      </c>
      <c r="C1101" s="39">
        <f t="shared" si="35"/>
        <v>157992929.59999999</v>
      </c>
      <c r="D1101" s="39">
        <f t="shared" si="34"/>
        <v>36230619</v>
      </c>
    </row>
    <row r="1102" spans="2:4" x14ac:dyDescent="0.25">
      <c r="B1102" s="89">
        <v>1098</v>
      </c>
      <c r="C1102" s="39">
        <f t="shared" si="35"/>
        <v>157992929.59999999</v>
      </c>
      <c r="D1102" s="39">
        <f t="shared" si="34"/>
        <v>36263646</v>
      </c>
    </row>
    <row r="1103" spans="2:4" x14ac:dyDescent="0.25">
      <c r="B1103" s="89">
        <v>1099</v>
      </c>
      <c r="C1103" s="39">
        <f t="shared" si="35"/>
        <v>157992929.59999999</v>
      </c>
      <c r="D1103" s="39">
        <f t="shared" si="34"/>
        <v>36296673</v>
      </c>
    </row>
    <row r="1104" spans="2:4" x14ac:dyDescent="0.25">
      <c r="B1104" s="89">
        <v>1100</v>
      </c>
      <c r="C1104" s="39">
        <f t="shared" si="35"/>
        <v>157992929.59999999</v>
      </c>
      <c r="D1104" s="39">
        <f t="shared" si="34"/>
        <v>36329700</v>
      </c>
    </row>
    <row r="1105" spans="2:4" x14ac:dyDescent="0.25">
      <c r="B1105" s="89">
        <v>1101</v>
      </c>
      <c r="C1105" s="39">
        <f t="shared" si="35"/>
        <v>157992929.59999999</v>
      </c>
      <c r="D1105" s="39">
        <f t="shared" si="34"/>
        <v>36362727</v>
      </c>
    </row>
    <row r="1106" spans="2:4" x14ac:dyDescent="0.25">
      <c r="B1106" s="89">
        <v>1102</v>
      </c>
      <c r="C1106" s="39">
        <f t="shared" si="35"/>
        <v>157992929.59999999</v>
      </c>
      <c r="D1106" s="39">
        <f t="shared" si="34"/>
        <v>36395754</v>
      </c>
    </row>
    <row r="1107" spans="2:4" x14ac:dyDescent="0.25">
      <c r="B1107" s="89">
        <v>1103</v>
      </c>
      <c r="C1107" s="39">
        <f t="shared" si="35"/>
        <v>157992929.59999999</v>
      </c>
      <c r="D1107" s="39">
        <f t="shared" si="34"/>
        <v>36428781</v>
      </c>
    </row>
    <row r="1108" spans="2:4" x14ac:dyDescent="0.25">
      <c r="B1108" s="89">
        <v>1104</v>
      </c>
      <c r="C1108" s="39">
        <f t="shared" si="35"/>
        <v>157992929.59999999</v>
      </c>
      <c r="D1108" s="39">
        <f t="shared" si="34"/>
        <v>36461808</v>
      </c>
    </row>
    <row r="1109" spans="2:4" x14ac:dyDescent="0.25">
      <c r="B1109" s="89">
        <v>1105</v>
      </c>
      <c r="C1109" s="39">
        <f t="shared" si="35"/>
        <v>157992929.59999999</v>
      </c>
      <c r="D1109" s="39">
        <f t="shared" si="34"/>
        <v>36494835</v>
      </c>
    </row>
    <row r="1110" spans="2:4" x14ac:dyDescent="0.25">
      <c r="B1110" s="89">
        <v>1106</v>
      </c>
      <c r="C1110" s="39">
        <f t="shared" si="35"/>
        <v>157992929.59999999</v>
      </c>
      <c r="D1110" s="39">
        <f t="shared" si="34"/>
        <v>36527862</v>
      </c>
    </row>
    <row r="1111" spans="2:4" x14ac:dyDescent="0.25">
      <c r="B1111" s="89">
        <v>1107</v>
      </c>
      <c r="C1111" s="39">
        <f t="shared" si="35"/>
        <v>157992929.59999999</v>
      </c>
      <c r="D1111" s="39">
        <f t="shared" si="34"/>
        <v>36560889</v>
      </c>
    </row>
    <row r="1112" spans="2:4" x14ac:dyDescent="0.25">
      <c r="B1112" s="89">
        <v>1108</v>
      </c>
      <c r="C1112" s="39">
        <f t="shared" si="35"/>
        <v>157992929.59999999</v>
      </c>
      <c r="D1112" s="39">
        <f t="shared" si="34"/>
        <v>36593916</v>
      </c>
    </row>
    <row r="1113" spans="2:4" x14ac:dyDescent="0.25">
      <c r="B1113" s="89">
        <v>1109</v>
      </c>
      <c r="C1113" s="39">
        <f t="shared" si="35"/>
        <v>157992929.59999999</v>
      </c>
      <c r="D1113" s="39">
        <f t="shared" si="34"/>
        <v>36626943</v>
      </c>
    </row>
    <row r="1114" spans="2:4" x14ac:dyDescent="0.25">
      <c r="B1114" s="89">
        <v>1110</v>
      </c>
      <c r="C1114" s="39">
        <f t="shared" si="35"/>
        <v>157992929.59999999</v>
      </c>
      <c r="D1114" s="39">
        <f t="shared" si="34"/>
        <v>36659970</v>
      </c>
    </row>
    <row r="1115" spans="2:4" x14ac:dyDescent="0.25">
      <c r="B1115" s="89">
        <v>1111</v>
      </c>
      <c r="C1115" s="39">
        <f t="shared" si="35"/>
        <v>157992929.59999999</v>
      </c>
      <c r="D1115" s="39">
        <f t="shared" si="34"/>
        <v>36692997</v>
      </c>
    </row>
    <row r="1116" spans="2:4" x14ac:dyDescent="0.25">
      <c r="B1116" s="89">
        <v>1112</v>
      </c>
      <c r="C1116" s="39">
        <f t="shared" si="35"/>
        <v>157992929.59999999</v>
      </c>
      <c r="D1116" s="39">
        <f t="shared" si="34"/>
        <v>36726024</v>
      </c>
    </row>
    <row r="1117" spans="2:4" x14ac:dyDescent="0.25">
      <c r="B1117" s="89">
        <v>1113</v>
      </c>
      <c r="C1117" s="39">
        <f t="shared" si="35"/>
        <v>157992929.59999999</v>
      </c>
      <c r="D1117" s="39">
        <f t="shared" si="34"/>
        <v>36759051</v>
      </c>
    </row>
    <row r="1118" spans="2:4" x14ac:dyDescent="0.25">
      <c r="B1118" s="89">
        <v>1114</v>
      </c>
      <c r="C1118" s="39">
        <f t="shared" si="35"/>
        <v>157992929.59999999</v>
      </c>
      <c r="D1118" s="39">
        <f t="shared" si="34"/>
        <v>36792078</v>
      </c>
    </row>
    <row r="1119" spans="2:4" x14ac:dyDescent="0.25">
      <c r="B1119" s="89">
        <v>1115</v>
      </c>
      <c r="C1119" s="39">
        <f t="shared" si="35"/>
        <v>157992929.59999999</v>
      </c>
      <c r="D1119" s="39">
        <f t="shared" si="34"/>
        <v>36825105</v>
      </c>
    </row>
    <row r="1120" spans="2:4" x14ac:dyDescent="0.25">
      <c r="B1120" s="89">
        <v>1116</v>
      </c>
      <c r="C1120" s="39">
        <f t="shared" si="35"/>
        <v>157992929.59999999</v>
      </c>
      <c r="D1120" s="39">
        <f t="shared" si="34"/>
        <v>36858132</v>
      </c>
    </row>
    <row r="1121" spans="2:4" x14ac:dyDescent="0.25">
      <c r="B1121" s="89">
        <v>1117</v>
      </c>
      <c r="C1121" s="39">
        <f t="shared" si="35"/>
        <v>157992929.59999999</v>
      </c>
      <c r="D1121" s="39">
        <f t="shared" si="34"/>
        <v>36891159</v>
      </c>
    </row>
    <row r="1122" spans="2:4" x14ac:dyDescent="0.25">
      <c r="B1122" s="89">
        <v>1118</v>
      </c>
      <c r="C1122" s="39">
        <f t="shared" si="35"/>
        <v>157992929.59999999</v>
      </c>
      <c r="D1122" s="39">
        <f t="shared" si="34"/>
        <v>36924186</v>
      </c>
    </row>
    <row r="1123" spans="2:4" x14ac:dyDescent="0.25">
      <c r="B1123" s="89">
        <v>1119</v>
      </c>
      <c r="C1123" s="39">
        <f t="shared" si="35"/>
        <v>157992929.59999999</v>
      </c>
      <c r="D1123" s="39">
        <f t="shared" si="34"/>
        <v>36957213</v>
      </c>
    </row>
    <row r="1124" spans="2:4" x14ac:dyDescent="0.25">
      <c r="B1124" s="89">
        <v>1120</v>
      </c>
      <c r="C1124" s="39">
        <f t="shared" si="35"/>
        <v>157992929.59999999</v>
      </c>
      <c r="D1124" s="39">
        <f t="shared" si="34"/>
        <v>36990240</v>
      </c>
    </row>
    <row r="1125" spans="2:4" x14ac:dyDescent="0.25">
      <c r="B1125" s="89">
        <v>1121</v>
      </c>
      <c r="C1125" s="39">
        <f t="shared" si="35"/>
        <v>157992929.59999999</v>
      </c>
      <c r="D1125" s="39">
        <f t="shared" si="34"/>
        <v>37023267</v>
      </c>
    </row>
    <row r="1126" spans="2:4" x14ac:dyDescent="0.25">
      <c r="B1126" s="89">
        <v>1122</v>
      </c>
      <c r="C1126" s="39">
        <f t="shared" si="35"/>
        <v>157992929.59999999</v>
      </c>
      <c r="D1126" s="39">
        <f t="shared" si="34"/>
        <v>37056294</v>
      </c>
    </row>
    <row r="1127" spans="2:4" x14ac:dyDescent="0.25">
      <c r="B1127" s="89">
        <v>1123</v>
      </c>
      <c r="C1127" s="39">
        <f t="shared" si="35"/>
        <v>157992929.59999999</v>
      </c>
      <c r="D1127" s="39">
        <f t="shared" si="34"/>
        <v>37089321</v>
      </c>
    </row>
    <row r="1128" spans="2:4" x14ac:dyDescent="0.25">
      <c r="B1128" s="89">
        <v>1124</v>
      </c>
      <c r="C1128" s="39">
        <f t="shared" si="35"/>
        <v>157992929.59999999</v>
      </c>
      <c r="D1128" s="39">
        <f t="shared" si="34"/>
        <v>37122348</v>
      </c>
    </row>
    <row r="1129" spans="2:4" x14ac:dyDescent="0.25">
      <c r="B1129" s="89">
        <v>1125</v>
      </c>
      <c r="C1129" s="39">
        <f t="shared" si="35"/>
        <v>157992929.59999999</v>
      </c>
      <c r="D1129" s="39">
        <f t="shared" si="34"/>
        <v>37155375</v>
      </c>
    </row>
    <row r="1130" spans="2:4" x14ac:dyDescent="0.25">
      <c r="B1130" s="89">
        <v>1126</v>
      </c>
      <c r="C1130" s="39">
        <f t="shared" si="35"/>
        <v>157992929.59999999</v>
      </c>
      <c r="D1130" s="39">
        <f t="shared" si="34"/>
        <v>37188402</v>
      </c>
    </row>
    <row r="1131" spans="2:4" x14ac:dyDescent="0.25">
      <c r="B1131" s="89">
        <v>1127</v>
      </c>
      <c r="C1131" s="39">
        <f t="shared" si="35"/>
        <v>157992929.59999999</v>
      </c>
      <c r="D1131" s="39">
        <f t="shared" si="34"/>
        <v>37221429</v>
      </c>
    </row>
    <row r="1132" spans="2:4" x14ac:dyDescent="0.25">
      <c r="B1132" s="89">
        <v>1128</v>
      </c>
      <c r="C1132" s="39">
        <f t="shared" si="35"/>
        <v>157992929.59999999</v>
      </c>
      <c r="D1132" s="39">
        <f t="shared" si="34"/>
        <v>37254456</v>
      </c>
    </row>
    <row r="1133" spans="2:4" x14ac:dyDescent="0.25">
      <c r="B1133" s="89">
        <v>1129</v>
      </c>
      <c r="C1133" s="39">
        <f t="shared" si="35"/>
        <v>157992929.59999999</v>
      </c>
      <c r="D1133" s="39">
        <f t="shared" si="34"/>
        <v>37287483</v>
      </c>
    </row>
    <row r="1134" spans="2:4" x14ac:dyDescent="0.25">
      <c r="B1134" s="89">
        <v>1130</v>
      </c>
      <c r="C1134" s="39">
        <f t="shared" si="35"/>
        <v>157992929.59999999</v>
      </c>
      <c r="D1134" s="39">
        <f t="shared" si="34"/>
        <v>37320510</v>
      </c>
    </row>
    <row r="1135" spans="2:4" x14ac:dyDescent="0.25">
      <c r="B1135" s="89">
        <v>1131</v>
      </c>
      <c r="C1135" s="39">
        <f t="shared" si="35"/>
        <v>157992929.59999999</v>
      </c>
      <c r="D1135" s="39">
        <f t="shared" si="34"/>
        <v>37353537</v>
      </c>
    </row>
    <row r="1136" spans="2:4" x14ac:dyDescent="0.25">
      <c r="B1136" s="89">
        <v>1132</v>
      </c>
      <c r="C1136" s="39">
        <f t="shared" si="35"/>
        <v>157992929.59999999</v>
      </c>
      <c r="D1136" s="39">
        <f t="shared" si="34"/>
        <v>37386564</v>
      </c>
    </row>
    <row r="1137" spans="2:4" x14ac:dyDescent="0.25">
      <c r="B1137" s="89">
        <v>1133</v>
      </c>
      <c r="C1137" s="39">
        <f t="shared" si="35"/>
        <v>157992929.59999999</v>
      </c>
      <c r="D1137" s="39">
        <f t="shared" ref="D1137:D1200" si="36">$D$2*B1137</f>
        <v>37419591</v>
      </c>
    </row>
    <row r="1138" spans="2:4" x14ac:dyDescent="0.25">
      <c r="B1138" s="89">
        <v>1134</v>
      </c>
      <c r="C1138" s="39">
        <f t="shared" si="35"/>
        <v>157992929.59999999</v>
      </c>
      <c r="D1138" s="39">
        <f t="shared" si="36"/>
        <v>37452618</v>
      </c>
    </row>
    <row r="1139" spans="2:4" x14ac:dyDescent="0.25">
      <c r="B1139" s="89">
        <v>1135</v>
      </c>
      <c r="C1139" s="39">
        <f t="shared" si="35"/>
        <v>157992929.59999999</v>
      </c>
      <c r="D1139" s="39">
        <f t="shared" si="36"/>
        <v>37485645</v>
      </c>
    </row>
    <row r="1140" spans="2:4" x14ac:dyDescent="0.25">
      <c r="B1140" s="89">
        <v>1136</v>
      </c>
      <c r="C1140" s="39">
        <f t="shared" si="35"/>
        <v>157992929.59999999</v>
      </c>
      <c r="D1140" s="39">
        <f t="shared" si="36"/>
        <v>37518672</v>
      </c>
    </row>
    <row r="1141" spans="2:4" x14ac:dyDescent="0.25">
      <c r="B1141" s="89">
        <v>1137</v>
      </c>
      <c r="C1141" s="39">
        <f t="shared" si="35"/>
        <v>157992929.59999999</v>
      </c>
      <c r="D1141" s="39">
        <f t="shared" si="36"/>
        <v>37551699</v>
      </c>
    </row>
    <row r="1142" spans="2:4" x14ac:dyDescent="0.25">
      <c r="B1142" s="89">
        <v>1138</v>
      </c>
      <c r="C1142" s="39">
        <f t="shared" si="35"/>
        <v>157992929.59999999</v>
      </c>
      <c r="D1142" s="39">
        <f t="shared" si="36"/>
        <v>37584726</v>
      </c>
    </row>
    <row r="1143" spans="2:4" x14ac:dyDescent="0.25">
      <c r="B1143" s="89">
        <v>1139</v>
      </c>
      <c r="C1143" s="39">
        <f t="shared" si="35"/>
        <v>157992929.59999999</v>
      </c>
      <c r="D1143" s="39">
        <f t="shared" si="36"/>
        <v>37617753</v>
      </c>
    </row>
    <row r="1144" spans="2:4" x14ac:dyDescent="0.25">
      <c r="B1144" s="89">
        <v>1140</v>
      </c>
      <c r="C1144" s="39">
        <f t="shared" si="35"/>
        <v>157992929.59999999</v>
      </c>
      <c r="D1144" s="39">
        <f t="shared" si="36"/>
        <v>37650780</v>
      </c>
    </row>
    <row r="1145" spans="2:4" x14ac:dyDescent="0.25">
      <c r="B1145" s="89">
        <v>1141</v>
      </c>
      <c r="C1145" s="39">
        <f t="shared" si="35"/>
        <v>157992929.59999999</v>
      </c>
      <c r="D1145" s="39">
        <f t="shared" si="36"/>
        <v>37683807</v>
      </c>
    </row>
    <row r="1146" spans="2:4" x14ac:dyDescent="0.25">
      <c r="B1146" s="89">
        <v>1142</v>
      </c>
      <c r="C1146" s="39">
        <f t="shared" si="35"/>
        <v>157992929.59999999</v>
      </c>
      <c r="D1146" s="39">
        <f t="shared" si="36"/>
        <v>37716834</v>
      </c>
    </row>
    <row r="1147" spans="2:4" x14ac:dyDescent="0.25">
      <c r="B1147" s="89">
        <v>1143</v>
      </c>
      <c r="C1147" s="39">
        <f t="shared" si="35"/>
        <v>157992929.59999999</v>
      </c>
      <c r="D1147" s="39">
        <f t="shared" si="36"/>
        <v>37749861</v>
      </c>
    </row>
    <row r="1148" spans="2:4" x14ac:dyDescent="0.25">
      <c r="B1148" s="89">
        <v>1144</v>
      </c>
      <c r="C1148" s="39">
        <f t="shared" si="35"/>
        <v>157992929.59999999</v>
      </c>
      <c r="D1148" s="39">
        <f t="shared" si="36"/>
        <v>37782888</v>
      </c>
    </row>
    <row r="1149" spans="2:4" x14ac:dyDescent="0.25">
      <c r="B1149" s="89">
        <v>1145</v>
      </c>
      <c r="C1149" s="39">
        <f t="shared" si="35"/>
        <v>157992929.59999999</v>
      </c>
      <c r="D1149" s="39">
        <f t="shared" si="36"/>
        <v>37815915</v>
      </c>
    </row>
    <row r="1150" spans="2:4" x14ac:dyDescent="0.25">
      <c r="B1150" s="89">
        <v>1146</v>
      </c>
      <c r="C1150" s="39">
        <f t="shared" si="35"/>
        <v>157992929.59999999</v>
      </c>
      <c r="D1150" s="39">
        <f t="shared" si="36"/>
        <v>37848942</v>
      </c>
    </row>
    <row r="1151" spans="2:4" x14ac:dyDescent="0.25">
      <c r="B1151" s="89">
        <v>1147</v>
      </c>
      <c r="C1151" s="39">
        <f t="shared" si="35"/>
        <v>157992929.59999999</v>
      </c>
      <c r="D1151" s="39">
        <f t="shared" si="36"/>
        <v>37881969</v>
      </c>
    </row>
    <row r="1152" spans="2:4" x14ac:dyDescent="0.25">
      <c r="B1152" s="89">
        <v>1148</v>
      </c>
      <c r="C1152" s="39">
        <f t="shared" si="35"/>
        <v>157992929.59999999</v>
      </c>
      <c r="D1152" s="39">
        <f t="shared" si="36"/>
        <v>37914996</v>
      </c>
    </row>
    <row r="1153" spans="2:4" x14ac:dyDescent="0.25">
      <c r="B1153" s="89">
        <v>1149</v>
      </c>
      <c r="C1153" s="39">
        <f t="shared" si="35"/>
        <v>157992929.59999999</v>
      </c>
      <c r="D1153" s="39">
        <f t="shared" si="36"/>
        <v>37948023</v>
      </c>
    </row>
    <row r="1154" spans="2:4" x14ac:dyDescent="0.25">
      <c r="B1154" s="89">
        <v>1150</v>
      </c>
      <c r="C1154" s="39">
        <f t="shared" si="35"/>
        <v>157992929.59999999</v>
      </c>
      <c r="D1154" s="39">
        <f t="shared" si="36"/>
        <v>37981050</v>
      </c>
    </row>
    <row r="1155" spans="2:4" x14ac:dyDescent="0.25">
      <c r="B1155" s="89">
        <v>1151</v>
      </c>
      <c r="C1155" s="39">
        <f t="shared" si="35"/>
        <v>157992929.59999999</v>
      </c>
      <c r="D1155" s="39">
        <f t="shared" si="36"/>
        <v>38014077</v>
      </c>
    </row>
    <row r="1156" spans="2:4" x14ac:dyDescent="0.25">
      <c r="B1156" s="89">
        <v>1152</v>
      </c>
      <c r="C1156" s="39">
        <f t="shared" si="35"/>
        <v>157992929.59999999</v>
      </c>
      <c r="D1156" s="39">
        <f t="shared" si="36"/>
        <v>38047104</v>
      </c>
    </row>
    <row r="1157" spans="2:4" x14ac:dyDescent="0.25">
      <c r="B1157" s="89">
        <v>1153</v>
      </c>
      <c r="C1157" s="39">
        <f t="shared" si="35"/>
        <v>157992929.59999999</v>
      </c>
      <c r="D1157" s="39">
        <f t="shared" si="36"/>
        <v>38080131</v>
      </c>
    </row>
    <row r="1158" spans="2:4" x14ac:dyDescent="0.25">
      <c r="B1158" s="89">
        <v>1154</v>
      </c>
      <c r="C1158" s="39">
        <f t="shared" ref="C1158:C1221" si="37">$C1157</f>
        <v>157992929.59999999</v>
      </c>
      <c r="D1158" s="39">
        <f t="shared" si="36"/>
        <v>38113158</v>
      </c>
    </row>
    <row r="1159" spans="2:4" x14ac:dyDescent="0.25">
      <c r="B1159" s="89">
        <v>1155</v>
      </c>
      <c r="C1159" s="39">
        <f t="shared" si="37"/>
        <v>157992929.59999999</v>
      </c>
      <c r="D1159" s="39">
        <f t="shared" si="36"/>
        <v>38146185</v>
      </c>
    </row>
    <row r="1160" spans="2:4" x14ac:dyDescent="0.25">
      <c r="B1160" s="89">
        <v>1156</v>
      </c>
      <c r="C1160" s="39">
        <f t="shared" si="37"/>
        <v>157992929.59999999</v>
      </c>
      <c r="D1160" s="39">
        <f t="shared" si="36"/>
        <v>38179212</v>
      </c>
    </row>
    <row r="1161" spans="2:4" x14ac:dyDescent="0.25">
      <c r="B1161" s="89">
        <v>1157</v>
      </c>
      <c r="C1161" s="39">
        <f t="shared" si="37"/>
        <v>157992929.59999999</v>
      </c>
      <c r="D1161" s="39">
        <f t="shared" si="36"/>
        <v>38212239</v>
      </c>
    </row>
    <row r="1162" spans="2:4" x14ac:dyDescent="0.25">
      <c r="B1162" s="89">
        <v>1158</v>
      </c>
      <c r="C1162" s="39">
        <f t="shared" si="37"/>
        <v>157992929.59999999</v>
      </c>
      <c r="D1162" s="39">
        <f t="shared" si="36"/>
        <v>38245266</v>
      </c>
    </row>
    <row r="1163" spans="2:4" x14ac:dyDescent="0.25">
      <c r="B1163" s="89">
        <v>1159</v>
      </c>
      <c r="C1163" s="39">
        <f t="shared" si="37"/>
        <v>157992929.59999999</v>
      </c>
      <c r="D1163" s="39">
        <f t="shared" si="36"/>
        <v>38278293</v>
      </c>
    </row>
    <row r="1164" spans="2:4" x14ac:dyDescent="0.25">
      <c r="B1164" s="89">
        <v>1160</v>
      </c>
      <c r="C1164" s="39">
        <f t="shared" si="37"/>
        <v>157992929.59999999</v>
      </c>
      <c r="D1164" s="39">
        <f t="shared" si="36"/>
        <v>38311320</v>
      </c>
    </row>
    <row r="1165" spans="2:4" x14ac:dyDescent="0.25">
      <c r="B1165" s="89">
        <v>1161</v>
      </c>
      <c r="C1165" s="39">
        <f t="shared" si="37"/>
        <v>157992929.59999999</v>
      </c>
      <c r="D1165" s="39">
        <f t="shared" si="36"/>
        <v>38344347</v>
      </c>
    </row>
    <row r="1166" spans="2:4" x14ac:dyDescent="0.25">
      <c r="B1166" s="89">
        <v>1162</v>
      </c>
      <c r="C1166" s="39">
        <f t="shared" si="37"/>
        <v>157992929.59999999</v>
      </c>
      <c r="D1166" s="39">
        <f t="shared" si="36"/>
        <v>38377374</v>
      </c>
    </row>
    <row r="1167" spans="2:4" x14ac:dyDescent="0.25">
      <c r="B1167" s="89">
        <v>1163</v>
      </c>
      <c r="C1167" s="39">
        <f t="shared" si="37"/>
        <v>157992929.59999999</v>
      </c>
      <c r="D1167" s="39">
        <f t="shared" si="36"/>
        <v>38410401</v>
      </c>
    </row>
    <row r="1168" spans="2:4" x14ac:dyDescent="0.25">
      <c r="B1168" s="89">
        <v>1164</v>
      </c>
      <c r="C1168" s="39">
        <f t="shared" si="37"/>
        <v>157992929.59999999</v>
      </c>
      <c r="D1168" s="39">
        <f t="shared" si="36"/>
        <v>38443428</v>
      </c>
    </row>
    <row r="1169" spans="2:4" x14ac:dyDescent="0.25">
      <c r="B1169" s="89">
        <v>1165</v>
      </c>
      <c r="C1169" s="39">
        <f t="shared" si="37"/>
        <v>157992929.59999999</v>
      </c>
      <c r="D1169" s="39">
        <f t="shared" si="36"/>
        <v>38476455</v>
      </c>
    </row>
    <row r="1170" spans="2:4" x14ac:dyDescent="0.25">
      <c r="B1170" s="89">
        <v>1166</v>
      </c>
      <c r="C1170" s="39">
        <f t="shared" si="37"/>
        <v>157992929.59999999</v>
      </c>
      <c r="D1170" s="39">
        <f t="shared" si="36"/>
        <v>38509482</v>
      </c>
    </row>
    <row r="1171" spans="2:4" x14ac:dyDescent="0.25">
      <c r="B1171" s="89">
        <v>1167</v>
      </c>
      <c r="C1171" s="39">
        <f t="shared" si="37"/>
        <v>157992929.59999999</v>
      </c>
      <c r="D1171" s="39">
        <f t="shared" si="36"/>
        <v>38542509</v>
      </c>
    </row>
    <row r="1172" spans="2:4" x14ac:dyDescent="0.25">
      <c r="B1172" s="89">
        <v>1168</v>
      </c>
      <c r="C1172" s="39">
        <f t="shared" si="37"/>
        <v>157992929.59999999</v>
      </c>
      <c r="D1172" s="39">
        <f t="shared" si="36"/>
        <v>38575536</v>
      </c>
    </row>
    <row r="1173" spans="2:4" x14ac:dyDescent="0.25">
      <c r="B1173" s="89">
        <v>1169</v>
      </c>
      <c r="C1173" s="39">
        <f t="shared" si="37"/>
        <v>157992929.59999999</v>
      </c>
      <c r="D1173" s="39">
        <f t="shared" si="36"/>
        <v>38608563</v>
      </c>
    </row>
    <row r="1174" spans="2:4" x14ac:dyDescent="0.25">
      <c r="B1174" s="89">
        <v>1170</v>
      </c>
      <c r="C1174" s="39">
        <f t="shared" si="37"/>
        <v>157992929.59999999</v>
      </c>
      <c r="D1174" s="39">
        <f t="shared" si="36"/>
        <v>38641590</v>
      </c>
    </row>
    <row r="1175" spans="2:4" x14ac:dyDescent="0.25">
      <c r="B1175" s="89">
        <v>1171</v>
      </c>
      <c r="C1175" s="39">
        <f t="shared" si="37"/>
        <v>157992929.59999999</v>
      </c>
      <c r="D1175" s="39">
        <f t="shared" si="36"/>
        <v>38674617</v>
      </c>
    </row>
    <row r="1176" spans="2:4" x14ac:dyDescent="0.25">
      <c r="B1176" s="89">
        <v>1172</v>
      </c>
      <c r="C1176" s="39">
        <f t="shared" si="37"/>
        <v>157992929.59999999</v>
      </c>
      <c r="D1176" s="39">
        <f t="shared" si="36"/>
        <v>38707644</v>
      </c>
    </row>
    <row r="1177" spans="2:4" x14ac:dyDescent="0.25">
      <c r="B1177" s="89">
        <v>1173</v>
      </c>
      <c r="C1177" s="39">
        <f t="shared" si="37"/>
        <v>157992929.59999999</v>
      </c>
      <c r="D1177" s="39">
        <f t="shared" si="36"/>
        <v>38740671</v>
      </c>
    </row>
    <row r="1178" spans="2:4" x14ac:dyDescent="0.25">
      <c r="B1178" s="89">
        <v>1174</v>
      </c>
      <c r="C1178" s="39">
        <f t="shared" si="37"/>
        <v>157992929.59999999</v>
      </c>
      <c r="D1178" s="39">
        <f t="shared" si="36"/>
        <v>38773698</v>
      </c>
    </row>
    <row r="1179" spans="2:4" x14ac:dyDescent="0.25">
      <c r="B1179" s="89">
        <v>1175</v>
      </c>
      <c r="C1179" s="39">
        <f t="shared" si="37"/>
        <v>157992929.59999999</v>
      </c>
      <c r="D1179" s="39">
        <f t="shared" si="36"/>
        <v>38806725</v>
      </c>
    </row>
    <row r="1180" spans="2:4" x14ac:dyDescent="0.25">
      <c r="B1180" s="89">
        <v>1176</v>
      </c>
      <c r="C1180" s="39">
        <f t="shared" si="37"/>
        <v>157992929.59999999</v>
      </c>
      <c r="D1180" s="39">
        <f t="shared" si="36"/>
        <v>38839752</v>
      </c>
    </row>
    <row r="1181" spans="2:4" x14ac:dyDescent="0.25">
      <c r="B1181" s="89">
        <v>1177</v>
      </c>
      <c r="C1181" s="39">
        <f t="shared" si="37"/>
        <v>157992929.59999999</v>
      </c>
      <c r="D1181" s="39">
        <f t="shared" si="36"/>
        <v>38872779</v>
      </c>
    </row>
    <row r="1182" spans="2:4" x14ac:dyDescent="0.25">
      <c r="B1182" s="89">
        <v>1178</v>
      </c>
      <c r="C1182" s="39">
        <f t="shared" si="37"/>
        <v>157992929.59999999</v>
      </c>
      <c r="D1182" s="39">
        <f t="shared" si="36"/>
        <v>38905806</v>
      </c>
    </row>
    <row r="1183" spans="2:4" x14ac:dyDescent="0.25">
      <c r="B1183" s="89">
        <v>1179</v>
      </c>
      <c r="C1183" s="39">
        <f t="shared" si="37"/>
        <v>157992929.59999999</v>
      </c>
      <c r="D1183" s="39">
        <f t="shared" si="36"/>
        <v>38938833</v>
      </c>
    </row>
    <row r="1184" spans="2:4" x14ac:dyDescent="0.25">
      <c r="B1184" s="89">
        <v>1180</v>
      </c>
      <c r="C1184" s="39">
        <f t="shared" si="37"/>
        <v>157992929.59999999</v>
      </c>
      <c r="D1184" s="39">
        <f t="shared" si="36"/>
        <v>38971860</v>
      </c>
    </row>
    <row r="1185" spans="2:4" x14ac:dyDescent="0.25">
      <c r="B1185" s="89">
        <v>1181</v>
      </c>
      <c r="C1185" s="39">
        <f t="shared" si="37"/>
        <v>157992929.59999999</v>
      </c>
      <c r="D1185" s="39">
        <f t="shared" si="36"/>
        <v>39004887</v>
      </c>
    </row>
    <row r="1186" spans="2:4" x14ac:dyDescent="0.25">
      <c r="B1186" s="89">
        <v>1182</v>
      </c>
      <c r="C1186" s="39">
        <f t="shared" si="37"/>
        <v>157992929.59999999</v>
      </c>
      <c r="D1186" s="39">
        <f t="shared" si="36"/>
        <v>39037914</v>
      </c>
    </row>
    <row r="1187" spans="2:4" x14ac:dyDescent="0.25">
      <c r="B1187" s="89">
        <v>1183</v>
      </c>
      <c r="C1187" s="39">
        <f t="shared" si="37"/>
        <v>157992929.59999999</v>
      </c>
      <c r="D1187" s="39">
        <f t="shared" si="36"/>
        <v>39070941</v>
      </c>
    </row>
    <row r="1188" spans="2:4" x14ac:dyDescent="0.25">
      <c r="B1188" s="89">
        <v>1184</v>
      </c>
      <c r="C1188" s="39">
        <f t="shared" si="37"/>
        <v>157992929.59999999</v>
      </c>
      <c r="D1188" s="39">
        <f t="shared" si="36"/>
        <v>39103968</v>
      </c>
    </row>
    <row r="1189" spans="2:4" x14ac:dyDescent="0.25">
      <c r="B1189" s="89">
        <v>1185</v>
      </c>
      <c r="C1189" s="39">
        <f t="shared" si="37"/>
        <v>157992929.59999999</v>
      </c>
      <c r="D1189" s="39">
        <f t="shared" si="36"/>
        <v>39136995</v>
      </c>
    </row>
    <row r="1190" spans="2:4" x14ac:dyDescent="0.25">
      <c r="B1190" s="89">
        <v>1186</v>
      </c>
      <c r="C1190" s="39">
        <f t="shared" si="37"/>
        <v>157992929.59999999</v>
      </c>
      <c r="D1190" s="39">
        <f t="shared" si="36"/>
        <v>39170022</v>
      </c>
    </row>
    <row r="1191" spans="2:4" x14ac:dyDescent="0.25">
      <c r="B1191" s="89">
        <v>1187</v>
      </c>
      <c r="C1191" s="39">
        <f t="shared" si="37"/>
        <v>157992929.59999999</v>
      </c>
      <c r="D1191" s="39">
        <f t="shared" si="36"/>
        <v>39203049</v>
      </c>
    </row>
    <row r="1192" spans="2:4" x14ac:dyDescent="0.25">
      <c r="B1192" s="89">
        <v>1188</v>
      </c>
      <c r="C1192" s="39">
        <f t="shared" si="37"/>
        <v>157992929.59999999</v>
      </c>
      <c r="D1192" s="39">
        <f t="shared" si="36"/>
        <v>39236076</v>
      </c>
    </row>
    <row r="1193" spans="2:4" x14ac:dyDescent="0.25">
      <c r="B1193" s="89">
        <v>1189</v>
      </c>
      <c r="C1193" s="39">
        <f t="shared" si="37"/>
        <v>157992929.59999999</v>
      </c>
      <c r="D1193" s="39">
        <f t="shared" si="36"/>
        <v>39269103</v>
      </c>
    </row>
    <row r="1194" spans="2:4" x14ac:dyDescent="0.25">
      <c r="B1194" s="89">
        <v>1190</v>
      </c>
      <c r="C1194" s="39">
        <f t="shared" si="37"/>
        <v>157992929.59999999</v>
      </c>
      <c r="D1194" s="39">
        <f t="shared" si="36"/>
        <v>39302130</v>
      </c>
    </row>
    <row r="1195" spans="2:4" x14ac:dyDescent="0.25">
      <c r="B1195" s="89">
        <v>1191</v>
      </c>
      <c r="C1195" s="39">
        <f t="shared" si="37"/>
        <v>157992929.59999999</v>
      </c>
      <c r="D1195" s="39">
        <f t="shared" si="36"/>
        <v>39335157</v>
      </c>
    </row>
    <row r="1196" spans="2:4" x14ac:dyDescent="0.25">
      <c r="B1196" s="89">
        <v>1192</v>
      </c>
      <c r="C1196" s="39">
        <f t="shared" si="37"/>
        <v>157992929.59999999</v>
      </c>
      <c r="D1196" s="39">
        <f t="shared" si="36"/>
        <v>39368184</v>
      </c>
    </row>
    <row r="1197" spans="2:4" x14ac:dyDescent="0.25">
      <c r="B1197" s="89">
        <v>1193</v>
      </c>
      <c r="C1197" s="39">
        <f t="shared" si="37"/>
        <v>157992929.59999999</v>
      </c>
      <c r="D1197" s="39">
        <f t="shared" si="36"/>
        <v>39401211</v>
      </c>
    </row>
    <row r="1198" spans="2:4" x14ac:dyDescent="0.25">
      <c r="B1198" s="89">
        <v>1194</v>
      </c>
      <c r="C1198" s="39">
        <f t="shared" si="37"/>
        <v>157992929.59999999</v>
      </c>
      <c r="D1198" s="39">
        <f t="shared" si="36"/>
        <v>39434238</v>
      </c>
    </row>
    <row r="1199" spans="2:4" x14ac:dyDescent="0.25">
      <c r="B1199" s="89">
        <v>1195</v>
      </c>
      <c r="C1199" s="39">
        <f t="shared" si="37"/>
        <v>157992929.59999999</v>
      </c>
      <c r="D1199" s="39">
        <f t="shared" si="36"/>
        <v>39467265</v>
      </c>
    </row>
    <row r="1200" spans="2:4" x14ac:dyDescent="0.25">
      <c r="B1200" s="89">
        <v>1196</v>
      </c>
      <c r="C1200" s="39">
        <f t="shared" si="37"/>
        <v>157992929.59999999</v>
      </c>
      <c r="D1200" s="39">
        <f t="shared" si="36"/>
        <v>39500292</v>
      </c>
    </row>
    <row r="1201" spans="2:4" x14ac:dyDescent="0.25">
      <c r="B1201" s="89">
        <v>1197</v>
      </c>
      <c r="C1201" s="39">
        <f t="shared" si="37"/>
        <v>157992929.59999999</v>
      </c>
      <c r="D1201" s="39">
        <f t="shared" ref="D1201:D1264" si="38">$D$2*B1201</f>
        <v>39533319</v>
      </c>
    </row>
    <row r="1202" spans="2:4" x14ac:dyDescent="0.25">
      <c r="B1202" s="89">
        <v>1198</v>
      </c>
      <c r="C1202" s="39">
        <f t="shared" si="37"/>
        <v>157992929.59999999</v>
      </c>
      <c r="D1202" s="39">
        <f t="shared" si="38"/>
        <v>39566346</v>
      </c>
    </row>
    <row r="1203" spans="2:4" x14ac:dyDescent="0.25">
      <c r="B1203" s="89">
        <v>1199</v>
      </c>
      <c r="C1203" s="39">
        <f t="shared" si="37"/>
        <v>157992929.59999999</v>
      </c>
      <c r="D1203" s="39">
        <f t="shared" si="38"/>
        <v>39599373</v>
      </c>
    </row>
    <row r="1204" spans="2:4" x14ac:dyDescent="0.25">
      <c r="B1204" s="89">
        <v>1200</v>
      </c>
      <c r="C1204" s="39">
        <f t="shared" si="37"/>
        <v>157992929.59999999</v>
      </c>
      <c r="D1204" s="39">
        <f t="shared" si="38"/>
        <v>39632400</v>
      </c>
    </row>
    <row r="1205" spans="2:4" x14ac:dyDescent="0.25">
      <c r="B1205" s="89">
        <v>1201</v>
      </c>
      <c r="C1205" s="39">
        <f t="shared" si="37"/>
        <v>157992929.59999999</v>
      </c>
      <c r="D1205" s="39">
        <f t="shared" si="38"/>
        <v>39665427</v>
      </c>
    </row>
    <row r="1206" spans="2:4" x14ac:dyDescent="0.25">
      <c r="B1206" s="89">
        <v>1202</v>
      </c>
      <c r="C1206" s="39">
        <f t="shared" si="37"/>
        <v>157992929.59999999</v>
      </c>
      <c r="D1206" s="39">
        <f t="shared" si="38"/>
        <v>39698454</v>
      </c>
    </row>
    <row r="1207" spans="2:4" x14ac:dyDescent="0.25">
      <c r="B1207" s="89">
        <v>1203</v>
      </c>
      <c r="C1207" s="39">
        <f t="shared" si="37"/>
        <v>157992929.59999999</v>
      </c>
      <c r="D1207" s="39">
        <f t="shared" si="38"/>
        <v>39731481</v>
      </c>
    </row>
    <row r="1208" spans="2:4" x14ac:dyDescent="0.25">
      <c r="B1208" s="89">
        <v>1204</v>
      </c>
      <c r="C1208" s="39">
        <f t="shared" si="37"/>
        <v>157992929.59999999</v>
      </c>
      <c r="D1208" s="39">
        <f t="shared" si="38"/>
        <v>39764508</v>
      </c>
    </row>
    <row r="1209" spans="2:4" x14ac:dyDescent="0.25">
      <c r="B1209" s="89">
        <v>1205</v>
      </c>
      <c r="C1209" s="39">
        <f t="shared" si="37"/>
        <v>157992929.59999999</v>
      </c>
      <c r="D1209" s="39">
        <f t="shared" si="38"/>
        <v>39797535</v>
      </c>
    </row>
    <row r="1210" spans="2:4" x14ac:dyDescent="0.25">
      <c r="B1210" s="89">
        <v>1206</v>
      </c>
      <c r="C1210" s="39">
        <f t="shared" si="37"/>
        <v>157992929.59999999</v>
      </c>
      <c r="D1210" s="39">
        <f t="shared" si="38"/>
        <v>39830562</v>
      </c>
    </row>
    <row r="1211" spans="2:4" x14ac:dyDescent="0.25">
      <c r="B1211" s="89">
        <v>1207</v>
      </c>
      <c r="C1211" s="39">
        <f t="shared" si="37"/>
        <v>157992929.59999999</v>
      </c>
      <c r="D1211" s="39">
        <f t="shared" si="38"/>
        <v>39863589</v>
      </c>
    </row>
    <row r="1212" spans="2:4" x14ac:dyDescent="0.25">
      <c r="B1212" s="89">
        <v>1208</v>
      </c>
      <c r="C1212" s="39">
        <f t="shared" si="37"/>
        <v>157992929.59999999</v>
      </c>
      <c r="D1212" s="39">
        <f t="shared" si="38"/>
        <v>39896616</v>
      </c>
    </row>
    <row r="1213" spans="2:4" x14ac:dyDescent="0.25">
      <c r="B1213" s="89">
        <v>1209</v>
      </c>
      <c r="C1213" s="39">
        <f t="shared" si="37"/>
        <v>157992929.59999999</v>
      </c>
      <c r="D1213" s="39">
        <f t="shared" si="38"/>
        <v>39929643</v>
      </c>
    </row>
    <row r="1214" spans="2:4" x14ac:dyDescent="0.25">
      <c r="B1214" s="89">
        <v>1210</v>
      </c>
      <c r="C1214" s="39">
        <f t="shared" si="37"/>
        <v>157992929.59999999</v>
      </c>
      <c r="D1214" s="39">
        <f t="shared" si="38"/>
        <v>39962670</v>
      </c>
    </row>
    <row r="1215" spans="2:4" x14ac:dyDescent="0.25">
      <c r="B1215" s="89">
        <v>1211</v>
      </c>
      <c r="C1215" s="39">
        <f t="shared" si="37"/>
        <v>157992929.59999999</v>
      </c>
      <c r="D1215" s="39">
        <f t="shared" si="38"/>
        <v>39995697</v>
      </c>
    </row>
    <row r="1216" spans="2:4" x14ac:dyDescent="0.25">
      <c r="B1216" s="89">
        <v>1212</v>
      </c>
      <c r="C1216" s="39">
        <f t="shared" si="37"/>
        <v>157992929.59999999</v>
      </c>
      <c r="D1216" s="39">
        <f t="shared" si="38"/>
        <v>40028724</v>
      </c>
    </row>
    <row r="1217" spans="2:4" x14ac:dyDescent="0.25">
      <c r="B1217" s="89">
        <v>1213</v>
      </c>
      <c r="C1217" s="39">
        <f t="shared" si="37"/>
        <v>157992929.59999999</v>
      </c>
      <c r="D1217" s="39">
        <f t="shared" si="38"/>
        <v>40061751</v>
      </c>
    </row>
    <row r="1218" spans="2:4" x14ac:dyDescent="0.25">
      <c r="B1218" s="89">
        <v>1214</v>
      </c>
      <c r="C1218" s="39">
        <f t="shared" si="37"/>
        <v>157992929.59999999</v>
      </c>
      <c r="D1218" s="39">
        <f t="shared" si="38"/>
        <v>40094778</v>
      </c>
    </row>
    <row r="1219" spans="2:4" x14ac:dyDescent="0.25">
      <c r="B1219" s="89">
        <v>1215</v>
      </c>
      <c r="C1219" s="39">
        <f t="shared" si="37"/>
        <v>157992929.59999999</v>
      </c>
      <c r="D1219" s="39">
        <f t="shared" si="38"/>
        <v>40127805</v>
      </c>
    </row>
    <row r="1220" spans="2:4" x14ac:dyDescent="0.25">
      <c r="B1220" s="89">
        <v>1216</v>
      </c>
      <c r="C1220" s="39">
        <f t="shared" si="37"/>
        <v>157992929.59999999</v>
      </c>
      <c r="D1220" s="39">
        <f t="shared" si="38"/>
        <v>40160832</v>
      </c>
    </row>
    <row r="1221" spans="2:4" x14ac:dyDescent="0.25">
      <c r="B1221" s="89">
        <v>1217</v>
      </c>
      <c r="C1221" s="39">
        <f t="shared" si="37"/>
        <v>157992929.59999999</v>
      </c>
      <c r="D1221" s="39">
        <f t="shared" si="38"/>
        <v>40193859</v>
      </c>
    </row>
    <row r="1222" spans="2:4" x14ac:dyDescent="0.25">
      <c r="B1222" s="89">
        <v>1218</v>
      </c>
      <c r="C1222" s="39">
        <f t="shared" ref="C1222:C1285" si="39">$C1221</f>
        <v>157992929.59999999</v>
      </c>
      <c r="D1222" s="39">
        <f t="shared" si="38"/>
        <v>40226886</v>
      </c>
    </row>
    <row r="1223" spans="2:4" x14ac:dyDescent="0.25">
      <c r="B1223" s="89">
        <v>1219</v>
      </c>
      <c r="C1223" s="39">
        <f t="shared" si="39"/>
        <v>157992929.59999999</v>
      </c>
      <c r="D1223" s="39">
        <f t="shared" si="38"/>
        <v>40259913</v>
      </c>
    </row>
    <row r="1224" spans="2:4" x14ac:dyDescent="0.25">
      <c r="B1224" s="89">
        <v>1220</v>
      </c>
      <c r="C1224" s="39">
        <f t="shared" si="39"/>
        <v>157992929.59999999</v>
      </c>
      <c r="D1224" s="39">
        <f t="shared" si="38"/>
        <v>40292940</v>
      </c>
    </row>
    <row r="1225" spans="2:4" x14ac:dyDescent="0.25">
      <c r="B1225" s="89">
        <v>1221</v>
      </c>
      <c r="C1225" s="39">
        <f t="shared" si="39"/>
        <v>157992929.59999999</v>
      </c>
      <c r="D1225" s="39">
        <f t="shared" si="38"/>
        <v>40325967</v>
      </c>
    </row>
    <row r="1226" spans="2:4" x14ac:dyDescent="0.25">
      <c r="B1226" s="89">
        <v>1222</v>
      </c>
      <c r="C1226" s="39">
        <f t="shared" si="39"/>
        <v>157992929.59999999</v>
      </c>
      <c r="D1226" s="39">
        <f t="shared" si="38"/>
        <v>40358994</v>
      </c>
    </row>
    <row r="1227" spans="2:4" x14ac:dyDescent="0.25">
      <c r="B1227" s="89">
        <v>1223</v>
      </c>
      <c r="C1227" s="39">
        <f t="shared" si="39"/>
        <v>157992929.59999999</v>
      </c>
      <c r="D1227" s="39">
        <f t="shared" si="38"/>
        <v>40392021</v>
      </c>
    </row>
    <row r="1228" spans="2:4" x14ac:dyDescent="0.25">
      <c r="B1228" s="89">
        <v>1224</v>
      </c>
      <c r="C1228" s="39">
        <f t="shared" si="39"/>
        <v>157992929.59999999</v>
      </c>
      <c r="D1228" s="39">
        <f t="shared" si="38"/>
        <v>40425048</v>
      </c>
    </row>
    <row r="1229" spans="2:4" x14ac:dyDescent="0.25">
      <c r="B1229" s="89">
        <v>1225</v>
      </c>
      <c r="C1229" s="39">
        <f t="shared" si="39"/>
        <v>157992929.59999999</v>
      </c>
      <c r="D1229" s="39">
        <f t="shared" si="38"/>
        <v>40458075</v>
      </c>
    </row>
    <row r="1230" spans="2:4" x14ac:dyDescent="0.25">
      <c r="B1230" s="89">
        <v>1226</v>
      </c>
      <c r="C1230" s="39">
        <f t="shared" si="39"/>
        <v>157992929.59999999</v>
      </c>
      <c r="D1230" s="39">
        <f t="shared" si="38"/>
        <v>40491102</v>
      </c>
    </row>
    <row r="1231" spans="2:4" x14ac:dyDescent="0.25">
      <c r="B1231" s="89">
        <v>1227</v>
      </c>
      <c r="C1231" s="39">
        <f t="shared" si="39"/>
        <v>157992929.59999999</v>
      </c>
      <c r="D1231" s="39">
        <f t="shared" si="38"/>
        <v>40524129</v>
      </c>
    </row>
    <row r="1232" spans="2:4" x14ac:dyDescent="0.25">
      <c r="B1232" s="89">
        <v>1228</v>
      </c>
      <c r="C1232" s="39">
        <f t="shared" si="39"/>
        <v>157992929.59999999</v>
      </c>
      <c r="D1232" s="39">
        <f t="shared" si="38"/>
        <v>40557156</v>
      </c>
    </row>
    <row r="1233" spans="2:4" x14ac:dyDescent="0.25">
      <c r="B1233" s="89">
        <v>1229</v>
      </c>
      <c r="C1233" s="39">
        <f t="shared" si="39"/>
        <v>157992929.59999999</v>
      </c>
      <c r="D1233" s="39">
        <f t="shared" si="38"/>
        <v>40590183</v>
      </c>
    </row>
    <row r="1234" spans="2:4" x14ac:dyDescent="0.25">
      <c r="B1234" s="89">
        <v>1230</v>
      </c>
      <c r="C1234" s="39">
        <f t="shared" si="39"/>
        <v>157992929.59999999</v>
      </c>
      <c r="D1234" s="39">
        <f t="shared" si="38"/>
        <v>40623210</v>
      </c>
    </row>
    <row r="1235" spans="2:4" x14ac:dyDescent="0.25">
      <c r="B1235" s="89">
        <v>1231</v>
      </c>
      <c r="C1235" s="39">
        <f t="shared" si="39"/>
        <v>157992929.59999999</v>
      </c>
      <c r="D1235" s="39">
        <f t="shared" si="38"/>
        <v>40656237</v>
      </c>
    </row>
    <row r="1236" spans="2:4" x14ac:dyDescent="0.25">
      <c r="B1236" s="89">
        <v>1232</v>
      </c>
      <c r="C1236" s="39">
        <f t="shared" si="39"/>
        <v>157992929.59999999</v>
      </c>
      <c r="D1236" s="39">
        <f t="shared" si="38"/>
        <v>40689264</v>
      </c>
    </row>
    <row r="1237" spans="2:4" x14ac:dyDescent="0.25">
      <c r="B1237" s="89">
        <v>1233</v>
      </c>
      <c r="C1237" s="39">
        <f t="shared" si="39"/>
        <v>157992929.59999999</v>
      </c>
      <c r="D1237" s="39">
        <f t="shared" si="38"/>
        <v>40722291</v>
      </c>
    </row>
    <row r="1238" spans="2:4" x14ac:dyDescent="0.25">
      <c r="B1238" s="89">
        <v>1234</v>
      </c>
      <c r="C1238" s="39">
        <f t="shared" si="39"/>
        <v>157992929.59999999</v>
      </c>
      <c r="D1238" s="39">
        <f t="shared" si="38"/>
        <v>40755318</v>
      </c>
    </row>
    <row r="1239" spans="2:4" x14ac:dyDescent="0.25">
      <c r="B1239" s="89">
        <v>1235</v>
      </c>
      <c r="C1239" s="39">
        <f t="shared" si="39"/>
        <v>157992929.59999999</v>
      </c>
      <c r="D1239" s="39">
        <f t="shared" si="38"/>
        <v>40788345</v>
      </c>
    </row>
    <row r="1240" spans="2:4" x14ac:dyDescent="0.25">
      <c r="B1240" s="89">
        <v>1236</v>
      </c>
      <c r="C1240" s="39">
        <f t="shared" si="39"/>
        <v>157992929.59999999</v>
      </c>
      <c r="D1240" s="39">
        <f t="shared" si="38"/>
        <v>40821372</v>
      </c>
    </row>
    <row r="1241" spans="2:4" x14ac:dyDescent="0.25">
      <c r="B1241" s="89">
        <v>1237</v>
      </c>
      <c r="C1241" s="39">
        <f t="shared" si="39"/>
        <v>157992929.59999999</v>
      </c>
      <c r="D1241" s="39">
        <f t="shared" si="38"/>
        <v>40854399</v>
      </c>
    </row>
    <row r="1242" spans="2:4" x14ac:dyDescent="0.25">
      <c r="B1242" s="89">
        <v>1238</v>
      </c>
      <c r="C1242" s="39">
        <f t="shared" si="39"/>
        <v>157992929.59999999</v>
      </c>
      <c r="D1242" s="39">
        <f t="shared" si="38"/>
        <v>40887426</v>
      </c>
    </row>
    <row r="1243" spans="2:4" x14ac:dyDescent="0.25">
      <c r="B1243" s="89">
        <v>1239</v>
      </c>
      <c r="C1243" s="39">
        <f t="shared" si="39"/>
        <v>157992929.59999999</v>
      </c>
      <c r="D1243" s="39">
        <f t="shared" si="38"/>
        <v>40920453</v>
      </c>
    </row>
    <row r="1244" spans="2:4" x14ac:dyDescent="0.25">
      <c r="B1244" s="89">
        <v>1240</v>
      </c>
      <c r="C1244" s="39">
        <f t="shared" si="39"/>
        <v>157992929.59999999</v>
      </c>
      <c r="D1244" s="39">
        <f t="shared" si="38"/>
        <v>40953480</v>
      </c>
    </row>
    <row r="1245" spans="2:4" x14ac:dyDescent="0.25">
      <c r="B1245" s="89">
        <v>1241</v>
      </c>
      <c r="C1245" s="39">
        <f t="shared" si="39"/>
        <v>157992929.59999999</v>
      </c>
      <c r="D1245" s="39">
        <f t="shared" si="38"/>
        <v>40986507</v>
      </c>
    </row>
    <row r="1246" spans="2:4" x14ac:dyDescent="0.25">
      <c r="B1246" s="89">
        <v>1242</v>
      </c>
      <c r="C1246" s="39">
        <f t="shared" si="39"/>
        <v>157992929.59999999</v>
      </c>
      <c r="D1246" s="39">
        <f t="shared" si="38"/>
        <v>41019534</v>
      </c>
    </row>
    <row r="1247" spans="2:4" x14ac:dyDescent="0.25">
      <c r="B1247" s="89">
        <v>1243</v>
      </c>
      <c r="C1247" s="39">
        <f t="shared" si="39"/>
        <v>157992929.59999999</v>
      </c>
      <c r="D1247" s="39">
        <f t="shared" si="38"/>
        <v>41052561</v>
      </c>
    </row>
    <row r="1248" spans="2:4" x14ac:dyDescent="0.25">
      <c r="B1248" s="89">
        <v>1244</v>
      </c>
      <c r="C1248" s="39">
        <f t="shared" si="39"/>
        <v>157992929.59999999</v>
      </c>
      <c r="D1248" s="39">
        <f t="shared" si="38"/>
        <v>41085588</v>
      </c>
    </row>
    <row r="1249" spans="2:4" x14ac:dyDescent="0.25">
      <c r="B1249" s="89">
        <v>1245</v>
      </c>
      <c r="C1249" s="39">
        <f t="shared" si="39"/>
        <v>157992929.59999999</v>
      </c>
      <c r="D1249" s="39">
        <f t="shared" si="38"/>
        <v>41118615</v>
      </c>
    </row>
    <row r="1250" spans="2:4" x14ac:dyDescent="0.25">
      <c r="B1250" s="89">
        <v>1246</v>
      </c>
      <c r="C1250" s="39">
        <f t="shared" si="39"/>
        <v>157992929.59999999</v>
      </c>
      <c r="D1250" s="39">
        <f t="shared" si="38"/>
        <v>41151642</v>
      </c>
    </row>
    <row r="1251" spans="2:4" x14ac:dyDescent="0.25">
      <c r="B1251" s="89">
        <v>1247</v>
      </c>
      <c r="C1251" s="39">
        <f t="shared" si="39"/>
        <v>157992929.59999999</v>
      </c>
      <c r="D1251" s="39">
        <f t="shared" si="38"/>
        <v>41184669</v>
      </c>
    </row>
    <row r="1252" spans="2:4" x14ac:dyDescent="0.25">
      <c r="B1252" s="89">
        <v>1248</v>
      </c>
      <c r="C1252" s="39">
        <f t="shared" si="39"/>
        <v>157992929.59999999</v>
      </c>
      <c r="D1252" s="39">
        <f t="shared" si="38"/>
        <v>41217696</v>
      </c>
    </row>
    <row r="1253" spans="2:4" x14ac:dyDescent="0.25">
      <c r="B1253" s="89">
        <v>1249</v>
      </c>
      <c r="C1253" s="39">
        <f t="shared" si="39"/>
        <v>157992929.59999999</v>
      </c>
      <c r="D1253" s="39">
        <f t="shared" si="38"/>
        <v>41250723</v>
      </c>
    </row>
    <row r="1254" spans="2:4" x14ac:dyDescent="0.25">
      <c r="B1254" s="89">
        <v>1250</v>
      </c>
      <c r="C1254" s="39">
        <f t="shared" si="39"/>
        <v>157992929.59999999</v>
      </c>
      <c r="D1254" s="39">
        <f t="shared" si="38"/>
        <v>41283750</v>
      </c>
    </row>
    <row r="1255" spans="2:4" x14ac:dyDescent="0.25">
      <c r="B1255" s="89">
        <v>1251</v>
      </c>
      <c r="C1255" s="39">
        <f t="shared" si="39"/>
        <v>157992929.59999999</v>
      </c>
      <c r="D1255" s="39">
        <f t="shared" si="38"/>
        <v>41316777</v>
      </c>
    </row>
    <row r="1256" spans="2:4" x14ac:dyDescent="0.25">
      <c r="B1256" s="89">
        <v>1252</v>
      </c>
      <c r="C1256" s="39">
        <f t="shared" si="39"/>
        <v>157992929.59999999</v>
      </c>
      <c r="D1256" s="39">
        <f t="shared" si="38"/>
        <v>41349804</v>
      </c>
    </row>
    <row r="1257" spans="2:4" x14ac:dyDescent="0.25">
      <c r="B1257" s="89">
        <v>1253</v>
      </c>
      <c r="C1257" s="39">
        <f t="shared" si="39"/>
        <v>157992929.59999999</v>
      </c>
      <c r="D1257" s="39">
        <f t="shared" si="38"/>
        <v>41382831</v>
      </c>
    </row>
    <row r="1258" spans="2:4" x14ac:dyDescent="0.25">
      <c r="B1258" s="89">
        <v>1254</v>
      </c>
      <c r="C1258" s="39">
        <f t="shared" si="39"/>
        <v>157992929.59999999</v>
      </c>
      <c r="D1258" s="39">
        <f t="shared" si="38"/>
        <v>41415858</v>
      </c>
    </row>
    <row r="1259" spans="2:4" x14ac:dyDescent="0.25">
      <c r="B1259" s="89">
        <v>1255</v>
      </c>
      <c r="C1259" s="39">
        <f t="shared" si="39"/>
        <v>157992929.59999999</v>
      </c>
      <c r="D1259" s="39">
        <f t="shared" si="38"/>
        <v>41448885</v>
      </c>
    </row>
    <row r="1260" spans="2:4" x14ac:dyDescent="0.25">
      <c r="B1260" s="89">
        <v>1256</v>
      </c>
      <c r="C1260" s="39">
        <f t="shared" si="39"/>
        <v>157992929.59999999</v>
      </c>
      <c r="D1260" s="39">
        <f t="shared" si="38"/>
        <v>41481912</v>
      </c>
    </row>
    <row r="1261" spans="2:4" x14ac:dyDescent="0.25">
      <c r="B1261" s="89">
        <v>1257</v>
      </c>
      <c r="C1261" s="39">
        <f t="shared" si="39"/>
        <v>157992929.59999999</v>
      </c>
      <c r="D1261" s="39">
        <f t="shared" si="38"/>
        <v>41514939</v>
      </c>
    </row>
    <row r="1262" spans="2:4" x14ac:dyDescent="0.25">
      <c r="B1262" s="89">
        <v>1258</v>
      </c>
      <c r="C1262" s="39">
        <f t="shared" si="39"/>
        <v>157992929.59999999</v>
      </c>
      <c r="D1262" s="39">
        <f t="shared" si="38"/>
        <v>41547966</v>
      </c>
    </row>
    <row r="1263" spans="2:4" x14ac:dyDescent="0.25">
      <c r="B1263" s="89">
        <v>1259</v>
      </c>
      <c r="C1263" s="39">
        <f t="shared" si="39"/>
        <v>157992929.59999999</v>
      </c>
      <c r="D1263" s="39">
        <f t="shared" si="38"/>
        <v>41580993</v>
      </c>
    </row>
    <row r="1264" spans="2:4" x14ac:dyDescent="0.25">
      <c r="B1264" s="89">
        <v>1260</v>
      </c>
      <c r="C1264" s="39">
        <f t="shared" si="39"/>
        <v>157992929.59999999</v>
      </c>
      <c r="D1264" s="39">
        <f t="shared" si="38"/>
        <v>41614020</v>
      </c>
    </row>
    <row r="1265" spans="2:4" x14ac:dyDescent="0.25">
      <c r="B1265" s="89">
        <v>1261</v>
      </c>
      <c r="C1265" s="39">
        <f t="shared" si="39"/>
        <v>157992929.59999999</v>
      </c>
      <c r="D1265" s="39">
        <f t="shared" ref="D1265:D1328" si="40">$D$2*B1265</f>
        <v>41647047</v>
      </c>
    </row>
    <row r="1266" spans="2:4" x14ac:dyDescent="0.25">
      <c r="B1266" s="89">
        <v>1262</v>
      </c>
      <c r="C1266" s="39">
        <f t="shared" si="39"/>
        <v>157992929.59999999</v>
      </c>
      <c r="D1266" s="39">
        <f t="shared" si="40"/>
        <v>41680074</v>
      </c>
    </row>
    <row r="1267" spans="2:4" x14ac:dyDescent="0.25">
      <c r="B1267" s="89">
        <v>1263</v>
      </c>
      <c r="C1267" s="39">
        <f t="shared" si="39"/>
        <v>157992929.59999999</v>
      </c>
      <c r="D1267" s="39">
        <f t="shared" si="40"/>
        <v>41713101</v>
      </c>
    </row>
    <row r="1268" spans="2:4" x14ac:dyDescent="0.25">
      <c r="B1268" s="89">
        <v>1264</v>
      </c>
      <c r="C1268" s="39">
        <f t="shared" si="39"/>
        <v>157992929.59999999</v>
      </c>
      <c r="D1268" s="39">
        <f t="shared" si="40"/>
        <v>41746128</v>
      </c>
    </row>
    <row r="1269" spans="2:4" x14ac:dyDescent="0.25">
      <c r="B1269" s="89">
        <v>1265</v>
      </c>
      <c r="C1269" s="39">
        <f t="shared" si="39"/>
        <v>157992929.59999999</v>
      </c>
      <c r="D1269" s="39">
        <f t="shared" si="40"/>
        <v>41779155</v>
      </c>
    </row>
    <row r="1270" spans="2:4" x14ac:dyDescent="0.25">
      <c r="B1270" s="89">
        <v>1266</v>
      </c>
      <c r="C1270" s="39">
        <f t="shared" si="39"/>
        <v>157992929.59999999</v>
      </c>
      <c r="D1270" s="39">
        <f t="shared" si="40"/>
        <v>41812182</v>
      </c>
    </row>
    <row r="1271" spans="2:4" x14ac:dyDescent="0.25">
      <c r="B1271" s="89">
        <v>1267</v>
      </c>
      <c r="C1271" s="39">
        <f t="shared" si="39"/>
        <v>157992929.59999999</v>
      </c>
      <c r="D1271" s="39">
        <f t="shared" si="40"/>
        <v>41845209</v>
      </c>
    </row>
    <row r="1272" spans="2:4" x14ac:dyDescent="0.25">
      <c r="B1272" s="89">
        <v>1268</v>
      </c>
      <c r="C1272" s="39">
        <f t="shared" si="39"/>
        <v>157992929.59999999</v>
      </c>
      <c r="D1272" s="39">
        <f t="shared" si="40"/>
        <v>41878236</v>
      </c>
    </row>
    <row r="1273" spans="2:4" x14ac:dyDescent="0.25">
      <c r="B1273" s="89">
        <v>1269</v>
      </c>
      <c r="C1273" s="39">
        <f t="shared" si="39"/>
        <v>157992929.59999999</v>
      </c>
      <c r="D1273" s="39">
        <f t="shared" si="40"/>
        <v>41911263</v>
      </c>
    </row>
    <row r="1274" spans="2:4" x14ac:dyDescent="0.25">
      <c r="B1274" s="89">
        <v>1270</v>
      </c>
      <c r="C1274" s="39">
        <f t="shared" si="39"/>
        <v>157992929.59999999</v>
      </c>
      <c r="D1274" s="39">
        <f t="shared" si="40"/>
        <v>41944290</v>
      </c>
    </row>
    <row r="1275" spans="2:4" x14ac:dyDescent="0.25">
      <c r="B1275" s="89">
        <v>1271</v>
      </c>
      <c r="C1275" s="39">
        <f t="shared" si="39"/>
        <v>157992929.59999999</v>
      </c>
      <c r="D1275" s="39">
        <f t="shared" si="40"/>
        <v>41977317</v>
      </c>
    </row>
    <row r="1276" spans="2:4" x14ac:dyDescent="0.25">
      <c r="B1276" s="89">
        <v>1272</v>
      </c>
      <c r="C1276" s="39">
        <f t="shared" si="39"/>
        <v>157992929.59999999</v>
      </c>
      <c r="D1276" s="39">
        <f t="shared" si="40"/>
        <v>42010344</v>
      </c>
    </row>
    <row r="1277" spans="2:4" x14ac:dyDescent="0.25">
      <c r="B1277" s="89">
        <v>1273</v>
      </c>
      <c r="C1277" s="39">
        <f t="shared" si="39"/>
        <v>157992929.59999999</v>
      </c>
      <c r="D1277" s="39">
        <f t="shared" si="40"/>
        <v>42043371</v>
      </c>
    </row>
    <row r="1278" spans="2:4" x14ac:dyDescent="0.25">
      <c r="B1278" s="89">
        <v>1274</v>
      </c>
      <c r="C1278" s="39">
        <f t="shared" si="39"/>
        <v>157992929.59999999</v>
      </c>
      <c r="D1278" s="39">
        <f t="shared" si="40"/>
        <v>42076398</v>
      </c>
    </row>
    <row r="1279" spans="2:4" x14ac:dyDescent="0.25">
      <c r="B1279" s="89">
        <v>1275</v>
      </c>
      <c r="C1279" s="39">
        <f t="shared" si="39"/>
        <v>157992929.59999999</v>
      </c>
      <c r="D1279" s="39">
        <f t="shared" si="40"/>
        <v>42109425</v>
      </c>
    </row>
    <row r="1280" spans="2:4" x14ac:dyDescent="0.25">
      <c r="B1280" s="89">
        <v>1276</v>
      </c>
      <c r="C1280" s="39">
        <f t="shared" si="39"/>
        <v>157992929.59999999</v>
      </c>
      <c r="D1280" s="39">
        <f t="shared" si="40"/>
        <v>42142452</v>
      </c>
    </row>
    <row r="1281" spans="2:4" x14ac:dyDescent="0.25">
      <c r="B1281" s="89">
        <v>1277</v>
      </c>
      <c r="C1281" s="39">
        <f t="shared" si="39"/>
        <v>157992929.59999999</v>
      </c>
      <c r="D1281" s="39">
        <f t="shared" si="40"/>
        <v>42175479</v>
      </c>
    </row>
    <row r="1282" spans="2:4" x14ac:dyDescent="0.25">
      <c r="B1282" s="89">
        <v>1278</v>
      </c>
      <c r="C1282" s="39">
        <f t="shared" si="39"/>
        <v>157992929.59999999</v>
      </c>
      <c r="D1282" s="39">
        <f t="shared" si="40"/>
        <v>42208506</v>
      </c>
    </row>
    <row r="1283" spans="2:4" x14ac:dyDescent="0.25">
      <c r="B1283" s="89">
        <v>1279</v>
      </c>
      <c r="C1283" s="39">
        <f t="shared" si="39"/>
        <v>157992929.59999999</v>
      </c>
      <c r="D1283" s="39">
        <f t="shared" si="40"/>
        <v>42241533</v>
      </c>
    </row>
    <row r="1284" spans="2:4" x14ac:dyDescent="0.25">
      <c r="B1284" s="89">
        <v>1280</v>
      </c>
      <c r="C1284" s="39">
        <f t="shared" si="39"/>
        <v>157992929.59999999</v>
      </c>
      <c r="D1284" s="39">
        <f t="shared" si="40"/>
        <v>42274560</v>
      </c>
    </row>
    <row r="1285" spans="2:4" x14ac:dyDescent="0.25">
      <c r="B1285" s="89">
        <v>1281</v>
      </c>
      <c r="C1285" s="39">
        <f t="shared" si="39"/>
        <v>157992929.59999999</v>
      </c>
      <c r="D1285" s="39">
        <f t="shared" si="40"/>
        <v>42307587</v>
      </c>
    </row>
    <row r="1286" spans="2:4" x14ac:dyDescent="0.25">
      <c r="B1286" s="89">
        <v>1282</v>
      </c>
      <c r="C1286" s="39">
        <f t="shared" ref="C1286:C1349" si="41">$C1285</f>
        <v>157992929.59999999</v>
      </c>
      <c r="D1286" s="39">
        <f t="shared" si="40"/>
        <v>42340614</v>
      </c>
    </row>
    <row r="1287" spans="2:4" x14ac:dyDescent="0.25">
      <c r="B1287" s="89">
        <v>1283</v>
      </c>
      <c r="C1287" s="39">
        <f t="shared" si="41"/>
        <v>157992929.59999999</v>
      </c>
      <c r="D1287" s="39">
        <f t="shared" si="40"/>
        <v>42373641</v>
      </c>
    </row>
    <row r="1288" spans="2:4" x14ac:dyDescent="0.25">
      <c r="B1288" s="89">
        <v>1284</v>
      </c>
      <c r="C1288" s="39">
        <f t="shared" si="41"/>
        <v>157992929.59999999</v>
      </c>
      <c r="D1288" s="39">
        <f t="shared" si="40"/>
        <v>42406668</v>
      </c>
    </row>
    <row r="1289" spans="2:4" x14ac:dyDescent="0.25">
      <c r="B1289" s="89">
        <v>1285</v>
      </c>
      <c r="C1289" s="39">
        <f t="shared" si="41"/>
        <v>157992929.59999999</v>
      </c>
      <c r="D1289" s="39">
        <f t="shared" si="40"/>
        <v>42439695</v>
      </c>
    </row>
    <row r="1290" spans="2:4" x14ac:dyDescent="0.25">
      <c r="B1290" s="89">
        <v>1286</v>
      </c>
      <c r="C1290" s="39">
        <f t="shared" si="41"/>
        <v>157992929.59999999</v>
      </c>
      <c r="D1290" s="39">
        <f t="shared" si="40"/>
        <v>42472722</v>
      </c>
    </row>
    <row r="1291" spans="2:4" x14ac:dyDescent="0.25">
      <c r="B1291" s="89">
        <v>1287</v>
      </c>
      <c r="C1291" s="39">
        <f t="shared" si="41"/>
        <v>157992929.59999999</v>
      </c>
      <c r="D1291" s="39">
        <f t="shared" si="40"/>
        <v>42505749</v>
      </c>
    </row>
    <row r="1292" spans="2:4" x14ac:dyDescent="0.25">
      <c r="B1292" s="89">
        <v>1288</v>
      </c>
      <c r="C1292" s="39">
        <f t="shared" si="41"/>
        <v>157992929.59999999</v>
      </c>
      <c r="D1292" s="39">
        <f t="shared" si="40"/>
        <v>42538776</v>
      </c>
    </row>
    <row r="1293" spans="2:4" x14ac:dyDescent="0.25">
      <c r="B1293" s="89">
        <v>1289</v>
      </c>
      <c r="C1293" s="39">
        <f t="shared" si="41"/>
        <v>157992929.59999999</v>
      </c>
      <c r="D1293" s="39">
        <f t="shared" si="40"/>
        <v>42571803</v>
      </c>
    </row>
    <row r="1294" spans="2:4" x14ac:dyDescent="0.25">
      <c r="B1294" s="89">
        <v>1290</v>
      </c>
      <c r="C1294" s="39">
        <f t="shared" si="41"/>
        <v>157992929.59999999</v>
      </c>
      <c r="D1294" s="39">
        <f t="shared" si="40"/>
        <v>42604830</v>
      </c>
    </row>
    <row r="1295" spans="2:4" x14ac:dyDescent="0.25">
      <c r="B1295" s="89">
        <v>1291</v>
      </c>
      <c r="C1295" s="39">
        <f t="shared" si="41"/>
        <v>157992929.59999999</v>
      </c>
      <c r="D1295" s="39">
        <f t="shared" si="40"/>
        <v>42637857</v>
      </c>
    </row>
    <row r="1296" spans="2:4" x14ac:dyDescent="0.25">
      <c r="B1296" s="89">
        <v>1292</v>
      </c>
      <c r="C1296" s="39">
        <f t="shared" si="41"/>
        <v>157992929.59999999</v>
      </c>
      <c r="D1296" s="39">
        <f t="shared" si="40"/>
        <v>42670884</v>
      </c>
    </row>
    <row r="1297" spans="2:4" x14ac:dyDescent="0.25">
      <c r="B1297" s="89">
        <v>1293</v>
      </c>
      <c r="C1297" s="39">
        <f t="shared" si="41"/>
        <v>157992929.59999999</v>
      </c>
      <c r="D1297" s="39">
        <f t="shared" si="40"/>
        <v>42703911</v>
      </c>
    </row>
    <row r="1298" spans="2:4" x14ac:dyDescent="0.25">
      <c r="B1298" s="89">
        <v>1294</v>
      </c>
      <c r="C1298" s="39">
        <f t="shared" si="41"/>
        <v>157992929.59999999</v>
      </c>
      <c r="D1298" s="39">
        <f t="shared" si="40"/>
        <v>42736938</v>
      </c>
    </row>
    <row r="1299" spans="2:4" x14ac:dyDescent="0.25">
      <c r="B1299" s="89">
        <v>1295</v>
      </c>
      <c r="C1299" s="39">
        <f t="shared" si="41"/>
        <v>157992929.59999999</v>
      </c>
      <c r="D1299" s="39">
        <f t="shared" si="40"/>
        <v>42769965</v>
      </c>
    </row>
    <row r="1300" spans="2:4" x14ac:dyDescent="0.25">
      <c r="B1300" s="89">
        <v>1296</v>
      </c>
      <c r="C1300" s="39">
        <f t="shared" si="41"/>
        <v>157992929.59999999</v>
      </c>
      <c r="D1300" s="39">
        <f t="shared" si="40"/>
        <v>42802992</v>
      </c>
    </row>
    <row r="1301" spans="2:4" x14ac:dyDescent="0.25">
      <c r="B1301" s="89">
        <v>1297</v>
      </c>
      <c r="C1301" s="39">
        <f t="shared" si="41"/>
        <v>157992929.59999999</v>
      </c>
      <c r="D1301" s="39">
        <f t="shared" si="40"/>
        <v>42836019</v>
      </c>
    </row>
    <row r="1302" spans="2:4" x14ac:dyDescent="0.25">
      <c r="B1302" s="89">
        <v>1298</v>
      </c>
      <c r="C1302" s="39">
        <f t="shared" si="41"/>
        <v>157992929.59999999</v>
      </c>
      <c r="D1302" s="39">
        <f t="shared" si="40"/>
        <v>42869046</v>
      </c>
    </row>
    <row r="1303" spans="2:4" x14ac:dyDescent="0.25">
      <c r="B1303" s="89">
        <v>1299</v>
      </c>
      <c r="C1303" s="39">
        <f t="shared" si="41"/>
        <v>157992929.59999999</v>
      </c>
      <c r="D1303" s="39">
        <f t="shared" si="40"/>
        <v>42902073</v>
      </c>
    </row>
    <row r="1304" spans="2:4" x14ac:dyDescent="0.25">
      <c r="B1304" s="89">
        <v>1300</v>
      </c>
      <c r="C1304" s="39">
        <f t="shared" si="41"/>
        <v>157992929.59999999</v>
      </c>
      <c r="D1304" s="39">
        <f t="shared" si="40"/>
        <v>42935100</v>
      </c>
    </row>
    <row r="1305" spans="2:4" x14ac:dyDescent="0.25">
      <c r="B1305" s="89">
        <v>1301</v>
      </c>
      <c r="C1305" s="39">
        <f t="shared" si="41"/>
        <v>157992929.59999999</v>
      </c>
      <c r="D1305" s="39">
        <f t="shared" si="40"/>
        <v>42968127</v>
      </c>
    </row>
    <row r="1306" spans="2:4" x14ac:dyDescent="0.25">
      <c r="B1306" s="89">
        <v>1302</v>
      </c>
      <c r="C1306" s="39">
        <f t="shared" si="41"/>
        <v>157992929.59999999</v>
      </c>
      <c r="D1306" s="39">
        <f t="shared" si="40"/>
        <v>43001154</v>
      </c>
    </row>
    <row r="1307" spans="2:4" x14ac:dyDescent="0.25">
      <c r="B1307" s="89">
        <v>1303</v>
      </c>
      <c r="C1307" s="39">
        <f t="shared" si="41"/>
        <v>157992929.59999999</v>
      </c>
      <c r="D1307" s="39">
        <f t="shared" si="40"/>
        <v>43034181</v>
      </c>
    </row>
    <row r="1308" spans="2:4" x14ac:dyDescent="0.25">
      <c r="B1308" s="89">
        <v>1304</v>
      </c>
      <c r="C1308" s="39">
        <f t="shared" si="41"/>
        <v>157992929.59999999</v>
      </c>
      <c r="D1308" s="39">
        <f t="shared" si="40"/>
        <v>43067208</v>
      </c>
    </row>
    <row r="1309" spans="2:4" x14ac:dyDescent="0.25">
      <c r="B1309" s="89">
        <v>1305</v>
      </c>
      <c r="C1309" s="39">
        <f t="shared" si="41"/>
        <v>157992929.59999999</v>
      </c>
      <c r="D1309" s="39">
        <f t="shared" si="40"/>
        <v>43100235</v>
      </c>
    </row>
    <row r="1310" spans="2:4" x14ac:dyDescent="0.25">
      <c r="B1310" s="89">
        <v>1306</v>
      </c>
      <c r="C1310" s="39">
        <f t="shared" si="41"/>
        <v>157992929.59999999</v>
      </c>
      <c r="D1310" s="39">
        <f t="shared" si="40"/>
        <v>43133262</v>
      </c>
    </row>
    <row r="1311" spans="2:4" x14ac:dyDescent="0.25">
      <c r="B1311" s="89">
        <v>1307</v>
      </c>
      <c r="C1311" s="39">
        <f t="shared" si="41"/>
        <v>157992929.59999999</v>
      </c>
      <c r="D1311" s="39">
        <f t="shared" si="40"/>
        <v>43166289</v>
      </c>
    </row>
    <row r="1312" spans="2:4" x14ac:dyDescent="0.25">
      <c r="B1312" s="89">
        <v>1308</v>
      </c>
      <c r="C1312" s="39">
        <f t="shared" si="41"/>
        <v>157992929.59999999</v>
      </c>
      <c r="D1312" s="39">
        <f t="shared" si="40"/>
        <v>43199316</v>
      </c>
    </row>
    <row r="1313" spans="2:4" x14ac:dyDescent="0.25">
      <c r="B1313" s="89">
        <v>1309</v>
      </c>
      <c r="C1313" s="39">
        <f t="shared" si="41"/>
        <v>157992929.59999999</v>
      </c>
      <c r="D1313" s="39">
        <f t="shared" si="40"/>
        <v>43232343</v>
      </c>
    </row>
    <row r="1314" spans="2:4" x14ac:dyDescent="0.25">
      <c r="B1314" s="89">
        <v>1310</v>
      </c>
      <c r="C1314" s="39">
        <f t="shared" si="41"/>
        <v>157992929.59999999</v>
      </c>
      <c r="D1314" s="39">
        <f t="shared" si="40"/>
        <v>43265370</v>
      </c>
    </row>
    <row r="1315" spans="2:4" x14ac:dyDescent="0.25">
      <c r="B1315" s="89">
        <v>1311</v>
      </c>
      <c r="C1315" s="39">
        <f t="shared" si="41"/>
        <v>157992929.59999999</v>
      </c>
      <c r="D1315" s="39">
        <f t="shared" si="40"/>
        <v>43298397</v>
      </c>
    </row>
    <row r="1316" spans="2:4" x14ac:dyDescent="0.25">
      <c r="B1316" s="89">
        <v>1312</v>
      </c>
      <c r="C1316" s="39">
        <f t="shared" si="41"/>
        <v>157992929.59999999</v>
      </c>
      <c r="D1316" s="39">
        <f t="shared" si="40"/>
        <v>43331424</v>
      </c>
    </row>
    <row r="1317" spans="2:4" x14ac:dyDescent="0.25">
      <c r="B1317" s="89">
        <v>1313</v>
      </c>
      <c r="C1317" s="39">
        <f t="shared" si="41"/>
        <v>157992929.59999999</v>
      </c>
      <c r="D1317" s="39">
        <f t="shared" si="40"/>
        <v>43364451</v>
      </c>
    </row>
    <row r="1318" spans="2:4" x14ac:dyDescent="0.25">
      <c r="B1318" s="89">
        <v>1314</v>
      </c>
      <c r="C1318" s="39">
        <f t="shared" si="41"/>
        <v>157992929.59999999</v>
      </c>
      <c r="D1318" s="39">
        <f t="shared" si="40"/>
        <v>43397478</v>
      </c>
    </row>
    <row r="1319" spans="2:4" x14ac:dyDescent="0.25">
      <c r="B1319" s="89">
        <v>1315</v>
      </c>
      <c r="C1319" s="39">
        <f t="shared" si="41"/>
        <v>157992929.59999999</v>
      </c>
      <c r="D1319" s="39">
        <f t="shared" si="40"/>
        <v>43430505</v>
      </c>
    </row>
    <row r="1320" spans="2:4" x14ac:dyDescent="0.25">
      <c r="B1320" s="89">
        <v>1316</v>
      </c>
      <c r="C1320" s="39">
        <f t="shared" si="41"/>
        <v>157992929.59999999</v>
      </c>
      <c r="D1320" s="39">
        <f t="shared" si="40"/>
        <v>43463532</v>
      </c>
    </row>
    <row r="1321" spans="2:4" x14ac:dyDescent="0.25">
      <c r="B1321" s="89">
        <v>1317</v>
      </c>
      <c r="C1321" s="39">
        <f t="shared" si="41"/>
        <v>157992929.59999999</v>
      </c>
      <c r="D1321" s="39">
        <f t="shared" si="40"/>
        <v>43496559</v>
      </c>
    </row>
    <row r="1322" spans="2:4" x14ac:dyDescent="0.25">
      <c r="B1322" s="89">
        <v>1318</v>
      </c>
      <c r="C1322" s="39">
        <f t="shared" si="41"/>
        <v>157992929.59999999</v>
      </c>
      <c r="D1322" s="39">
        <f t="shared" si="40"/>
        <v>43529586</v>
      </c>
    </row>
    <row r="1323" spans="2:4" x14ac:dyDescent="0.25">
      <c r="B1323" s="89">
        <v>1319</v>
      </c>
      <c r="C1323" s="39">
        <f t="shared" si="41"/>
        <v>157992929.59999999</v>
      </c>
      <c r="D1323" s="39">
        <f t="shared" si="40"/>
        <v>43562613</v>
      </c>
    </row>
    <row r="1324" spans="2:4" x14ac:dyDescent="0.25">
      <c r="B1324" s="89">
        <v>1320</v>
      </c>
      <c r="C1324" s="39">
        <f t="shared" si="41"/>
        <v>157992929.59999999</v>
      </c>
      <c r="D1324" s="39">
        <f t="shared" si="40"/>
        <v>43595640</v>
      </c>
    </row>
    <row r="1325" spans="2:4" x14ac:dyDescent="0.25">
      <c r="B1325" s="89">
        <v>1321</v>
      </c>
      <c r="C1325" s="39">
        <f t="shared" si="41"/>
        <v>157992929.59999999</v>
      </c>
      <c r="D1325" s="39">
        <f t="shared" si="40"/>
        <v>43628667</v>
      </c>
    </row>
    <row r="1326" spans="2:4" x14ac:dyDescent="0.25">
      <c r="B1326" s="89">
        <v>1322</v>
      </c>
      <c r="C1326" s="39">
        <f t="shared" si="41"/>
        <v>157992929.59999999</v>
      </c>
      <c r="D1326" s="39">
        <f t="shared" si="40"/>
        <v>43661694</v>
      </c>
    </row>
    <row r="1327" spans="2:4" x14ac:dyDescent="0.25">
      <c r="B1327" s="89">
        <v>1323</v>
      </c>
      <c r="C1327" s="39">
        <f t="shared" si="41"/>
        <v>157992929.59999999</v>
      </c>
      <c r="D1327" s="39">
        <f t="shared" si="40"/>
        <v>43694721</v>
      </c>
    </row>
    <row r="1328" spans="2:4" x14ac:dyDescent="0.25">
      <c r="B1328" s="89">
        <v>1324</v>
      </c>
      <c r="C1328" s="39">
        <f t="shared" si="41"/>
        <v>157992929.59999999</v>
      </c>
      <c r="D1328" s="39">
        <f t="shared" si="40"/>
        <v>43727748</v>
      </c>
    </row>
    <row r="1329" spans="2:4" x14ac:dyDescent="0.25">
      <c r="B1329" s="89">
        <v>1325</v>
      </c>
      <c r="C1329" s="39">
        <f t="shared" si="41"/>
        <v>157992929.59999999</v>
      </c>
      <c r="D1329" s="39">
        <f t="shared" ref="D1329:D1392" si="42">$D$2*B1329</f>
        <v>43760775</v>
      </c>
    </row>
    <row r="1330" spans="2:4" x14ac:dyDescent="0.25">
      <c r="B1330" s="89">
        <v>1326</v>
      </c>
      <c r="C1330" s="39">
        <f t="shared" si="41"/>
        <v>157992929.59999999</v>
      </c>
      <c r="D1330" s="39">
        <f t="shared" si="42"/>
        <v>43793802</v>
      </c>
    </row>
    <row r="1331" spans="2:4" x14ac:dyDescent="0.25">
      <c r="B1331" s="89">
        <v>1327</v>
      </c>
      <c r="C1331" s="39">
        <f t="shared" si="41"/>
        <v>157992929.59999999</v>
      </c>
      <c r="D1331" s="39">
        <f t="shared" si="42"/>
        <v>43826829</v>
      </c>
    </row>
    <row r="1332" spans="2:4" x14ac:dyDescent="0.25">
      <c r="B1332" s="89">
        <v>1328</v>
      </c>
      <c r="C1332" s="39">
        <f t="shared" si="41"/>
        <v>157992929.59999999</v>
      </c>
      <c r="D1332" s="39">
        <f t="shared" si="42"/>
        <v>43859856</v>
      </c>
    </row>
    <row r="1333" spans="2:4" x14ac:dyDescent="0.25">
      <c r="B1333" s="89">
        <v>1329</v>
      </c>
      <c r="C1333" s="39">
        <f t="shared" si="41"/>
        <v>157992929.59999999</v>
      </c>
      <c r="D1333" s="39">
        <f t="shared" si="42"/>
        <v>43892883</v>
      </c>
    </row>
    <row r="1334" spans="2:4" x14ac:dyDescent="0.25">
      <c r="B1334" s="89">
        <v>1330</v>
      </c>
      <c r="C1334" s="39">
        <f t="shared" si="41"/>
        <v>157992929.59999999</v>
      </c>
      <c r="D1334" s="39">
        <f t="shared" si="42"/>
        <v>43925910</v>
      </c>
    </row>
    <row r="1335" spans="2:4" x14ac:dyDescent="0.25">
      <c r="B1335" s="89">
        <v>1331</v>
      </c>
      <c r="C1335" s="39">
        <f t="shared" si="41"/>
        <v>157992929.59999999</v>
      </c>
      <c r="D1335" s="39">
        <f t="shared" si="42"/>
        <v>43958937</v>
      </c>
    </row>
    <row r="1336" spans="2:4" x14ac:dyDescent="0.25">
      <c r="B1336" s="89">
        <v>1332</v>
      </c>
      <c r="C1336" s="39">
        <f t="shared" si="41"/>
        <v>157992929.59999999</v>
      </c>
      <c r="D1336" s="39">
        <f t="shared" si="42"/>
        <v>43991964</v>
      </c>
    </row>
    <row r="1337" spans="2:4" x14ac:dyDescent="0.25">
      <c r="B1337" s="89">
        <v>1333</v>
      </c>
      <c r="C1337" s="39">
        <f t="shared" si="41"/>
        <v>157992929.59999999</v>
      </c>
      <c r="D1337" s="39">
        <f t="shared" si="42"/>
        <v>44024991</v>
      </c>
    </row>
    <row r="1338" spans="2:4" x14ac:dyDescent="0.25">
      <c r="B1338" s="89">
        <v>1334</v>
      </c>
      <c r="C1338" s="39">
        <f t="shared" si="41"/>
        <v>157992929.59999999</v>
      </c>
      <c r="D1338" s="39">
        <f t="shared" si="42"/>
        <v>44058018</v>
      </c>
    </row>
    <row r="1339" spans="2:4" x14ac:dyDescent="0.25">
      <c r="B1339" s="89">
        <v>1335</v>
      </c>
      <c r="C1339" s="39">
        <f t="shared" si="41"/>
        <v>157992929.59999999</v>
      </c>
      <c r="D1339" s="39">
        <f t="shared" si="42"/>
        <v>44091045</v>
      </c>
    </row>
    <row r="1340" spans="2:4" x14ac:dyDescent="0.25">
      <c r="B1340" s="89">
        <v>1336</v>
      </c>
      <c r="C1340" s="39">
        <f t="shared" si="41"/>
        <v>157992929.59999999</v>
      </c>
      <c r="D1340" s="39">
        <f t="shared" si="42"/>
        <v>44124072</v>
      </c>
    </row>
    <row r="1341" spans="2:4" x14ac:dyDescent="0.25">
      <c r="B1341" s="89">
        <v>1337</v>
      </c>
      <c r="C1341" s="39">
        <f t="shared" si="41"/>
        <v>157992929.59999999</v>
      </c>
      <c r="D1341" s="39">
        <f t="shared" si="42"/>
        <v>44157099</v>
      </c>
    </row>
    <row r="1342" spans="2:4" x14ac:dyDescent="0.25">
      <c r="B1342" s="89">
        <v>1338</v>
      </c>
      <c r="C1342" s="39">
        <f t="shared" si="41"/>
        <v>157992929.59999999</v>
      </c>
      <c r="D1342" s="39">
        <f t="shared" si="42"/>
        <v>44190126</v>
      </c>
    </row>
    <row r="1343" spans="2:4" x14ac:dyDescent="0.25">
      <c r="B1343" s="89">
        <v>1339</v>
      </c>
      <c r="C1343" s="39">
        <f t="shared" si="41"/>
        <v>157992929.59999999</v>
      </c>
      <c r="D1343" s="39">
        <f t="shared" si="42"/>
        <v>44223153</v>
      </c>
    </row>
    <row r="1344" spans="2:4" x14ac:dyDescent="0.25">
      <c r="B1344" s="89">
        <v>1340</v>
      </c>
      <c r="C1344" s="39">
        <f t="shared" si="41"/>
        <v>157992929.59999999</v>
      </c>
      <c r="D1344" s="39">
        <f t="shared" si="42"/>
        <v>44256180</v>
      </c>
    </row>
    <row r="1345" spans="2:4" x14ac:dyDescent="0.25">
      <c r="B1345" s="89">
        <v>1341</v>
      </c>
      <c r="C1345" s="39">
        <f t="shared" si="41"/>
        <v>157992929.59999999</v>
      </c>
      <c r="D1345" s="39">
        <f t="shared" si="42"/>
        <v>44289207</v>
      </c>
    </row>
    <row r="1346" spans="2:4" x14ac:dyDescent="0.25">
      <c r="B1346" s="89">
        <v>1342</v>
      </c>
      <c r="C1346" s="39">
        <f t="shared" si="41"/>
        <v>157992929.59999999</v>
      </c>
      <c r="D1346" s="39">
        <f t="shared" si="42"/>
        <v>44322234</v>
      </c>
    </row>
    <row r="1347" spans="2:4" x14ac:dyDescent="0.25">
      <c r="B1347" s="89">
        <v>1343</v>
      </c>
      <c r="C1347" s="39">
        <f t="shared" si="41"/>
        <v>157992929.59999999</v>
      </c>
      <c r="D1347" s="39">
        <f t="shared" si="42"/>
        <v>44355261</v>
      </c>
    </row>
    <row r="1348" spans="2:4" x14ac:dyDescent="0.25">
      <c r="B1348" s="89">
        <v>1344</v>
      </c>
      <c r="C1348" s="39">
        <f t="shared" si="41"/>
        <v>157992929.59999999</v>
      </c>
      <c r="D1348" s="39">
        <f t="shared" si="42"/>
        <v>44388288</v>
      </c>
    </row>
    <row r="1349" spans="2:4" x14ac:dyDescent="0.25">
      <c r="B1349" s="89">
        <v>1345</v>
      </c>
      <c r="C1349" s="39">
        <f t="shared" si="41"/>
        <v>157992929.59999999</v>
      </c>
      <c r="D1349" s="39">
        <f t="shared" si="42"/>
        <v>44421315</v>
      </c>
    </row>
    <row r="1350" spans="2:4" x14ac:dyDescent="0.25">
      <c r="B1350" s="89">
        <v>1346</v>
      </c>
      <c r="C1350" s="39">
        <f t="shared" ref="C1350:C1413" si="43">$C1349</f>
        <v>157992929.59999999</v>
      </c>
      <c r="D1350" s="39">
        <f t="shared" si="42"/>
        <v>44454342</v>
      </c>
    </row>
    <row r="1351" spans="2:4" x14ac:dyDescent="0.25">
      <c r="B1351" s="89">
        <v>1347</v>
      </c>
      <c r="C1351" s="39">
        <f t="shared" si="43"/>
        <v>157992929.59999999</v>
      </c>
      <c r="D1351" s="39">
        <f t="shared" si="42"/>
        <v>44487369</v>
      </c>
    </row>
    <row r="1352" spans="2:4" x14ac:dyDescent="0.25">
      <c r="B1352" s="89">
        <v>1348</v>
      </c>
      <c r="C1352" s="39">
        <f t="shared" si="43"/>
        <v>157992929.59999999</v>
      </c>
      <c r="D1352" s="39">
        <f t="shared" si="42"/>
        <v>44520396</v>
      </c>
    </row>
    <row r="1353" spans="2:4" x14ac:dyDescent="0.25">
      <c r="B1353" s="89">
        <v>1349</v>
      </c>
      <c r="C1353" s="39">
        <f t="shared" si="43"/>
        <v>157992929.59999999</v>
      </c>
      <c r="D1353" s="39">
        <f t="shared" si="42"/>
        <v>44553423</v>
      </c>
    </row>
    <row r="1354" spans="2:4" x14ac:dyDescent="0.25">
      <c r="B1354" s="89">
        <v>1350</v>
      </c>
      <c r="C1354" s="39">
        <f t="shared" si="43"/>
        <v>157992929.59999999</v>
      </c>
      <c r="D1354" s="39">
        <f t="shared" si="42"/>
        <v>44586450</v>
      </c>
    </row>
    <row r="1355" spans="2:4" x14ac:dyDescent="0.25">
      <c r="B1355" s="89">
        <v>1351</v>
      </c>
      <c r="C1355" s="39">
        <f t="shared" si="43"/>
        <v>157992929.59999999</v>
      </c>
      <c r="D1355" s="39">
        <f t="shared" si="42"/>
        <v>44619477</v>
      </c>
    </row>
    <row r="1356" spans="2:4" x14ac:dyDescent="0.25">
      <c r="B1356" s="89">
        <v>1352</v>
      </c>
      <c r="C1356" s="39">
        <f t="shared" si="43"/>
        <v>157992929.59999999</v>
      </c>
      <c r="D1356" s="39">
        <f t="shared" si="42"/>
        <v>44652504</v>
      </c>
    </row>
    <row r="1357" spans="2:4" x14ac:dyDescent="0.25">
      <c r="B1357" s="89">
        <v>1353</v>
      </c>
      <c r="C1357" s="39">
        <f t="shared" si="43"/>
        <v>157992929.59999999</v>
      </c>
      <c r="D1357" s="39">
        <f t="shared" si="42"/>
        <v>44685531</v>
      </c>
    </row>
    <row r="1358" spans="2:4" x14ac:dyDescent="0.25">
      <c r="B1358" s="89">
        <v>1354</v>
      </c>
      <c r="C1358" s="39">
        <f t="shared" si="43"/>
        <v>157992929.59999999</v>
      </c>
      <c r="D1358" s="39">
        <f t="shared" si="42"/>
        <v>44718558</v>
      </c>
    </row>
    <row r="1359" spans="2:4" x14ac:dyDescent="0.25">
      <c r="B1359" s="89">
        <v>1355</v>
      </c>
      <c r="C1359" s="39">
        <f t="shared" si="43"/>
        <v>157992929.59999999</v>
      </c>
      <c r="D1359" s="39">
        <f t="shared" si="42"/>
        <v>44751585</v>
      </c>
    </row>
    <row r="1360" spans="2:4" x14ac:dyDescent="0.25">
      <c r="B1360" s="89">
        <v>1356</v>
      </c>
      <c r="C1360" s="39">
        <f t="shared" si="43"/>
        <v>157992929.59999999</v>
      </c>
      <c r="D1360" s="39">
        <f t="shared" si="42"/>
        <v>44784612</v>
      </c>
    </row>
    <row r="1361" spans="2:4" x14ac:dyDescent="0.25">
      <c r="B1361" s="89">
        <v>1357</v>
      </c>
      <c r="C1361" s="39">
        <f t="shared" si="43"/>
        <v>157992929.59999999</v>
      </c>
      <c r="D1361" s="39">
        <f t="shared" si="42"/>
        <v>44817639</v>
      </c>
    </row>
    <row r="1362" spans="2:4" x14ac:dyDescent="0.25">
      <c r="B1362" s="89">
        <v>1358</v>
      </c>
      <c r="C1362" s="39">
        <f t="shared" si="43"/>
        <v>157992929.59999999</v>
      </c>
      <c r="D1362" s="39">
        <f t="shared" si="42"/>
        <v>44850666</v>
      </c>
    </row>
    <row r="1363" spans="2:4" x14ac:dyDescent="0.25">
      <c r="B1363" s="89">
        <v>1359</v>
      </c>
      <c r="C1363" s="39">
        <f t="shared" si="43"/>
        <v>157992929.59999999</v>
      </c>
      <c r="D1363" s="39">
        <f t="shared" si="42"/>
        <v>44883693</v>
      </c>
    </row>
    <row r="1364" spans="2:4" x14ac:dyDescent="0.25">
      <c r="B1364" s="89">
        <v>1360</v>
      </c>
      <c r="C1364" s="39">
        <f t="shared" si="43"/>
        <v>157992929.59999999</v>
      </c>
      <c r="D1364" s="39">
        <f t="shared" si="42"/>
        <v>44916720</v>
      </c>
    </row>
    <row r="1365" spans="2:4" x14ac:dyDescent="0.25">
      <c r="B1365" s="89">
        <v>1361</v>
      </c>
      <c r="C1365" s="39">
        <f t="shared" si="43"/>
        <v>157992929.59999999</v>
      </c>
      <c r="D1365" s="39">
        <f t="shared" si="42"/>
        <v>44949747</v>
      </c>
    </row>
    <row r="1366" spans="2:4" x14ac:dyDescent="0.25">
      <c r="B1366" s="89">
        <v>1362</v>
      </c>
      <c r="C1366" s="39">
        <f t="shared" si="43"/>
        <v>157992929.59999999</v>
      </c>
      <c r="D1366" s="39">
        <f t="shared" si="42"/>
        <v>44982774</v>
      </c>
    </row>
    <row r="1367" spans="2:4" x14ac:dyDescent="0.25">
      <c r="B1367" s="89">
        <v>1363</v>
      </c>
      <c r="C1367" s="39">
        <f t="shared" si="43"/>
        <v>157992929.59999999</v>
      </c>
      <c r="D1367" s="39">
        <f t="shared" si="42"/>
        <v>45015801</v>
      </c>
    </row>
    <row r="1368" spans="2:4" x14ac:dyDescent="0.25">
      <c r="B1368" s="89">
        <v>1364</v>
      </c>
      <c r="C1368" s="39">
        <f t="shared" si="43"/>
        <v>157992929.59999999</v>
      </c>
      <c r="D1368" s="39">
        <f t="shared" si="42"/>
        <v>45048828</v>
      </c>
    </row>
    <row r="1369" spans="2:4" x14ac:dyDescent="0.25">
      <c r="B1369" s="89">
        <v>1365</v>
      </c>
      <c r="C1369" s="39">
        <f t="shared" si="43"/>
        <v>157992929.59999999</v>
      </c>
      <c r="D1369" s="39">
        <f t="shared" si="42"/>
        <v>45081855</v>
      </c>
    </row>
    <row r="1370" spans="2:4" x14ac:dyDescent="0.25">
      <c r="B1370" s="89">
        <v>1366</v>
      </c>
      <c r="C1370" s="39">
        <f t="shared" si="43"/>
        <v>157992929.59999999</v>
      </c>
      <c r="D1370" s="39">
        <f t="shared" si="42"/>
        <v>45114882</v>
      </c>
    </row>
    <row r="1371" spans="2:4" x14ac:dyDescent="0.25">
      <c r="B1371" s="89">
        <v>1367</v>
      </c>
      <c r="C1371" s="39">
        <f t="shared" si="43"/>
        <v>157992929.59999999</v>
      </c>
      <c r="D1371" s="39">
        <f t="shared" si="42"/>
        <v>45147909</v>
      </c>
    </row>
    <row r="1372" spans="2:4" x14ac:dyDescent="0.25">
      <c r="B1372" s="89">
        <v>1368</v>
      </c>
      <c r="C1372" s="39">
        <f t="shared" si="43"/>
        <v>157992929.59999999</v>
      </c>
      <c r="D1372" s="39">
        <f t="shared" si="42"/>
        <v>45180936</v>
      </c>
    </row>
    <row r="1373" spans="2:4" x14ac:dyDescent="0.25">
      <c r="B1373" s="89">
        <v>1369</v>
      </c>
      <c r="C1373" s="39">
        <f t="shared" si="43"/>
        <v>157992929.59999999</v>
      </c>
      <c r="D1373" s="39">
        <f t="shared" si="42"/>
        <v>45213963</v>
      </c>
    </row>
    <row r="1374" spans="2:4" x14ac:dyDescent="0.25">
      <c r="B1374" s="89">
        <v>1370</v>
      </c>
      <c r="C1374" s="39">
        <f t="shared" si="43"/>
        <v>157992929.59999999</v>
      </c>
      <c r="D1374" s="39">
        <f t="shared" si="42"/>
        <v>45246990</v>
      </c>
    </row>
    <row r="1375" spans="2:4" x14ac:dyDescent="0.25">
      <c r="B1375" s="89">
        <v>1371</v>
      </c>
      <c r="C1375" s="39">
        <f t="shared" si="43"/>
        <v>157992929.59999999</v>
      </c>
      <c r="D1375" s="39">
        <f t="shared" si="42"/>
        <v>45280017</v>
      </c>
    </row>
    <row r="1376" spans="2:4" x14ac:dyDescent="0.25">
      <c r="B1376" s="89">
        <v>1372</v>
      </c>
      <c r="C1376" s="39">
        <f t="shared" si="43"/>
        <v>157992929.59999999</v>
      </c>
      <c r="D1376" s="39">
        <f t="shared" si="42"/>
        <v>45313044</v>
      </c>
    </row>
    <row r="1377" spans="2:4" x14ac:dyDescent="0.25">
      <c r="B1377" s="89">
        <v>1373</v>
      </c>
      <c r="C1377" s="39">
        <f t="shared" si="43"/>
        <v>157992929.59999999</v>
      </c>
      <c r="D1377" s="39">
        <f t="shared" si="42"/>
        <v>45346071</v>
      </c>
    </row>
    <row r="1378" spans="2:4" x14ac:dyDescent="0.25">
      <c r="B1378" s="89">
        <v>1374</v>
      </c>
      <c r="C1378" s="39">
        <f t="shared" si="43"/>
        <v>157992929.59999999</v>
      </c>
      <c r="D1378" s="39">
        <f t="shared" si="42"/>
        <v>45379098</v>
      </c>
    </row>
    <row r="1379" spans="2:4" x14ac:dyDescent="0.25">
      <c r="B1379" s="89">
        <v>1375</v>
      </c>
      <c r="C1379" s="39">
        <f t="shared" si="43"/>
        <v>157992929.59999999</v>
      </c>
      <c r="D1379" s="39">
        <f t="shared" si="42"/>
        <v>45412125</v>
      </c>
    </row>
    <row r="1380" spans="2:4" x14ac:dyDescent="0.25">
      <c r="B1380" s="89">
        <v>1376</v>
      </c>
      <c r="C1380" s="39">
        <f t="shared" si="43"/>
        <v>157992929.59999999</v>
      </c>
      <c r="D1380" s="39">
        <f t="shared" si="42"/>
        <v>45445152</v>
      </c>
    </row>
    <row r="1381" spans="2:4" x14ac:dyDescent="0.25">
      <c r="B1381" s="89">
        <v>1377</v>
      </c>
      <c r="C1381" s="39">
        <f t="shared" si="43"/>
        <v>157992929.59999999</v>
      </c>
      <c r="D1381" s="39">
        <f t="shared" si="42"/>
        <v>45478179</v>
      </c>
    </row>
    <row r="1382" spans="2:4" x14ac:dyDescent="0.25">
      <c r="B1382" s="89">
        <v>1378</v>
      </c>
      <c r="C1382" s="39">
        <f t="shared" si="43"/>
        <v>157992929.59999999</v>
      </c>
      <c r="D1382" s="39">
        <f t="shared" si="42"/>
        <v>45511206</v>
      </c>
    </row>
    <row r="1383" spans="2:4" x14ac:dyDescent="0.25">
      <c r="B1383" s="89">
        <v>1379</v>
      </c>
      <c r="C1383" s="39">
        <f t="shared" si="43"/>
        <v>157992929.59999999</v>
      </c>
      <c r="D1383" s="39">
        <f t="shared" si="42"/>
        <v>45544233</v>
      </c>
    </row>
    <row r="1384" spans="2:4" x14ac:dyDescent="0.25">
      <c r="B1384" s="89">
        <v>1380</v>
      </c>
      <c r="C1384" s="39">
        <f t="shared" si="43"/>
        <v>157992929.59999999</v>
      </c>
      <c r="D1384" s="39">
        <f t="shared" si="42"/>
        <v>45577260</v>
      </c>
    </row>
    <row r="1385" spans="2:4" x14ac:dyDescent="0.25">
      <c r="B1385" s="89">
        <v>1381</v>
      </c>
      <c r="C1385" s="39">
        <f t="shared" si="43"/>
        <v>157992929.59999999</v>
      </c>
      <c r="D1385" s="39">
        <f t="shared" si="42"/>
        <v>45610287</v>
      </c>
    </row>
    <row r="1386" spans="2:4" x14ac:dyDescent="0.25">
      <c r="B1386" s="89">
        <v>1382</v>
      </c>
      <c r="C1386" s="39">
        <f t="shared" si="43"/>
        <v>157992929.59999999</v>
      </c>
      <c r="D1386" s="39">
        <f t="shared" si="42"/>
        <v>45643314</v>
      </c>
    </row>
    <row r="1387" spans="2:4" x14ac:dyDescent="0.25">
      <c r="B1387" s="89">
        <v>1383</v>
      </c>
      <c r="C1387" s="39">
        <f t="shared" si="43"/>
        <v>157992929.59999999</v>
      </c>
      <c r="D1387" s="39">
        <f t="shared" si="42"/>
        <v>45676341</v>
      </c>
    </row>
    <row r="1388" spans="2:4" x14ac:dyDescent="0.25">
      <c r="B1388" s="89">
        <v>1384</v>
      </c>
      <c r="C1388" s="39">
        <f t="shared" si="43"/>
        <v>157992929.59999999</v>
      </c>
      <c r="D1388" s="39">
        <f t="shared" si="42"/>
        <v>45709368</v>
      </c>
    </row>
    <row r="1389" spans="2:4" x14ac:dyDescent="0.25">
      <c r="B1389" s="89">
        <v>1385</v>
      </c>
      <c r="C1389" s="39">
        <f t="shared" si="43"/>
        <v>157992929.59999999</v>
      </c>
      <c r="D1389" s="39">
        <f t="shared" si="42"/>
        <v>45742395</v>
      </c>
    </row>
    <row r="1390" spans="2:4" x14ac:dyDescent="0.25">
      <c r="B1390" s="89">
        <v>1386</v>
      </c>
      <c r="C1390" s="39">
        <f t="shared" si="43"/>
        <v>157992929.59999999</v>
      </c>
      <c r="D1390" s="39">
        <f t="shared" si="42"/>
        <v>45775422</v>
      </c>
    </row>
    <row r="1391" spans="2:4" x14ac:dyDescent="0.25">
      <c r="B1391" s="89">
        <v>1387</v>
      </c>
      <c r="C1391" s="39">
        <f t="shared" si="43"/>
        <v>157992929.59999999</v>
      </c>
      <c r="D1391" s="39">
        <f t="shared" si="42"/>
        <v>45808449</v>
      </c>
    </row>
    <row r="1392" spans="2:4" x14ac:dyDescent="0.25">
      <c r="B1392" s="89">
        <v>1388</v>
      </c>
      <c r="C1392" s="39">
        <f t="shared" si="43"/>
        <v>157992929.59999999</v>
      </c>
      <c r="D1392" s="39">
        <f t="shared" si="42"/>
        <v>45841476</v>
      </c>
    </row>
    <row r="1393" spans="2:4" x14ac:dyDescent="0.25">
      <c r="B1393" s="89">
        <v>1389</v>
      </c>
      <c r="C1393" s="39">
        <f t="shared" si="43"/>
        <v>157992929.59999999</v>
      </c>
      <c r="D1393" s="39">
        <f t="shared" ref="D1393:D1456" si="44">$D$2*B1393</f>
        <v>45874503</v>
      </c>
    </row>
    <row r="1394" spans="2:4" x14ac:dyDescent="0.25">
      <c r="B1394" s="89">
        <v>1390</v>
      </c>
      <c r="C1394" s="39">
        <f t="shared" si="43"/>
        <v>157992929.59999999</v>
      </c>
      <c r="D1394" s="39">
        <f t="shared" si="44"/>
        <v>45907530</v>
      </c>
    </row>
    <row r="1395" spans="2:4" x14ac:dyDescent="0.25">
      <c r="B1395" s="89">
        <v>1391</v>
      </c>
      <c r="C1395" s="39">
        <f t="shared" si="43"/>
        <v>157992929.59999999</v>
      </c>
      <c r="D1395" s="39">
        <f t="shared" si="44"/>
        <v>45940557</v>
      </c>
    </row>
    <row r="1396" spans="2:4" x14ac:dyDescent="0.25">
      <c r="B1396" s="89">
        <v>1392</v>
      </c>
      <c r="C1396" s="39">
        <f t="shared" si="43"/>
        <v>157992929.59999999</v>
      </c>
      <c r="D1396" s="39">
        <f t="shared" si="44"/>
        <v>45973584</v>
      </c>
    </row>
    <row r="1397" spans="2:4" x14ac:dyDescent="0.25">
      <c r="B1397" s="89">
        <v>1393</v>
      </c>
      <c r="C1397" s="39">
        <f t="shared" si="43"/>
        <v>157992929.59999999</v>
      </c>
      <c r="D1397" s="39">
        <f t="shared" si="44"/>
        <v>46006611</v>
      </c>
    </row>
    <row r="1398" spans="2:4" x14ac:dyDescent="0.25">
      <c r="B1398" s="89">
        <v>1394</v>
      </c>
      <c r="C1398" s="39">
        <f t="shared" si="43"/>
        <v>157992929.59999999</v>
      </c>
      <c r="D1398" s="39">
        <f t="shared" si="44"/>
        <v>46039638</v>
      </c>
    </row>
    <row r="1399" spans="2:4" x14ac:dyDescent="0.25">
      <c r="B1399" s="89">
        <v>1395</v>
      </c>
      <c r="C1399" s="39">
        <f t="shared" si="43"/>
        <v>157992929.59999999</v>
      </c>
      <c r="D1399" s="39">
        <f t="shared" si="44"/>
        <v>46072665</v>
      </c>
    </row>
    <row r="1400" spans="2:4" x14ac:dyDescent="0.25">
      <c r="B1400" s="89">
        <v>1396</v>
      </c>
      <c r="C1400" s="39">
        <f t="shared" si="43"/>
        <v>157992929.59999999</v>
      </c>
      <c r="D1400" s="39">
        <f t="shared" si="44"/>
        <v>46105692</v>
      </c>
    </row>
    <row r="1401" spans="2:4" x14ac:dyDescent="0.25">
      <c r="B1401" s="89">
        <v>1397</v>
      </c>
      <c r="C1401" s="39">
        <f t="shared" si="43"/>
        <v>157992929.59999999</v>
      </c>
      <c r="D1401" s="39">
        <f t="shared" si="44"/>
        <v>46138719</v>
      </c>
    </row>
    <row r="1402" spans="2:4" x14ac:dyDescent="0.25">
      <c r="B1402" s="89">
        <v>1398</v>
      </c>
      <c r="C1402" s="39">
        <f t="shared" si="43"/>
        <v>157992929.59999999</v>
      </c>
      <c r="D1402" s="39">
        <f t="shared" si="44"/>
        <v>46171746</v>
      </c>
    </row>
    <row r="1403" spans="2:4" x14ac:dyDescent="0.25">
      <c r="B1403" s="89">
        <v>1399</v>
      </c>
      <c r="C1403" s="39">
        <f t="shared" si="43"/>
        <v>157992929.59999999</v>
      </c>
      <c r="D1403" s="39">
        <f t="shared" si="44"/>
        <v>46204773</v>
      </c>
    </row>
    <row r="1404" spans="2:4" x14ac:dyDescent="0.25">
      <c r="B1404" s="89">
        <v>1400</v>
      </c>
      <c r="C1404" s="39">
        <f t="shared" si="43"/>
        <v>157992929.59999999</v>
      </c>
      <c r="D1404" s="39">
        <f t="shared" si="44"/>
        <v>46237800</v>
      </c>
    </row>
    <row r="1405" spans="2:4" x14ac:dyDescent="0.25">
      <c r="B1405" s="89">
        <v>1401</v>
      </c>
      <c r="C1405" s="39">
        <f t="shared" si="43"/>
        <v>157992929.59999999</v>
      </c>
      <c r="D1405" s="39">
        <f t="shared" si="44"/>
        <v>46270827</v>
      </c>
    </row>
    <row r="1406" spans="2:4" x14ac:dyDescent="0.25">
      <c r="B1406" s="89">
        <v>1402</v>
      </c>
      <c r="C1406" s="39">
        <f t="shared" si="43"/>
        <v>157992929.59999999</v>
      </c>
      <c r="D1406" s="39">
        <f t="shared" si="44"/>
        <v>46303854</v>
      </c>
    </row>
    <row r="1407" spans="2:4" x14ac:dyDescent="0.25">
      <c r="B1407" s="89">
        <v>1403</v>
      </c>
      <c r="C1407" s="39">
        <f t="shared" si="43"/>
        <v>157992929.59999999</v>
      </c>
      <c r="D1407" s="39">
        <f t="shared" si="44"/>
        <v>46336881</v>
      </c>
    </row>
    <row r="1408" spans="2:4" x14ac:dyDescent="0.25">
      <c r="B1408" s="89">
        <v>1404</v>
      </c>
      <c r="C1408" s="39">
        <f t="shared" si="43"/>
        <v>157992929.59999999</v>
      </c>
      <c r="D1408" s="39">
        <f t="shared" si="44"/>
        <v>46369908</v>
      </c>
    </row>
    <row r="1409" spans="2:4" x14ac:dyDescent="0.25">
      <c r="B1409" s="89">
        <v>1405</v>
      </c>
      <c r="C1409" s="39">
        <f t="shared" si="43"/>
        <v>157992929.59999999</v>
      </c>
      <c r="D1409" s="39">
        <f t="shared" si="44"/>
        <v>46402935</v>
      </c>
    </row>
    <row r="1410" spans="2:4" x14ac:dyDescent="0.25">
      <c r="B1410" s="89">
        <v>1406</v>
      </c>
      <c r="C1410" s="39">
        <f t="shared" si="43"/>
        <v>157992929.59999999</v>
      </c>
      <c r="D1410" s="39">
        <f t="shared" si="44"/>
        <v>46435962</v>
      </c>
    </row>
    <row r="1411" spans="2:4" x14ac:dyDescent="0.25">
      <c r="B1411" s="89">
        <v>1407</v>
      </c>
      <c r="C1411" s="39">
        <f t="shared" si="43"/>
        <v>157992929.59999999</v>
      </c>
      <c r="D1411" s="39">
        <f t="shared" si="44"/>
        <v>46468989</v>
      </c>
    </row>
    <row r="1412" spans="2:4" x14ac:dyDescent="0.25">
      <c r="B1412" s="89">
        <v>1408</v>
      </c>
      <c r="C1412" s="39">
        <f t="shared" si="43"/>
        <v>157992929.59999999</v>
      </c>
      <c r="D1412" s="39">
        <f t="shared" si="44"/>
        <v>46502016</v>
      </c>
    </row>
    <row r="1413" spans="2:4" x14ac:dyDescent="0.25">
      <c r="B1413" s="89">
        <v>1409</v>
      </c>
      <c r="C1413" s="39">
        <f t="shared" si="43"/>
        <v>157992929.59999999</v>
      </c>
      <c r="D1413" s="39">
        <f t="shared" si="44"/>
        <v>46535043</v>
      </c>
    </row>
    <row r="1414" spans="2:4" x14ac:dyDescent="0.25">
      <c r="B1414" s="89">
        <v>1410</v>
      </c>
      <c r="C1414" s="39">
        <f t="shared" ref="C1414:C1477" si="45">$C1413</f>
        <v>157992929.59999999</v>
      </c>
      <c r="D1414" s="39">
        <f t="shared" si="44"/>
        <v>46568070</v>
      </c>
    </row>
    <row r="1415" spans="2:4" x14ac:dyDescent="0.25">
      <c r="B1415" s="89">
        <v>1411</v>
      </c>
      <c r="C1415" s="39">
        <f t="shared" si="45"/>
        <v>157992929.59999999</v>
      </c>
      <c r="D1415" s="39">
        <f t="shared" si="44"/>
        <v>46601097</v>
      </c>
    </row>
    <row r="1416" spans="2:4" x14ac:dyDescent="0.25">
      <c r="B1416" s="89">
        <v>1412</v>
      </c>
      <c r="C1416" s="39">
        <f t="shared" si="45"/>
        <v>157992929.59999999</v>
      </c>
      <c r="D1416" s="39">
        <f t="shared" si="44"/>
        <v>46634124</v>
      </c>
    </row>
    <row r="1417" spans="2:4" x14ac:dyDescent="0.25">
      <c r="B1417" s="89">
        <v>1413</v>
      </c>
      <c r="C1417" s="39">
        <f t="shared" si="45"/>
        <v>157992929.59999999</v>
      </c>
      <c r="D1417" s="39">
        <f t="shared" si="44"/>
        <v>46667151</v>
      </c>
    </row>
    <row r="1418" spans="2:4" x14ac:dyDescent="0.25">
      <c r="B1418" s="89">
        <v>1414</v>
      </c>
      <c r="C1418" s="39">
        <f t="shared" si="45"/>
        <v>157992929.59999999</v>
      </c>
      <c r="D1418" s="39">
        <f t="shared" si="44"/>
        <v>46700178</v>
      </c>
    </row>
    <row r="1419" spans="2:4" x14ac:dyDescent="0.25">
      <c r="B1419" s="89">
        <v>1415</v>
      </c>
      <c r="C1419" s="39">
        <f t="shared" si="45"/>
        <v>157992929.59999999</v>
      </c>
      <c r="D1419" s="39">
        <f t="shared" si="44"/>
        <v>46733205</v>
      </c>
    </row>
    <row r="1420" spans="2:4" x14ac:dyDescent="0.25">
      <c r="B1420" s="89">
        <v>1416</v>
      </c>
      <c r="C1420" s="39">
        <f t="shared" si="45"/>
        <v>157992929.59999999</v>
      </c>
      <c r="D1420" s="39">
        <f t="shared" si="44"/>
        <v>46766232</v>
      </c>
    </row>
    <row r="1421" spans="2:4" x14ac:dyDescent="0.25">
      <c r="B1421" s="89">
        <v>1417</v>
      </c>
      <c r="C1421" s="39">
        <f t="shared" si="45"/>
        <v>157992929.59999999</v>
      </c>
      <c r="D1421" s="39">
        <f t="shared" si="44"/>
        <v>46799259</v>
      </c>
    </row>
    <row r="1422" spans="2:4" x14ac:dyDescent="0.25">
      <c r="B1422" s="89">
        <v>1418</v>
      </c>
      <c r="C1422" s="39">
        <f t="shared" si="45"/>
        <v>157992929.59999999</v>
      </c>
      <c r="D1422" s="39">
        <f t="shared" si="44"/>
        <v>46832286</v>
      </c>
    </row>
    <row r="1423" spans="2:4" x14ac:dyDescent="0.25">
      <c r="B1423" s="89">
        <v>1419</v>
      </c>
      <c r="C1423" s="39">
        <f t="shared" si="45"/>
        <v>157992929.59999999</v>
      </c>
      <c r="D1423" s="39">
        <f t="shared" si="44"/>
        <v>46865313</v>
      </c>
    </row>
    <row r="1424" spans="2:4" x14ac:dyDescent="0.25">
      <c r="B1424" s="89">
        <v>1420</v>
      </c>
      <c r="C1424" s="39">
        <f t="shared" si="45"/>
        <v>157992929.59999999</v>
      </c>
      <c r="D1424" s="39">
        <f t="shared" si="44"/>
        <v>46898340</v>
      </c>
    </row>
    <row r="1425" spans="2:4" x14ac:dyDescent="0.25">
      <c r="B1425" s="89">
        <v>1421</v>
      </c>
      <c r="C1425" s="39">
        <f t="shared" si="45"/>
        <v>157992929.59999999</v>
      </c>
      <c r="D1425" s="39">
        <f t="shared" si="44"/>
        <v>46931367</v>
      </c>
    </row>
    <row r="1426" spans="2:4" x14ac:dyDescent="0.25">
      <c r="B1426" s="89">
        <v>1422</v>
      </c>
      <c r="C1426" s="39">
        <f t="shared" si="45"/>
        <v>157992929.59999999</v>
      </c>
      <c r="D1426" s="39">
        <f t="shared" si="44"/>
        <v>46964394</v>
      </c>
    </row>
    <row r="1427" spans="2:4" x14ac:dyDescent="0.25">
      <c r="B1427" s="89">
        <v>1423</v>
      </c>
      <c r="C1427" s="39">
        <f t="shared" si="45"/>
        <v>157992929.59999999</v>
      </c>
      <c r="D1427" s="39">
        <f t="shared" si="44"/>
        <v>46997421</v>
      </c>
    </row>
    <row r="1428" spans="2:4" x14ac:dyDescent="0.25">
      <c r="B1428" s="89">
        <v>1424</v>
      </c>
      <c r="C1428" s="39">
        <f t="shared" si="45"/>
        <v>157992929.59999999</v>
      </c>
      <c r="D1428" s="39">
        <f t="shared" si="44"/>
        <v>47030448</v>
      </c>
    </row>
    <row r="1429" spans="2:4" x14ac:dyDescent="0.25">
      <c r="B1429" s="89">
        <v>1425</v>
      </c>
      <c r="C1429" s="39">
        <f t="shared" si="45"/>
        <v>157992929.59999999</v>
      </c>
      <c r="D1429" s="39">
        <f t="shared" si="44"/>
        <v>47063475</v>
      </c>
    </row>
    <row r="1430" spans="2:4" x14ac:dyDescent="0.25">
      <c r="B1430" s="89">
        <v>1426</v>
      </c>
      <c r="C1430" s="39">
        <f t="shared" si="45"/>
        <v>157992929.59999999</v>
      </c>
      <c r="D1430" s="39">
        <f t="shared" si="44"/>
        <v>47096502</v>
      </c>
    </row>
    <row r="1431" spans="2:4" x14ac:dyDescent="0.25">
      <c r="B1431" s="89">
        <v>1427</v>
      </c>
      <c r="C1431" s="39">
        <f t="shared" si="45"/>
        <v>157992929.59999999</v>
      </c>
      <c r="D1431" s="39">
        <f t="shared" si="44"/>
        <v>47129529</v>
      </c>
    </row>
    <row r="1432" spans="2:4" x14ac:dyDescent="0.25">
      <c r="B1432" s="89">
        <v>1428</v>
      </c>
      <c r="C1432" s="39">
        <f t="shared" si="45"/>
        <v>157992929.59999999</v>
      </c>
      <c r="D1432" s="39">
        <f t="shared" si="44"/>
        <v>47162556</v>
      </c>
    </row>
    <row r="1433" spans="2:4" x14ac:dyDescent="0.25">
      <c r="B1433" s="89">
        <v>1429</v>
      </c>
      <c r="C1433" s="39">
        <f t="shared" si="45"/>
        <v>157992929.59999999</v>
      </c>
      <c r="D1433" s="39">
        <f t="shared" si="44"/>
        <v>47195583</v>
      </c>
    </row>
    <row r="1434" spans="2:4" x14ac:dyDescent="0.25">
      <c r="B1434" s="89">
        <v>1430</v>
      </c>
      <c r="C1434" s="39">
        <f t="shared" si="45"/>
        <v>157992929.59999999</v>
      </c>
      <c r="D1434" s="39">
        <f t="shared" si="44"/>
        <v>47228610</v>
      </c>
    </row>
    <row r="1435" spans="2:4" x14ac:dyDescent="0.25">
      <c r="B1435" s="89">
        <v>1431</v>
      </c>
      <c r="C1435" s="39">
        <f t="shared" si="45"/>
        <v>157992929.59999999</v>
      </c>
      <c r="D1435" s="39">
        <f t="shared" si="44"/>
        <v>47261637</v>
      </c>
    </row>
    <row r="1436" spans="2:4" x14ac:dyDescent="0.25">
      <c r="B1436" s="89">
        <v>1432</v>
      </c>
      <c r="C1436" s="39">
        <f t="shared" si="45"/>
        <v>157992929.59999999</v>
      </c>
      <c r="D1436" s="39">
        <f t="shared" si="44"/>
        <v>47294664</v>
      </c>
    </row>
    <row r="1437" spans="2:4" x14ac:dyDescent="0.25">
      <c r="B1437" s="89">
        <v>1433</v>
      </c>
      <c r="C1437" s="39">
        <f t="shared" si="45"/>
        <v>157992929.59999999</v>
      </c>
      <c r="D1437" s="39">
        <f t="shared" si="44"/>
        <v>47327691</v>
      </c>
    </row>
    <row r="1438" spans="2:4" x14ac:dyDescent="0.25">
      <c r="B1438" s="89">
        <v>1434</v>
      </c>
      <c r="C1438" s="39">
        <f t="shared" si="45"/>
        <v>157992929.59999999</v>
      </c>
      <c r="D1438" s="39">
        <f t="shared" si="44"/>
        <v>47360718</v>
      </c>
    </row>
    <row r="1439" spans="2:4" x14ac:dyDescent="0.25">
      <c r="B1439" s="89">
        <v>1435</v>
      </c>
      <c r="C1439" s="39">
        <f t="shared" si="45"/>
        <v>157992929.59999999</v>
      </c>
      <c r="D1439" s="39">
        <f t="shared" si="44"/>
        <v>47393745</v>
      </c>
    </row>
    <row r="1440" spans="2:4" x14ac:dyDescent="0.25">
      <c r="B1440" s="89">
        <v>1436</v>
      </c>
      <c r="C1440" s="39">
        <f t="shared" si="45"/>
        <v>157992929.59999999</v>
      </c>
      <c r="D1440" s="39">
        <f t="shared" si="44"/>
        <v>47426772</v>
      </c>
    </row>
    <row r="1441" spans="2:4" x14ac:dyDescent="0.25">
      <c r="B1441" s="89">
        <v>1437</v>
      </c>
      <c r="C1441" s="39">
        <f t="shared" si="45"/>
        <v>157992929.59999999</v>
      </c>
      <c r="D1441" s="39">
        <f t="shared" si="44"/>
        <v>47459799</v>
      </c>
    </row>
    <row r="1442" spans="2:4" x14ac:dyDescent="0.25">
      <c r="B1442" s="89">
        <v>1438</v>
      </c>
      <c r="C1442" s="39">
        <f t="shared" si="45"/>
        <v>157992929.59999999</v>
      </c>
      <c r="D1442" s="39">
        <f t="shared" si="44"/>
        <v>47492826</v>
      </c>
    </row>
    <row r="1443" spans="2:4" x14ac:dyDescent="0.25">
      <c r="B1443" s="89">
        <v>1439</v>
      </c>
      <c r="C1443" s="39">
        <f t="shared" si="45"/>
        <v>157992929.59999999</v>
      </c>
      <c r="D1443" s="39">
        <f t="shared" si="44"/>
        <v>47525853</v>
      </c>
    </row>
    <row r="1444" spans="2:4" x14ac:dyDescent="0.25">
      <c r="B1444" s="89">
        <v>1440</v>
      </c>
      <c r="C1444" s="39">
        <f t="shared" si="45"/>
        <v>157992929.59999999</v>
      </c>
      <c r="D1444" s="39">
        <f t="shared" si="44"/>
        <v>47558880</v>
      </c>
    </row>
    <row r="1445" spans="2:4" x14ac:dyDescent="0.25">
      <c r="B1445" s="89">
        <v>1441</v>
      </c>
      <c r="C1445" s="39">
        <f t="shared" si="45"/>
        <v>157992929.59999999</v>
      </c>
      <c r="D1445" s="39">
        <f t="shared" si="44"/>
        <v>47591907</v>
      </c>
    </row>
    <row r="1446" spans="2:4" x14ac:dyDescent="0.25">
      <c r="B1446" s="89">
        <v>1442</v>
      </c>
      <c r="C1446" s="39">
        <f t="shared" si="45"/>
        <v>157992929.59999999</v>
      </c>
      <c r="D1446" s="39">
        <f t="shared" si="44"/>
        <v>47624934</v>
      </c>
    </row>
    <row r="1447" spans="2:4" x14ac:dyDescent="0.25">
      <c r="B1447" s="89">
        <v>1443</v>
      </c>
      <c r="C1447" s="39">
        <f t="shared" si="45"/>
        <v>157992929.59999999</v>
      </c>
      <c r="D1447" s="39">
        <f t="shared" si="44"/>
        <v>47657961</v>
      </c>
    </row>
    <row r="1448" spans="2:4" x14ac:dyDescent="0.25">
      <c r="B1448" s="89">
        <v>1444</v>
      </c>
      <c r="C1448" s="39">
        <f t="shared" si="45"/>
        <v>157992929.59999999</v>
      </c>
      <c r="D1448" s="39">
        <f t="shared" si="44"/>
        <v>47690988</v>
      </c>
    </row>
    <row r="1449" spans="2:4" x14ac:dyDescent="0.25">
      <c r="B1449" s="89">
        <v>1445</v>
      </c>
      <c r="C1449" s="39">
        <f t="shared" si="45"/>
        <v>157992929.59999999</v>
      </c>
      <c r="D1449" s="39">
        <f t="shared" si="44"/>
        <v>47724015</v>
      </c>
    </row>
    <row r="1450" spans="2:4" x14ac:dyDescent="0.25">
      <c r="B1450" s="89">
        <v>1446</v>
      </c>
      <c r="C1450" s="39">
        <f t="shared" si="45"/>
        <v>157992929.59999999</v>
      </c>
      <c r="D1450" s="39">
        <f t="shared" si="44"/>
        <v>47757042</v>
      </c>
    </row>
    <row r="1451" spans="2:4" x14ac:dyDescent="0.25">
      <c r="B1451" s="89">
        <v>1447</v>
      </c>
      <c r="C1451" s="39">
        <f t="shared" si="45"/>
        <v>157992929.59999999</v>
      </c>
      <c r="D1451" s="39">
        <f t="shared" si="44"/>
        <v>47790069</v>
      </c>
    </row>
    <row r="1452" spans="2:4" x14ac:dyDescent="0.25">
      <c r="B1452" s="89">
        <v>1448</v>
      </c>
      <c r="C1452" s="39">
        <f t="shared" si="45"/>
        <v>157992929.59999999</v>
      </c>
      <c r="D1452" s="39">
        <f t="shared" si="44"/>
        <v>47823096</v>
      </c>
    </row>
    <row r="1453" spans="2:4" x14ac:dyDescent="0.25">
      <c r="B1453" s="89">
        <v>1449</v>
      </c>
      <c r="C1453" s="39">
        <f t="shared" si="45"/>
        <v>157992929.59999999</v>
      </c>
      <c r="D1453" s="39">
        <f t="shared" si="44"/>
        <v>47856123</v>
      </c>
    </row>
    <row r="1454" spans="2:4" x14ac:dyDescent="0.25">
      <c r="B1454" s="89">
        <v>1450</v>
      </c>
      <c r="C1454" s="39">
        <f t="shared" si="45"/>
        <v>157992929.59999999</v>
      </c>
      <c r="D1454" s="39">
        <f t="shared" si="44"/>
        <v>47889150</v>
      </c>
    </row>
    <row r="1455" spans="2:4" x14ac:dyDescent="0.25">
      <c r="B1455" s="89">
        <v>1451</v>
      </c>
      <c r="C1455" s="39">
        <f t="shared" si="45"/>
        <v>157992929.59999999</v>
      </c>
      <c r="D1455" s="39">
        <f t="shared" si="44"/>
        <v>47922177</v>
      </c>
    </row>
    <row r="1456" spans="2:4" x14ac:dyDescent="0.25">
      <c r="B1456" s="89">
        <v>1452</v>
      </c>
      <c r="C1456" s="39">
        <f t="shared" si="45"/>
        <v>157992929.59999999</v>
      </c>
      <c r="D1456" s="39">
        <f t="shared" si="44"/>
        <v>47955204</v>
      </c>
    </row>
    <row r="1457" spans="2:4" x14ac:dyDescent="0.25">
      <c r="B1457" s="89">
        <v>1453</v>
      </c>
      <c r="C1457" s="39">
        <f t="shared" si="45"/>
        <v>157992929.59999999</v>
      </c>
      <c r="D1457" s="39">
        <f t="shared" ref="D1457:D1520" si="46">$D$2*B1457</f>
        <v>47988231</v>
      </c>
    </row>
    <row r="1458" spans="2:4" x14ac:dyDescent="0.25">
      <c r="B1458" s="89">
        <v>1454</v>
      </c>
      <c r="C1458" s="39">
        <f t="shared" si="45"/>
        <v>157992929.59999999</v>
      </c>
      <c r="D1458" s="39">
        <f t="shared" si="46"/>
        <v>48021258</v>
      </c>
    </row>
    <row r="1459" spans="2:4" x14ac:dyDescent="0.25">
      <c r="B1459" s="89">
        <v>1455</v>
      </c>
      <c r="C1459" s="39">
        <f t="shared" si="45"/>
        <v>157992929.59999999</v>
      </c>
      <c r="D1459" s="39">
        <f t="shared" si="46"/>
        <v>48054285</v>
      </c>
    </row>
    <row r="1460" spans="2:4" x14ac:dyDescent="0.25">
      <c r="B1460" s="89">
        <v>1456</v>
      </c>
      <c r="C1460" s="39">
        <f t="shared" si="45"/>
        <v>157992929.59999999</v>
      </c>
      <c r="D1460" s="39">
        <f t="shared" si="46"/>
        <v>48087312</v>
      </c>
    </row>
    <row r="1461" spans="2:4" x14ac:dyDescent="0.25">
      <c r="B1461" s="89">
        <v>1457</v>
      </c>
      <c r="C1461" s="39">
        <f t="shared" si="45"/>
        <v>157992929.59999999</v>
      </c>
      <c r="D1461" s="39">
        <f t="shared" si="46"/>
        <v>48120339</v>
      </c>
    </row>
    <row r="1462" spans="2:4" x14ac:dyDescent="0.25">
      <c r="B1462" s="89">
        <v>1458</v>
      </c>
      <c r="C1462" s="39">
        <f t="shared" si="45"/>
        <v>157992929.59999999</v>
      </c>
      <c r="D1462" s="39">
        <f t="shared" si="46"/>
        <v>48153366</v>
      </c>
    </row>
    <row r="1463" spans="2:4" x14ac:dyDescent="0.25">
      <c r="B1463" s="89">
        <v>1459</v>
      </c>
      <c r="C1463" s="39">
        <f t="shared" si="45"/>
        <v>157992929.59999999</v>
      </c>
      <c r="D1463" s="39">
        <f t="shared" si="46"/>
        <v>48186393</v>
      </c>
    </row>
    <row r="1464" spans="2:4" x14ac:dyDescent="0.25">
      <c r="B1464" s="89">
        <v>1460</v>
      </c>
      <c r="C1464" s="39">
        <f t="shared" si="45"/>
        <v>157992929.59999999</v>
      </c>
      <c r="D1464" s="39">
        <f t="shared" si="46"/>
        <v>48219420</v>
      </c>
    </row>
    <row r="1465" spans="2:4" x14ac:dyDescent="0.25">
      <c r="B1465" s="89">
        <v>1461</v>
      </c>
      <c r="C1465" s="39">
        <f t="shared" si="45"/>
        <v>157992929.59999999</v>
      </c>
      <c r="D1465" s="39">
        <f t="shared" si="46"/>
        <v>48252447</v>
      </c>
    </row>
    <row r="1466" spans="2:4" x14ac:dyDescent="0.25">
      <c r="B1466" s="89">
        <v>1462</v>
      </c>
      <c r="C1466" s="39">
        <f t="shared" si="45"/>
        <v>157992929.59999999</v>
      </c>
      <c r="D1466" s="39">
        <f t="shared" si="46"/>
        <v>48285474</v>
      </c>
    </row>
    <row r="1467" spans="2:4" x14ac:dyDescent="0.25">
      <c r="B1467" s="89">
        <v>1463</v>
      </c>
      <c r="C1467" s="39">
        <f t="shared" si="45"/>
        <v>157992929.59999999</v>
      </c>
      <c r="D1467" s="39">
        <f t="shared" si="46"/>
        <v>48318501</v>
      </c>
    </row>
    <row r="1468" spans="2:4" x14ac:dyDescent="0.25">
      <c r="B1468" s="89">
        <v>1464</v>
      </c>
      <c r="C1468" s="39">
        <f t="shared" si="45"/>
        <v>157992929.59999999</v>
      </c>
      <c r="D1468" s="39">
        <f t="shared" si="46"/>
        <v>48351528</v>
      </c>
    </row>
    <row r="1469" spans="2:4" x14ac:dyDescent="0.25">
      <c r="B1469" s="89">
        <v>1465</v>
      </c>
      <c r="C1469" s="39">
        <f t="shared" si="45"/>
        <v>157992929.59999999</v>
      </c>
      <c r="D1469" s="39">
        <f t="shared" si="46"/>
        <v>48384555</v>
      </c>
    </row>
    <row r="1470" spans="2:4" x14ac:dyDescent="0.25">
      <c r="B1470" s="89">
        <v>1466</v>
      </c>
      <c r="C1470" s="39">
        <f t="shared" si="45"/>
        <v>157992929.59999999</v>
      </c>
      <c r="D1470" s="39">
        <f t="shared" si="46"/>
        <v>48417582</v>
      </c>
    </row>
    <row r="1471" spans="2:4" x14ac:dyDescent="0.25">
      <c r="B1471" s="89">
        <v>1467</v>
      </c>
      <c r="C1471" s="39">
        <f t="shared" si="45"/>
        <v>157992929.59999999</v>
      </c>
      <c r="D1471" s="39">
        <f t="shared" si="46"/>
        <v>48450609</v>
      </c>
    </row>
    <row r="1472" spans="2:4" x14ac:dyDescent="0.25">
      <c r="B1472" s="89">
        <v>1468</v>
      </c>
      <c r="C1472" s="39">
        <f t="shared" si="45"/>
        <v>157992929.59999999</v>
      </c>
      <c r="D1472" s="39">
        <f t="shared" si="46"/>
        <v>48483636</v>
      </c>
    </row>
    <row r="1473" spans="2:4" x14ac:dyDescent="0.25">
      <c r="B1473" s="89">
        <v>1469</v>
      </c>
      <c r="C1473" s="39">
        <f t="shared" si="45"/>
        <v>157992929.59999999</v>
      </c>
      <c r="D1473" s="39">
        <f t="shared" si="46"/>
        <v>48516663</v>
      </c>
    </row>
    <row r="1474" spans="2:4" x14ac:dyDescent="0.25">
      <c r="B1474" s="89">
        <v>1470</v>
      </c>
      <c r="C1474" s="39">
        <f t="shared" si="45"/>
        <v>157992929.59999999</v>
      </c>
      <c r="D1474" s="39">
        <f t="shared" si="46"/>
        <v>48549690</v>
      </c>
    </row>
    <row r="1475" spans="2:4" x14ac:dyDescent="0.25">
      <c r="B1475" s="89">
        <v>1471</v>
      </c>
      <c r="C1475" s="39">
        <f t="shared" si="45"/>
        <v>157992929.59999999</v>
      </c>
      <c r="D1475" s="39">
        <f t="shared" si="46"/>
        <v>48582717</v>
      </c>
    </row>
    <row r="1476" spans="2:4" x14ac:dyDescent="0.25">
      <c r="B1476" s="89">
        <v>1472</v>
      </c>
      <c r="C1476" s="39">
        <f t="shared" si="45"/>
        <v>157992929.59999999</v>
      </c>
      <c r="D1476" s="39">
        <f t="shared" si="46"/>
        <v>48615744</v>
      </c>
    </row>
    <row r="1477" spans="2:4" x14ac:dyDescent="0.25">
      <c r="B1477" s="89">
        <v>1473</v>
      </c>
      <c r="C1477" s="39">
        <f t="shared" si="45"/>
        <v>157992929.59999999</v>
      </c>
      <c r="D1477" s="39">
        <f t="shared" si="46"/>
        <v>48648771</v>
      </c>
    </row>
    <row r="1478" spans="2:4" x14ac:dyDescent="0.25">
      <c r="B1478" s="89">
        <v>1474</v>
      </c>
      <c r="C1478" s="39">
        <f t="shared" ref="C1478:C1541" si="47">$C1477</f>
        <v>157992929.59999999</v>
      </c>
      <c r="D1478" s="39">
        <f t="shared" si="46"/>
        <v>48681798</v>
      </c>
    </row>
    <row r="1479" spans="2:4" x14ac:dyDescent="0.25">
      <c r="B1479" s="89">
        <v>1475</v>
      </c>
      <c r="C1479" s="39">
        <f t="shared" si="47"/>
        <v>157992929.59999999</v>
      </c>
      <c r="D1479" s="39">
        <f t="shared" si="46"/>
        <v>48714825</v>
      </c>
    </row>
    <row r="1480" spans="2:4" x14ac:dyDescent="0.25">
      <c r="B1480" s="89">
        <v>1476</v>
      </c>
      <c r="C1480" s="39">
        <f t="shared" si="47"/>
        <v>157992929.59999999</v>
      </c>
      <c r="D1480" s="39">
        <f t="shared" si="46"/>
        <v>48747852</v>
      </c>
    </row>
    <row r="1481" spans="2:4" x14ac:dyDescent="0.25">
      <c r="B1481" s="89">
        <v>1477</v>
      </c>
      <c r="C1481" s="39">
        <f t="shared" si="47"/>
        <v>157992929.59999999</v>
      </c>
      <c r="D1481" s="39">
        <f t="shared" si="46"/>
        <v>48780879</v>
      </c>
    </row>
    <row r="1482" spans="2:4" x14ac:dyDescent="0.25">
      <c r="B1482" s="89">
        <v>1478</v>
      </c>
      <c r="C1482" s="39">
        <f t="shared" si="47"/>
        <v>157992929.59999999</v>
      </c>
      <c r="D1482" s="39">
        <f t="shared" si="46"/>
        <v>48813906</v>
      </c>
    </row>
    <row r="1483" spans="2:4" x14ac:dyDescent="0.25">
      <c r="B1483" s="89">
        <v>1479</v>
      </c>
      <c r="C1483" s="39">
        <f t="shared" si="47"/>
        <v>157992929.59999999</v>
      </c>
      <c r="D1483" s="39">
        <f t="shared" si="46"/>
        <v>48846933</v>
      </c>
    </row>
    <row r="1484" spans="2:4" x14ac:dyDescent="0.25">
      <c r="B1484" s="89">
        <v>1480</v>
      </c>
      <c r="C1484" s="39">
        <f t="shared" si="47"/>
        <v>157992929.59999999</v>
      </c>
      <c r="D1484" s="39">
        <f t="shared" si="46"/>
        <v>48879960</v>
      </c>
    </row>
    <row r="1485" spans="2:4" x14ac:dyDescent="0.25">
      <c r="B1485" s="89">
        <v>1481</v>
      </c>
      <c r="C1485" s="39">
        <f t="shared" si="47"/>
        <v>157992929.59999999</v>
      </c>
      <c r="D1485" s="39">
        <f t="shared" si="46"/>
        <v>48912987</v>
      </c>
    </row>
    <row r="1486" spans="2:4" x14ac:dyDescent="0.25">
      <c r="B1486" s="89">
        <v>1482</v>
      </c>
      <c r="C1486" s="39">
        <f t="shared" si="47"/>
        <v>157992929.59999999</v>
      </c>
      <c r="D1486" s="39">
        <f t="shared" si="46"/>
        <v>48946014</v>
      </c>
    </row>
    <row r="1487" spans="2:4" x14ac:dyDescent="0.25">
      <c r="B1487" s="89">
        <v>1483</v>
      </c>
      <c r="C1487" s="39">
        <f t="shared" si="47"/>
        <v>157992929.59999999</v>
      </c>
      <c r="D1487" s="39">
        <f t="shared" si="46"/>
        <v>48979041</v>
      </c>
    </row>
    <row r="1488" spans="2:4" x14ac:dyDescent="0.25">
      <c r="B1488" s="89">
        <v>1484</v>
      </c>
      <c r="C1488" s="39">
        <f t="shared" si="47"/>
        <v>157992929.59999999</v>
      </c>
      <c r="D1488" s="39">
        <f t="shared" si="46"/>
        <v>49012068</v>
      </c>
    </row>
    <row r="1489" spans="2:4" x14ac:dyDescent="0.25">
      <c r="B1489" s="89">
        <v>1485</v>
      </c>
      <c r="C1489" s="39">
        <f t="shared" si="47"/>
        <v>157992929.59999999</v>
      </c>
      <c r="D1489" s="39">
        <f t="shared" si="46"/>
        <v>49045095</v>
      </c>
    </row>
    <row r="1490" spans="2:4" x14ac:dyDescent="0.25">
      <c r="B1490" s="89">
        <v>1486</v>
      </c>
      <c r="C1490" s="39">
        <f t="shared" si="47"/>
        <v>157992929.59999999</v>
      </c>
      <c r="D1490" s="39">
        <f t="shared" si="46"/>
        <v>49078122</v>
      </c>
    </row>
    <row r="1491" spans="2:4" x14ac:dyDescent="0.25">
      <c r="B1491" s="89">
        <v>1487</v>
      </c>
      <c r="C1491" s="39">
        <f t="shared" si="47"/>
        <v>157992929.59999999</v>
      </c>
      <c r="D1491" s="39">
        <f t="shared" si="46"/>
        <v>49111149</v>
      </c>
    </row>
    <row r="1492" spans="2:4" x14ac:dyDescent="0.25">
      <c r="B1492" s="89">
        <v>1488</v>
      </c>
      <c r="C1492" s="39">
        <f t="shared" si="47"/>
        <v>157992929.59999999</v>
      </c>
      <c r="D1492" s="39">
        <f t="shared" si="46"/>
        <v>49144176</v>
      </c>
    </row>
    <row r="1493" spans="2:4" x14ac:dyDescent="0.25">
      <c r="B1493" s="89">
        <v>1489</v>
      </c>
      <c r="C1493" s="39">
        <f t="shared" si="47"/>
        <v>157992929.59999999</v>
      </c>
      <c r="D1493" s="39">
        <f t="shared" si="46"/>
        <v>49177203</v>
      </c>
    </row>
    <row r="1494" spans="2:4" x14ac:dyDescent="0.25">
      <c r="B1494" s="89">
        <v>1490</v>
      </c>
      <c r="C1494" s="39">
        <f t="shared" si="47"/>
        <v>157992929.59999999</v>
      </c>
      <c r="D1494" s="39">
        <f t="shared" si="46"/>
        <v>49210230</v>
      </c>
    </row>
    <row r="1495" spans="2:4" x14ac:dyDescent="0.25">
      <c r="B1495" s="89">
        <v>1491</v>
      </c>
      <c r="C1495" s="39">
        <f t="shared" si="47"/>
        <v>157992929.59999999</v>
      </c>
      <c r="D1495" s="39">
        <f t="shared" si="46"/>
        <v>49243257</v>
      </c>
    </row>
    <row r="1496" spans="2:4" x14ac:dyDescent="0.25">
      <c r="B1496" s="89">
        <v>1492</v>
      </c>
      <c r="C1496" s="39">
        <f t="shared" si="47"/>
        <v>157992929.59999999</v>
      </c>
      <c r="D1496" s="39">
        <f t="shared" si="46"/>
        <v>49276284</v>
      </c>
    </row>
    <row r="1497" spans="2:4" x14ac:dyDescent="0.25">
      <c r="B1497" s="89">
        <v>1493</v>
      </c>
      <c r="C1497" s="39">
        <f t="shared" si="47"/>
        <v>157992929.59999999</v>
      </c>
      <c r="D1497" s="39">
        <f t="shared" si="46"/>
        <v>49309311</v>
      </c>
    </row>
    <row r="1498" spans="2:4" x14ac:dyDescent="0.25">
      <c r="B1498" s="89">
        <v>1494</v>
      </c>
      <c r="C1498" s="39">
        <f t="shared" si="47"/>
        <v>157992929.59999999</v>
      </c>
      <c r="D1498" s="39">
        <f t="shared" si="46"/>
        <v>49342338</v>
      </c>
    </row>
    <row r="1499" spans="2:4" x14ac:dyDescent="0.25">
      <c r="B1499" s="89">
        <v>1495</v>
      </c>
      <c r="C1499" s="39">
        <f t="shared" si="47"/>
        <v>157992929.59999999</v>
      </c>
      <c r="D1499" s="39">
        <f t="shared" si="46"/>
        <v>49375365</v>
      </c>
    </row>
    <row r="1500" spans="2:4" x14ac:dyDescent="0.25">
      <c r="B1500" s="89">
        <v>1496</v>
      </c>
      <c r="C1500" s="39">
        <f t="shared" si="47"/>
        <v>157992929.59999999</v>
      </c>
      <c r="D1500" s="39">
        <f t="shared" si="46"/>
        <v>49408392</v>
      </c>
    </row>
    <row r="1501" spans="2:4" x14ac:dyDescent="0.25">
      <c r="B1501" s="89">
        <v>1497</v>
      </c>
      <c r="C1501" s="39">
        <f t="shared" si="47"/>
        <v>157992929.59999999</v>
      </c>
      <c r="D1501" s="39">
        <f t="shared" si="46"/>
        <v>49441419</v>
      </c>
    </row>
    <row r="1502" spans="2:4" x14ac:dyDescent="0.25">
      <c r="B1502" s="89">
        <v>1498</v>
      </c>
      <c r="C1502" s="39">
        <f t="shared" si="47"/>
        <v>157992929.59999999</v>
      </c>
      <c r="D1502" s="39">
        <f t="shared" si="46"/>
        <v>49474446</v>
      </c>
    </row>
    <row r="1503" spans="2:4" x14ac:dyDescent="0.25">
      <c r="B1503" s="89">
        <v>1499</v>
      </c>
      <c r="C1503" s="39">
        <f t="shared" si="47"/>
        <v>157992929.59999999</v>
      </c>
      <c r="D1503" s="39">
        <f t="shared" si="46"/>
        <v>49507473</v>
      </c>
    </row>
    <row r="1504" spans="2:4" x14ac:dyDescent="0.25">
      <c r="B1504" s="89">
        <v>1500</v>
      </c>
      <c r="C1504" s="39">
        <f t="shared" si="47"/>
        <v>157992929.59999999</v>
      </c>
      <c r="D1504" s="39">
        <f t="shared" si="46"/>
        <v>49540500</v>
      </c>
    </row>
    <row r="1505" spans="2:4" x14ac:dyDescent="0.25">
      <c r="B1505" s="89">
        <v>1501</v>
      </c>
      <c r="C1505" s="39">
        <f t="shared" si="47"/>
        <v>157992929.59999999</v>
      </c>
      <c r="D1505" s="39">
        <f t="shared" si="46"/>
        <v>49573527</v>
      </c>
    </row>
    <row r="1506" spans="2:4" x14ac:dyDescent="0.25">
      <c r="B1506" s="89">
        <v>1502</v>
      </c>
      <c r="C1506" s="39">
        <f t="shared" si="47"/>
        <v>157992929.59999999</v>
      </c>
      <c r="D1506" s="39">
        <f t="shared" si="46"/>
        <v>49606554</v>
      </c>
    </row>
    <row r="1507" spans="2:4" x14ac:dyDescent="0.25">
      <c r="B1507" s="89">
        <v>1503</v>
      </c>
      <c r="C1507" s="39">
        <f t="shared" si="47"/>
        <v>157992929.59999999</v>
      </c>
      <c r="D1507" s="39">
        <f t="shared" si="46"/>
        <v>49639581</v>
      </c>
    </row>
    <row r="1508" spans="2:4" x14ac:dyDescent="0.25">
      <c r="B1508" s="89">
        <v>1504</v>
      </c>
      <c r="C1508" s="39">
        <f t="shared" si="47"/>
        <v>157992929.59999999</v>
      </c>
      <c r="D1508" s="39">
        <f t="shared" si="46"/>
        <v>49672608</v>
      </c>
    </row>
    <row r="1509" spans="2:4" x14ac:dyDescent="0.25">
      <c r="B1509" s="89">
        <v>1505</v>
      </c>
      <c r="C1509" s="39">
        <f t="shared" si="47"/>
        <v>157992929.59999999</v>
      </c>
      <c r="D1509" s="39">
        <f t="shared" si="46"/>
        <v>49705635</v>
      </c>
    </row>
    <row r="1510" spans="2:4" x14ac:dyDescent="0.25">
      <c r="B1510" s="89">
        <v>1506</v>
      </c>
      <c r="C1510" s="39">
        <f t="shared" si="47"/>
        <v>157992929.59999999</v>
      </c>
      <c r="D1510" s="39">
        <f t="shared" si="46"/>
        <v>49738662</v>
      </c>
    </row>
    <row r="1511" spans="2:4" x14ac:dyDescent="0.25">
      <c r="B1511" s="89">
        <v>1507</v>
      </c>
      <c r="C1511" s="39">
        <f t="shared" si="47"/>
        <v>157992929.59999999</v>
      </c>
      <c r="D1511" s="39">
        <f t="shared" si="46"/>
        <v>49771689</v>
      </c>
    </row>
    <row r="1512" spans="2:4" x14ac:dyDescent="0.25">
      <c r="B1512" s="89">
        <v>1508</v>
      </c>
      <c r="C1512" s="39">
        <f t="shared" si="47"/>
        <v>157992929.59999999</v>
      </c>
      <c r="D1512" s="39">
        <f t="shared" si="46"/>
        <v>49804716</v>
      </c>
    </row>
    <row r="1513" spans="2:4" x14ac:dyDescent="0.25">
      <c r="B1513" s="89">
        <v>1509</v>
      </c>
      <c r="C1513" s="39">
        <f t="shared" si="47"/>
        <v>157992929.59999999</v>
      </c>
      <c r="D1513" s="39">
        <f t="shared" si="46"/>
        <v>49837743</v>
      </c>
    </row>
    <row r="1514" spans="2:4" x14ac:dyDescent="0.25">
      <c r="B1514" s="89">
        <v>1510</v>
      </c>
      <c r="C1514" s="39">
        <f t="shared" si="47"/>
        <v>157992929.59999999</v>
      </c>
      <c r="D1514" s="39">
        <f t="shared" si="46"/>
        <v>49870770</v>
      </c>
    </row>
    <row r="1515" spans="2:4" x14ac:dyDescent="0.25">
      <c r="B1515" s="89">
        <v>1511</v>
      </c>
      <c r="C1515" s="39">
        <f t="shared" si="47"/>
        <v>157992929.59999999</v>
      </c>
      <c r="D1515" s="39">
        <f t="shared" si="46"/>
        <v>49903797</v>
      </c>
    </row>
    <row r="1516" spans="2:4" x14ac:dyDescent="0.25">
      <c r="B1516" s="89">
        <v>1512</v>
      </c>
      <c r="C1516" s="39">
        <f t="shared" si="47"/>
        <v>157992929.59999999</v>
      </c>
      <c r="D1516" s="39">
        <f t="shared" si="46"/>
        <v>49936824</v>
      </c>
    </row>
    <row r="1517" spans="2:4" x14ac:dyDescent="0.25">
      <c r="B1517" s="89">
        <v>1513</v>
      </c>
      <c r="C1517" s="39">
        <f t="shared" si="47"/>
        <v>157992929.59999999</v>
      </c>
      <c r="D1517" s="39">
        <f t="shared" si="46"/>
        <v>49969851</v>
      </c>
    </row>
    <row r="1518" spans="2:4" x14ac:dyDescent="0.25">
      <c r="B1518" s="89">
        <v>1514</v>
      </c>
      <c r="C1518" s="39">
        <f t="shared" si="47"/>
        <v>157992929.59999999</v>
      </c>
      <c r="D1518" s="39">
        <f t="shared" si="46"/>
        <v>50002878</v>
      </c>
    </row>
    <row r="1519" spans="2:4" x14ac:dyDescent="0.25">
      <c r="B1519" s="89">
        <v>1515</v>
      </c>
      <c r="C1519" s="39">
        <f t="shared" si="47"/>
        <v>157992929.59999999</v>
      </c>
      <c r="D1519" s="39">
        <f t="shared" si="46"/>
        <v>50035905</v>
      </c>
    </row>
    <row r="1520" spans="2:4" x14ac:dyDescent="0.25">
      <c r="B1520" s="89">
        <v>1516</v>
      </c>
      <c r="C1520" s="39">
        <f t="shared" si="47"/>
        <v>157992929.59999999</v>
      </c>
      <c r="D1520" s="39">
        <f t="shared" si="46"/>
        <v>50068932</v>
      </c>
    </row>
    <row r="1521" spans="2:4" x14ac:dyDescent="0.25">
      <c r="B1521" s="89">
        <v>1517</v>
      </c>
      <c r="C1521" s="39">
        <f t="shared" si="47"/>
        <v>157992929.59999999</v>
      </c>
      <c r="D1521" s="39">
        <f t="shared" ref="D1521:D1584" si="48">$D$2*B1521</f>
        <v>50101959</v>
      </c>
    </row>
    <row r="1522" spans="2:4" x14ac:dyDescent="0.25">
      <c r="B1522" s="89">
        <v>1518</v>
      </c>
      <c r="C1522" s="39">
        <f t="shared" si="47"/>
        <v>157992929.59999999</v>
      </c>
      <c r="D1522" s="39">
        <f t="shared" si="48"/>
        <v>50134986</v>
      </c>
    </row>
    <row r="1523" spans="2:4" x14ac:dyDescent="0.25">
      <c r="B1523" s="89">
        <v>1519</v>
      </c>
      <c r="C1523" s="39">
        <f t="shared" si="47"/>
        <v>157992929.59999999</v>
      </c>
      <c r="D1523" s="39">
        <f t="shared" si="48"/>
        <v>50168013</v>
      </c>
    </row>
    <row r="1524" spans="2:4" x14ac:dyDescent="0.25">
      <c r="B1524" s="89">
        <v>1520</v>
      </c>
      <c r="C1524" s="39">
        <f t="shared" si="47"/>
        <v>157992929.59999999</v>
      </c>
      <c r="D1524" s="39">
        <f t="shared" si="48"/>
        <v>50201040</v>
      </c>
    </row>
    <row r="1525" spans="2:4" x14ac:dyDescent="0.25">
      <c r="B1525" s="89">
        <v>1521</v>
      </c>
      <c r="C1525" s="39">
        <f t="shared" si="47"/>
        <v>157992929.59999999</v>
      </c>
      <c r="D1525" s="39">
        <f t="shared" si="48"/>
        <v>50234067</v>
      </c>
    </row>
    <row r="1526" spans="2:4" x14ac:dyDescent="0.25">
      <c r="B1526" s="89">
        <v>1522</v>
      </c>
      <c r="C1526" s="39">
        <f t="shared" si="47"/>
        <v>157992929.59999999</v>
      </c>
      <c r="D1526" s="39">
        <f t="shared" si="48"/>
        <v>50267094</v>
      </c>
    </row>
    <row r="1527" spans="2:4" x14ac:dyDescent="0.25">
      <c r="B1527" s="89">
        <v>1523</v>
      </c>
      <c r="C1527" s="39">
        <f t="shared" si="47"/>
        <v>157992929.59999999</v>
      </c>
      <c r="D1527" s="39">
        <f t="shared" si="48"/>
        <v>50300121</v>
      </c>
    </row>
    <row r="1528" spans="2:4" x14ac:dyDescent="0.25">
      <c r="B1528" s="89">
        <v>1524</v>
      </c>
      <c r="C1528" s="39">
        <f t="shared" si="47"/>
        <v>157992929.59999999</v>
      </c>
      <c r="D1528" s="39">
        <f t="shared" si="48"/>
        <v>50333148</v>
      </c>
    </row>
    <row r="1529" spans="2:4" x14ac:dyDescent="0.25">
      <c r="B1529" s="89">
        <v>1525</v>
      </c>
      <c r="C1529" s="39">
        <f t="shared" si="47"/>
        <v>157992929.59999999</v>
      </c>
      <c r="D1529" s="39">
        <f t="shared" si="48"/>
        <v>50366175</v>
      </c>
    </row>
    <row r="1530" spans="2:4" x14ac:dyDescent="0.25">
      <c r="B1530" s="89">
        <v>1526</v>
      </c>
      <c r="C1530" s="39">
        <f t="shared" si="47"/>
        <v>157992929.59999999</v>
      </c>
      <c r="D1530" s="39">
        <f t="shared" si="48"/>
        <v>50399202</v>
      </c>
    </row>
    <row r="1531" spans="2:4" x14ac:dyDescent="0.25">
      <c r="B1531" s="89">
        <v>1527</v>
      </c>
      <c r="C1531" s="39">
        <f t="shared" si="47"/>
        <v>157992929.59999999</v>
      </c>
      <c r="D1531" s="39">
        <f t="shared" si="48"/>
        <v>50432229</v>
      </c>
    </row>
    <row r="1532" spans="2:4" x14ac:dyDescent="0.25">
      <c r="B1532" s="89">
        <v>1528</v>
      </c>
      <c r="C1532" s="39">
        <f t="shared" si="47"/>
        <v>157992929.59999999</v>
      </c>
      <c r="D1532" s="39">
        <f t="shared" si="48"/>
        <v>50465256</v>
      </c>
    </row>
    <row r="1533" spans="2:4" x14ac:dyDescent="0.25">
      <c r="B1533" s="89">
        <v>1529</v>
      </c>
      <c r="C1533" s="39">
        <f t="shared" si="47"/>
        <v>157992929.59999999</v>
      </c>
      <c r="D1533" s="39">
        <f t="shared" si="48"/>
        <v>50498283</v>
      </c>
    </row>
    <row r="1534" spans="2:4" x14ac:dyDescent="0.25">
      <c r="B1534" s="89">
        <v>1530</v>
      </c>
      <c r="C1534" s="39">
        <f t="shared" si="47"/>
        <v>157992929.59999999</v>
      </c>
      <c r="D1534" s="39">
        <f t="shared" si="48"/>
        <v>50531310</v>
      </c>
    </row>
    <row r="1535" spans="2:4" x14ac:dyDescent="0.25">
      <c r="B1535" s="89">
        <v>1531</v>
      </c>
      <c r="C1535" s="39">
        <f t="shared" si="47"/>
        <v>157992929.59999999</v>
      </c>
      <c r="D1535" s="39">
        <f t="shared" si="48"/>
        <v>50564337</v>
      </c>
    </row>
    <row r="1536" spans="2:4" x14ac:dyDescent="0.25">
      <c r="B1536" s="89">
        <v>1532</v>
      </c>
      <c r="C1536" s="39">
        <f t="shared" si="47"/>
        <v>157992929.59999999</v>
      </c>
      <c r="D1536" s="39">
        <f t="shared" si="48"/>
        <v>50597364</v>
      </c>
    </row>
    <row r="1537" spans="2:4" x14ac:dyDescent="0.25">
      <c r="B1537" s="89">
        <v>1533</v>
      </c>
      <c r="C1537" s="39">
        <f t="shared" si="47"/>
        <v>157992929.59999999</v>
      </c>
      <c r="D1537" s="39">
        <f t="shared" si="48"/>
        <v>50630391</v>
      </c>
    </row>
    <row r="1538" spans="2:4" x14ac:dyDescent="0.25">
      <c r="B1538" s="89">
        <v>1534</v>
      </c>
      <c r="C1538" s="39">
        <f t="shared" si="47"/>
        <v>157992929.59999999</v>
      </c>
      <c r="D1538" s="39">
        <f t="shared" si="48"/>
        <v>50663418</v>
      </c>
    </row>
    <row r="1539" spans="2:4" x14ac:dyDescent="0.25">
      <c r="B1539" s="89">
        <v>1535</v>
      </c>
      <c r="C1539" s="39">
        <f t="shared" si="47"/>
        <v>157992929.59999999</v>
      </c>
      <c r="D1539" s="39">
        <f t="shared" si="48"/>
        <v>50696445</v>
      </c>
    </row>
    <row r="1540" spans="2:4" x14ac:dyDescent="0.25">
      <c r="B1540" s="89">
        <v>1536</v>
      </c>
      <c r="C1540" s="39">
        <f t="shared" si="47"/>
        <v>157992929.59999999</v>
      </c>
      <c r="D1540" s="39">
        <f t="shared" si="48"/>
        <v>50729472</v>
      </c>
    </row>
    <row r="1541" spans="2:4" x14ac:dyDescent="0.25">
      <c r="B1541" s="89">
        <v>1537</v>
      </c>
      <c r="C1541" s="39">
        <f t="shared" si="47"/>
        <v>157992929.59999999</v>
      </c>
      <c r="D1541" s="39">
        <f t="shared" si="48"/>
        <v>50762499</v>
      </c>
    </row>
    <row r="1542" spans="2:4" x14ac:dyDescent="0.25">
      <c r="B1542" s="89">
        <v>1538</v>
      </c>
      <c r="C1542" s="39">
        <f t="shared" ref="C1542:C1605" si="49">$C1541</f>
        <v>157992929.59999999</v>
      </c>
      <c r="D1542" s="39">
        <f t="shared" si="48"/>
        <v>50795526</v>
      </c>
    </row>
    <row r="1543" spans="2:4" x14ac:dyDescent="0.25">
      <c r="B1543" s="89">
        <v>1539</v>
      </c>
      <c r="C1543" s="39">
        <f t="shared" si="49"/>
        <v>157992929.59999999</v>
      </c>
      <c r="D1543" s="39">
        <f t="shared" si="48"/>
        <v>50828553</v>
      </c>
    </row>
    <row r="1544" spans="2:4" x14ac:dyDescent="0.25">
      <c r="B1544" s="89">
        <v>1540</v>
      </c>
      <c r="C1544" s="39">
        <f t="shared" si="49"/>
        <v>157992929.59999999</v>
      </c>
      <c r="D1544" s="39">
        <f t="shared" si="48"/>
        <v>50861580</v>
      </c>
    </row>
    <row r="1545" spans="2:4" x14ac:dyDescent="0.25">
      <c r="B1545" s="89">
        <v>1541</v>
      </c>
      <c r="C1545" s="39">
        <f t="shared" si="49"/>
        <v>157992929.59999999</v>
      </c>
      <c r="D1545" s="39">
        <f t="shared" si="48"/>
        <v>50894607</v>
      </c>
    </row>
    <row r="1546" spans="2:4" x14ac:dyDescent="0.25">
      <c r="B1546" s="89">
        <v>1542</v>
      </c>
      <c r="C1546" s="39">
        <f t="shared" si="49"/>
        <v>157992929.59999999</v>
      </c>
      <c r="D1546" s="39">
        <f t="shared" si="48"/>
        <v>50927634</v>
      </c>
    </row>
    <row r="1547" spans="2:4" x14ac:dyDescent="0.25">
      <c r="B1547" s="89">
        <v>1543</v>
      </c>
      <c r="C1547" s="39">
        <f t="shared" si="49"/>
        <v>157992929.59999999</v>
      </c>
      <c r="D1547" s="39">
        <f t="shared" si="48"/>
        <v>50960661</v>
      </c>
    </row>
    <row r="1548" spans="2:4" x14ac:dyDescent="0.25">
      <c r="B1548" s="89">
        <v>1544</v>
      </c>
      <c r="C1548" s="39">
        <f t="shared" si="49"/>
        <v>157992929.59999999</v>
      </c>
      <c r="D1548" s="39">
        <f t="shared" si="48"/>
        <v>50993688</v>
      </c>
    </row>
    <row r="1549" spans="2:4" x14ac:dyDescent="0.25">
      <c r="B1549" s="89">
        <v>1545</v>
      </c>
      <c r="C1549" s="39">
        <f t="shared" si="49"/>
        <v>157992929.59999999</v>
      </c>
      <c r="D1549" s="39">
        <f t="shared" si="48"/>
        <v>51026715</v>
      </c>
    </row>
    <row r="1550" spans="2:4" x14ac:dyDescent="0.25">
      <c r="B1550" s="89">
        <v>1546</v>
      </c>
      <c r="C1550" s="39">
        <f t="shared" si="49"/>
        <v>157992929.59999999</v>
      </c>
      <c r="D1550" s="39">
        <f t="shared" si="48"/>
        <v>51059742</v>
      </c>
    </row>
    <row r="1551" spans="2:4" x14ac:dyDescent="0.25">
      <c r="B1551" s="89">
        <v>1547</v>
      </c>
      <c r="C1551" s="39">
        <f t="shared" si="49"/>
        <v>157992929.59999999</v>
      </c>
      <c r="D1551" s="39">
        <f t="shared" si="48"/>
        <v>51092769</v>
      </c>
    </row>
    <row r="1552" spans="2:4" x14ac:dyDescent="0.25">
      <c r="B1552" s="89">
        <v>1548</v>
      </c>
      <c r="C1552" s="39">
        <f t="shared" si="49"/>
        <v>157992929.59999999</v>
      </c>
      <c r="D1552" s="39">
        <f t="shared" si="48"/>
        <v>51125796</v>
      </c>
    </row>
    <row r="1553" spans="2:4" x14ac:dyDescent="0.25">
      <c r="B1553" s="89">
        <v>1549</v>
      </c>
      <c r="C1553" s="39">
        <f t="shared" si="49"/>
        <v>157992929.59999999</v>
      </c>
      <c r="D1553" s="39">
        <f t="shared" si="48"/>
        <v>51158823</v>
      </c>
    </row>
    <row r="1554" spans="2:4" x14ac:dyDescent="0.25">
      <c r="B1554" s="89">
        <v>1550</v>
      </c>
      <c r="C1554" s="39">
        <f t="shared" si="49"/>
        <v>157992929.59999999</v>
      </c>
      <c r="D1554" s="39">
        <f t="shared" si="48"/>
        <v>51191850</v>
      </c>
    </row>
    <row r="1555" spans="2:4" x14ac:dyDescent="0.25">
      <c r="B1555" s="89">
        <v>1551</v>
      </c>
      <c r="C1555" s="39">
        <f t="shared" si="49"/>
        <v>157992929.59999999</v>
      </c>
      <c r="D1555" s="39">
        <f t="shared" si="48"/>
        <v>51224877</v>
      </c>
    </row>
    <row r="1556" spans="2:4" x14ac:dyDescent="0.25">
      <c r="B1556" s="89">
        <v>1552</v>
      </c>
      <c r="C1556" s="39">
        <f t="shared" si="49"/>
        <v>157992929.59999999</v>
      </c>
      <c r="D1556" s="39">
        <f t="shared" si="48"/>
        <v>51257904</v>
      </c>
    </row>
    <row r="1557" spans="2:4" x14ac:dyDescent="0.25">
      <c r="B1557" s="89">
        <v>1553</v>
      </c>
      <c r="C1557" s="39">
        <f t="shared" si="49"/>
        <v>157992929.59999999</v>
      </c>
      <c r="D1557" s="39">
        <f t="shared" si="48"/>
        <v>51290931</v>
      </c>
    </row>
    <row r="1558" spans="2:4" x14ac:dyDescent="0.25">
      <c r="B1558" s="89">
        <v>1554</v>
      </c>
      <c r="C1558" s="39">
        <f t="shared" si="49"/>
        <v>157992929.59999999</v>
      </c>
      <c r="D1558" s="39">
        <f t="shared" si="48"/>
        <v>51323958</v>
      </c>
    </row>
    <row r="1559" spans="2:4" x14ac:dyDescent="0.25">
      <c r="B1559" s="89">
        <v>1555</v>
      </c>
      <c r="C1559" s="39">
        <f t="shared" si="49"/>
        <v>157992929.59999999</v>
      </c>
      <c r="D1559" s="39">
        <f t="shared" si="48"/>
        <v>51356985</v>
      </c>
    </row>
    <row r="1560" spans="2:4" x14ac:dyDescent="0.25">
      <c r="B1560" s="89">
        <v>1556</v>
      </c>
      <c r="C1560" s="39">
        <f t="shared" si="49"/>
        <v>157992929.59999999</v>
      </c>
      <c r="D1560" s="39">
        <f t="shared" si="48"/>
        <v>51390012</v>
      </c>
    </row>
    <row r="1561" spans="2:4" x14ac:dyDescent="0.25">
      <c r="B1561" s="89">
        <v>1557</v>
      </c>
      <c r="C1561" s="39">
        <f t="shared" si="49"/>
        <v>157992929.59999999</v>
      </c>
      <c r="D1561" s="39">
        <f t="shared" si="48"/>
        <v>51423039</v>
      </c>
    </row>
    <row r="1562" spans="2:4" x14ac:dyDescent="0.25">
      <c r="B1562" s="89">
        <v>1558</v>
      </c>
      <c r="C1562" s="39">
        <f t="shared" si="49"/>
        <v>157992929.59999999</v>
      </c>
      <c r="D1562" s="39">
        <f t="shared" si="48"/>
        <v>51456066</v>
      </c>
    </row>
    <row r="1563" spans="2:4" x14ac:dyDescent="0.25">
      <c r="B1563" s="89">
        <v>1559</v>
      </c>
      <c r="C1563" s="39">
        <f t="shared" si="49"/>
        <v>157992929.59999999</v>
      </c>
      <c r="D1563" s="39">
        <f t="shared" si="48"/>
        <v>51489093</v>
      </c>
    </row>
    <row r="1564" spans="2:4" x14ac:dyDescent="0.25">
      <c r="B1564" s="89">
        <v>1560</v>
      </c>
      <c r="C1564" s="39">
        <f t="shared" si="49"/>
        <v>157992929.59999999</v>
      </c>
      <c r="D1564" s="39">
        <f t="shared" si="48"/>
        <v>51522120</v>
      </c>
    </row>
    <row r="1565" spans="2:4" x14ac:dyDescent="0.25">
      <c r="B1565" s="89">
        <v>1561</v>
      </c>
      <c r="C1565" s="39">
        <f t="shared" si="49"/>
        <v>157992929.59999999</v>
      </c>
      <c r="D1565" s="39">
        <f t="shared" si="48"/>
        <v>51555147</v>
      </c>
    </row>
    <row r="1566" spans="2:4" x14ac:dyDescent="0.25">
      <c r="B1566" s="89">
        <v>1562</v>
      </c>
      <c r="C1566" s="39">
        <f t="shared" si="49"/>
        <v>157992929.59999999</v>
      </c>
      <c r="D1566" s="39">
        <f t="shared" si="48"/>
        <v>51588174</v>
      </c>
    </row>
    <row r="1567" spans="2:4" x14ac:dyDescent="0.25">
      <c r="B1567" s="89">
        <v>1563</v>
      </c>
      <c r="C1567" s="39">
        <f t="shared" si="49"/>
        <v>157992929.59999999</v>
      </c>
      <c r="D1567" s="39">
        <f t="shared" si="48"/>
        <v>51621201</v>
      </c>
    </row>
    <row r="1568" spans="2:4" x14ac:dyDescent="0.25">
      <c r="B1568" s="89">
        <v>1564</v>
      </c>
      <c r="C1568" s="39">
        <f t="shared" si="49"/>
        <v>157992929.59999999</v>
      </c>
      <c r="D1568" s="39">
        <f t="shared" si="48"/>
        <v>51654228</v>
      </c>
    </row>
    <row r="1569" spans="2:4" x14ac:dyDescent="0.25">
      <c r="B1569" s="89">
        <v>1565</v>
      </c>
      <c r="C1569" s="39">
        <f t="shared" si="49"/>
        <v>157992929.59999999</v>
      </c>
      <c r="D1569" s="39">
        <f t="shared" si="48"/>
        <v>51687255</v>
      </c>
    </row>
    <row r="1570" spans="2:4" x14ac:dyDescent="0.25">
      <c r="B1570" s="89">
        <v>1566</v>
      </c>
      <c r="C1570" s="39">
        <f t="shared" si="49"/>
        <v>157992929.59999999</v>
      </c>
      <c r="D1570" s="39">
        <f t="shared" si="48"/>
        <v>51720282</v>
      </c>
    </row>
    <row r="1571" spans="2:4" x14ac:dyDescent="0.25">
      <c r="B1571" s="89">
        <v>1567</v>
      </c>
      <c r="C1571" s="39">
        <f t="shared" si="49"/>
        <v>157992929.59999999</v>
      </c>
      <c r="D1571" s="39">
        <f t="shared" si="48"/>
        <v>51753309</v>
      </c>
    </row>
    <row r="1572" spans="2:4" x14ac:dyDescent="0.25">
      <c r="B1572" s="89">
        <v>1568</v>
      </c>
      <c r="C1572" s="39">
        <f t="shared" si="49"/>
        <v>157992929.59999999</v>
      </c>
      <c r="D1572" s="39">
        <f t="shared" si="48"/>
        <v>51786336</v>
      </c>
    </row>
    <row r="1573" spans="2:4" x14ac:dyDescent="0.25">
      <c r="B1573" s="89">
        <v>1569</v>
      </c>
      <c r="C1573" s="39">
        <f t="shared" si="49"/>
        <v>157992929.59999999</v>
      </c>
      <c r="D1573" s="39">
        <f t="shared" si="48"/>
        <v>51819363</v>
      </c>
    </row>
    <row r="1574" spans="2:4" x14ac:dyDescent="0.25">
      <c r="B1574" s="89">
        <v>1570</v>
      </c>
      <c r="C1574" s="39">
        <f t="shared" si="49"/>
        <v>157992929.59999999</v>
      </c>
      <c r="D1574" s="39">
        <f t="shared" si="48"/>
        <v>51852390</v>
      </c>
    </row>
    <row r="1575" spans="2:4" x14ac:dyDescent="0.25">
      <c r="B1575" s="89">
        <v>1571</v>
      </c>
      <c r="C1575" s="39">
        <f t="shared" si="49"/>
        <v>157992929.59999999</v>
      </c>
      <c r="D1575" s="39">
        <f t="shared" si="48"/>
        <v>51885417</v>
      </c>
    </row>
    <row r="1576" spans="2:4" x14ac:dyDescent="0.25">
      <c r="B1576" s="89">
        <v>1572</v>
      </c>
      <c r="C1576" s="39">
        <f t="shared" si="49"/>
        <v>157992929.59999999</v>
      </c>
      <c r="D1576" s="39">
        <f t="shared" si="48"/>
        <v>51918444</v>
      </c>
    </row>
    <row r="1577" spans="2:4" x14ac:dyDescent="0.25">
      <c r="B1577" s="89">
        <v>1573</v>
      </c>
      <c r="C1577" s="39">
        <f t="shared" si="49"/>
        <v>157992929.59999999</v>
      </c>
      <c r="D1577" s="39">
        <f t="shared" si="48"/>
        <v>51951471</v>
      </c>
    </row>
    <row r="1578" spans="2:4" x14ac:dyDescent="0.25">
      <c r="B1578" s="89">
        <v>1574</v>
      </c>
      <c r="C1578" s="39">
        <f t="shared" si="49"/>
        <v>157992929.59999999</v>
      </c>
      <c r="D1578" s="39">
        <f t="shared" si="48"/>
        <v>51984498</v>
      </c>
    </row>
    <row r="1579" spans="2:4" x14ac:dyDescent="0.25">
      <c r="B1579" s="89">
        <v>1575</v>
      </c>
      <c r="C1579" s="39">
        <f t="shared" si="49"/>
        <v>157992929.59999999</v>
      </c>
      <c r="D1579" s="39">
        <f t="shared" si="48"/>
        <v>52017525</v>
      </c>
    </row>
    <row r="1580" spans="2:4" x14ac:dyDescent="0.25">
      <c r="B1580" s="89">
        <v>1576</v>
      </c>
      <c r="C1580" s="39">
        <f t="shared" si="49"/>
        <v>157992929.59999999</v>
      </c>
      <c r="D1580" s="39">
        <f t="shared" si="48"/>
        <v>52050552</v>
      </c>
    </row>
    <row r="1581" spans="2:4" x14ac:dyDescent="0.25">
      <c r="B1581" s="89">
        <v>1577</v>
      </c>
      <c r="C1581" s="39">
        <f t="shared" si="49"/>
        <v>157992929.59999999</v>
      </c>
      <c r="D1581" s="39">
        <f t="shared" si="48"/>
        <v>52083579</v>
      </c>
    </row>
    <row r="1582" spans="2:4" x14ac:dyDescent="0.25">
      <c r="B1582" s="89">
        <v>1578</v>
      </c>
      <c r="C1582" s="39">
        <f t="shared" si="49"/>
        <v>157992929.59999999</v>
      </c>
      <c r="D1582" s="39">
        <f t="shared" si="48"/>
        <v>52116606</v>
      </c>
    </row>
    <row r="1583" spans="2:4" x14ac:dyDescent="0.25">
      <c r="B1583" s="89">
        <v>1579</v>
      </c>
      <c r="C1583" s="39">
        <f t="shared" si="49"/>
        <v>157992929.59999999</v>
      </c>
      <c r="D1583" s="39">
        <f t="shared" si="48"/>
        <v>52149633</v>
      </c>
    </row>
    <row r="1584" spans="2:4" x14ac:dyDescent="0.25">
      <c r="B1584" s="89">
        <v>1580</v>
      </c>
      <c r="C1584" s="39">
        <f t="shared" si="49"/>
        <v>157992929.59999999</v>
      </c>
      <c r="D1584" s="39">
        <f t="shared" si="48"/>
        <v>52182660</v>
      </c>
    </row>
    <row r="1585" spans="2:4" x14ac:dyDescent="0.25">
      <c r="B1585" s="89">
        <v>1581</v>
      </c>
      <c r="C1585" s="39">
        <f t="shared" si="49"/>
        <v>157992929.59999999</v>
      </c>
      <c r="D1585" s="39">
        <f t="shared" ref="D1585:D1648" si="50">$D$2*B1585</f>
        <v>52215687</v>
      </c>
    </row>
    <row r="1586" spans="2:4" x14ac:dyDescent="0.25">
      <c r="B1586" s="89">
        <v>1582</v>
      </c>
      <c r="C1586" s="39">
        <f t="shared" si="49"/>
        <v>157992929.59999999</v>
      </c>
      <c r="D1586" s="39">
        <f t="shared" si="50"/>
        <v>52248714</v>
      </c>
    </row>
    <row r="1587" spans="2:4" x14ac:dyDescent="0.25">
      <c r="B1587" s="89">
        <v>1583</v>
      </c>
      <c r="C1587" s="39">
        <f t="shared" si="49"/>
        <v>157992929.59999999</v>
      </c>
      <c r="D1587" s="39">
        <f t="shared" si="50"/>
        <v>52281741</v>
      </c>
    </row>
    <row r="1588" spans="2:4" x14ac:dyDescent="0.25">
      <c r="B1588" s="89">
        <v>1584</v>
      </c>
      <c r="C1588" s="39">
        <f t="shared" si="49"/>
        <v>157992929.59999999</v>
      </c>
      <c r="D1588" s="39">
        <f t="shared" si="50"/>
        <v>52314768</v>
      </c>
    </row>
    <row r="1589" spans="2:4" x14ac:dyDescent="0.25">
      <c r="B1589" s="89">
        <v>1585</v>
      </c>
      <c r="C1589" s="39">
        <f t="shared" si="49"/>
        <v>157992929.59999999</v>
      </c>
      <c r="D1589" s="39">
        <f t="shared" si="50"/>
        <v>52347795</v>
      </c>
    </row>
    <row r="1590" spans="2:4" x14ac:dyDescent="0.25">
      <c r="B1590" s="89">
        <v>1586</v>
      </c>
      <c r="C1590" s="39">
        <f t="shared" si="49"/>
        <v>157992929.59999999</v>
      </c>
      <c r="D1590" s="39">
        <f t="shared" si="50"/>
        <v>52380822</v>
      </c>
    </row>
    <row r="1591" spans="2:4" x14ac:dyDescent="0.25">
      <c r="B1591" s="89">
        <v>1587</v>
      </c>
      <c r="C1591" s="39">
        <f t="shared" si="49"/>
        <v>157992929.59999999</v>
      </c>
      <c r="D1591" s="39">
        <f t="shared" si="50"/>
        <v>52413849</v>
      </c>
    </row>
    <row r="1592" spans="2:4" x14ac:dyDescent="0.25">
      <c r="B1592" s="89">
        <v>1588</v>
      </c>
      <c r="C1592" s="39">
        <f t="shared" si="49"/>
        <v>157992929.59999999</v>
      </c>
      <c r="D1592" s="39">
        <f t="shared" si="50"/>
        <v>52446876</v>
      </c>
    </row>
    <row r="1593" spans="2:4" x14ac:dyDescent="0.25">
      <c r="B1593" s="89">
        <v>1589</v>
      </c>
      <c r="C1593" s="39">
        <f t="shared" si="49"/>
        <v>157992929.59999999</v>
      </c>
      <c r="D1593" s="39">
        <f t="shared" si="50"/>
        <v>52479903</v>
      </c>
    </row>
    <row r="1594" spans="2:4" x14ac:dyDescent="0.25">
      <c r="B1594" s="89">
        <v>1590</v>
      </c>
      <c r="C1594" s="39">
        <f t="shared" si="49"/>
        <v>157992929.59999999</v>
      </c>
      <c r="D1594" s="39">
        <f t="shared" si="50"/>
        <v>52512930</v>
      </c>
    </row>
    <row r="1595" spans="2:4" x14ac:dyDescent="0.25">
      <c r="B1595" s="89">
        <v>1591</v>
      </c>
      <c r="C1595" s="39">
        <f t="shared" si="49"/>
        <v>157992929.59999999</v>
      </c>
      <c r="D1595" s="39">
        <f t="shared" si="50"/>
        <v>52545957</v>
      </c>
    </row>
    <row r="1596" spans="2:4" x14ac:dyDescent="0.25">
      <c r="B1596" s="89">
        <v>1592</v>
      </c>
      <c r="C1596" s="39">
        <f t="shared" si="49"/>
        <v>157992929.59999999</v>
      </c>
      <c r="D1596" s="39">
        <f t="shared" si="50"/>
        <v>52578984</v>
      </c>
    </row>
    <row r="1597" spans="2:4" x14ac:dyDescent="0.25">
      <c r="B1597" s="89">
        <v>1593</v>
      </c>
      <c r="C1597" s="39">
        <f t="shared" si="49"/>
        <v>157992929.59999999</v>
      </c>
      <c r="D1597" s="39">
        <f t="shared" si="50"/>
        <v>52612011</v>
      </c>
    </row>
    <row r="1598" spans="2:4" x14ac:dyDescent="0.25">
      <c r="B1598" s="89">
        <v>1594</v>
      </c>
      <c r="C1598" s="39">
        <f t="shared" si="49"/>
        <v>157992929.59999999</v>
      </c>
      <c r="D1598" s="39">
        <f t="shared" si="50"/>
        <v>52645038</v>
      </c>
    </row>
    <row r="1599" spans="2:4" x14ac:dyDescent="0.25">
      <c r="B1599" s="89">
        <v>1595</v>
      </c>
      <c r="C1599" s="39">
        <f t="shared" si="49"/>
        <v>157992929.59999999</v>
      </c>
      <c r="D1599" s="39">
        <f t="shared" si="50"/>
        <v>52678065</v>
      </c>
    </row>
    <row r="1600" spans="2:4" x14ac:dyDescent="0.25">
      <c r="B1600" s="89">
        <v>1596</v>
      </c>
      <c r="C1600" s="39">
        <f t="shared" si="49"/>
        <v>157992929.59999999</v>
      </c>
      <c r="D1600" s="39">
        <f t="shared" si="50"/>
        <v>52711092</v>
      </c>
    </row>
    <row r="1601" spans="2:4" x14ac:dyDescent="0.25">
      <c r="B1601" s="89">
        <v>1597</v>
      </c>
      <c r="C1601" s="39">
        <f t="shared" si="49"/>
        <v>157992929.59999999</v>
      </c>
      <c r="D1601" s="39">
        <f t="shared" si="50"/>
        <v>52744119</v>
      </c>
    </row>
    <row r="1602" spans="2:4" x14ac:dyDescent="0.25">
      <c r="B1602" s="89">
        <v>1598</v>
      </c>
      <c r="C1602" s="39">
        <f t="shared" si="49"/>
        <v>157992929.59999999</v>
      </c>
      <c r="D1602" s="39">
        <f t="shared" si="50"/>
        <v>52777146</v>
      </c>
    </row>
    <row r="1603" spans="2:4" x14ac:dyDescent="0.25">
      <c r="B1603" s="89">
        <v>1599</v>
      </c>
      <c r="C1603" s="39">
        <f t="shared" si="49"/>
        <v>157992929.59999999</v>
      </c>
      <c r="D1603" s="39">
        <f t="shared" si="50"/>
        <v>52810173</v>
      </c>
    </row>
    <row r="1604" spans="2:4" x14ac:dyDescent="0.25">
      <c r="B1604" s="89">
        <v>1600</v>
      </c>
      <c r="C1604" s="39">
        <f t="shared" si="49"/>
        <v>157992929.59999999</v>
      </c>
      <c r="D1604" s="39">
        <f t="shared" si="50"/>
        <v>52843200</v>
      </c>
    </row>
    <row r="1605" spans="2:4" x14ac:dyDescent="0.25">
      <c r="B1605" s="89">
        <v>1601</v>
      </c>
      <c r="C1605" s="39">
        <f t="shared" si="49"/>
        <v>157992929.59999999</v>
      </c>
      <c r="D1605" s="39">
        <f t="shared" si="50"/>
        <v>52876227</v>
      </c>
    </row>
    <row r="1606" spans="2:4" x14ac:dyDescent="0.25">
      <c r="B1606" s="89">
        <v>1602</v>
      </c>
      <c r="C1606" s="39">
        <f t="shared" ref="C1606:C1669" si="51">$C1605</f>
        <v>157992929.59999999</v>
      </c>
      <c r="D1606" s="39">
        <f t="shared" si="50"/>
        <v>52909254</v>
      </c>
    </row>
    <row r="1607" spans="2:4" x14ac:dyDescent="0.25">
      <c r="B1607" s="89">
        <v>1603</v>
      </c>
      <c r="C1607" s="39">
        <f t="shared" si="51"/>
        <v>157992929.59999999</v>
      </c>
      <c r="D1607" s="39">
        <f t="shared" si="50"/>
        <v>52942281</v>
      </c>
    </row>
    <row r="1608" spans="2:4" x14ac:dyDescent="0.25">
      <c r="B1608" s="89">
        <v>1604</v>
      </c>
      <c r="C1608" s="39">
        <f t="shared" si="51"/>
        <v>157992929.59999999</v>
      </c>
      <c r="D1608" s="39">
        <f t="shared" si="50"/>
        <v>52975308</v>
      </c>
    </row>
    <row r="1609" spans="2:4" x14ac:dyDescent="0.25">
      <c r="B1609" s="89">
        <v>1605</v>
      </c>
      <c r="C1609" s="39">
        <f t="shared" si="51"/>
        <v>157992929.59999999</v>
      </c>
      <c r="D1609" s="39">
        <f t="shared" si="50"/>
        <v>53008335</v>
      </c>
    </row>
    <row r="1610" spans="2:4" x14ac:dyDescent="0.25">
      <c r="B1610" s="89">
        <v>1606</v>
      </c>
      <c r="C1610" s="39">
        <f t="shared" si="51"/>
        <v>157992929.59999999</v>
      </c>
      <c r="D1610" s="39">
        <f t="shared" si="50"/>
        <v>53041362</v>
      </c>
    </row>
    <row r="1611" spans="2:4" x14ac:dyDescent="0.25">
      <c r="B1611" s="89">
        <v>1607</v>
      </c>
      <c r="C1611" s="39">
        <f t="shared" si="51"/>
        <v>157992929.59999999</v>
      </c>
      <c r="D1611" s="39">
        <f t="shared" si="50"/>
        <v>53074389</v>
      </c>
    </row>
    <row r="1612" spans="2:4" x14ac:dyDescent="0.25">
      <c r="B1612" s="89">
        <v>1608</v>
      </c>
      <c r="C1612" s="39">
        <f t="shared" si="51"/>
        <v>157992929.59999999</v>
      </c>
      <c r="D1612" s="39">
        <f t="shared" si="50"/>
        <v>53107416</v>
      </c>
    </row>
    <row r="1613" spans="2:4" x14ac:dyDescent="0.25">
      <c r="B1613" s="89">
        <v>1609</v>
      </c>
      <c r="C1613" s="39">
        <f t="shared" si="51"/>
        <v>157992929.59999999</v>
      </c>
      <c r="D1613" s="39">
        <f t="shared" si="50"/>
        <v>53140443</v>
      </c>
    </row>
    <row r="1614" spans="2:4" x14ac:dyDescent="0.25">
      <c r="B1614" s="89">
        <v>1610</v>
      </c>
      <c r="C1614" s="39">
        <f t="shared" si="51"/>
        <v>157992929.59999999</v>
      </c>
      <c r="D1614" s="39">
        <f t="shared" si="50"/>
        <v>53173470</v>
      </c>
    </row>
    <row r="1615" spans="2:4" x14ac:dyDescent="0.25">
      <c r="B1615" s="89">
        <v>1611</v>
      </c>
      <c r="C1615" s="39">
        <f t="shared" si="51"/>
        <v>157992929.59999999</v>
      </c>
      <c r="D1615" s="39">
        <f t="shared" si="50"/>
        <v>53206497</v>
      </c>
    </row>
    <row r="1616" spans="2:4" x14ac:dyDescent="0.25">
      <c r="B1616" s="89">
        <v>1612</v>
      </c>
      <c r="C1616" s="39">
        <f t="shared" si="51"/>
        <v>157992929.59999999</v>
      </c>
      <c r="D1616" s="39">
        <f t="shared" si="50"/>
        <v>53239524</v>
      </c>
    </row>
    <row r="1617" spans="2:4" x14ac:dyDescent="0.25">
      <c r="B1617" s="89">
        <v>1613</v>
      </c>
      <c r="C1617" s="39">
        <f t="shared" si="51"/>
        <v>157992929.59999999</v>
      </c>
      <c r="D1617" s="39">
        <f t="shared" si="50"/>
        <v>53272551</v>
      </c>
    </row>
    <row r="1618" spans="2:4" x14ac:dyDescent="0.25">
      <c r="B1618" s="89">
        <v>1614</v>
      </c>
      <c r="C1618" s="39">
        <f t="shared" si="51"/>
        <v>157992929.59999999</v>
      </c>
      <c r="D1618" s="39">
        <f t="shared" si="50"/>
        <v>53305578</v>
      </c>
    </row>
    <row r="1619" spans="2:4" x14ac:dyDescent="0.25">
      <c r="B1619" s="89">
        <v>1615</v>
      </c>
      <c r="C1619" s="39">
        <f t="shared" si="51"/>
        <v>157992929.59999999</v>
      </c>
      <c r="D1619" s="39">
        <f t="shared" si="50"/>
        <v>53338605</v>
      </c>
    </row>
    <row r="1620" spans="2:4" x14ac:dyDescent="0.25">
      <c r="B1620" s="89">
        <v>1616</v>
      </c>
      <c r="C1620" s="39">
        <f t="shared" si="51"/>
        <v>157992929.59999999</v>
      </c>
      <c r="D1620" s="39">
        <f t="shared" si="50"/>
        <v>53371632</v>
      </c>
    </row>
    <row r="1621" spans="2:4" x14ac:dyDescent="0.25">
      <c r="B1621" s="89">
        <v>1617</v>
      </c>
      <c r="C1621" s="39">
        <f t="shared" si="51"/>
        <v>157992929.59999999</v>
      </c>
      <c r="D1621" s="39">
        <f t="shared" si="50"/>
        <v>53404659</v>
      </c>
    </row>
    <row r="1622" spans="2:4" x14ac:dyDescent="0.25">
      <c r="B1622" s="89">
        <v>1618</v>
      </c>
      <c r="C1622" s="39">
        <f t="shared" si="51"/>
        <v>157992929.59999999</v>
      </c>
      <c r="D1622" s="39">
        <f t="shared" si="50"/>
        <v>53437686</v>
      </c>
    </row>
    <row r="1623" spans="2:4" x14ac:dyDescent="0.25">
      <c r="B1623" s="89">
        <v>1619</v>
      </c>
      <c r="C1623" s="39">
        <f t="shared" si="51"/>
        <v>157992929.59999999</v>
      </c>
      <c r="D1623" s="39">
        <f t="shared" si="50"/>
        <v>53470713</v>
      </c>
    </row>
    <row r="1624" spans="2:4" x14ac:dyDescent="0.25">
      <c r="B1624" s="89">
        <v>1620</v>
      </c>
      <c r="C1624" s="39">
        <f t="shared" si="51"/>
        <v>157992929.59999999</v>
      </c>
      <c r="D1624" s="39">
        <f t="shared" si="50"/>
        <v>53503740</v>
      </c>
    </row>
    <row r="1625" spans="2:4" x14ac:dyDescent="0.25">
      <c r="B1625" s="89">
        <v>1621</v>
      </c>
      <c r="C1625" s="39">
        <f t="shared" si="51"/>
        <v>157992929.59999999</v>
      </c>
      <c r="D1625" s="39">
        <f t="shared" si="50"/>
        <v>53536767</v>
      </c>
    </row>
    <row r="1626" spans="2:4" x14ac:dyDescent="0.25">
      <c r="B1626" s="89">
        <v>1622</v>
      </c>
      <c r="C1626" s="39">
        <f t="shared" si="51"/>
        <v>157992929.59999999</v>
      </c>
      <c r="D1626" s="39">
        <f t="shared" si="50"/>
        <v>53569794</v>
      </c>
    </row>
    <row r="1627" spans="2:4" x14ac:dyDescent="0.25">
      <c r="B1627" s="89">
        <v>1623</v>
      </c>
      <c r="C1627" s="39">
        <f t="shared" si="51"/>
        <v>157992929.59999999</v>
      </c>
      <c r="D1627" s="39">
        <f t="shared" si="50"/>
        <v>53602821</v>
      </c>
    </row>
    <row r="1628" spans="2:4" x14ac:dyDescent="0.25">
      <c r="B1628" s="89">
        <v>1624</v>
      </c>
      <c r="C1628" s="39">
        <f t="shared" si="51"/>
        <v>157992929.59999999</v>
      </c>
      <c r="D1628" s="39">
        <f t="shared" si="50"/>
        <v>53635848</v>
      </c>
    </row>
    <row r="1629" spans="2:4" x14ac:dyDescent="0.25">
      <c r="B1629" s="89">
        <v>1625</v>
      </c>
      <c r="C1629" s="39">
        <f t="shared" si="51"/>
        <v>157992929.59999999</v>
      </c>
      <c r="D1629" s="39">
        <f t="shared" si="50"/>
        <v>53668875</v>
      </c>
    </row>
    <row r="1630" spans="2:4" x14ac:dyDescent="0.25">
      <c r="B1630" s="89">
        <v>1626</v>
      </c>
      <c r="C1630" s="39">
        <f t="shared" si="51"/>
        <v>157992929.59999999</v>
      </c>
      <c r="D1630" s="39">
        <f t="shared" si="50"/>
        <v>53701902</v>
      </c>
    </row>
    <row r="1631" spans="2:4" x14ac:dyDescent="0.25">
      <c r="B1631" s="89">
        <v>1627</v>
      </c>
      <c r="C1631" s="39">
        <f t="shared" si="51"/>
        <v>157992929.59999999</v>
      </c>
      <c r="D1631" s="39">
        <f t="shared" si="50"/>
        <v>53734929</v>
      </c>
    </row>
    <row r="1632" spans="2:4" x14ac:dyDescent="0.25">
      <c r="B1632" s="89">
        <v>1628</v>
      </c>
      <c r="C1632" s="39">
        <f t="shared" si="51"/>
        <v>157992929.59999999</v>
      </c>
      <c r="D1632" s="39">
        <f t="shared" si="50"/>
        <v>53767956</v>
      </c>
    </row>
    <row r="1633" spans="2:4" x14ac:dyDescent="0.25">
      <c r="B1633" s="89">
        <v>1629</v>
      </c>
      <c r="C1633" s="39">
        <f t="shared" si="51"/>
        <v>157992929.59999999</v>
      </c>
      <c r="D1633" s="39">
        <f t="shared" si="50"/>
        <v>53800983</v>
      </c>
    </row>
    <row r="1634" spans="2:4" x14ac:dyDescent="0.25">
      <c r="B1634" s="89">
        <v>1630</v>
      </c>
      <c r="C1634" s="39">
        <f t="shared" si="51"/>
        <v>157992929.59999999</v>
      </c>
      <c r="D1634" s="39">
        <f t="shared" si="50"/>
        <v>53834010</v>
      </c>
    </row>
    <row r="1635" spans="2:4" x14ac:dyDescent="0.25">
      <c r="B1635" s="89">
        <v>1631</v>
      </c>
      <c r="C1635" s="39">
        <f t="shared" si="51"/>
        <v>157992929.59999999</v>
      </c>
      <c r="D1635" s="39">
        <f t="shared" si="50"/>
        <v>53867037</v>
      </c>
    </row>
    <row r="1636" spans="2:4" x14ac:dyDescent="0.25">
      <c r="B1636" s="89">
        <v>1632</v>
      </c>
      <c r="C1636" s="39">
        <f t="shared" si="51"/>
        <v>157992929.59999999</v>
      </c>
      <c r="D1636" s="39">
        <f t="shared" si="50"/>
        <v>53900064</v>
      </c>
    </row>
    <row r="1637" spans="2:4" x14ac:dyDescent="0.25">
      <c r="B1637" s="89">
        <v>1633</v>
      </c>
      <c r="C1637" s="39">
        <f t="shared" si="51"/>
        <v>157992929.59999999</v>
      </c>
      <c r="D1637" s="39">
        <f t="shared" si="50"/>
        <v>53933091</v>
      </c>
    </row>
    <row r="1638" spans="2:4" x14ac:dyDescent="0.25">
      <c r="B1638" s="89">
        <v>1634</v>
      </c>
      <c r="C1638" s="39">
        <f t="shared" si="51"/>
        <v>157992929.59999999</v>
      </c>
      <c r="D1638" s="39">
        <f t="shared" si="50"/>
        <v>53966118</v>
      </c>
    </row>
    <row r="1639" spans="2:4" x14ac:dyDescent="0.25">
      <c r="B1639" s="89">
        <v>1635</v>
      </c>
      <c r="C1639" s="39">
        <f t="shared" si="51"/>
        <v>157992929.59999999</v>
      </c>
      <c r="D1639" s="39">
        <f t="shared" si="50"/>
        <v>53999145</v>
      </c>
    </row>
    <row r="1640" spans="2:4" x14ac:dyDescent="0.25">
      <c r="B1640" s="89">
        <v>1636</v>
      </c>
      <c r="C1640" s="39">
        <f t="shared" si="51"/>
        <v>157992929.59999999</v>
      </c>
      <c r="D1640" s="39">
        <f t="shared" si="50"/>
        <v>54032172</v>
      </c>
    </row>
    <row r="1641" spans="2:4" x14ac:dyDescent="0.25">
      <c r="B1641" s="89">
        <v>1637</v>
      </c>
      <c r="C1641" s="39">
        <f t="shared" si="51"/>
        <v>157992929.59999999</v>
      </c>
      <c r="D1641" s="39">
        <f t="shared" si="50"/>
        <v>54065199</v>
      </c>
    </row>
    <row r="1642" spans="2:4" x14ac:dyDescent="0.25">
      <c r="B1642" s="89">
        <v>1638</v>
      </c>
      <c r="C1642" s="39">
        <f t="shared" si="51"/>
        <v>157992929.59999999</v>
      </c>
      <c r="D1642" s="39">
        <f t="shared" si="50"/>
        <v>54098226</v>
      </c>
    </row>
    <row r="1643" spans="2:4" x14ac:dyDescent="0.25">
      <c r="B1643" s="89">
        <v>1639</v>
      </c>
      <c r="C1643" s="39">
        <f t="shared" si="51"/>
        <v>157992929.59999999</v>
      </c>
      <c r="D1643" s="39">
        <f t="shared" si="50"/>
        <v>54131253</v>
      </c>
    </row>
    <row r="1644" spans="2:4" x14ac:dyDescent="0.25">
      <c r="B1644" s="89">
        <v>1640</v>
      </c>
      <c r="C1644" s="39">
        <f t="shared" si="51"/>
        <v>157992929.59999999</v>
      </c>
      <c r="D1644" s="39">
        <f t="shared" si="50"/>
        <v>54164280</v>
      </c>
    </row>
    <row r="1645" spans="2:4" x14ac:dyDescent="0.25">
      <c r="B1645" s="89">
        <v>1641</v>
      </c>
      <c r="C1645" s="39">
        <f t="shared" si="51"/>
        <v>157992929.59999999</v>
      </c>
      <c r="D1645" s="39">
        <f t="shared" si="50"/>
        <v>54197307</v>
      </c>
    </row>
    <row r="1646" spans="2:4" x14ac:dyDescent="0.25">
      <c r="B1646" s="89">
        <v>1642</v>
      </c>
      <c r="C1646" s="39">
        <f t="shared" si="51"/>
        <v>157992929.59999999</v>
      </c>
      <c r="D1646" s="39">
        <f t="shared" si="50"/>
        <v>54230334</v>
      </c>
    </row>
    <row r="1647" spans="2:4" x14ac:dyDescent="0.25">
      <c r="B1647" s="89">
        <v>1643</v>
      </c>
      <c r="C1647" s="39">
        <f t="shared" si="51"/>
        <v>157992929.59999999</v>
      </c>
      <c r="D1647" s="39">
        <f t="shared" si="50"/>
        <v>54263361</v>
      </c>
    </row>
    <row r="1648" spans="2:4" x14ac:dyDescent="0.25">
      <c r="B1648" s="89">
        <v>1644</v>
      </c>
      <c r="C1648" s="39">
        <f t="shared" si="51"/>
        <v>157992929.59999999</v>
      </c>
      <c r="D1648" s="39">
        <f t="shared" si="50"/>
        <v>54296388</v>
      </c>
    </row>
    <row r="1649" spans="2:4" x14ac:dyDescent="0.25">
      <c r="B1649" s="89">
        <v>1645</v>
      </c>
      <c r="C1649" s="39">
        <f t="shared" si="51"/>
        <v>157992929.59999999</v>
      </c>
      <c r="D1649" s="39">
        <f t="shared" ref="D1649:D1712" si="52">$D$2*B1649</f>
        <v>54329415</v>
      </c>
    </row>
    <row r="1650" spans="2:4" x14ac:dyDescent="0.25">
      <c r="B1650" s="89">
        <v>1646</v>
      </c>
      <c r="C1650" s="39">
        <f t="shared" si="51"/>
        <v>157992929.59999999</v>
      </c>
      <c r="D1650" s="39">
        <f t="shared" si="52"/>
        <v>54362442</v>
      </c>
    </row>
    <row r="1651" spans="2:4" x14ac:dyDescent="0.25">
      <c r="B1651" s="89">
        <v>1647</v>
      </c>
      <c r="C1651" s="39">
        <f t="shared" si="51"/>
        <v>157992929.59999999</v>
      </c>
      <c r="D1651" s="39">
        <f t="shared" si="52"/>
        <v>54395469</v>
      </c>
    </row>
    <row r="1652" spans="2:4" x14ac:dyDescent="0.25">
      <c r="B1652" s="89">
        <v>1648</v>
      </c>
      <c r="C1652" s="39">
        <f t="shared" si="51"/>
        <v>157992929.59999999</v>
      </c>
      <c r="D1652" s="39">
        <f t="shared" si="52"/>
        <v>54428496</v>
      </c>
    </row>
    <row r="1653" spans="2:4" x14ac:dyDescent="0.25">
      <c r="B1653" s="89">
        <v>1649</v>
      </c>
      <c r="C1653" s="39">
        <f t="shared" si="51"/>
        <v>157992929.59999999</v>
      </c>
      <c r="D1653" s="39">
        <f t="shared" si="52"/>
        <v>54461523</v>
      </c>
    </row>
    <row r="1654" spans="2:4" x14ac:dyDescent="0.25">
      <c r="B1654" s="89">
        <v>1650</v>
      </c>
      <c r="C1654" s="39">
        <f t="shared" si="51"/>
        <v>157992929.59999999</v>
      </c>
      <c r="D1654" s="39">
        <f t="shared" si="52"/>
        <v>54494550</v>
      </c>
    </row>
    <row r="1655" spans="2:4" x14ac:dyDescent="0.25">
      <c r="B1655" s="89">
        <v>1651</v>
      </c>
      <c r="C1655" s="39">
        <f t="shared" si="51"/>
        <v>157992929.59999999</v>
      </c>
      <c r="D1655" s="39">
        <f t="shared" si="52"/>
        <v>54527577</v>
      </c>
    </row>
    <row r="1656" spans="2:4" x14ac:dyDescent="0.25">
      <c r="B1656" s="89">
        <v>1652</v>
      </c>
      <c r="C1656" s="39">
        <f t="shared" si="51"/>
        <v>157992929.59999999</v>
      </c>
      <c r="D1656" s="39">
        <f t="shared" si="52"/>
        <v>54560604</v>
      </c>
    </row>
    <row r="1657" spans="2:4" x14ac:dyDescent="0.25">
      <c r="B1657" s="89">
        <v>1653</v>
      </c>
      <c r="C1657" s="39">
        <f t="shared" si="51"/>
        <v>157992929.59999999</v>
      </c>
      <c r="D1657" s="39">
        <f t="shared" si="52"/>
        <v>54593631</v>
      </c>
    </row>
    <row r="1658" spans="2:4" x14ac:dyDescent="0.25">
      <c r="B1658" s="89">
        <v>1654</v>
      </c>
      <c r="C1658" s="39">
        <f t="shared" si="51"/>
        <v>157992929.59999999</v>
      </c>
      <c r="D1658" s="39">
        <f t="shared" si="52"/>
        <v>54626658</v>
      </c>
    </row>
    <row r="1659" spans="2:4" x14ac:dyDescent="0.25">
      <c r="B1659" s="89">
        <v>1655</v>
      </c>
      <c r="C1659" s="39">
        <f t="shared" si="51"/>
        <v>157992929.59999999</v>
      </c>
      <c r="D1659" s="39">
        <f t="shared" si="52"/>
        <v>54659685</v>
      </c>
    </row>
    <row r="1660" spans="2:4" x14ac:dyDescent="0.25">
      <c r="B1660" s="89">
        <v>1656</v>
      </c>
      <c r="C1660" s="39">
        <f t="shared" si="51"/>
        <v>157992929.59999999</v>
      </c>
      <c r="D1660" s="39">
        <f t="shared" si="52"/>
        <v>54692712</v>
      </c>
    </row>
    <row r="1661" spans="2:4" x14ac:dyDescent="0.25">
      <c r="B1661" s="89">
        <v>1657</v>
      </c>
      <c r="C1661" s="39">
        <f t="shared" si="51"/>
        <v>157992929.59999999</v>
      </c>
      <c r="D1661" s="39">
        <f t="shared" si="52"/>
        <v>54725739</v>
      </c>
    </row>
    <row r="1662" spans="2:4" x14ac:dyDescent="0.25">
      <c r="B1662" s="89">
        <v>1658</v>
      </c>
      <c r="C1662" s="39">
        <f t="shared" si="51"/>
        <v>157992929.59999999</v>
      </c>
      <c r="D1662" s="39">
        <f t="shared" si="52"/>
        <v>54758766</v>
      </c>
    </row>
    <row r="1663" spans="2:4" x14ac:dyDescent="0.25">
      <c r="B1663" s="89">
        <v>1659</v>
      </c>
      <c r="C1663" s="39">
        <f t="shared" si="51"/>
        <v>157992929.59999999</v>
      </c>
      <c r="D1663" s="39">
        <f t="shared" si="52"/>
        <v>54791793</v>
      </c>
    </row>
    <row r="1664" spans="2:4" x14ac:dyDescent="0.25">
      <c r="B1664" s="89">
        <v>1660</v>
      </c>
      <c r="C1664" s="39">
        <f t="shared" si="51"/>
        <v>157992929.59999999</v>
      </c>
      <c r="D1664" s="39">
        <f t="shared" si="52"/>
        <v>54824820</v>
      </c>
    </row>
    <row r="1665" spans="2:4" x14ac:dyDescent="0.25">
      <c r="B1665" s="89">
        <v>1661</v>
      </c>
      <c r="C1665" s="39">
        <f t="shared" si="51"/>
        <v>157992929.59999999</v>
      </c>
      <c r="D1665" s="39">
        <f t="shared" si="52"/>
        <v>54857847</v>
      </c>
    </row>
    <row r="1666" spans="2:4" x14ac:dyDescent="0.25">
      <c r="B1666" s="89">
        <v>1662</v>
      </c>
      <c r="C1666" s="39">
        <f t="shared" si="51"/>
        <v>157992929.59999999</v>
      </c>
      <c r="D1666" s="39">
        <f t="shared" si="52"/>
        <v>54890874</v>
      </c>
    </row>
    <row r="1667" spans="2:4" x14ac:dyDescent="0.25">
      <c r="B1667" s="89">
        <v>1663</v>
      </c>
      <c r="C1667" s="39">
        <f t="shared" si="51"/>
        <v>157992929.59999999</v>
      </c>
      <c r="D1667" s="39">
        <f t="shared" si="52"/>
        <v>54923901</v>
      </c>
    </row>
    <row r="1668" spans="2:4" x14ac:dyDescent="0.25">
      <c r="B1668" s="89">
        <v>1664</v>
      </c>
      <c r="C1668" s="39">
        <f t="shared" si="51"/>
        <v>157992929.59999999</v>
      </c>
      <c r="D1668" s="39">
        <f t="shared" si="52"/>
        <v>54956928</v>
      </c>
    </row>
    <row r="1669" spans="2:4" x14ac:dyDescent="0.25">
      <c r="B1669" s="89">
        <v>1665</v>
      </c>
      <c r="C1669" s="39">
        <f t="shared" si="51"/>
        <v>157992929.59999999</v>
      </c>
      <c r="D1669" s="39">
        <f t="shared" si="52"/>
        <v>54989955</v>
      </c>
    </row>
    <row r="1670" spans="2:4" x14ac:dyDescent="0.25">
      <c r="B1670" s="89">
        <v>1666</v>
      </c>
      <c r="C1670" s="39">
        <f t="shared" ref="C1670:C1733" si="53">$C1669</f>
        <v>157992929.59999999</v>
      </c>
      <c r="D1670" s="39">
        <f t="shared" si="52"/>
        <v>55022982</v>
      </c>
    </row>
    <row r="1671" spans="2:4" x14ac:dyDescent="0.25">
      <c r="B1671" s="89">
        <v>1667</v>
      </c>
      <c r="C1671" s="39">
        <f t="shared" si="53"/>
        <v>157992929.59999999</v>
      </c>
      <c r="D1671" s="39">
        <f t="shared" si="52"/>
        <v>55056009</v>
      </c>
    </row>
    <row r="1672" spans="2:4" x14ac:dyDescent="0.25">
      <c r="B1672" s="89">
        <v>1668</v>
      </c>
      <c r="C1672" s="39">
        <f t="shared" si="53"/>
        <v>157992929.59999999</v>
      </c>
      <c r="D1672" s="39">
        <f t="shared" si="52"/>
        <v>55089036</v>
      </c>
    </row>
    <row r="1673" spans="2:4" x14ac:dyDescent="0.25">
      <c r="B1673" s="89">
        <v>1669</v>
      </c>
      <c r="C1673" s="39">
        <f t="shared" si="53"/>
        <v>157992929.59999999</v>
      </c>
      <c r="D1673" s="39">
        <f t="shared" si="52"/>
        <v>55122063</v>
      </c>
    </row>
    <row r="1674" spans="2:4" x14ac:dyDescent="0.25">
      <c r="B1674" s="89">
        <v>1670</v>
      </c>
      <c r="C1674" s="39">
        <f t="shared" si="53"/>
        <v>157992929.59999999</v>
      </c>
      <c r="D1674" s="39">
        <f t="shared" si="52"/>
        <v>55155090</v>
      </c>
    </row>
    <row r="1675" spans="2:4" x14ac:dyDescent="0.25">
      <c r="B1675" s="89">
        <v>1671</v>
      </c>
      <c r="C1675" s="39">
        <f t="shared" si="53"/>
        <v>157992929.59999999</v>
      </c>
      <c r="D1675" s="39">
        <f t="shared" si="52"/>
        <v>55188117</v>
      </c>
    </row>
    <row r="1676" spans="2:4" x14ac:dyDescent="0.25">
      <c r="B1676" s="89">
        <v>1672</v>
      </c>
      <c r="C1676" s="39">
        <f t="shared" si="53"/>
        <v>157992929.59999999</v>
      </c>
      <c r="D1676" s="39">
        <f t="shared" si="52"/>
        <v>55221144</v>
      </c>
    </row>
    <row r="1677" spans="2:4" x14ac:dyDescent="0.25">
      <c r="B1677" s="89">
        <v>1673</v>
      </c>
      <c r="C1677" s="39">
        <f t="shared" si="53"/>
        <v>157992929.59999999</v>
      </c>
      <c r="D1677" s="39">
        <f t="shared" si="52"/>
        <v>55254171</v>
      </c>
    </row>
    <row r="1678" spans="2:4" x14ac:dyDescent="0.25">
      <c r="B1678" s="89">
        <v>1674</v>
      </c>
      <c r="C1678" s="39">
        <f t="shared" si="53"/>
        <v>157992929.59999999</v>
      </c>
      <c r="D1678" s="39">
        <f t="shared" si="52"/>
        <v>55287198</v>
      </c>
    </row>
    <row r="1679" spans="2:4" x14ac:dyDescent="0.25">
      <c r="B1679" s="89">
        <v>1675</v>
      </c>
      <c r="C1679" s="39">
        <f t="shared" si="53"/>
        <v>157992929.59999999</v>
      </c>
      <c r="D1679" s="39">
        <f t="shared" si="52"/>
        <v>55320225</v>
      </c>
    </row>
    <row r="1680" spans="2:4" x14ac:dyDescent="0.25">
      <c r="B1680" s="89">
        <v>1676</v>
      </c>
      <c r="C1680" s="39">
        <f t="shared" si="53"/>
        <v>157992929.59999999</v>
      </c>
      <c r="D1680" s="39">
        <f t="shared" si="52"/>
        <v>55353252</v>
      </c>
    </row>
    <row r="1681" spans="2:4" x14ac:dyDescent="0.25">
      <c r="B1681" s="89">
        <v>1677</v>
      </c>
      <c r="C1681" s="39">
        <f t="shared" si="53"/>
        <v>157992929.59999999</v>
      </c>
      <c r="D1681" s="39">
        <f t="shared" si="52"/>
        <v>55386279</v>
      </c>
    </row>
    <row r="1682" spans="2:4" x14ac:dyDescent="0.25">
      <c r="B1682" s="89">
        <v>1678</v>
      </c>
      <c r="C1682" s="39">
        <f t="shared" si="53"/>
        <v>157992929.59999999</v>
      </c>
      <c r="D1682" s="39">
        <f t="shared" si="52"/>
        <v>55419306</v>
      </c>
    </row>
    <row r="1683" spans="2:4" x14ac:dyDescent="0.25">
      <c r="B1683" s="89">
        <v>1679</v>
      </c>
      <c r="C1683" s="39">
        <f t="shared" si="53"/>
        <v>157992929.59999999</v>
      </c>
      <c r="D1683" s="39">
        <f t="shared" si="52"/>
        <v>55452333</v>
      </c>
    </row>
    <row r="1684" spans="2:4" x14ac:dyDescent="0.25">
      <c r="B1684" s="89">
        <v>1680</v>
      </c>
      <c r="C1684" s="39">
        <f t="shared" si="53"/>
        <v>157992929.59999999</v>
      </c>
      <c r="D1684" s="39">
        <f t="shared" si="52"/>
        <v>55485360</v>
      </c>
    </row>
    <row r="1685" spans="2:4" x14ac:dyDescent="0.25">
      <c r="B1685" s="89">
        <v>1681</v>
      </c>
      <c r="C1685" s="39">
        <f t="shared" si="53"/>
        <v>157992929.59999999</v>
      </c>
      <c r="D1685" s="39">
        <f t="shared" si="52"/>
        <v>55518387</v>
      </c>
    </row>
    <row r="1686" spans="2:4" x14ac:dyDescent="0.25">
      <c r="B1686" s="89">
        <v>1682</v>
      </c>
      <c r="C1686" s="39">
        <f t="shared" si="53"/>
        <v>157992929.59999999</v>
      </c>
      <c r="D1686" s="39">
        <f t="shared" si="52"/>
        <v>55551414</v>
      </c>
    </row>
    <row r="1687" spans="2:4" x14ac:dyDescent="0.25">
      <c r="B1687" s="89">
        <v>1683</v>
      </c>
      <c r="C1687" s="39">
        <f t="shared" si="53"/>
        <v>157992929.59999999</v>
      </c>
      <c r="D1687" s="39">
        <f t="shared" si="52"/>
        <v>55584441</v>
      </c>
    </row>
    <row r="1688" spans="2:4" x14ac:dyDescent="0.25">
      <c r="B1688" s="89">
        <v>1684</v>
      </c>
      <c r="C1688" s="39">
        <f t="shared" si="53"/>
        <v>157992929.59999999</v>
      </c>
      <c r="D1688" s="39">
        <f t="shared" si="52"/>
        <v>55617468</v>
      </c>
    </row>
    <row r="1689" spans="2:4" x14ac:dyDescent="0.25">
      <c r="B1689" s="89">
        <v>1685</v>
      </c>
      <c r="C1689" s="39">
        <f t="shared" si="53"/>
        <v>157992929.59999999</v>
      </c>
      <c r="D1689" s="39">
        <f t="shared" si="52"/>
        <v>55650495</v>
      </c>
    </row>
    <row r="1690" spans="2:4" x14ac:dyDescent="0.25">
      <c r="B1690" s="89">
        <v>1686</v>
      </c>
      <c r="C1690" s="39">
        <f t="shared" si="53"/>
        <v>157992929.59999999</v>
      </c>
      <c r="D1690" s="39">
        <f t="shared" si="52"/>
        <v>55683522</v>
      </c>
    </row>
    <row r="1691" spans="2:4" x14ac:dyDescent="0.25">
      <c r="B1691" s="89">
        <v>1687</v>
      </c>
      <c r="C1691" s="39">
        <f t="shared" si="53"/>
        <v>157992929.59999999</v>
      </c>
      <c r="D1691" s="39">
        <f t="shared" si="52"/>
        <v>55716549</v>
      </c>
    </row>
    <row r="1692" spans="2:4" x14ac:dyDescent="0.25">
      <c r="B1692" s="89">
        <v>1688</v>
      </c>
      <c r="C1692" s="39">
        <f t="shared" si="53"/>
        <v>157992929.59999999</v>
      </c>
      <c r="D1692" s="39">
        <f t="shared" si="52"/>
        <v>55749576</v>
      </c>
    </row>
    <row r="1693" spans="2:4" x14ac:dyDescent="0.25">
      <c r="B1693" s="89">
        <v>1689</v>
      </c>
      <c r="C1693" s="39">
        <f t="shared" si="53"/>
        <v>157992929.59999999</v>
      </c>
      <c r="D1693" s="39">
        <f t="shared" si="52"/>
        <v>55782603</v>
      </c>
    </row>
    <row r="1694" spans="2:4" x14ac:dyDescent="0.25">
      <c r="B1694" s="89">
        <v>1690</v>
      </c>
      <c r="C1694" s="39">
        <f t="shared" si="53"/>
        <v>157992929.59999999</v>
      </c>
      <c r="D1694" s="39">
        <f t="shared" si="52"/>
        <v>55815630</v>
      </c>
    </row>
    <row r="1695" spans="2:4" x14ac:dyDescent="0.25">
      <c r="B1695" s="89">
        <v>1691</v>
      </c>
      <c r="C1695" s="39">
        <f t="shared" si="53"/>
        <v>157992929.59999999</v>
      </c>
      <c r="D1695" s="39">
        <f t="shared" si="52"/>
        <v>55848657</v>
      </c>
    </row>
    <row r="1696" spans="2:4" x14ac:dyDescent="0.25">
      <c r="B1696" s="89">
        <v>1692</v>
      </c>
      <c r="C1696" s="39">
        <f t="shared" si="53"/>
        <v>157992929.59999999</v>
      </c>
      <c r="D1696" s="39">
        <f t="shared" si="52"/>
        <v>55881684</v>
      </c>
    </row>
    <row r="1697" spans="2:4" x14ac:dyDescent="0.25">
      <c r="B1697" s="89">
        <v>1693</v>
      </c>
      <c r="C1697" s="39">
        <f t="shared" si="53"/>
        <v>157992929.59999999</v>
      </c>
      <c r="D1697" s="39">
        <f t="shared" si="52"/>
        <v>55914711</v>
      </c>
    </row>
    <row r="1698" spans="2:4" x14ac:dyDescent="0.25">
      <c r="B1698" s="89">
        <v>1694</v>
      </c>
      <c r="C1698" s="39">
        <f t="shared" si="53"/>
        <v>157992929.59999999</v>
      </c>
      <c r="D1698" s="39">
        <f t="shared" si="52"/>
        <v>55947738</v>
      </c>
    </row>
    <row r="1699" spans="2:4" x14ac:dyDescent="0.25">
      <c r="B1699" s="89">
        <v>1695</v>
      </c>
      <c r="C1699" s="39">
        <f t="shared" si="53"/>
        <v>157992929.59999999</v>
      </c>
      <c r="D1699" s="39">
        <f t="shared" si="52"/>
        <v>55980765</v>
      </c>
    </row>
    <row r="1700" spans="2:4" x14ac:dyDescent="0.25">
      <c r="B1700" s="89">
        <v>1696</v>
      </c>
      <c r="C1700" s="39">
        <f t="shared" si="53"/>
        <v>157992929.59999999</v>
      </c>
      <c r="D1700" s="39">
        <f t="shared" si="52"/>
        <v>56013792</v>
      </c>
    </row>
    <row r="1701" spans="2:4" x14ac:dyDescent="0.25">
      <c r="B1701" s="89">
        <v>1697</v>
      </c>
      <c r="C1701" s="39">
        <f t="shared" si="53"/>
        <v>157992929.59999999</v>
      </c>
      <c r="D1701" s="39">
        <f t="shared" si="52"/>
        <v>56046819</v>
      </c>
    </row>
    <row r="1702" spans="2:4" x14ac:dyDescent="0.25">
      <c r="B1702" s="89">
        <v>1698</v>
      </c>
      <c r="C1702" s="39">
        <f t="shared" si="53"/>
        <v>157992929.59999999</v>
      </c>
      <c r="D1702" s="39">
        <f t="shared" si="52"/>
        <v>56079846</v>
      </c>
    </row>
    <row r="1703" spans="2:4" x14ac:dyDescent="0.25">
      <c r="B1703" s="89">
        <v>1699</v>
      </c>
      <c r="C1703" s="39">
        <f t="shared" si="53"/>
        <v>157992929.59999999</v>
      </c>
      <c r="D1703" s="39">
        <f t="shared" si="52"/>
        <v>56112873</v>
      </c>
    </row>
    <row r="1704" spans="2:4" x14ac:dyDescent="0.25">
      <c r="B1704" s="89">
        <v>1700</v>
      </c>
      <c r="C1704" s="39">
        <f t="shared" si="53"/>
        <v>157992929.59999999</v>
      </c>
      <c r="D1704" s="39">
        <f t="shared" si="52"/>
        <v>56145900</v>
      </c>
    </row>
    <row r="1705" spans="2:4" x14ac:dyDescent="0.25">
      <c r="B1705" s="89">
        <v>1701</v>
      </c>
      <c r="C1705" s="39">
        <f t="shared" si="53"/>
        <v>157992929.59999999</v>
      </c>
      <c r="D1705" s="39">
        <f t="shared" si="52"/>
        <v>56178927</v>
      </c>
    </row>
    <row r="1706" spans="2:4" x14ac:dyDescent="0.25">
      <c r="B1706" s="89">
        <v>1702</v>
      </c>
      <c r="C1706" s="39">
        <f t="shared" si="53"/>
        <v>157992929.59999999</v>
      </c>
      <c r="D1706" s="39">
        <f t="shared" si="52"/>
        <v>56211954</v>
      </c>
    </row>
    <row r="1707" spans="2:4" x14ac:dyDescent="0.25">
      <c r="B1707" s="89">
        <v>1703</v>
      </c>
      <c r="C1707" s="39">
        <f t="shared" si="53"/>
        <v>157992929.59999999</v>
      </c>
      <c r="D1707" s="39">
        <f t="shared" si="52"/>
        <v>56244981</v>
      </c>
    </row>
    <row r="1708" spans="2:4" x14ac:dyDescent="0.25">
      <c r="B1708" s="89">
        <v>1704</v>
      </c>
      <c r="C1708" s="39">
        <f t="shared" si="53"/>
        <v>157992929.59999999</v>
      </c>
      <c r="D1708" s="39">
        <f t="shared" si="52"/>
        <v>56278008</v>
      </c>
    </row>
    <row r="1709" spans="2:4" x14ac:dyDescent="0.25">
      <c r="B1709" s="89">
        <v>1705</v>
      </c>
      <c r="C1709" s="39">
        <f t="shared" si="53"/>
        <v>157992929.59999999</v>
      </c>
      <c r="D1709" s="39">
        <f t="shared" si="52"/>
        <v>56311035</v>
      </c>
    </row>
    <row r="1710" spans="2:4" x14ac:dyDescent="0.25">
      <c r="B1710" s="89">
        <v>1706</v>
      </c>
      <c r="C1710" s="39">
        <f t="shared" si="53"/>
        <v>157992929.59999999</v>
      </c>
      <c r="D1710" s="39">
        <f t="shared" si="52"/>
        <v>56344062</v>
      </c>
    </row>
    <row r="1711" spans="2:4" x14ac:dyDescent="0.25">
      <c r="B1711" s="89">
        <v>1707</v>
      </c>
      <c r="C1711" s="39">
        <f t="shared" si="53"/>
        <v>157992929.59999999</v>
      </c>
      <c r="D1711" s="39">
        <f t="shared" si="52"/>
        <v>56377089</v>
      </c>
    </row>
    <row r="1712" spans="2:4" x14ac:dyDescent="0.25">
      <c r="B1712" s="89">
        <v>1708</v>
      </c>
      <c r="C1712" s="39">
        <f t="shared" si="53"/>
        <v>157992929.59999999</v>
      </c>
      <c r="D1712" s="39">
        <f t="shared" si="52"/>
        <v>56410116</v>
      </c>
    </row>
    <row r="1713" spans="2:4" x14ac:dyDescent="0.25">
      <c r="B1713" s="89">
        <v>1709</v>
      </c>
      <c r="C1713" s="39">
        <f t="shared" si="53"/>
        <v>157992929.59999999</v>
      </c>
      <c r="D1713" s="39">
        <f t="shared" ref="D1713:D1776" si="54">$D$2*B1713</f>
        <v>56443143</v>
      </c>
    </row>
    <row r="1714" spans="2:4" x14ac:dyDescent="0.25">
      <c r="B1714" s="89">
        <v>1710</v>
      </c>
      <c r="C1714" s="39">
        <f t="shared" si="53"/>
        <v>157992929.59999999</v>
      </c>
      <c r="D1714" s="39">
        <f t="shared" si="54"/>
        <v>56476170</v>
      </c>
    </row>
    <row r="1715" spans="2:4" x14ac:dyDescent="0.25">
      <c r="B1715" s="89">
        <v>1711</v>
      </c>
      <c r="C1715" s="39">
        <f t="shared" si="53"/>
        <v>157992929.59999999</v>
      </c>
      <c r="D1715" s="39">
        <f t="shared" si="54"/>
        <v>56509197</v>
      </c>
    </row>
    <row r="1716" spans="2:4" x14ac:dyDescent="0.25">
      <c r="B1716" s="89">
        <v>1712</v>
      </c>
      <c r="C1716" s="39">
        <f t="shared" si="53"/>
        <v>157992929.59999999</v>
      </c>
      <c r="D1716" s="39">
        <f t="shared" si="54"/>
        <v>56542224</v>
      </c>
    </row>
    <row r="1717" spans="2:4" x14ac:dyDescent="0.25">
      <c r="B1717" s="89">
        <v>1713</v>
      </c>
      <c r="C1717" s="39">
        <f t="shared" si="53"/>
        <v>157992929.59999999</v>
      </c>
      <c r="D1717" s="39">
        <f t="shared" si="54"/>
        <v>56575251</v>
      </c>
    </row>
    <row r="1718" spans="2:4" x14ac:dyDescent="0.25">
      <c r="B1718" s="89">
        <v>1714</v>
      </c>
      <c r="C1718" s="39">
        <f t="shared" si="53"/>
        <v>157992929.59999999</v>
      </c>
      <c r="D1718" s="39">
        <f t="shared" si="54"/>
        <v>56608278</v>
      </c>
    </row>
    <row r="1719" spans="2:4" x14ac:dyDescent="0.25">
      <c r="B1719" s="89">
        <v>1715</v>
      </c>
      <c r="C1719" s="39">
        <f t="shared" si="53"/>
        <v>157992929.59999999</v>
      </c>
      <c r="D1719" s="39">
        <f t="shared" si="54"/>
        <v>56641305</v>
      </c>
    </row>
    <row r="1720" spans="2:4" x14ac:dyDescent="0.25">
      <c r="B1720" s="89">
        <v>1716</v>
      </c>
      <c r="C1720" s="39">
        <f t="shared" si="53"/>
        <v>157992929.59999999</v>
      </c>
      <c r="D1720" s="39">
        <f t="shared" si="54"/>
        <v>56674332</v>
      </c>
    </row>
    <row r="1721" spans="2:4" x14ac:dyDescent="0.25">
      <c r="B1721" s="89">
        <v>1717</v>
      </c>
      <c r="C1721" s="39">
        <f t="shared" si="53"/>
        <v>157992929.59999999</v>
      </c>
      <c r="D1721" s="39">
        <f t="shared" si="54"/>
        <v>56707359</v>
      </c>
    </row>
    <row r="1722" spans="2:4" x14ac:dyDescent="0.25">
      <c r="B1722" s="89">
        <v>1718</v>
      </c>
      <c r="C1722" s="39">
        <f t="shared" si="53"/>
        <v>157992929.59999999</v>
      </c>
      <c r="D1722" s="39">
        <f t="shared" si="54"/>
        <v>56740386</v>
      </c>
    </row>
    <row r="1723" spans="2:4" x14ac:dyDescent="0.25">
      <c r="B1723" s="89">
        <v>1719</v>
      </c>
      <c r="C1723" s="39">
        <f t="shared" si="53"/>
        <v>157992929.59999999</v>
      </c>
      <c r="D1723" s="39">
        <f t="shared" si="54"/>
        <v>56773413</v>
      </c>
    </row>
    <row r="1724" spans="2:4" x14ac:dyDescent="0.25">
      <c r="B1724" s="89">
        <v>1720</v>
      </c>
      <c r="C1724" s="39">
        <f t="shared" si="53"/>
        <v>157992929.59999999</v>
      </c>
      <c r="D1724" s="39">
        <f t="shared" si="54"/>
        <v>56806440</v>
      </c>
    </row>
    <row r="1725" spans="2:4" x14ac:dyDescent="0.25">
      <c r="B1725" s="89">
        <v>1721</v>
      </c>
      <c r="C1725" s="39">
        <f t="shared" si="53"/>
        <v>157992929.59999999</v>
      </c>
      <c r="D1725" s="39">
        <f t="shared" si="54"/>
        <v>56839467</v>
      </c>
    </row>
    <row r="1726" spans="2:4" x14ac:dyDescent="0.25">
      <c r="B1726" s="89">
        <v>1722</v>
      </c>
      <c r="C1726" s="39">
        <f t="shared" si="53"/>
        <v>157992929.59999999</v>
      </c>
      <c r="D1726" s="39">
        <f t="shared" si="54"/>
        <v>56872494</v>
      </c>
    </row>
    <row r="1727" spans="2:4" x14ac:dyDescent="0.25">
      <c r="B1727" s="89">
        <v>1723</v>
      </c>
      <c r="C1727" s="39">
        <f t="shared" si="53"/>
        <v>157992929.59999999</v>
      </c>
      <c r="D1727" s="39">
        <f t="shared" si="54"/>
        <v>56905521</v>
      </c>
    </row>
    <row r="1728" spans="2:4" x14ac:dyDescent="0.25">
      <c r="B1728" s="89">
        <v>1724</v>
      </c>
      <c r="C1728" s="39">
        <f t="shared" si="53"/>
        <v>157992929.59999999</v>
      </c>
      <c r="D1728" s="39">
        <f t="shared" si="54"/>
        <v>56938548</v>
      </c>
    </row>
    <row r="1729" spans="2:4" x14ac:dyDescent="0.25">
      <c r="B1729" s="89">
        <v>1725</v>
      </c>
      <c r="C1729" s="39">
        <f t="shared" si="53"/>
        <v>157992929.59999999</v>
      </c>
      <c r="D1729" s="39">
        <f t="shared" si="54"/>
        <v>56971575</v>
      </c>
    </row>
    <row r="1730" spans="2:4" x14ac:dyDescent="0.25">
      <c r="B1730" s="89">
        <v>1726</v>
      </c>
      <c r="C1730" s="39">
        <f t="shared" si="53"/>
        <v>157992929.59999999</v>
      </c>
      <c r="D1730" s="39">
        <f t="shared" si="54"/>
        <v>57004602</v>
      </c>
    </row>
    <row r="1731" spans="2:4" x14ac:dyDescent="0.25">
      <c r="B1731" s="89">
        <v>1727</v>
      </c>
      <c r="C1731" s="39">
        <f t="shared" si="53"/>
        <v>157992929.59999999</v>
      </c>
      <c r="D1731" s="39">
        <f t="shared" si="54"/>
        <v>57037629</v>
      </c>
    </row>
    <row r="1732" spans="2:4" x14ac:dyDescent="0.25">
      <c r="B1732" s="89">
        <v>1728</v>
      </c>
      <c r="C1732" s="39">
        <f t="shared" si="53"/>
        <v>157992929.59999999</v>
      </c>
      <c r="D1732" s="39">
        <f t="shared" si="54"/>
        <v>57070656</v>
      </c>
    </row>
    <row r="1733" spans="2:4" x14ac:dyDescent="0.25">
      <c r="B1733" s="89">
        <v>1729</v>
      </c>
      <c r="C1733" s="39">
        <f t="shared" si="53"/>
        <v>157992929.59999999</v>
      </c>
      <c r="D1733" s="39">
        <f t="shared" si="54"/>
        <v>57103683</v>
      </c>
    </row>
    <row r="1734" spans="2:4" x14ac:dyDescent="0.25">
      <c r="B1734" s="89">
        <v>1730</v>
      </c>
      <c r="C1734" s="39">
        <f t="shared" ref="C1734:C1797" si="55">$C1733</f>
        <v>157992929.59999999</v>
      </c>
      <c r="D1734" s="39">
        <f t="shared" si="54"/>
        <v>57136710</v>
      </c>
    </row>
    <row r="1735" spans="2:4" x14ac:dyDescent="0.25">
      <c r="B1735" s="89">
        <v>1731</v>
      </c>
      <c r="C1735" s="39">
        <f t="shared" si="55"/>
        <v>157992929.59999999</v>
      </c>
      <c r="D1735" s="39">
        <f t="shared" si="54"/>
        <v>57169737</v>
      </c>
    </row>
    <row r="1736" spans="2:4" x14ac:dyDescent="0.25">
      <c r="B1736" s="89">
        <v>1732</v>
      </c>
      <c r="C1736" s="39">
        <f t="shared" si="55"/>
        <v>157992929.59999999</v>
      </c>
      <c r="D1736" s="39">
        <f t="shared" si="54"/>
        <v>57202764</v>
      </c>
    </row>
    <row r="1737" spans="2:4" x14ac:dyDescent="0.25">
      <c r="B1737" s="89">
        <v>1733</v>
      </c>
      <c r="C1737" s="39">
        <f t="shared" si="55"/>
        <v>157992929.59999999</v>
      </c>
      <c r="D1737" s="39">
        <f t="shared" si="54"/>
        <v>57235791</v>
      </c>
    </row>
    <row r="1738" spans="2:4" x14ac:dyDescent="0.25">
      <c r="B1738" s="89">
        <v>1734</v>
      </c>
      <c r="C1738" s="39">
        <f t="shared" si="55"/>
        <v>157992929.59999999</v>
      </c>
      <c r="D1738" s="39">
        <f t="shared" si="54"/>
        <v>57268818</v>
      </c>
    </row>
    <row r="1739" spans="2:4" x14ac:dyDescent="0.25">
      <c r="B1739" s="89">
        <v>1735</v>
      </c>
      <c r="C1739" s="39">
        <f t="shared" si="55"/>
        <v>157992929.59999999</v>
      </c>
      <c r="D1739" s="39">
        <f t="shared" si="54"/>
        <v>57301845</v>
      </c>
    </row>
    <row r="1740" spans="2:4" x14ac:dyDescent="0.25">
      <c r="B1740" s="89">
        <v>1736</v>
      </c>
      <c r="C1740" s="39">
        <f t="shared" si="55"/>
        <v>157992929.59999999</v>
      </c>
      <c r="D1740" s="39">
        <f t="shared" si="54"/>
        <v>57334872</v>
      </c>
    </row>
    <row r="1741" spans="2:4" x14ac:dyDescent="0.25">
      <c r="B1741" s="89">
        <v>1737</v>
      </c>
      <c r="C1741" s="39">
        <f t="shared" si="55"/>
        <v>157992929.59999999</v>
      </c>
      <c r="D1741" s="39">
        <f t="shared" si="54"/>
        <v>57367899</v>
      </c>
    </row>
    <row r="1742" spans="2:4" x14ac:dyDescent="0.25">
      <c r="B1742" s="89">
        <v>1738</v>
      </c>
      <c r="C1742" s="39">
        <f t="shared" si="55"/>
        <v>157992929.59999999</v>
      </c>
      <c r="D1742" s="39">
        <f t="shared" si="54"/>
        <v>57400926</v>
      </c>
    </row>
    <row r="1743" spans="2:4" x14ac:dyDescent="0.25">
      <c r="B1743" s="89">
        <v>1739</v>
      </c>
      <c r="C1743" s="39">
        <f t="shared" si="55"/>
        <v>157992929.59999999</v>
      </c>
      <c r="D1743" s="39">
        <f t="shared" si="54"/>
        <v>57433953</v>
      </c>
    </row>
    <row r="1744" spans="2:4" x14ac:dyDescent="0.25">
      <c r="B1744" s="89">
        <v>1740</v>
      </c>
      <c r="C1744" s="39">
        <f t="shared" si="55"/>
        <v>157992929.59999999</v>
      </c>
      <c r="D1744" s="39">
        <f t="shared" si="54"/>
        <v>57466980</v>
      </c>
    </row>
    <row r="1745" spans="2:4" x14ac:dyDescent="0.25">
      <c r="B1745" s="89">
        <v>1741</v>
      </c>
      <c r="C1745" s="39">
        <f t="shared" si="55"/>
        <v>157992929.59999999</v>
      </c>
      <c r="D1745" s="39">
        <f t="shared" si="54"/>
        <v>57500007</v>
      </c>
    </row>
    <row r="1746" spans="2:4" x14ac:dyDescent="0.25">
      <c r="B1746" s="89">
        <v>1742</v>
      </c>
      <c r="C1746" s="39">
        <f t="shared" si="55"/>
        <v>157992929.59999999</v>
      </c>
      <c r="D1746" s="39">
        <f t="shared" si="54"/>
        <v>57533034</v>
      </c>
    </row>
    <row r="1747" spans="2:4" x14ac:dyDescent="0.25">
      <c r="B1747" s="89">
        <v>1743</v>
      </c>
      <c r="C1747" s="39">
        <f t="shared" si="55"/>
        <v>157992929.59999999</v>
      </c>
      <c r="D1747" s="39">
        <f t="shared" si="54"/>
        <v>57566061</v>
      </c>
    </row>
    <row r="1748" spans="2:4" x14ac:dyDescent="0.25">
      <c r="B1748" s="89">
        <v>1744</v>
      </c>
      <c r="C1748" s="39">
        <f t="shared" si="55"/>
        <v>157992929.59999999</v>
      </c>
      <c r="D1748" s="39">
        <f t="shared" si="54"/>
        <v>57599088</v>
      </c>
    </row>
    <row r="1749" spans="2:4" x14ac:dyDescent="0.25">
      <c r="B1749" s="89">
        <v>1745</v>
      </c>
      <c r="C1749" s="39">
        <f t="shared" si="55"/>
        <v>157992929.59999999</v>
      </c>
      <c r="D1749" s="39">
        <f t="shared" si="54"/>
        <v>57632115</v>
      </c>
    </row>
    <row r="1750" spans="2:4" x14ac:dyDescent="0.25">
      <c r="B1750" s="89">
        <v>1746</v>
      </c>
      <c r="C1750" s="39">
        <f t="shared" si="55"/>
        <v>157992929.59999999</v>
      </c>
      <c r="D1750" s="39">
        <f t="shared" si="54"/>
        <v>57665142</v>
      </c>
    </row>
    <row r="1751" spans="2:4" x14ac:dyDescent="0.25">
      <c r="B1751" s="89">
        <v>1747</v>
      </c>
      <c r="C1751" s="39">
        <f t="shared" si="55"/>
        <v>157992929.59999999</v>
      </c>
      <c r="D1751" s="39">
        <f t="shared" si="54"/>
        <v>57698169</v>
      </c>
    </row>
    <row r="1752" spans="2:4" x14ac:dyDescent="0.25">
      <c r="B1752" s="89">
        <v>1748</v>
      </c>
      <c r="C1752" s="39">
        <f t="shared" si="55"/>
        <v>157992929.59999999</v>
      </c>
      <c r="D1752" s="39">
        <f t="shared" si="54"/>
        <v>57731196</v>
      </c>
    </row>
    <row r="1753" spans="2:4" x14ac:dyDescent="0.25">
      <c r="B1753" s="89">
        <v>1749</v>
      </c>
      <c r="C1753" s="39">
        <f t="shared" si="55"/>
        <v>157992929.59999999</v>
      </c>
      <c r="D1753" s="39">
        <f t="shared" si="54"/>
        <v>57764223</v>
      </c>
    </row>
    <row r="1754" spans="2:4" x14ac:dyDescent="0.25">
      <c r="B1754" s="89">
        <v>1750</v>
      </c>
      <c r="C1754" s="39">
        <f t="shared" si="55"/>
        <v>157992929.59999999</v>
      </c>
      <c r="D1754" s="39">
        <f t="shared" si="54"/>
        <v>57797250</v>
      </c>
    </row>
    <row r="1755" spans="2:4" x14ac:dyDescent="0.25">
      <c r="B1755" s="89">
        <v>1751</v>
      </c>
      <c r="C1755" s="39">
        <f t="shared" si="55"/>
        <v>157992929.59999999</v>
      </c>
      <c r="D1755" s="39">
        <f t="shared" si="54"/>
        <v>57830277</v>
      </c>
    </row>
    <row r="1756" spans="2:4" x14ac:dyDescent="0.25">
      <c r="B1756" s="89">
        <v>1752</v>
      </c>
      <c r="C1756" s="39">
        <f t="shared" si="55"/>
        <v>157992929.59999999</v>
      </c>
      <c r="D1756" s="39">
        <f t="shared" si="54"/>
        <v>57863304</v>
      </c>
    </row>
    <row r="1757" spans="2:4" x14ac:dyDescent="0.25">
      <c r="B1757" s="89">
        <v>1753</v>
      </c>
      <c r="C1757" s="39">
        <f t="shared" si="55"/>
        <v>157992929.59999999</v>
      </c>
      <c r="D1757" s="39">
        <f t="shared" si="54"/>
        <v>57896331</v>
      </c>
    </row>
    <row r="1758" spans="2:4" x14ac:dyDescent="0.25">
      <c r="B1758" s="89">
        <v>1754</v>
      </c>
      <c r="C1758" s="39">
        <f t="shared" si="55"/>
        <v>157992929.59999999</v>
      </c>
      <c r="D1758" s="39">
        <f t="shared" si="54"/>
        <v>57929358</v>
      </c>
    </row>
    <row r="1759" spans="2:4" x14ac:dyDescent="0.25">
      <c r="B1759" s="89">
        <v>1755</v>
      </c>
      <c r="C1759" s="39">
        <f t="shared" si="55"/>
        <v>157992929.59999999</v>
      </c>
      <c r="D1759" s="39">
        <f t="shared" si="54"/>
        <v>57962385</v>
      </c>
    </row>
    <row r="1760" spans="2:4" x14ac:dyDescent="0.25">
      <c r="B1760" s="89">
        <v>1756</v>
      </c>
      <c r="C1760" s="39">
        <f t="shared" si="55"/>
        <v>157992929.59999999</v>
      </c>
      <c r="D1760" s="39">
        <f t="shared" si="54"/>
        <v>57995412</v>
      </c>
    </row>
    <row r="1761" spans="2:4" x14ac:dyDescent="0.25">
      <c r="B1761" s="89">
        <v>1757</v>
      </c>
      <c r="C1761" s="39">
        <f t="shared" si="55"/>
        <v>157992929.59999999</v>
      </c>
      <c r="D1761" s="39">
        <f t="shared" si="54"/>
        <v>58028439</v>
      </c>
    </row>
    <row r="1762" spans="2:4" x14ac:dyDescent="0.25">
      <c r="B1762" s="89">
        <v>1758</v>
      </c>
      <c r="C1762" s="39">
        <f t="shared" si="55"/>
        <v>157992929.59999999</v>
      </c>
      <c r="D1762" s="39">
        <f t="shared" si="54"/>
        <v>58061466</v>
      </c>
    </row>
    <row r="1763" spans="2:4" x14ac:dyDescent="0.25">
      <c r="B1763" s="89">
        <v>1759</v>
      </c>
      <c r="C1763" s="39">
        <f t="shared" si="55"/>
        <v>157992929.59999999</v>
      </c>
      <c r="D1763" s="39">
        <f t="shared" si="54"/>
        <v>58094493</v>
      </c>
    </row>
    <row r="1764" spans="2:4" x14ac:dyDescent="0.25">
      <c r="B1764" s="89">
        <v>1760</v>
      </c>
      <c r="C1764" s="39">
        <f t="shared" si="55"/>
        <v>157992929.59999999</v>
      </c>
      <c r="D1764" s="39">
        <f t="shared" si="54"/>
        <v>58127520</v>
      </c>
    </row>
    <row r="1765" spans="2:4" x14ac:dyDescent="0.25">
      <c r="B1765" s="89">
        <v>1761</v>
      </c>
      <c r="C1765" s="39">
        <f t="shared" si="55"/>
        <v>157992929.59999999</v>
      </c>
      <c r="D1765" s="39">
        <f t="shared" si="54"/>
        <v>58160547</v>
      </c>
    </row>
    <row r="1766" spans="2:4" x14ac:dyDescent="0.25">
      <c r="B1766" s="89">
        <v>1762</v>
      </c>
      <c r="C1766" s="39">
        <f t="shared" si="55"/>
        <v>157992929.59999999</v>
      </c>
      <c r="D1766" s="39">
        <f t="shared" si="54"/>
        <v>58193574</v>
      </c>
    </row>
    <row r="1767" spans="2:4" x14ac:dyDescent="0.25">
      <c r="B1767" s="89">
        <v>1763</v>
      </c>
      <c r="C1767" s="39">
        <f t="shared" si="55"/>
        <v>157992929.59999999</v>
      </c>
      <c r="D1767" s="39">
        <f t="shared" si="54"/>
        <v>58226601</v>
      </c>
    </row>
    <row r="1768" spans="2:4" x14ac:dyDescent="0.25">
      <c r="B1768" s="89">
        <v>1764</v>
      </c>
      <c r="C1768" s="39">
        <f t="shared" si="55"/>
        <v>157992929.59999999</v>
      </c>
      <c r="D1768" s="39">
        <f t="shared" si="54"/>
        <v>58259628</v>
      </c>
    </row>
    <row r="1769" spans="2:4" x14ac:dyDescent="0.25">
      <c r="B1769" s="89">
        <v>1765</v>
      </c>
      <c r="C1769" s="39">
        <f t="shared" si="55"/>
        <v>157992929.59999999</v>
      </c>
      <c r="D1769" s="39">
        <f t="shared" si="54"/>
        <v>58292655</v>
      </c>
    </row>
    <row r="1770" spans="2:4" x14ac:dyDescent="0.25">
      <c r="B1770" s="89">
        <v>1766</v>
      </c>
      <c r="C1770" s="39">
        <f t="shared" si="55"/>
        <v>157992929.59999999</v>
      </c>
      <c r="D1770" s="39">
        <f t="shared" si="54"/>
        <v>58325682</v>
      </c>
    </row>
    <row r="1771" spans="2:4" x14ac:dyDescent="0.25">
      <c r="B1771" s="89">
        <v>1767</v>
      </c>
      <c r="C1771" s="39">
        <f t="shared" si="55"/>
        <v>157992929.59999999</v>
      </c>
      <c r="D1771" s="39">
        <f t="shared" si="54"/>
        <v>58358709</v>
      </c>
    </row>
    <row r="1772" spans="2:4" x14ac:dyDescent="0.25">
      <c r="B1772" s="89">
        <v>1768</v>
      </c>
      <c r="C1772" s="39">
        <f t="shared" si="55"/>
        <v>157992929.59999999</v>
      </c>
      <c r="D1772" s="39">
        <f t="shared" si="54"/>
        <v>58391736</v>
      </c>
    </row>
    <row r="1773" spans="2:4" x14ac:dyDescent="0.25">
      <c r="B1773" s="89">
        <v>1769</v>
      </c>
      <c r="C1773" s="39">
        <f t="shared" si="55"/>
        <v>157992929.59999999</v>
      </c>
      <c r="D1773" s="39">
        <f t="shared" si="54"/>
        <v>58424763</v>
      </c>
    </row>
    <row r="1774" spans="2:4" x14ac:dyDescent="0.25">
      <c r="B1774" s="89">
        <v>1770</v>
      </c>
      <c r="C1774" s="39">
        <f t="shared" si="55"/>
        <v>157992929.59999999</v>
      </c>
      <c r="D1774" s="39">
        <f t="shared" si="54"/>
        <v>58457790</v>
      </c>
    </row>
    <row r="1775" spans="2:4" x14ac:dyDescent="0.25">
      <c r="B1775" s="89">
        <v>1771</v>
      </c>
      <c r="C1775" s="39">
        <f t="shared" si="55"/>
        <v>157992929.59999999</v>
      </c>
      <c r="D1775" s="39">
        <f t="shared" si="54"/>
        <v>58490817</v>
      </c>
    </row>
    <row r="1776" spans="2:4" x14ac:dyDescent="0.25">
      <c r="B1776" s="89">
        <v>1772</v>
      </c>
      <c r="C1776" s="39">
        <f t="shared" si="55"/>
        <v>157992929.59999999</v>
      </c>
      <c r="D1776" s="39">
        <f t="shared" si="54"/>
        <v>58523844</v>
      </c>
    </row>
    <row r="1777" spans="2:4" x14ac:dyDescent="0.25">
      <c r="B1777" s="89">
        <v>1773</v>
      </c>
      <c r="C1777" s="39">
        <f t="shared" si="55"/>
        <v>157992929.59999999</v>
      </c>
      <c r="D1777" s="39">
        <f t="shared" ref="D1777:D1840" si="56">$D$2*B1777</f>
        <v>58556871</v>
      </c>
    </row>
    <row r="1778" spans="2:4" x14ac:dyDescent="0.25">
      <c r="B1778" s="89">
        <v>1774</v>
      </c>
      <c r="C1778" s="39">
        <f t="shared" si="55"/>
        <v>157992929.59999999</v>
      </c>
      <c r="D1778" s="39">
        <f t="shared" si="56"/>
        <v>58589898</v>
      </c>
    </row>
    <row r="1779" spans="2:4" x14ac:dyDescent="0.25">
      <c r="B1779" s="89">
        <v>1775</v>
      </c>
      <c r="C1779" s="39">
        <f t="shared" si="55"/>
        <v>157992929.59999999</v>
      </c>
      <c r="D1779" s="39">
        <f t="shared" si="56"/>
        <v>58622925</v>
      </c>
    </row>
    <row r="1780" spans="2:4" x14ac:dyDescent="0.25">
      <c r="B1780" s="89">
        <v>1776</v>
      </c>
      <c r="C1780" s="39">
        <f t="shared" si="55"/>
        <v>157992929.59999999</v>
      </c>
      <c r="D1780" s="39">
        <f t="shared" si="56"/>
        <v>58655952</v>
      </c>
    </row>
    <row r="1781" spans="2:4" x14ac:dyDescent="0.25">
      <c r="B1781" s="89">
        <v>1777</v>
      </c>
      <c r="C1781" s="39">
        <f t="shared" si="55"/>
        <v>157992929.59999999</v>
      </c>
      <c r="D1781" s="39">
        <f t="shared" si="56"/>
        <v>58688979</v>
      </c>
    </row>
    <row r="1782" spans="2:4" x14ac:dyDescent="0.25">
      <c r="B1782" s="89">
        <v>1778</v>
      </c>
      <c r="C1782" s="39">
        <f t="shared" si="55"/>
        <v>157992929.59999999</v>
      </c>
      <c r="D1782" s="39">
        <f t="shared" si="56"/>
        <v>58722006</v>
      </c>
    </row>
    <row r="1783" spans="2:4" x14ac:dyDescent="0.25">
      <c r="B1783" s="89">
        <v>1779</v>
      </c>
      <c r="C1783" s="39">
        <f t="shared" si="55"/>
        <v>157992929.59999999</v>
      </c>
      <c r="D1783" s="39">
        <f t="shared" si="56"/>
        <v>58755033</v>
      </c>
    </row>
    <row r="1784" spans="2:4" x14ac:dyDescent="0.25">
      <c r="B1784" s="89">
        <v>1780</v>
      </c>
      <c r="C1784" s="39">
        <f t="shared" si="55"/>
        <v>157992929.59999999</v>
      </c>
      <c r="D1784" s="39">
        <f t="shared" si="56"/>
        <v>58788060</v>
      </c>
    </row>
    <row r="1785" spans="2:4" x14ac:dyDescent="0.25">
      <c r="B1785" s="89">
        <v>1781</v>
      </c>
      <c r="C1785" s="39">
        <f t="shared" si="55"/>
        <v>157992929.59999999</v>
      </c>
      <c r="D1785" s="39">
        <f t="shared" si="56"/>
        <v>58821087</v>
      </c>
    </row>
    <row r="1786" spans="2:4" x14ac:dyDescent="0.25">
      <c r="B1786" s="89">
        <v>1782</v>
      </c>
      <c r="C1786" s="39">
        <f t="shared" si="55"/>
        <v>157992929.59999999</v>
      </c>
      <c r="D1786" s="39">
        <f t="shared" si="56"/>
        <v>58854114</v>
      </c>
    </row>
    <row r="1787" spans="2:4" x14ac:dyDescent="0.25">
      <c r="B1787" s="89">
        <v>1783</v>
      </c>
      <c r="C1787" s="39">
        <f t="shared" si="55"/>
        <v>157992929.59999999</v>
      </c>
      <c r="D1787" s="39">
        <f t="shared" si="56"/>
        <v>58887141</v>
      </c>
    </row>
    <row r="1788" spans="2:4" x14ac:dyDescent="0.25">
      <c r="B1788" s="89">
        <v>1784</v>
      </c>
      <c r="C1788" s="39">
        <f t="shared" si="55"/>
        <v>157992929.59999999</v>
      </c>
      <c r="D1788" s="39">
        <f t="shared" si="56"/>
        <v>58920168</v>
      </c>
    </row>
    <row r="1789" spans="2:4" x14ac:dyDescent="0.25">
      <c r="B1789" s="89">
        <v>1785</v>
      </c>
      <c r="C1789" s="39">
        <f t="shared" si="55"/>
        <v>157992929.59999999</v>
      </c>
      <c r="D1789" s="39">
        <f t="shared" si="56"/>
        <v>58953195</v>
      </c>
    </row>
    <row r="1790" spans="2:4" x14ac:dyDescent="0.25">
      <c r="B1790" s="89">
        <v>1786</v>
      </c>
      <c r="C1790" s="39">
        <f t="shared" si="55"/>
        <v>157992929.59999999</v>
      </c>
      <c r="D1790" s="39">
        <f t="shared" si="56"/>
        <v>58986222</v>
      </c>
    </row>
    <row r="1791" spans="2:4" x14ac:dyDescent="0.25">
      <c r="B1791" s="89">
        <v>1787</v>
      </c>
      <c r="C1791" s="39">
        <f t="shared" si="55"/>
        <v>157992929.59999999</v>
      </c>
      <c r="D1791" s="39">
        <f t="shared" si="56"/>
        <v>59019249</v>
      </c>
    </row>
    <row r="1792" spans="2:4" x14ac:dyDescent="0.25">
      <c r="B1792" s="89">
        <v>1788</v>
      </c>
      <c r="C1792" s="39">
        <f t="shared" si="55"/>
        <v>157992929.59999999</v>
      </c>
      <c r="D1792" s="39">
        <f t="shared" si="56"/>
        <v>59052276</v>
      </c>
    </row>
    <row r="1793" spans="2:4" x14ac:dyDescent="0.25">
      <c r="B1793" s="89">
        <v>1789</v>
      </c>
      <c r="C1793" s="39">
        <f t="shared" si="55"/>
        <v>157992929.59999999</v>
      </c>
      <c r="D1793" s="39">
        <f t="shared" si="56"/>
        <v>59085303</v>
      </c>
    </row>
    <row r="1794" spans="2:4" x14ac:dyDescent="0.25">
      <c r="B1794" s="89">
        <v>1790</v>
      </c>
      <c r="C1794" s="39">
        <f t="shared" si="55"/>
        <v>157992929.59999999</v>
      </c>
      <c r="D1794" s="39">
        <f t="shared" si="56"/>
        <v>59118330</v>
      </c>
    </row>
    <row r="1795" spans="2:4" x14ac:dyDescent="0.25">
      <c r="B1795" s="89">
        <v>1791</v>
      </c>
      <c r="C1795" s="39">
        <f t="shared" si="55"/>
        <v>157992929.59999999</v>
      </c>
      <c r="D1795" s="39">
        <f t="shared" si="56"/>
        <v>59151357</v>
      </c>
    </row>
    <row r="1796" spans="2:4" x14ac:dyDescent="0.25">
      <c r="B1796" s="89">
        <v>1792</v>
      </c>
      <c r="C1796" s="39">
        <f t="shared" si="55"/>
        <v>157992929.59999999</v>
      </c>
      <c r="D1796" s="39">
        <f t="shared" si="56"/>
        <v>59184384</v>
      </c>
    </row>
    <row r="1797" spans="2:4" x14ac:dyDescent="0.25">
      <c r="B1797" s="89">
        <v>1793</v>
      </c>
      <c r="C1797" s="39">
        <f t="shared" si="55"/>
        <v>157992929.59999999</v>
      </c>
      <c r="D1797" s="39">
        <f t="shared" si="56"/>
        <v>59217411</v>
      </c>
    </row>
    <row r="1798" spans="2:4" x14ac:dyDescent="0.25">
      <c r="B1798" s="89">
        <v>1794</v>
      </c>
      <c r="C1798" s="39">
        <f t="shared" ref="C1798:C1861" si="57">$C1797</f>
        <v>157992929.59999999</v>
      </c>
      <c r="D1798" s="39">
        <f t="shared" si="56"/>
        <v>59250438</v>
      </c>
    </row>
    <row r="1799" spans="2:4" x14ac:dyDescent="0.25">
      <c r="B1799" s="89">
        <v>1795</v>
      </c>
      <c r="C1799" s="39">
        <f t="shared" si="57"/>
        <v>157992929.59999999</v>
      </c>
      <c r="D1799" s="39">
        <f t="shared" si="56"/>
        <v>59283465</v>
      </c>
    </row>
    <row r="1800" spans="2:4" x14ac:dyDescent="0.25">
      <c r="B1800" s="89">
        <v>1796</v>
      </c>
      <c r="C1800" s="39">
        <f t="shared" si="57"/>
        <v>157992929.59999999</v>
      </c>
      <c r="D1800" s="39">
        <f t="shared" si="56"/>
        <v>59316492</v>
      </c>
    </row>
    <row r="1801" spans="2:4" x14ac:dyDescent="0.25">
      <c r="B1801" s="89">
        <v>1797</v>
      </c>
      <c r="C1801" s="39">
        <f t="shared" si="57"/>
        <v>157992929.59999999</v>
      </c>
      <c r="D1801" s="39">
        <f t="shared" si="56"/>
        <v>59349519</v>
      </c>
    </row>
    <row r="1802" spans="2:4" x14ac:dyDescent="0.25">
      <c r="B1802" s="89">
        <v>1798</v>
      </c>
      <c r="C1802" s="39">
        <f t="shared" si="57"/>
        <v>157992929.59999999</v>
      </c>
      <c r="D1802" s="39">
        <f t="shared" si="56"/>
        <v>59382546</v>
      </c>
    </row>
    <row r="1803" spans="2:4" x14ac:dyDescent="0.25">
      <c r="B1803" s="89">
        <v>1799</v>
      </c>
      <c r="C1803" s="39">
        <f t="shared" si="57"/>
        <v>157992929.59999999</v>
      </c>
      <c r="D1803" s="39">
        <f t="shared" si="56"/>
        <v>59415573</v>
      </c>
    </row>
    <row r="1804" spans="2:4" x14ac:dyDescent="0.25">
      <c r="B1804" s="89">
        <v>1800</v>
      </c>
      <c r="C1804" s="39">
        <f t="shared" si="57"/>
        <v>157992929.59999999</v>
      </c>
      <c r="D1804" s="39">
        <f t="shared" si="56"/>
        <v>59448600</v>
      </c>
    </row>
    <row r="1805" spans="2:4" x14ac:dyDescent="0.25">
      <c r="B1805" s="89">
        <v>1801</v>
      </c>
      <c r="C1805" s="39">
        <f t="shared" si="57"/>
        <v>157992929.59999999</v>
      </c>
      <c r="D1805" s="39">
        <f t="shared" si="56"/>
        <v>59481627</v>
      </c>
    </row>
    <row r="1806" spans="2:4" x14ac:dyDescent="0.25">
      <c r="B1806" s="89">
        <v>1802</v>
      </c>
      <c r="C1806" s="39">
        <f t="shared" si="57"/>
        <v>157992929.59999999</v>
      </c>
      <c r="D1806" s="39">
        <f t="shared" si="56"/>
        <v>59514654</v>
      </c>
    </row>
    <row r="1807" spans="2:4" x14ac:dyDescent="0.25">
      <c r="B1807" s="89">
        <v>1803</v>
      </c>
      <c r="C1807" s="39">
        <f t="shared" si="57"/>
        <v>157992929.59999999</v>
      </c>
      <c r="D1807" s="39">
        <f t="shared" si="56"/>
        <v>59547681</v>
      </c>
    </row>
    <row r="1808" spans="2:4" x14ac:dyDescent="0.25">
      <c r="B1808" s="89">
        <v>1804</v>
      </c>
      <c r="C1808" s="39">
        <f t="shared" si="57"/>
        <v>157992929.59999999</v>
      </c>
      <c r="D1808" s="39">
        <f t="shared" si="56"/>
        <v>59580708</v>
      </c>
    </row>
    <row r="1809" spans="2:4" x14ac:dyDescent="0.25">
      <c r="B1809" s="89">
        <v>1805</v>
      </c>
      <c r="C1809" s="39">
        <f t="shared" si="57"/>
        <v>157992929.59999999</v>
      </c>
      <c r="D1809" s="39">
        <f t="shared" si="56"/>
        <v>59613735</v>
      </c>
    </row>
    <row r="1810" spans="2:4" x14ac:dyDescent="0.25">
      <c r="B1810" s="89">
        <v>1806</v>
      </c>
      <c r="C1810" s="39">
        <f t="shared" si="57"/>
        <v>157992929.59999999</v>
      </c>
      <c r="D1810" s="39">
        <f t="shared" si="56"/>
        <v>59646762</v>
      </c>
    </row>
    <row r="1811" spans="2:4" x14ac:dyDescent="0.25">
      <c r="B1811" s="89">
        <v>1807</v>
      </c>
      <c r="C1811" s="39">
        <f t="shared" si="57"/>
        <v>157992929.59999999</v>
      </c>
      <c r="D1811" s="39">
        <f t="shared" si="56"/>
        <v>59679789</v>
      </c>
    </row>
    <row r="1812" spans="2:4" x14ac:dyDescent="0.25">
      <c r="B1812" s="89">
        <v>1808</v>
      </c>
      <c r="C1812" s="39">
        <f t="shared" si="57"/>
        <v>157992929.59999999</v>
      </c>
      <c r="D1812" s="39">
        <f t="shared" si="56"/>
        <v>59712816</v>
      </c>
    </row>
    <row r="1813" spans="2:4" x14ac:dyDescent="0.25">
      <c r="B1813" s="89">
        <v>1809</v>
      </c>
      <c r="C1813" s="39">
        <f t="shared" si="57"/>
        <v>157992929.59999999</v>
      </c>
      <c r="D1813" s="39">
        <f t="shared" si="56"/>
        <v>59745843</v>
      </c>
    </row>
    <row r="1814" spans="2:4" x14ac:dyDescent="0.25">
      <c r="B1814" s="89">
        <v>1810</v>
      </c>
      <c r="C1814" s="39">
        <f t="shared" si="57"/>
        <v>157992929.59999999</v>
      </c>
      <c r="D1814" s="39">
        <f t="shared" si="56"/>
        <v>59778870</v>
      </c>
    </row>
    <row r="1815" spans="2:4" x14ac:dyDescent="0.25">
      <c r="B1815" s="89">
        <v>1811</v>
      </c>
      <c r="C1815" s="39">
        <f t="shared" si="57"/>
        <v>157992929.59999999</v>
      </c>
      <c r="D1815" s="39">
        <f t="shared" si="56"/>
        <v>59811897</v>
      </c>
    </row>
    <row r="1816" spans="2:4" x14ac:dyDescent="0.25">
      <c r="B1816" s="89">
        <v>1812</v>
      </c>
      <c r="C1816" s="39">
        <f t="shared" si="57"/>
        <v>157992929.59999999</v>
      </c>
      <c r="D1816" s="39">
        <f t="shared" si="56"/>
        <v>59844924</v>
      </c>
    </row>
    <row r="1817" spans="2:4" x14ac:dyDescent="0.25">
      <c r="B1817" s="89">
        <v>1813</v>
      </c>
      <c r="C1817" s="39">
        <f t="shared" si="57"/>
        <v>157992929.59999999</v>
      </c>
      <c r="D1817" s="39">
        <f t="shared" si="56"/>
        <v>59877951</v>
      </c>
    </row>
    <row r="1818" spans="2:4" x14ac:dyDescent="0.25">
      <c r="B1818" s="89">
        <v>1814</v>
      </c>
      <c r="C1818" s="39">
        <f t="shared" si="57"/>
        <v>157992929.59999999</v>
      </c>
      <c r="D1818" s="39">
        <f t="shared" si="56"/>
        <v>59910978</v>
      </c>
    </row>
    <row r="1819" spans="2:4" x14ac:dyDescent="0.25">
      <c r="B1819" s="89">
        <v>1815</v>
      </c>
      <c r="C1819" s="39">
        <f t="shared" si="57"/>
        <v>157992929.59999999</v>
      </c>
      <c r="D1819" s="39">
        <f t="shared" si="56"/>
        <v>59944005</v>
      </c>
    </row>
    <row r="1820" spans="2:4" x14ac:dyDescent="0.25">
      <c r="B1820" s="89">
        <v>1816</v>
      </c>
      <c r="C1820" s="39">
        <f t="shared" si="57"/>
        <v>157992929.59999999</v>
      </c>
      <c r="D1820" s="39">
        <f t="shared" si="56"/>
        <v>59977032</v>
      </c>
    </row>
    <row r="1821" spans="2:4" x14ac:dyDescent="0.25">
      <c r="B1821" s="89">
        <v>1817</v>
      </c>
      <c r="C1821" s="39">
        <f t="shared" si="57"/>
        <v>157992929.59999999</v>
      </c>
      <c r="D1821" s="39">
        <f t="shared" si="56"/>
        <v>60010059</v>
      </c>
    </row>
    <row r="1822" spans="2:4" x14ac:dyDescent="0.25">
      <c r="B1822" s="89">
        <v>1818</v>
      </c>
      <c r="C1822" s="39">
        <f t="shared" si="57"/>
        <v>157992929.59999999</v>
      </c>
      <c r="D1822" s="39">
        <f t="shared" si="56"/>
        <v>60043086</v>
      </c>
    </row>
    <row r="1823" spans="2:4" x14ac:dyDescent="0.25">
      <c r="B1823" s="89">
        <v>1819</v>
      </c>
      <c r="C1823" s="39">
        <f t="shared" si="57"/>
        <v>157992929.59999999</v>
      </c>
      <c r="D1823" s="39">
        <f t="shared" si="56"/>
        <v>60076113</v>
      </c>
    </row>
    <row r="1824" spans="2:4" x14ac:dyDescent="0.25">
      <c r="B1824" s="89">
        <v>1820</v>
      </c>
      <c r="C1824" s="39">
        <f t="shared" si="57"/>
        <v>157992929.59999999</v>
      </c>
      <c r="D1824" s="39">
        <f t="shared" si="56"/>
        <v>60109140</v>
      </c>
    </row>
    <row r="1825" spans="2:4" x14ac:dyDescent="0.25">
      <c r="B1825" s="89">
        <v>1821</v>
      </c>
      <c r="C1825" s="39">
        <f t="shared" si="57"/>
        <v>157992929.59999999</v>
      </c>
      <c r="D1825" s="39">
        <f t="shared" si="56"/>
        <v>60142167</v>
      </c>
    </row>
    <row r="1826" spans="2:4" x14ac:dyDescent="0.25">
      <c r="B1826" s="89">
        <v>1822</v>
      </c>
      <c r="C1826" s="39">
        <f t="shared" si="57"/>
        <v>157992929.59999999</v>
      </c>
      <c r="D1826" s="39">
        <f t="shared" si="56"/>
        <v>60175194</v>
      </c>
    </row>
    <row r="1827" spans="2:4" x14ac:dyDescent="0.25">
      <c r="B1827" s="89">
        <v>1823</v>
      </c>
      <c r="C1827" s="39">
        <f t="shared" si="57"/>
        <v>157992929.59999999</v>
      </c>
      <c r="D1827" s="39">
        <f t="shared" si="56"/>
        <v>60208221</v>
      </c>
    </row>
    <row r="1828" spans="2:4" x14ac:dyDescent="0.25">
      <c r="B1828" s="89">
        <v>1824</v>
      </c>
      <c r="C1828" s="39">
        <f t="shared" si="57"/>
        <v>157992929.59999999</v>
      </c>
      <c r="D1828" s="39">
        <f t="shared" si="56"/>
        <v>60241248</v>
      </c>
    </row>
    <row r="1829" spans="2:4" x14ac:dyDescent="0.25">
      <c r="B1829" s="89">
        <v>1825</v>
      </c>
      <c r="C1829" s="39">
        <f t="shared" si="57"/>
        <v>157992929.59999999</v>
      </c>
      <c r="D1829" s="39">
        <f t="shared" si="56"/>
        <v>60274275</v>
      </c>
    </row>
    <row r="1830" spans="2:4" x14ac:dyDescent="0.25">
      <c r="B1830" s="89">
        <v>1826</v>
      </c>
      <c r="C1830" s="39">
        <f t="shared" si="57"/>
        <v>157992929.59999999</v>
      </c>
      <c r="D1830" s="39">
        <f t="shared" si="56"/>
        <v>60307302</v>
      </c>
    </row>
    <row r="1831" spans="2:4" x14ac:dyDescent="0.25">
      <c r="B1831" s="89">
        <v>1827</v>
      </c>
      <c r="C1831" s="39">
        <f t="shared" si="57"/>
        <v>157992929.59999999</v>
      </c>
      <c r="D1831" s="39">
        <f t="shared" si="56"/>
        <v>60340329</v>
      </c>
    </row>
    <row r="1832" spans="2:4" x14ac:dyDescent="0.25">
      <c r="B1832" s="89">
        <v>1828</v>
      </c>
      <c r="C1832" s="39">
        <f t="shared" si="57"/>
        <v>157992929.59999999</v>
      </c>
      <c r="D1832" s="39">
        <f t="shared" si="56"/>
        <v>60373356</v>
      </c>
    </row>
    <row r="1833" spans="2:4" x14ac:dyDescent="0.25">
      <c r="B1833" s="89">
        <v>1829</v>
      </c>
      <c r="C1833" s="39">
        <f t="shared" si="57"/>
        <v>157992929.59999999</v>
      </c>
      <c r="D1833" s="39">
        <f t="shared" si="56"/>
        <v>60406383</v>
      </c>
    </row>
    <row r="1834" spans="2:4" x14ac:dyDescent="0.25">
      <c r="B1834" s="89">
        <v>1830</v>
      </c>
      <c r="C1834" s="39">
        <f t="shared" si="57"/>
        <v>157992929.59999999</v>
      </c>
      <c r="D1834" s="39">
        <f t="shared" si="56"/>
        <v>60439410</v>
      </c>
    </row>
    <row r="1835" spans="2:4" x14ac:dyDescent="0.25">
      <c r="B1835" s="89">
        <v>1831</v>
      </c>
      <c r="C1835" s="39">
        <f t="shared" si="57"/>
        <v>157992929.59999999</v>
      </c>
      <c r="D1835" s="39">
        <f t="shared" si="56"/>
        <v>60472437</v>
      </c>
    </row>
    <row r="1836" spans="2:4" x14ac:dyDescent="0.25">
      <c r="B1836" s="89">
        <v>1832</v>
      </c>
      <c r="C1836" s="39">
        <f t="shared" si="57"/>
        <v>157992929.59999999</v>
      </c>
      <c r="D1836" s="39">
        <f t="shared" si="56"/>
        <v>60505464</v>
      </c>
    </row>
    <row r="1837" spans="2:4" x14ac:dyDescent="0.25">
      <c r="B1837" s="89">
        <v>1833</v>
      </c>
      <c r="C1837" s="39">
        <f t="shared" si="57"/>
        <v>157992929.59999999</v>
      </c>
      <c r="D1837" s="39">
        <f t="shared" si="56"/>
        <v>60538491</v>
      </c>
    </row>
    <row r="1838" spans="2:4" x14ac:dyDescent="0.25">
      <c r="B1838" s="89">
        <v>1834</v>
      </c>
      <c r="C1838" s="39">
        <f t="shared" si="57"/>
        <v>157992929.59999999</v>
      </c>
      <c r="D1838" s="39">
        <f t="shared" si="56"/>
        <v>60571518</v>
      </c>
    </row>
    <row r="1839" spans="2:4" x14ac:dyDescent="0.25">
      <c r="B1839" s="89">
        <v>1835</v>
      </c>
      <c r="C1839" s="39">
        <f t="shared" si="57"/>
        <v>157992929.59999999</v>
      </c>
      <c r="D1839" s="39">
        <f t="shared" si="56"/>
        <v>60604545</v>
      </c>
    </row>
    <row r="1840" spans="2:4" x14ac:dyDescent="0.25">
      <c r="B1840" s="89">
        <v>1836</v>
      </c>
      <c r="C1840" s="39">
        <f t="shared" si="57"/>
        <v>157992929.59999999</v>
      </c>
      <c r="D1840" s="39">
        <f t="shared" si="56"/>
        <v>60637572</v>
      </c>
    </row>
    <row r="1841" spans="2:4" x14ac:dyDescent="0.25">
      <c r="B1841" s="89">
        <v>1837</v>
      </c>
      <c r="C1841" s="39">
        <f t="shared" si="57"/>
        <v>157992929.59999999</v>
      </c>
      <c r="D1841" s="39">
        <f t="shared" ref="D1841:D1904" si="58">$D$2*B1841</f>
        <v>60670599</v>
      </c>
    </row>
    <row r="1842" spans="2:4" x14ac:dyDescent="0.25">
      <c r="B1842" s="89">
        <v>1838</v>
      </c>
      <c r="C1842" s="39">
        <f t="shared" si="57"/>
        <v>157992929.59999999</v>
      </c>
      <c r="D1842" s="39">
        <f t="shared" si="58"/>
        <v>60703626</v>
      </c>
    </row>
    <row r="1843" spans="2:4" x14ac:dyDescent="0.25">
      <c r="B1843" s="89">
        <v>1839</v>
      </c>
      <c r="C1843" s="39">
        <f t="shared" si="57"/>
        <v>157992929.59999999</v>
      </c>
      <c r="D1843" s="39">
        <f t="shared" si="58"/>
        <v>60736653</v>
      </c>
    </row>
    <row r="1844" spans="2:4" x14ac:dyDescent="0.25">
      <c r="B1844" s="89">
        <v>1840</v>
      </c>
      <c r="C1844" s="39">
        <f t="shared" si="57"/>
        <v>157992929.59999999</v>
      </c>
      <c r="D1844" s="39">
        <f t="shared" si="58"/>
        <v>60769680</v>
      </c>
    </row>
    <row r="1845" spans="2:4" x14ac:dyDescent="0.25">
      <c r="B1845" s="89">
        <v>1841</v>
      </c>
      <c r="C1845" s="39">
        <f t="shared" si="57"/>
        <v>157992929.59999999</v>
      </c>
      <c r="D1845" s="39">
        <f t="shared" si="58"/>
        <v>60802707</v>
      </c>
    </row>
    <row r="1846" spans="2:4" x14ac:dyDescent="0.25">
      <c r="B1846" s="89">
        <v>1842</v>
      </c>
      <c r="C1846" s="39">
        <f t="shared" si="57"/>
        <v>157992929.59999999</v>
      </c>
      <c r="D1846" s="39">
        <f t="shared" si="58"/>
        <v>60835734</v>
      </c>
    </row>
    <row r="1847" spans="2:4" x14ac:dyDescent="0.25">
      <c r="B1847" s="89">
        <v>1843</v>
      </c>
      <c r="C1847" s="39">
        <f t="shared" si="57"/>
        <v>157992929.59999999</v>
      </c>
      <c r="D1847" s="39">
        <f t="shared" si="58"/>
        <v>60868761</v>
      </c>
    </row>
    <row r="1848" spans="2:4" x14ac:dyDescent="0.25">
      <c r="B1848" s="89">
        <v>1844</v>
      </c>
      <c r="C1848" s="39">
        <f t="shared" si="57"/>
        <v>157992929.59999999</v>
      </c>
      <c r="D1848" s="39">
        <f t="shared" si="58"/>
        <v>60901788</v>
      </c>
    </row>
    <row r="1849" spans="2:4" x14ac:dyDescent="0.25">
      <c r="B1849" s="89">
        <v>1845</v>
      </c>
      <c r="C1849" s="39">
        <f t="shared" si="57"/>
        <v>157992929.59999999</v>
      </c>
      <c r="D1849" s="39">
        <f t="shared" si="58"/>
        <v>60934815</v>
      </c>
    </row>
    <row r="1850" spans="2:4" x14ac:dyDescent="0.25">
      <c r="B1850" s="89">
        <v>1846</v>
      </c>
      <c r="C1850" s="39">
        <f t="shared" si="57"/>
        <v>157992929.59999999</v>
      </c>
      <c r="D1850" s="39">
        <f t="shared" si="58"/>
        <v>60967842</v>
      </c>
    </row>
    <row r="1851" spans="2:4" x14ac:dyDescent="0.25">
      <c r="B1851" s="89">
        <v>1847</v>
      </c>
      <c r="C1851" s="39">
        <f t="shared" si="57"/>
        <v>157992929.59999999</v>
      </c>
      <c r="D1851" s="39">
        <f t="shared" si="58"/>
        <v>61000869</v>
      </c>
    </row>
    <row r="1852" spans="2:4" x14ac:dyDescent="0.25">
      <c r="B1852" s="89">
        <v>1848</v>
      </c>
      <c r="C1852" s="39">
        <f t="shared" si="57"/>
        <v>157992929.59999999</v>
      </c>
      <c r="D1852" s="39">
        <f t="shared" si="58"/>
        <v>61033896</v>
      </c>
    </row>
    <row r="1853" spans="2:4" x14ac:dyDescent="0.25">
      <c r="B1853" s="89">
        <v>1849</v>
      </c>
      <c r="C1853" s="39">
        <f t="shared" si="57"/>
        <v>157992929.59999999</v>
      </c>
      <c r="D1853" s="39">
        <f t="shared" si="58"/>
        <v>61066923</v>
      </c>
    </row>
    <row r="1854" spans="2:4" x14ac:dyDescent="0.25">
      <c r="B1854" s="89">
        <v>1850</v>
      </c>
      <c r="C1854" s="39">
        <f t="shared" si="57"/>
        <v>157992929.59999999</v>
      </c>
      <c r="D1854" s="39">
        <f t="shared" si="58"/>
        <v>61099950</v>
      </c>
    </row>
    <row r="1855" spans="2:4" x14ac:dyDescent="0.25">
      <c r="B1855" s="89">
        <v>1851</v>
      </c>
      <c r="C1855" s="39">
        <f t="shared" si="57"/>
        <v>157992929.59999999</v>
      </c>
      <c r="D1855" s="39">
        <f t="shared" si="58"/>
        <v>61132977</v>
      </c>
    </row>
    <row r="1856" spans="2:4" x14ac:dyDescent="0.25">
      <c r="B1856" s="89">
        <v>1852</v>
      </c>
      <c r="C1856" s="39">
        <f t="shared" si="57"/>
        <v>157992929.59999999</v>
      </c>
      <c r="D1856" s="39">
        <f t="shared" si="58"/>
        <v>61166004</v>
      </c>
    </row>
    <row r="1857" spans="2:4" x14ac:dyDescent="0.25">
      <c r="B1857" s="89">
        <v>1853</v>
      </c>
      <c r="C1857" s="39">
        <f t="shared" si="57"/>
        <v>157992929.59999999</v>
      </c>
      <c r="D1857" s="39">
        <f t="shared" si="58"/>
        <v>61199031</v>
      </c>
    </row>
    <row r="1858" spans="2:4" x14ac:dyDescent="0.25">
      <c r="B1858" s="89">
        <v>1854</v>
      </c>
      <c r="C1858" s="39">
        <f t="shared" si="57"/>
        <v>157992929.59999999</v>
      </c>
      <c r="D1858" s="39">
        <f t="shared" si="58"/>
        <v>61232058</v>
      </c>
    </row>
    <row r="1859" spans="2:4" x14ac:dyDescent="0.25">
      <c r="B1859" s="89">
        <v>1855</v>
      </c>
      <c r="C1859" s="39">
        <f t="shared" si="57"/>
        <v>157992929.59999999</v>
      </c>
      <c r="D1859" s="39">
        <f t="shared" si="58"/>
        <v>61265085</v>
      </c>
    </row>
    <row r="1860" spans="2:4" x14ac:dyDescent="0.25">
      <c r="B1860" s="89">
        <v>1856</v>
      </c>
      <c r="C1860" s="39">
        <f t="shared" si="57"/>
        <v>157992929.59999999</v>
      </c>
      <c r="D1860" s="39">
        <f t="shared" si="58"/>
        <v>61298112</v>
      </c>
    </row>
    <row r="1861" spans="2:4" x14ac:dyDescent="0.25">
      <c r="B1861" s="89">
        <v>1857</v>
      </c>
      <c r="C1861" s="39">
        <f t="shared" si="57"/>
        <v>157992929.59999999</v>
      </c>
      <c r="D1861" s="39">
        <f t="shared" si="58"/>
        <v>61331139</v>
      </c>
    </row>
    <row r="1862" spans="2:4" x14ac:dyDescent="0.25">
      <c r="B1862" s="89">
        <v>1858</v>
      </c>
      <c r="C1862" s="39">
        <f t="shared" ref="C1862:C1925" si="59">$C1861</f>
        <v>157992929.59999999</v>
      </c>
      <c r="D1862" s="39">
        <f t="shared" si="58"/>
        <v>61364166</v>
      </c>
    </row>
    <row r="1863" spans="2:4" x14ac:dyDescent="0.25">
      <c r="B1863" s="89">
        <v>1859</v>
      </c>
      <c r="C1863" s="39">
        <f t="shared" si="59"/>
        <v>157992929.59999999</v>
      </c>
      <c r="D1863" s="39">
        <f t="shared" si="58"/>
        <v>61397193</v>
      </c>
    </row>
    <row r="1864" spans="2:4" x14ac:dyDescent="0.25">
      <c r="B1864" s="89">
        <v>1860</v>
      </c>
      <c r="C1864" s="39">
        <f t="shared" si="59"/>
        <v>157992929.59999999</v>
      </c>
      <c r="D1864" s="39">
        <f t="shared" si="58"/>
        <v>61430220</v>
      </c>
    </row>
    <row r="1865" spans="2:4" x14ac:dyDescent="0.25">
      <c r="B1865" s="89">
        <v>1861</v>
      </c>
      <c r="C1865" s="39">
        <f t="shared" si="59"/>
        <v>157992929.59999999</v>
      </c>
      <c r="D1865" s="39">
        <f t="shared" si="58"/>
        <v>61463247</v>
      </c>
    </row>
    <row r="1866" spans="2:4" x14ac:dyDescent="0.25">
      <c r="B1866" s="89">
        <v>1862</v>
      </c>
      <c r="C1866" s="39">
        <f t="shared" si="59"/>
        <v>157992929.59999999</v>
      </c>
      <c r="D1866" s="39">
        <f t="shared" si="58"/>
        <v>61496274</v>
      </c>
    </row>
    <row r="1867" spans="2:4" x14ac:dyDescent="0.25">
      <c r="B1867" s="89">
        <v>1863</v>
      </c>
      <c r="C1867" s="39">
        <f t="shared" si="59"/>
        <v>157992929.59999999</v>
      </c>
      <c r="D1867" s="39">
        <f t="shared" si="58"/>
        <v>61529301</v>
      </c>
    </row>
    <row r="1868" spans="2:4" x14ac:dyDescent="0.25">
      <c r="B1868" s="89">
        <v>1864</v>
      </c>
      <c r="C1868" s="39">
        <f t="shared" si="59"/>
        <v>157992929.59999999</v>
      </c>
      <c r="D1868" s="39">
        <f t="shared" si="58"/>
        <v>61562328</v>
      </c>
    </row>
    <row r="1869" spans="2:4" x14ac:dyDescent="0.25">
      <c r="B1869" s="89">
        <v>1865</v>
      </c>
      <c r="C1869" s="39">
        <f t="shared" si="59"/>
        <v>157992929.59999999</v>
      </c>
      <c r="D1869" s="39">
        <f t="shared" si="58"/>
        <v>61595355</v>
      </c>
    </row>
    <row r="1870" spans="2:4" x14ac:dyDescent="0.25">
      <c r="B1870" s="89">
        <v>1866</v>
      </c>
      <c r="C1870" s="39">
        <f t="shared" si="59"/>
        <v>157992929.59999999</v>
      </c>
      <c r="D1870" s="39">
        <f t="shared" si="58"/>
        <v>61628382</v>
      </c>
    </row>
    <row r="1871" spans="2:4" x14ac:dyDescent="0.25">
      <c r="B1871" s="89">
        <v>1867</v>
      </c>
      <c r="C1871" s="39">
        <f t="shared" si="59"/>
        <v>157992929.59999999</v>
      </c>
      <c r="D1871" s="39">
        <f t="shared" si="58"/>
        <v>61661409</v>
      </c>
    </row>
    <row r="1872" spans="2:4" x14ac:dyDescent="0.25">
      <c r="B1872" s="89">
        <v>1868</v>
      </c>
      <c r="C1872" s="39">
        <f t="shared" si="59"/>
        <v>157992929.59999999</v>
      </c>
      <c r="D1872" s="39">
        <f t="shared" si="58"/>
        <v>61694436</v>
      </c>
    </row>
    <row r="1873" spans="2:4" x14ac:dyDescent="0.25">
      <c r="B1873" s="89">
        <v>1869</v>
      </c>
      <c r="C1873" s="39">
        <f t="shared" si="59"/>
        <v>157992929.59999999</v>
      </c>
      <c r="D1873" s="39">
        <f t="shared" si="58"/>
        <v>61727463</v>
      </c>
    </row>
    <row r="1874" spans="2:4" x14ac:dyDescent="0.25">
      <c r="B1874" s="89">
        <v>1870</v>
      </c>
      <c r="C1874" s="39">
        <f t="shared" si="59"/>
        <v>157992929.59999999</v>
      </c>
      <c r="D1874" s="39">
        <f t="shared" si="58"/>
        <v>61760490</v>
      </c>
    </row>
    <row r="1875" spans="2:4" x14ac:dyDescent="0.25">
      <c r="B1875" s="89">
        <v>1871</v>
      </c>
      <c r="C1875" s="39">
        <f t="shared" si="59"/>
        <v>157992929.59999999</v>
      </c>
      <c r="D1875" s="39">
        <f t="shared" si="58"/>
        <v>61793517</v>
      </c>
    </row>
    <row r="1876" spans="2:4" x14ac:dyDescent="0.25">
      <c r="B1876" s="89">
        <v>1872</v>
      </c>
      <c r="C1876" s="39">
        <f t="shared" si="59"/>
        <v>157992929.59999999</v>
      </c>
      <c r="D1876" s="39">
        <f t="shared" si="58"/>
        <v>61826544</v>
      </c>
    </row>
    <row r="1877" spans="2:4" x14ac:dyDescent="0.25">
      <c r="B1877" s="89">
        <v>1873</v>
      </c>
      <c r="C1877" s="39">
        <f t="shared" si="59"/>
        <v>157992929.59999999</v>
      </c>
      <c r="D1877" s="39">
        <f t="shared" si="58"/>
        <v>61859571</v>
      </c>
    </row>
    <row r="1878" spans="2:4" x14ac:dyDescent="0.25">
      <c r="B1878" s="89">
        <v>1874</v>
      </c>
      <c r="C1878" s="39">
        <f t="shared" si="59"/>
        <v>157992929.59999999</v>
      </c>
      <c r="D1878" s="39">
        <f t="shared" si="58"/>
        <v>61892598</v>
      </c>
    </row>
    <row r="1879" spans="2:4" x14ac:dyDescent="0.25">
      <c r="B1879" s="89">
        <v>1875</v>
      </c>
      <c r="C1879" s="39">
        <f t="shared" si="59"/>
        <v>157992929.59999999</v>
      </c>
      <c r="D1879" s="39">
        <f t="shared" si="58"/>
        <v>61925625</v>
      </c>
    </row>
    <row r="1880" spans="2:4" x14ac:dyDescent="0.25">
      <c r="B1880" s="89">
        <v>1876</v>
      </c>
      <c r="C1880" s="39">
        <f t="shared" si="59"/>
        <v>157992929.59999999</v>
      </c>
      <c r="D1880" s="39">
        <f t="shared" si="58"/>
        <v>61958652</v>
      </c>
    </row>
    <row r="1881" spans="2:4" x14ac:dyDescent="0.25">
      <c r="B1881" s="89">
        <v>1877</v>
      </c>
      <c r="C1881" s="39">
        <f t="shared" si="59"/>
        <v>157992929.59999999</v>
      </c>
      <c r="D1881" s="39">
        <f t="shared" si="58"/>
        <v>61991679</v>
      </c>
    </row>
    <row r="1882" spans="2:4" x14ac:dyDescent="0.25">
      <c r="B1882" s="89">
        <v>1878</v>
      </c>
      <c r="C1882" s="39">
        <f t="shared" si="59"/>
        <v>157992929.59999999</v>
      </c>
      <c r="D1882" s="39">
        <f t="shared" si="58"/>
        <v>62024706</v>
      </c>
    </row>
    <row r="1883" spans="2:4" x14ac:dyDescent="0.25">
      <c r="B1883" s="89">
        <v>1879</v>
      </c>
      <c r="C1883" s="39">
        <f t="shared" si="59"/>
        <v>157992929.59999999</v>
      </c>
      <c r="D1883" s="39">
        <f t="shared" si="58"/>
        <v>62057733</v>
      </c>
    </row>
    <row r="1884" spans="2:4" x14ac:dyDescent="0.25">
      <c r="B1884" s="89">
        <v>1880</v>
      </c>
      <c r="C1884" s="39">
        <f t="shared" si="59"/>
        <v>157992929.59999999</v>
      </c>
      <c r="D1884" s="39">
        <f t="shared" si="58"/>
        <v>62090760</v>
      </c>
    </row>
    <row r="1885" spans="2:4" x14ac:dyDescent="0.25">
      <c r="B1885" s="89">
        <v>1881</v>
      </c>
      <c r="C1885" s="39">
        <f t="shared" si="59"/>
        <v>157992929.59999999</v>
      </c>
      <c r="D1885" s="39">
        <f t="shared" si="58"/>
        <v>62123787</v>
      </c>
    </row>
    <row r="1886" spans="2:4" x14ac:dyDescent="0.25">
      <c r="B1886" s="89">
        <v>1882</v>
      </c>
      <c r="C1886" s="39">
        <f t="shared" si="59"/>
        <v>157992929.59999999</v>
      </c>
      <c r="D1886" s="39">
        <f t="shared" si="58"/>
        <v>62156814</v>
      </c>
    </row>
    <row r="1887" spans="2:4" x14ac:dyDescent="0.25">
      <c r="B1887" s="89">
        <v>1883</v>
      </c>
      <c r="C1887" s="39">
        <f t="shared" si="59"/>
        <v>157992929.59999999</v>
      </c>
      <c r="D1887" s="39">
        <f t="shared" si="58"/>
        <v>62189841</v>
      </c>
    </row>
    <row r="1888" spans="2:4" x14ac:dyDescent="0.25">
      <c r="B1888" s="89">
        <v>1884</v>
      </c>
      <c r="C1888" s="39">
        <f t="shared" si="59"/>
        <v>157992929.59999999</v>
      </c>
      <c r="D1888" s="39">
        <f t="shared" si="58"/>
        <v>62222868</v>
      </c>
    </row>
    <row r="1889" spans="2:4" x14ac:dyDescent="0.25">
      <c r="B1889" s="89">
        <v>1885</v>
      </c>
      <c r="C1889" s="39">
        <f t="shared" si="59"/>
        <v>157992929.59999999</v>
      </c>
      <c r="D1889" s="39">
        <f t="shared" si="58"/>
        <v>62255895</v>
      </c>
    </row>
    <row r="1890" spans="2:4" x14ac:dyDescent="0.25">
      <c r="B1890" s="89">
        <v>1886</v>
      </c>
      <c r="C1890" s="39">
        <f t="shared" si="59"/>
        <v>157992929.59999999</v>
      </c>
      <c r="D1890" s="39">
        <f t="shared" si="58"/>
        <v>62288922</v>
      </c>
    </row>
    <row r="1891" spans="2:4" x14ac:dyDescent="0.25">
      <c r="B1891" s="89">
        <v>1887</v>
      </c>
      <c r="C1891" s="39">
        <f t="shared" si="59"/>
        <v>157992929.59999999</v>
      </c>
      <c r="D1891" s="39">
        <f t="shared" si="58"/>
        <v>62321949</v>
      </c>
    </row>
    <row r="1892" spans="2:4" x14ac:dyDescent="0.25">
      <c r="B1892" s="89">
        <v>1888</v>
      </c>
      <c r="C1892" s="39">
        <f t="shared" si="59"/>
        <v>157992929.59999999</v>
      </c>
      <c r="D1892" s="39">
        <f t="shared" si="58"/>
        <v>62354976</v>
      </c>
    </row>
    <row r="1893" spans="2:4" x14ac:dyDescent="0.25">
      <c r="B1893" s="89">
        <v>1889</v>
      </c>
      <c r="C1893" s="39">
        <f t="shared" si="59"/>
        <v>157992929.59999999</v>
      </c>
      <c r="D1893" s="39">
        <f t="shared" si="58"/>
        <v>62388003</v>
      </c>
    </row>
    <row r="1894" spans="2:4" x14ac:dyDescent="0.25">
      <c r="B1894" s="89">
        <v>1890</v>
      </c>
      <c r="C1894" s="39">
        <f t="shared" si="59"/>
        <v>157992929.59999999</v>
      </c>
      <c r="D1894" s="39">
        <f t="shared" si="58"/>
        <v>62421030</v>
      </c>
    </row>
    <row r="1895" spans="2:4" x14ac:dyDescent="0.25">
      <c r="B1895" s="89">
        <v>1891</v>
      </c>
      <c r="C1895" s="39">
        <f t="shared" si="59"/>
        <v>157992929.59999999</v>
      </c>
      <c r="D1895" s="39">
        <f t="shared" si="58"/>
        <v>62454057</v>
      </c>
    </row>
    <row r="1896" spans="2:4" x14ac:dyDescent="0.25">
      <c r="B1896" s="89">
        <v>1892</v>
      </c>
      <c r="C1896" s="39">
        <f t="shared" si="59"/>
        <v>157992929.59999999</v>
      </c>
      <c r="D1896" s="39">
        <f t="shared" si="58"/>
        <v>62487084</v>
      </c>
    </row>
    <row r="1897" spans="2:4" x14ac:dyDescent="0.25">
      <c r="B1897" s="89">
        <v>1893</v>
      </c>
      <c r="C1897" s="39">
        <f t="shared" si="59"/>
        <v>157992929.59999999</v>
      </c>
      <c r="D1897" s="39">
        <f t="shared" si="58"/>
        <v>62520111</v>
      </c>
    </row>
    <row r="1898" spans="2:4" x14ac:dyDescent="0.25">
      <c r="B1898" s="89">
        <v>1894</v>
      </c>
      <c r="C1898" s="39">
        <f t="shared" si="59"/>
        <v>157992929.59999999</v>
      </c>
      <c r="D1898" s="39">
        <f t="shared" si="58"/>
        <v>62553138</v>
      </c>
    </row>
    <row r="1899" spans="2:4" x14ac:dyDescent="0.25">
      <c r="B1899" s="89">
        <v>1895</v>
      </c>
      <c r="C1899" s="39">
        <f t="shared" si="59"/>
        <v>157992929.59999999</v>
      </c>
      <c r="D1899" s="39">
        <f t="shared" si="58"/>
        <v>62586165</v>
      </c>
    </row>
    <row r="1900" spans="2:4" x14ac:dyDescent="0.25">
      <c r="B1900" s="89">
        <v>1896</v>
      </c>
      <c r="C1900" s="39">
        <f t="shared" si="59"/>
        <v>157992929.59999999</v>
      </c>
      <c r="D1900" s="39">
        <f t="shared" si="58"/>
        <v>62619192</v>
      </c>
    </row>
    <row r="1901" spans="2:4" x14ac:dyDescent="0.25">
      <c r="B1901" s="89">
        <v>1897</v>
      </c>
      <c r="C1901" s="39">
        <f t="shared" si="59"/>
        <v>157992929.59999999</v>
      </c>
      <c r="D1901" s="39">
        <f t="shared" si="58"/>
        <v>62652219</v>
      </c>
    </row>
    <row r="1902" spans="2:4" x14ac:dyDescent="0.25">
      <c r="B1902" s="89">
        <v>1898</v>
      </c>
      <c r="C1902" s="39">
        <f t="shared" si="59"/>
        <v>157992929.59999999</v>
      </c>
      <c r="D1902" s="39">
        <f t="shared" si="58"/>
        <v>62685246</v>
      </c>
    </row>
    <row r="1903" spans="2:4" x14ac:dyDescent="0.25">
      <c r="B1903" s="89">
        <v>1899</v>
      </c>
      <c r="C1903" s="39">
        <f t="shared" si="59"/>
        <v>157992929.59999999</v>
      </c>
      <c r="D1903" s="39">
        <f t="shared" si="58"/>
        <v>62718273</v>
      </c>
    </row>
    <row r="1904" spans="2:4" x14ac:dyDescent="0.25">
      <c r="B1904" s="89">
        <v>1900</v>
      </c>
      <c r="C1904" s="39">
        <f t="shared" si="59"/>
        <v>157992929.59999999</v>
      </c>
      <c r="D1904" s="39">
        <f t="shared" si="58"/>
        <v>62751300</v>
      </c>
    </row>
    <row r="1905" spans="2:4" x14ac:dyDescent="0.25">
      <c r="B1905" s="89">
        <v>1901</v>
      </c>
      <c r="C1905" s="39">
        <f t="shared" si="59"/>
        <v>157992929.59999999</v>
      </c>
      <c r="D1905" s="39">
        <f t="shared" ref="D1905:D1968" si="60">$D$2*B1905</f>
        <v>62784327</v>
      </c>
    </row>
    <row r="1906" spans="2:4" x14ac:dyDescent="0.25">
      <c r="B1906" s="89">
        <v>1902</v>
      </c>
      <c r="C1906" s="39">
        <f t="shared" si="59"/>
        <v>157992929.59999999</v>
      </c>
      <c r="D1906" s="39">
        <f t="shared" si="60"/>
        <v>62817354</v>
      </c>
    </row>
    <row r="1907" spans="2:4" x14ac:dyDescent="0.25">
      <c r="B1907" s="89">
        <v>1903</v>
      </c>
      <c r="C1907" s="39">
        <f t="shared" si="59"/>
        <v>157992929.59999999</v>
      </c>
      <c r="D1907" s="39">
        <f t="shared" si="60"/>
        <v>62850381</v>
      </c>
    </row>
    <row r="1908" spans="2:4" x14ac:dyDescent="0.25">
      <c r="B1908" s="89">
        <v>1904</v>
      </c>
      <c r="C1908" s="39">
        <f t="shared" si="59"/>
        <v>157992929.59999999</v>
      </c>
      <c r="D1908" s="39">
        <f t="shared" si="60"/>
        <v>62883408</v>
      </c>
    </row>
    <row r="1909" spans="2:4" x14ac:dyDescent="0.25">
      <c r="B1909" s="89">
        <v>1905</v>
      </c>
      <c r="C1909" s="39">
        <f t="shared" si="59"/>
        <v>157992929.59999999</v>
      </c>
      <c r="D1909" s="39">
        <f t="shared" si="60"/>
        <v>62916435</v>
      </c>
    </row>
    <row r="1910" spans="2:4" x14ac:dyDescent="0.25">
      <c r="B1910" s="89">
        <v>1906</v>
      </c>
      <c r="C1910" s="39">
        <f t="shared" si="59"/>
        <v>157992929.59999999</v>
      </c>
      <c r="D1910" s="39">
        <f t="shared" si="60"/>
        <v>62949462</v>
      </c>
    </row>
    <row r="1911" spans="2:4" x14ac:dyDescent="0.25">
      <c r="B1911" s="89">
        <v>1907</v>
      </c>
      <c r="C1911" s="39">
        <f t="shared" si="59"/>
        <v>157992929.59999999</v>
      </c>
      <c r="D1911" s="39">
        <f t="shared" si="60"/>
        <v>62982489</v>
      </c>
    </row>
    <row r="1912" spans="2:4" x14ac:dyDescent="0.25">
      <c r="B1912" s="89">
        <v>1908</v>
      </c>
      <c r="C1912" s="39">
        <f t="shared" si="59"/>
        <v>157992929.59999999</v>
      </c>
      <c r="D1912" s="39">
        <f t="shared" si="60"/>
        <v>63015516</v>
      </c>
    </row>
    <row r="1913" spans="2:4" x14ac:dyDescent="0.25">
      <c r="B1913" s="89">
        <v>1909</v>
      </c>
      <c r="C1913" s="39">
        <f t="shared" si="59"/>
        <v>157992929.59999999</v>
      </c>
      <c r="D1913" s="39">
        <f t="shared" si="60"/>
        <v>63048543</v>
      </c>
    </row>
    <row r="1914" spans="2:4" x14ac:dyDescent="0.25">
      <c r="B1914" s="89">
        <v>1910</v>
      </c>
      <c r="C1914" s="39">
        <f t="shared" si="59"/>
        <v>157992929.59999999</v>
      </c>
      <c r="D1914" s="39">
        <f t="shared" si="60"/>
        <v>63081570</v>
      </c>
    </row>
    <row r="1915" spans="2:4" x14ac:dyDescent="0.25">
      <c r="B1915" s="89">
        <v>1911</v>
      </c>
      <c r="C1915" s="39">
        <f t="shared" si="59"/>
        <v>157992929.59999999</v>
      </c>
      <c r="D1915" s="39">
        <f t="shared" si="60"/>
        <v>63114597</v>
      </c>
    </row>
    <row r="1916" spans="2:4" x14ac:dyDescent="0.25">
      <c r="B1916" s="89">
        <v>1912</v>
      </c>
      <c r="C1916" s="39">
        <f t="shared" si="59"/>
        <v>157992929.59999999</v>
      </c>
      <c r="D1916" s="39">
        <f t="shared" si="60"/>
        <v>63147624</v>
      </c>
    </row>
    <row r="1917" spans="2:4" x14ac:dyDescent="0.25">
      <c r="B1917" s="89">
        <v>1913</v>
      </c>
      <c r="C1917" s="39">
        <f t="shared" si="59"/>
        <v>157992929.59999999</v>
      </c>
      <c r="D1917" s="39">
        <f t="shared" si="60"/>
        <v>63180651</v>
      </c>
    </row>
    <row r="1918" spans="2:4" x14ac:dyDescent="0.25">
      <c r="B1918" s="89">
        <v>1914</v>
      </c>
      <c r="C1918" s="39">
        <f t="shared" si="59"/>
        <v>157992929.59999999</v>
      </c>
      <c r="D1918" s="39">
        <f t="shared" si="60"/>
        <v>63213678</v>
      </c>
    </row>
    <row r="1919" spans="2:4" x14ac:dyDescent="0.25">
      <c r="B1919" s="89">
        <v>1915</v>
      </c>
      <c r="C1919" s="39">
        <f t="shared" si="59"/>
        <v>157992929.59999999</v>
      </c>
      <c r="D1919" s="39">
        <f t="shared" si="60"/>
        <v>63246705</v>
      </c>
    </row>
    <row r="1920" spans="2:4" x14ac:dyDescent="0.25">
      <c r="B1920" s="89">
        <v>1916</v>
      </c>
      <c r="C1920" s="39">
        <f t="shared" si="59"/>
        <v>157992929.59999999</v>
      </c>
      <c r="D1920" s="39">
        <f t="shared" si="60"/>
        <v>63279732</v>
      </c>
    </row>
    <row r="1921" spans="2:4" x14ac:dyDescent="0.25">
      <c r="B1921" s="89">
        <v>1917</v>
      </c>
      <c r="C1921" s="39">
        <f t="shared" si="59"/>
        <v>157992929.59999999</v>
      </c>
      <c r="D1921" s="39">
        <f t="shared" si="60"/>
        <v>63312759</v>
      </c>
    </row>
    <row r="1922" spans="2:4" x14ac:dyDescent="0.25">
      <c r="B1922" s="89">
        <v>1918</v>
      </c>
      <c r="C1922" s="39">
        <f t="shared" si="59"/>
        <v>157992929.59999999</v>
      </c>
      <c r="D1922" s="39">
        <f t="shared" si="60"/>
        <v>63345786</v>
      </c>
    </row>
    <row r="1923" spans="2:4" x14ac:dyDescent="0.25">
      <c r="B1923" s="89">
        <v>1919</v>
      </c>
      <c r="C1923" s="39">
        <f t="shared" si="59"/>
        <v>157992929.59999999</v>
      </c>
      <c r="D1923" s="39">
        <f t="shared" si="60"/>
        <v>63378813</v>
      </c>
    </row>
    <row r="1924" spans="2:4" x14ac:dyDescent="0.25">
      <c r="B1924" s="89">
        <v>1920</v>
      </c>
      <c r="C1924" s="39">
        <f t="shared" si="59"/>
        <v>157992929.59999999</v>
      </c>
      <c r="D1924" s="39">
        <f t="shared" si="60"/>
        <v>63411840</v>
      </c>
    </row>
    <row r="1925" spans="2:4" x14ac:dyDescent="0.25">
      <c r="B1925" s="89">
        <v>1921</v>
      </c>
      <c r="C1925" s="39">
        <f t="shared" si="59"/>
        <v>157992929.59999999</v>
      </c>
      <c r="D1925" s="39">
        <f t="shared" si="60"/>
        <v>63444867</v>
      </c>
    </row>
    <row r="1926" spans="2:4" x14ac:dyDescent="0.25">
      <c r="B1926" s="89">
        <v>1922</v>
      </c>
      <c r="C1926" s="39">
        <f t="shared" ref="C1926:C1989" si="61">$C1925</f>
        <v>157992929.59999999</v>
      </c>
      <c r="D1926" s="39">
        <f t="shared" si="60"/>
        <v>63477894</v>
      </c>
    </row>
    <row r="1927" spans="2:4" x14ac:dyDescent="0.25">
      <c r="B1927" s="89">
        <v>1923</v>
      </c>
      <c r="C1927" s="39">
        <f t="shared" si="61"/>
        <v>157992929.59999999</v>
      </c>
      <c r="D1927" s="39">
        <f t="shared" si="60"/>
        <v>63510921</v>
      </c>
    </row>
    <row r="1928" spans="2:4" x14ac:dyDescent="0.25">
      <c r="B1928" s="89">
        <v>1924</v>
      </c>
      <c r="C1928" s="39">
        <f t="shared" si="61"/>
        <v>157992929.59999999</v>
      </c>
      <c r="D1928" s="39">
        <f t="shared" si="60"/>
        <v>63543948</v>
      </c>
    </row>
    <row r="1929" spans="2:4" x14ac:dyDescent="0.25">
      <c r="B1929" s="89">
        <v>1925</v>
      </c>
      <c r="C1929" s="39">
        <f t="shared" si="61"/>
        <v>157992929.59999999</v>
      </c>
      <c r="D1929" s="39">
        <f t="shared" si="60"/>
        <v>63576975</v>
      </c>
    </row>
    <row r="1930" spans="2:4" x14ac:dyDescent="0.25">
      <c r="B1930" s="89">
        <v>1926</v>
      </c>
      <c r="C1930" s="39">
        <f t="shared" si="61"/>
        <v>157992929.59999999</v>
      </c>
      <c r="D1930" s="39">
        <f t="shared" si="60"/>
        <v>63610002</v>
      </c>
    </row>
    <row r="1931" spans="2:4" x14ac:dyDescent="0.25">
      <c r="B1931" s="89">
        <v>1927</v>
      </c>
      <c r="C1931" s="39">
        <f t="shared" si="61"/>
        <v>157992929.59999999</v>
      </c>
      <c r="D1931" s="39">
        <f t="shared" si="60"/>
        <v>63643029</v>
      </c>
    </row>
    <row r="1932" spans="2:4" x14ac:dyDescent="0.25">
      <c r="B1932" s="89">
        <v>1928</v>
      </c>
      <c r="C1932" s="39">
        <f t="shared" si="61"/>
        <v>157992929.59999999</v>
      </c>
      <c r="D1932" s="39">
        <f t="shared" si="60"/>
        <v>63676056</v>
      </c>
    </row>
    <row r="1933" spans="2:4" x14ac:dyDescent="0.25">
      <c r="B1933" s="89">
        <v>1929</v>
      </c>
      <c r="C1933" s="39">
        <f t="shared" si="61"/>
        <v>157992929.59999999</v>
      </c>
      <c r="D1933" s="39">
        <f t="shared" si="60"/>
        <v>63709083</v>
      </c>
    </row>
    <row r="1934" spans="2:4" x14ac:dyDescent="0.25">
      <c r="B1934" s="89">
        <v>1930</v>
      </c>
      <c r="C1934" s="39">
        <f t="shared" si="61"/>
        <v>157992929.59999999</v>
      </c>
      <c r="D1934" s="39">
        <f t="shared" si="60"/>
        <v>63742110</v>
      </c>
    </row>
    <row r="1935" spans="2:4" x14ac:dyDescent="0.25">
      <c r="B1935" s="89">
        <v>1931</v>
      </c>
      <c r="C1935" s="39">
        <f t="shared" si="61"/>
        <v>157992929.59999999</v>
      </c>
      <c r="D1935" s="39">
        <f t="shared" si="60"/>
        <v>63775137</v>
      </c>
    </row>
    <row r="1936" spans="2:4" x14ac:dyDescent="0.25">
      <c r="B1936" s="89">
        <v>1932</v>
      </c>
      <c r="C1936" s="39">
        <f t="shared" si="61"/>
        <v>157992929.59999999</v>
      </c>
      <c r="D1936" s="39">
        <f t="shared" si="60"/>
        <v>63808164</v>
      </c>
    </row>
    <row r="1937" spans="2:4" x14ac:dyDescent="0.25">
      <c r="B1937" s="89">
        <v>1933</v>
      </c>
      <c r="C1937" s="39">
        <f t="shared" si="61"/>
        <v>157992929.59999999</v>
      </c>
      <c r="D1937" s="39">
        <f t="shared" si="60"/>
        <v>63841191</v>
      </c>
    </row>
    <row r="1938" spans="2:4" x14ac:dyDescent="0.25">
      <c r="B1938" s="89">
        <v>1934</v>
      </c>
      <c r="C1938" s="39">
        <f t="shared" si="61"/>
        <v>157992929.59999999</v>
      </c>
      <c r="D1938" s="39">
        <f t="shared" si="60"/>
        <v>63874218</v>
      </c>
    </row>
    <row r="1939" spans="2:4" x14ac:dyDescent="0.25">
      <c r="B1939" s="89">
        <v>1935</v>
      </c>
      <c r="C1939" s="39">
        <f t="shared" si="61"/>
        <v>157992929.59999999</v>
      </c>
      <c r="D1939" s="39">
        <f t="shared" si="60"/>
        <v>63907245</v>
      </c>
    </row>
    <row r="1940" spans="2:4" x14ac:dyDescent="0.25">
      <c r="B1940" s="89">
        <v>1936</v>
      </c>
      <c r="C1940" s="39">
        <f t="shared" si="61"/>
        <v>157992929.59999999</v>
      </c>
      <c r="D1940" s="39">
        <f t="shared" si="60"/>
        <v>63940272</v>
      </c>
    </row>
    <row r="1941" spans="2:4" x14ac:dyDescent="0.25">
      <c r="B1941" s="89">
        <v>1937</v>
      </c>
      <c r="C1941" s="39">
        <f t="shared" si="61"/>
        <v>157992929.59999999</v>
      </c>
      <c r="D1941" s="39">
        <f t="shared" si="60"/>
        <v>63973299</v>
      </c>
    </row>
    <row r="1942" spans="2:4" x14ac:dyDescent="0.25">
      <c r="B1942" s="89">
        <v>1938</v>
      </c>
      <c r="C1942" s="39">
        <f t="shared" si="61"/>
        <v>157992929.59999999</v>
      </c>
      <c r="D1942" s="39">
        <f t="shared" si="60"/>
        <v>64006326</v>
      </c>
    </row>
    <row r="1943" spans="2:4" x14ac:dyDescent="0.25">
      <c r="B1943" s="89">
        <v>1939</v>
      </c>
      <c r="C1943" s="39">
        <f t="shared" si="61"/>
        <v>157992929.59999999</v>
      </c>
      <c r="D1943" s="39">
        <f t="shared" si="60"/>
        <v>64039353</v>
      </c>
    </row>
    <row r="1944" spans="2:4" x14ac:dyDescent="0.25">
      <c r="B1944" s="89">
        <v>1940</v>
      </c>
      <c r="C1944" s="39">
        <f t="shared" si="61"/>
        <v>157992929.59999999</v>
      </c>
      <c r="D1944" s="39">
        <f t="shared" si="60"/>
        <v>64072380</v>
      </c>
    </row>
    <row r="1945" spans="2:4" x14ac:dyDescent="0.25">
      <c r="B1945" s="89">
        <v>1941</v>
      </c>
      <c r="C1945" s="39">
        <f t="shared" si="61"/>
        <v>157992929.59999999</v>
      </c>
      <c r="D1945" s="39">
        <f t="shared" si="60"/>
        <v>64105407</v>
      </c>
    </row>
    <row r="1946" spans="2:4" x14ac:dyDescent="0.25">
      <c r="B1946" s="89">
        <v>1942</v>
      </c>
      <c r="C1946" s="39">
        <f t="shared" si="61"/>
        <v>157992929.59999999</v>
      </c>
      <c r="D1946" s="39">
        <f t="shared" si="60"/>
        <v>64138434</v>
      </c>
    </row>
    <row r="1947" spans="2:4" x14ac:dyDescent="0.25">
      <c r="B1947" s="89">
        <v>1943</v>
      </c>
      <c r="C1947" s="39">
        <f t="shared" si="61"/>
        <v>157992929.59999999</v>
      </c>
      <c r="D1947" s="39">
        <f t="shared" si="60"/>
        <v>64171461</v>
      </c>
    </row>
    <row r="1948" spans="2:4" x14ac:dyDescent="0.25">
      <c r="B1948" s="89">
        <v>1944</v>
      </c>
      <c r="C1948" s="39">
        <f t="shared" si="61"/>
        <v>157992929.59999999</v>
      </c>
      <c r="D1948" s="39">
        <f t="shared" si="60"/>
        <v>64204488</v>
      </c>
    </row>
    <row r="1949" spans="2:4" x14ac:dyDescent="0.25">
      <c r="B1949" s="89">
        <v>1945</v>
      </c>
      <c r="C1949" s="39">
        <f t="shared" si="61"/>
        <v>157992929.59999999</v>
      </c>
      <c r="D1949" s="39">
        <f t="shared" si="60"/>
        <v>64237515</v>
      </c>
    </row>
    <row r="1950" spans="2:4" x14ac:dyDescent="0.25">
      <c r="B1950" s="89">
        <v>1946</v>
      </c>
      <c r="C1950" s="39">
        <f t="shared" si="61"/>
        <v>157992929.59999999</v>
      </c>
      <c r="D1950" s="39">
        <f t="shared" si="60"/>
        <v>64270542</v>
      </c>
    </row>
    <row r="1951" spans="2:4" x14ac:dyDescent="0.25">
      <c r="B1951" s="89">
        <v>1947</v>
      </c>
      <c r="C1951" s="39">
        <f t="shared" si="61"/>
        <v>157992929.59999999</v>
      </c>
      <c r="D1951" s="39">
        <f t="shared" si="60"/>
        <v>64303569</v>
      </c>
    </row>
    <row r="1952" spans="2:4" x14ac:dyDescent="0.25">
      <c r="B1952" s="89">
        <v>1948</v>
      </c>
      <c r="C1952" s="39">
        <f t="shared" si="61"/>
        <v>157992929.59999999</v>
      </c>
      <c r="D1952" s="39">
        <f t="shared" si="60"/>
        <v>64336596</v>
      </c>
    </row>
    <row r="1953" spans="2:4" x14ac:dyDescent="0.25">
      <c r="B1953" s="89">
        <v>1949</v>
      </c>
      <c r="C1953" s="39">
        <f t="shared" si="61"/>
        <v>157992929.59999999</v>
      </c>
      <c r="D1953" s="39">
        <f t="shared" si="60"/>
        <v>64369623</v>
      </c>
    </row>
    <row r="1954" spans="2:4" x14ac:dyDescent="0.25">
      <c r="B1954" s="89">
        <v>1950</v>
      </c>
      <c r="C1954" s="39">
        <f t="shared" si="61"/>
        <v>157992929.59999999</v>
      </c>
      <c r="D1954" s="39">
        <f t="shared" si="60"/>
        <v>64402650</v>
      </c>
    </row>
    <row r="1955" spans="2:4" x14ac:dyDescent="0.25">
      <c r="B1955" s="89">
        <v>1951</v>
      </c>
      <c r="C1955" s="39">
        <f t="shared" si="61"/>
        <v>157992929.59999999</v>
      </c>
      <c r="D1955" s="39">
        <f t="shared" si="60"/>
        <v>64435677</v>
      </c>
    </row>
    <row r="1956" spans="2:4" x14ac:dyDescent="0.25">
      <c r="B1956" s="89">
        <v>1952</v>
      </c>
      <c r="C1956" s="39">
        <f t="shared" si="61"/>
        <v>157992929.59999999</v>
      </c>
      <c r="D1956" s="39">
        <f t="shared" si="60"/>
        <v>64468704</v>
      </c>
    </row>
    <row r="1957" spans="2:4" x14ac:dyDescent="0.25">
      <c r="B1957" s="89">
        <v>1953</v>
      </c>
      <c r="C1957" s="39">
        <f t="shared" si="61"/>
        <v>157992929.59999999</v>
      </c>
      <c r="D1957" s="39">
        <f t="shared" si="60"/>
        <v>64501731</v>
      </c>
    </row>
    <row r="1958" spans="2:4" x14ac:dyDescent="0.25">
      <c r="B1958" s="89">
        <v>1954</v>
      </c>
      <c r="C1958" s="39">
        <f t="shared" si="61"/>
        <v>157992929.59999999</v>
      </c>
      <c r="D1958" s="39">
        <f t="shared" si="60"/>
        <v>64534758</v>
      </c>
    </row>
    <row r="1959" spans="2:4" x14ac:dyDescent="0.25">
      <c r="B1959" s="89">
        <v>1955</v>
      </c>
      <c r="C1959" s="39">
        <f t="shared" si="61"/>
        <v>157992929.59999999</v>
      </c>
      <c r="D1959" s="39">
        <f t="shared" si="60"/>
        <v>64567785</v>
      </c>
    </row>
    <row r="1960" spans="2:4" x14ac:dyDescent="0.25">
      <c r="B1960" s="89">
        <v>1956</v>
      </c>
      <c r="C1960" s="39">
        <f t="shared" si="61"/>
        <v>157992929.59999999</v>
      </c>
      <c r="D1960" s="39">
        <f t="shared" si="60"/>
        <v>64600812</v>
      </c>
    </row>
    <row r="1961" spans="2:4" x14ac:dyDescent="0.25">
      <c r="B1961" s="89">
        <v>1957</v>
      </c>
      <c r="C1961" s="39">
        <f t="shared" si="61"/>
        <v>157992929.59999999</v>
      </c>
      <c r="D1961" s="39">
        <f t="shared" si="60"/>
        <v>64633839</v>
      </c>
    </row>
    <row r="1962" spans="2:4" x14ac:dyDescent="0.25">
      <c r="B1962" s="89">
        <v>1958</v>
      </c>
      <c r="C1962" s="39">
        <f t="shared" si="61"/>
        <v>157992929.59999999</v>
      </c>
      <c r="D1962" s="39">
        <f t="shared" si="60"/>
        <v>64666866</v>
      </c>
    </row>
    <row r="1963" spans="2:4" x14ac:dyDescent="0.25">
      <c r="B1963" s="89">
        <v>1959</v>
      </c>
      <c r="C1963" s="39">
        <f t="shared" si="61"/>
        <v>157992929.59999999</v>
      </c>
      <c r="D1963" s="39">
        <f t="shared" si="60"/>
        <v>64699893</v>
      </c>
    </row>
    <row r="1964" spans="2:4" x14ac:dyDescent="0.25">
      <c r="B1964" s="89">
        <v>1960</v>
      </c>
      <c r="C1964" s="39">
        <f t="shared" si="61"/>
        <v>157992929.59999999</v>
      </c>
      <c r="D1964" s="39">
        <f t="shared" si="60"/>
        <v>64732920</v>
      </c>
    </row>
    <row r="1965" spans="2:4" x14ac:dyDescent="0.25">
      <c r="B1965" s="89">
        <v>1961</v>
      </c>
      <c r="C1965" s="39">
        <f t="shared" si="61"/>
        <v>157992929.59999999</v>
      </c>
      <c r="D1965" s="39">
        <f t="shared" si="60"/>
        <v>64765947</v>
      </c>
    </row>
    <row r="1966" spans="2:4" x14ac:dyDescent="0.25">
      <c r="B1966" s="89">
        <v>1962</v>
      </c>
      <c r="C1966" s="39">
        <f t="shared" si="61"/>
        <v>157992929.59999999</v>
      </c>
      <c r="D1966" s="39">
        <f t="shared" si="60"/>
        <v>64798974</v>
      </c>
    </row>
    <row r="1967" spans="2:4" x14ac:dyDescent="0.25">
      <c r="B1967" s="89">
        <v>1963</v>
      </c>
      <c r="C1967" s="39">
        <f t="shared" si="61"/>
        <v>157992929.59999999</v>
      </c>
      <c r="D1967" s="39">
        <f t="shared" si="60"/>
        <v>64832001</v>
      </c>
    </row>
    <row r="1968" spans="2:4" x14ac:dyDescent="0.25">
      <c r="B1968" s="89">
        <v>1964</v>
      </c>
      <c r="C1968" s="39">
        <f t="shared" si="61"/>
        <v>157992929.59999999</v>
      </c>
      <c r="D1968" s="39">
        <f t="shared" si="60"/>
        <v>64865028</v>
      </c>
    </row>
    <row r="1969" spans="2:4" x14ac:dyDescent="0.25">
      <c r="B1969" s="89">
        <v>1965</v>
      </c>
      <c r="C1969" s="39">
        <f t="shared" si="61"/>
        <v>157992929.59999999</v>
      </c>
      <c r="D1969" s="39">
        <f t="shared" ref="D1969:D2032" si="62">$D$2*B1969</f>
        <v>64898055</v>
      </c>
    </row>
    <row r="1970" spans="2:4" x14ac:dyDescent="0.25">
      <c r="B1970" s="89">
        <v>1966</v>
      </c>
      <c r="C1970" s="39">
        <f t="shared" si="61"/>
        <v>157992929.59999999</v>
      </c>
      <c r="D1970" s="39">
        <f t="shared" si="62"/>
        <v>64931082</v>
      </c>
    </row>
    <row r="1971" spans="2:4" x14ac:dyDescent="0.25">
      <c r="B1971" s="89">
        <v>1967</v>
      </c>
      <c r="C1971" s="39">
        <f t="shared" si="61"/>
        <v>157992929.59999999</v>
      </c>
      <c r="D1971" s="39">
        <f t="shared" si="62"/>
        <v>64964109</v>
      </c>
    </row>
    <row r="1972" spans="2:4" x14ac:dyDescent="0.25">
      <c r="B1972" s="89">
        <v>1968</v>
      </c>
      <c r="C1972" s="39">
        <f t="shared" si="61"/>
        <v>157992929.59999999</v>
      </c>
      <c r="D1972" s="39">
        <f t="shared" si="62"/>
        <v>64997136</v>
      </c>
    </row>
    <row r="1973" spans="2:4" x14ac:dyDescent="0.25">
      <c r="B1973" s="89">
        <v>1969</v>
      </c>
      <c r="C1973" s="39">
        <f t="shared" si="61"/>
        <v>157992929.59999999</v>
      </c>
      <c r="D1973" s="39">
        <f t="shared" si="62"/>
        <v>65030163</v>
      </c>
    </row>
    <row r="1974" spans="2:4" x14ac:dyDescent="0.25">
      <c r="B1974" s="89">
        <v>1970</v>
      </c>
      <c r="C1974" s="39">
        <f t="shared" si="61"/>
        <v>157992929.59999999</v>
      </c>
      <c r="D1974" s="39">
        <f t="shared" si="62"/>
        <v>65063190</v>
      </c>
    </row>
    <row r="1975" spans="2:4" x14ac:dyDescent="0.25">
      <c r="B1975" s="89">
        <v>1971</v>
      </c>
      <c r="C1975" s="39">
        <f t="shared" si="61"/>
        <v>157992929.59999999</v>
      </c>
      <c r="D1975" s="39">
        <f t="shared" si="62"/>
        <v>65096217</v>
      </c>
    </row>
    <row r="1976" spans="2:4" x14ac:dyDescent="0.25">
      <c r="B1976" s="89">
        <v>1972</v>
      </c>
      <c r="C1976" s="39">
        <f t="shared" si="61"/>
        <v>157992929.59999999</v>
      </c>
      <c r="D1976" s="39">
        <f t="shared" si="62"/>
        <v>65129244</v>
      </c>
    </row>
    <row r="1977" spans="2:4" x14ac:dyDescent="0.25">
      <c r="B1977" s="89">
        <v>1973</v>
      </c>
      <c r="C1977" s="39">
        <f t="shared" si="61"/>
        <v>157992929.59999999</v>
      </c>
      <c r="D1977" s="39">
        <f t="shared" si="62"/>
        <v>65162271</v>
      </c>
    </row>
    <row r="1978" spans="2:4" x14ac:dyDescent="0.25">
      <c r="B1978" s="89">
        <v>1974</v>
      </c>
      <c r="C1978" s="39">
        <f t="shared" si="61"/>
        <v>157992929.59999999</v>
      </c>
      <c r="D1978" s="39">
        <f t="shared" si="62"/>
        <v>65195298</v>
      </c>
    </row>
    <row r="1979" spans="2:4" x14ac:dyDescent="0.25">
      <c r="B1979" s="89">
        <v>1975</v>
      </c>
      <c r="C1979" s="39">
        <f t="shared" si="61"/>
        <v>157992929.59999999</v>
      </c>
      <c r="D1979" s="39">
        <f t="shared" si="62"/>
        <v>65228325</v>
      </c>
    </row>
    <row r="1980" spans="2:4" x14ac:dyDescent="0.25">
      <c r="B1980" s="89">
        <v>1976</v>
      </c>
      <c r="C1980" s="39">
        <f t="shared" si="61"/>
        <v>157992929.59999999</v>
      </c>
      <c r="D1980" s="39">
        <f t="shared" si="62"/>
        <v>65261352</v>
      </c>
    </row>
    <row r="1981" spans="2:4" x14ac:dyDescent="0.25">
      <c r="B1981" s="89">
        <v>1977</v>
      </c>
      <c r="C1981" s="39">
        <f t="shared" si="61"/>
        <v>157992929.59999999</v>
      </c>
      <c r="D1981" s="39">
        <f t="shared" si="62"/>
        <v>65294379</v>
      </c>
    </row>
    <row r="1982" spans="2:4" x14ac:dyDescent="0.25">
      <c r="B1982" s="89">
        <v>1978</v>
      </c>
      <c r="C1982" s="39">
        <f t="shared" si="61"/>
        <v>157992929.59999999</v>
      </c>
      <c r="D1982" s="39">
        <f t="shared" si="62"/>
        <v>65327406</v>
      </c>
    </row>
    <row r="1983" spans="2:4" x14ac:dyDescent="0.25">
      <c r="B1983" s="89">
        <v>1979</v>
      </c>
      <c r="C1983" s="39">
        <f t="shared" si="61"/>
        <v>157992929.59999999</v>
      </c>
      <c r="D1983" s="39">
        <f t="shared" si="62"/>
        <v>65360433</v>
      </c>
    </row>
    <row r="1984" spans="2:4" x14ac:dyDescent="0.25">
      <c r="B1984" s="89">
        <v>1980</v>
      </c>
      <c r="C1984" s="39">
        <f t="shared" si="61"/>
        <v>157992929.59999999</v>
      </c>
      <c r="D1984" s="39">
        <f t="shared" si="62"/>
        <v>65393460</v>
      </c>
    </row>
    <row r="1985" spans="2:4" x14ac:dyDescent="0.25">
      <c r="B1985" s="89">
        <v>1981</v>
      </c>
      <c r="C1985" s="39">
        <f t="shared" si="61"/>
        <v>157992929.59999999</v>
      </c>
      <c r="D1985" s="39">
        <f t="shared" si="62"/>
        <v>65426487</v>
      </c>
    </row>
    <row r="1986" spans="2:4" x14ac:dyDescent="0.25">
      <c r="B1986" s="89">
        <v>1982</v>
      </c>
      <c r="C1986" s="39">
        <f t="shared" si="61"/>
        <v>157992929.59999999</v>
      </c>
      <c r="D1986" s="39">
        <f t="shared" si="62"/>
        <v>65459514</v>
      </c>
    </row>
    <row r="1987" spans="2:4" x14ac:dyDescent="0.25">
      <c r="B1987" s="89">
        <v>1983</v>
      </c>
      <c r="C1987" s="39">
        <f t="shared" si="61"/>
        <v>157992929.59999999</v>
      </c>
      <c r="D1987" s="39">
        <f t="shared" si="62"/>
        <v>65492541</v>
      </c>
    </row>
    <row r="1988" spans="2:4" x14ac:dyDescent="0.25">
      <c r="B1988" s="89">
        <v>1984</v>
      </c>
      <c r="C1988" s="39">
        <f t="shared" si="61"/>
        <v>157992929.59999999</v>
      </c>
      <c r="D1988" s="39">
        <f t="shared" si="62"/>
        <v>65525568</v>
      </c>
    </row>
    <row r="1989" spans="2:4" x14ac:dyDescent="0.25">
      <c r="B1989" s="89">
        <v>1985</v>
      </c>
      <c r="C1989" s="39">
        <f t="shared" si="61"/>
        <v>157992929.59999999</v>
      </c>
      <c r="D1989" s="39">
        <f t="shared" si="62"/>
        <v>65558595</v>
      </c>
    </row>
    <row r="1990" spans="2:4" x14ac:dyDescent="0.25">
      <c r="B1990" s="89">
        <v>1986</v>
      </c>
      <c r="C1990" s="39">
        <f t="shared" ref="C1990:C2053" si="63">$C1989</f>
        <v>157992929.59999999</v>
      </c>
      <c r="D1990" s="39">
        <f t="shared" si="62"/>
        <v>65591622</v>
      </c>
    </row>
    <row r="1991" spans="2:4" x14ac:dyDescent="0.25">
      <c r="B1991" s="89">
        <v>1987</v>
      </c>
      <c r="C1991" s="39">
        <f t="shared" si="63"/>
        <v>157992929.59999999</v>
      </c>
      <c r="D1991" s="39">
        <f t="shared" si="62"/>
        <v>65624649</v>
      </c>
    </row>
    <row r="1992" spans="2:4" x14ac:dyDescent="0.25">
      <c r="B1992" s="89">
        <v>1988</v>
      </c>
      <c r="C1992" s="39">
        <f t="shared" si="63"/>
        <v>157992929.59999999</v>
      </c>
      <c r="D1992" s="39">
        <f t="shared" si="62"/>
        <v>65657676</v>
      </c>
    </row>
    <row r="1993" spans="2:4" x14ac:dyDescent="0.25">
      <c r="B1993" s="89">
        <v>1989</v>
      </c>
      <c r="C1993" s="39">
        <f t="shared" si="63"/>
        <v>157992929.59999999</v>
      </c>
      <c r="D1993" s="39">
        <f t="shared" si="62"/>
        <v>65690703</v>
      </c>
    </row>
    <row r="1994" spans="2:4" x14ac:dyDescent="0.25">
      <c r="B1994" s="89">
        <v>1990</v>
      </c>
      <c r="C1994" s="39">
        <f t="shared" si="63"/>
        <v>157992929.59999999</v>
      </c>
      <c r="D1994" s="39">
        <f t="shared" si="62"/>
        <v>65723730</v>
      </c>
    </row>
    <row r="1995" spans="2:4" x14ac:dyDescent="0.25">
      <c r="B1995" s="89">
        <v>1991</v>
      </c>
      <c r="C1995" s="39">
        <f t="shared" si="63"/>
        <v>157992929.59999999</v>
      </c>
      <c r="D1995" s="39">
        <f t="shared" si="62"/>
        <v>65756757</v>
      </c>
    </row>
    <row r="1996" spans="2:4" x14ac:dyDescent="0.25">
      <c r="B1996" s="89">
        <v>1992</v>
      </c>
      <c r="C1996" s="39">
        <f t="shared" si="63"/>
        <v>157992929.59999999</v>
      </c>
      <c r="D1996" s="39">
        <f t="shared" si="62"/>
        <v>65789784</v>
      </c>
    </row>
    <row r="1997" spans="2:4" x14ac:dyDescent="0.25">
      <c r="B1997" s="89">
        <v>1993</v>
      </c>
      <c r="C1997" s="39">
        <f t="shared" si="63"/>
        <v>157992929.59999999</v>
      </c>
      <c r="D1997" s="39">
        <f t="shared" si="62"/>
        <v>65822811</v>
      </c>
    </row>
    <row r="1998" spans="2:4" x14ac:dyDescent="0.25">
      <c r="B1998" s="89">
        <v>1994</v>
      </c>
      <c r="C1998" s="39">
        <f t="shared" si="63"/>
        <v>157992929.59999999</v>
      </c>
      <c r="D1998" s="39">
        <f t="shared" si="62"/>
        <v>65855838</v>
      </c>
    </row>
    <row r="1999" spans="2:4" x14ac:dyDescent="0.25">
      <c r="B1999" s="89">
        <v>1995</v>
      </c>
      <c r="C1999" s="39">
        <f t="shared" si="63"/>
        <v>157992929.59999999</v>
      </c>
      <c r="D1999" s="39">
        <f t="shared" si="62"/>
        <v>65888865</v>
      </c>
    </row>
    <row r="2000" spans="2:4" x14ac:dyDescent="0.25">
      <c r="B2000" s="89">
        <v>1996</v>
      </c>
      <c r="C2000" s="39">
        <f t="shared" si="63"/>
        <v>157992929.59999999</v>
      </c>
      <c r="D2000" s="39">
        <f t="shared" si="62"/>
        <v>65921892</v>
      </c>
    </row>
    <row r="2001" spans="2:4" x14ac:dyDescent="0.25">
      <c r="B2001" s="89">
        <v>1997</v>
      </c>
      <c r="C2001" s="39">
        <f t="shared" si="63"/>
        <v>157992929.59999999</v>
      </c>
      <c r="D2001" s="39">
        <f t="shared" si="62"/>
        <v>65954919</v>
      </c>
    </row>
    <row r="2002" spans="2:4" x14ac:dyDescent="0.25">
      <c r="B2002" s="89">
        <v>1998</v>
      </c>
      <c r="C2002" s="39">
        <f t="shared" si="63"/>
        <v>157992929.59999999</v>
      </c>
      <c r="D2002" s="39">
        <f t="shared" si="62"/>
        <v>65987946</v>
      </c>
    </row>
    <row r="2003" spans="2:4" x14ac:dyDescent="0.25">
      <c r="B2003" s="89">
        <v>1999</v>
      </c>
      <c r="C2003" s="39">
        <f t="shared" si="63"/>
        <v>157992929.59999999</v>
      </c>
      <c r="D2003" s="39">
        <f t="shared" si="62"/>
        <v>66020973</v>
      </c>
    </row>
    <row r="2004" spans="2:4" x14ac:dyDescent="0.25">
      <c r="B2004" s="89">
        <v>2000</v>
      </c>
      <c r="C2004" s="39">
        <f t="shared" si="63"/>
        <v>157992929.59999999</v>
      </c>
      <c r="D2004" s="39">
        <f t="shared" si="62"/>
        <v>66054000</v>
      </c>
    </row>
    <row r="2005" spans="2:4" x14ac:dyDescent="0.25">
      <c r="B2005" s="89">
        <v>2001</v>
      </c>
      <c r="C2005" s="39">
        <f t="shared" si="63"/>
        <v>157992929.59999999</v>
      </c>
      <c r="D2005" s="39">
        <f t="shared" si="62"/>
        <v>66087027</v>
      </c>
    </row>
    <row r="2006" spans="2:4" x14ac:dyDescent="0.25">
      <c r="B2006" s="89">
        <v>2002</v>
      </c>
      <c r="C2006" s="39">
        <f t="shared" si="63"/>
        <v>157992929.59999999</v>
      </c>
      <c r="D2006" s="39">
        <f t="shared" si="62"/>
        <v>66120054</v>
      </c>
    </row>
    <row r="2007" spans="2:4" x14ac:dyDescent="0.25">
      <c r="B2007" s="89">
        <v>2003</v>
      </c>
      <c r="C2007" s="39">
        <f t="shared" si="63"/>
        <v>157992929.59999999</v>
      </c>
      <c r="D2007" s="39">
        <f t="shared" si="62"/>
        <v>66153081</v>
      </c>
    </row>
    <row r="2008" spans="2:4" x14ac:dyDescent="0.25">
      <c r="B2008" s="89">
        <v>2004</v>
      </c>
      <c r="C2008" s="39">
        <f t="shared" si="63"/>
        <v>157992929.59999999</v>
      </c>
      <c r="D2008" s="39">
        <f t="shared" si="62"/>
        <v>66186108</v>
      </c>
    </row>
    <row r="2009" spans="2:4" x14ac:dyDescent="0.25">
      <c r="B2009" s="89">
        <v>2005</v>
      </c>
      <c r="C2009" s="39">
        <f t="shared" si="63"/>
        <v>157992929.59999999</v>
      </c>
      <c r="D2009" s="39">
        <f t="shared" si="62"/>
        <v>66219135</v>
      </c>
    </row>
    <row r="2010" spans="2:4" x14ac:dyDescent="0.25">
      <c r="B2010" s="89">
        <v>2006</v>
      </c>
      <c r="C2010" s="39">
        <f t="shared" si="63"/>
        <v>157992929.59999999</v>
      </c>
      <c r="D2010" s="39">
        <f t="shared" si="62"/>
        <v>66252162</v>
      </c>
    </row>
    <row r="2011" spans="2:4" x14ac:dyDescent="0.25">
      <c r="B2011" s="89">
        <v>2007</v>
      </c>
      <c r="C2011" s="39">
        <f t="shared" si="63"/>
        <v>157992929.59999999</v>
      </c>
      <c r="D2011" s="39">
        <f t="shared" si="62"/>
        <v>66285189</v>
      </c>
    </row>
    <row r="2012" spans="2:4" x14ac:dyDescent="0.25">
      <c r="B2012" s="89">
        <v>2008</v>
      </c>
      <c r="C2012" s="39">
        <f t="shared" si="63"/>
        <v>157992929.59999999</v>
      </c>
      <c r="D2012" s="39">
        <f t="shared" si="62"/>
        <v>66318216</v>
      </c>
    </row>
    <row r="2013" spans="2:4" x14ac:dyDescent="0.25">
      <c r="B2013" s="89">
        <v>2009</v>
      </c>
      <c r="C2013" s="39">
        <f t="shared" si="63"/>
        <v>157992929.59999999</v>
      </c>
      <c r="D2013" s="39">
        <f t="shared" si="62"/>
        <v>66351243</v>
      </c>
    </row>
    <row r="2014" spans="2:4" x14ac:dyDescent="0.25">
      <c r="B2014" s="89">
        <v>2010</v>
      </c>
      <c r="C2014" s="39">
        <f t="shared" si="63"/>
        <v>157992929.59999999</v>
      </c>
      <c r="D2014" s="39">
        <f t="shared" si="62"/>
        <v>66384270</v>
      </c>
    </row>
    <row r="2015" spans="2:4" x14ac:dyDescent="0.25">
      <c r="B2015" s="89">
        <v>2011</v>
      </c>
      <c r="C2015" s="39">
        <f t="shared" si="63"/>
        <v>157992929.59999999</v>
      </c>
      <c r="D2015" s="39">
        <f t="shared" si="62"/>
        <v>66417297</v>
      </c>
    </row>
    <row r="2016" spans="2:4" x14ac:dyDescent="0.25">
      <c r="B2016" s="89">
        <v>2012</v>
      </c>
      <c r="C2016" s="39">
        <f t="shared" si="63"/>
        <v>157992929.59999999</v>
      </c>
      <c r="D2016" s="39">
        <f t="shared" si="62"/>
        <v>66450324</v>
      </c>
    </row>
    <row r="2017" spans="2:4" x14ac:dyDescent="0.25">
      <c r="B2017" s="89">
        <v>2013</v>
      </c>
      <c r="C2017" s="39">
        <f t="shared" si="63"/>
        <v>157992929.59999999</v>
      </c>
      <c r="D2017" s="39">
        <f t="shared" si="62"/>
        <v>66483351</v>
      </c>
    </row>
    <row r="2018" spans="2:4" x14ac:dyDescent="0.25">
      <c r="B2018" s="89">
        <v>2014</v>
      </c>
      <c r="C2018" s="39">
        <f t="shared" si="63"/>
        <v>157992929.59999999</v>
      </c>
      <c r="D2018" s="39">
        <f t="shared" si="62"/>
        <v>66516378</v>
      </c>
    </row>
    <row r="2019" spans="2:4" x14ac:dyDescent="0.25">
      <c r="B2019" s="89">
        <v>2015</v>
      </c>
      <c r="C2019" s="39">
        <f t="shared" si="63"/>
        <v>157992929.59999999</v>
      </c>
      <c r="D2019" s="39">
        <f t="shared" si="62"/>
        <v>66549405</v>
      </c>
    </row>
    <row r="2020" spans="2:4" x14ac:dyDescent="0.25">
      <c r="B2020" s="89">
        <v>2016</v>
      </c>
      <c r="C2020" s="39">
        <f t="shared" si="63"/>
        <v>157992929.59999999</v>
      </c>
      <c r="D2020" s="39">
        <f t="shared" si="62"/>
        <v>66582432</v>
      </c>
    </row>
    <row r="2021" spans="2:4" x14ac:dyDescent="0.25">
      <c r="B2021" s="89">
        <v>2017</v>
      </c>
      <c r="C2021" s="39">
        <f t="shared" si="63"/>
        <v>157992929.59999999</v>
      </c>
      <c r="D2021" s="39">
        <f t="shared" si="62"/>
        <v>66615459</v>
      </c>
    </row>
    <row r="2022" spans="2:4" x14ac:dyDescent="0.25">
      <c r="B2022" s="89">
        <v>2018</v>
      </c>
      <c r="C2022" s="39">
        <f t="shared" si="63"/>
        <v>157992929.59999999</v>
      </c>
      <c r="D2022" s="39">
        <f t="shared" si="62"/>
        <v>66648486</v>
      </c>
    </row>
    <row r="2023" spans="2:4" x14ac:dyDescent="0.25">
      <c r="B2023" s="89">
        <v>2019</v>
      </c>
      <c r="C2023" s="39">
        <f t="shared" si="63"/>
        <v>157992929.59999999</v>
      </c>
      <c r="D2023" s="39">
        <f t="shared" si="62"/>
        <v>66681513</v>
      </c>
    </row>
    <row r="2024" spans="2:4" x14ac:dyDescent="0.25">
      <c r="B2024" s="89">
        <v>2020</v>
      </c>
      <c r="C2024" s="39">
        <f t="shared" si="63"/>
        <v>157992929.59999999</v>
      </c>
      <c r="D2024" s="39">
        <f t="shared" si="62"/>
        <v>66714540</v>
      </c>
    </row>
    <row r="2025" spans="2:4" x14ac:dyDescent="0.25">
      <c r="B2025" s="89">
        <v>2021</v>
      </c>
      <c r="C2025" s="39">
        <f t="shared" si="63"/>
        <v>157992929.59999999</v>
      </c>
      <c r="D2025" s="39">
        <f t="shared" si="62"/>
        <v>66747567</v>
      </c>
    </row>
    <row r="2026" spans="2:4" x14ac:dyDescent="0.25">
      <c r="B2026" s="89">
        <v>2022</v>
      </c>
      <c r="C2026" s="39">
        <f t="shared" si="63"/>
        <v>157992929.59999999</v>
      </c>
      <c r="D2026" s="39">
        <f t="shared" si="62"/>
        <v>66780594</v>
      </c>
    </row>
    <row r="2027" spans="2:4" x14ac:dyDescent="0.25">
      <c r="B2027" s="89">
        <v>2023</v>
      </c>
      <c r="C2027" s="39">
        <f t="shared" si="63"/>
        <v>157992929.59999999</v>
      </c>
      <c r="D2027" s="39">
        <f t="shared" si="62"/>
        <v>66813621</v>
      </c>
    </row>
    <row r="2028" spans="2:4" x14ac:dyDescent="0.25">
      <c r="B2028" s="89">
        <v>2024</v>
      </c>
      <c r="C2028" s="39">
        <f t="shared" si="63"/>
        <v>157992929.59999999</v>
      </c>
      <c r="D2028" s="39">
        <f t="shared" si="62"/>
        <v>66846648</v>
      </c>
    </row>
    <row r="2029" spans="2:4" x14ac:dyDescent="0.25">
      <c r="B2029" s="89">
        <v>2025</v>
      </c>
      <c r="C2029" s="39">
        <f t="shared" si="63"/>
        <v>157992929.59999999</v>
      </c>
      <c r="D2029" s="39">
        <f t="shared" si="62"/>
        <v>66879675</v>
      </c>
    </row>
    <row r="2030" spans="2:4" x14ac:dyDescent="0.25">
      <c r="B2030" s="89">
        <v>2026</v>
      </c>
      <c r="C2030" s="39">
        <f t="shared" si="63"/>
        <v>157992929.59999999</v>
      </c>
      <c r="D2030" s="39">
        <f t="shared" si="62"/>
        <v>66912702</v>
      </c>
    </row>
    <row r="2031" spans="2:4" x14ac:dyDescent="0.25">
      <c r="B2031" s="89">
        <v>2027</v>
      </c>
      <c r="C2031" s="39">
        <f t="shared" si="63"/>
        <v>157992929.59999999</v>
      </c>
      <c r="D2031" s="39">
        <f t="shared" si="62"/>
        <v>66945729</v>
      </c>
    </row>
    <row r="2032" spans="2:4" x14ac:dyDescent="0.25">
      <c r="B2032" s="89">
        <v>2028</v>
      </c>
      <c r="C2032" s="39">
        <f t="shared" si="63"/>
        <v>157992929.59999999</v>
      </c>
      <c r="D2032" s="39">
        <f t="shared" si="62"/>
        <v>66978756</v>
      </c>
    </row>
    <row r="2033" spans="2:4" x14ac:dyDescent="0.25">
      <c r="B2033" s="89">
        <v>2029</v>
      </c>
      <c r="C2033" s="39">
        <f t="shared" si="63"/>
        <v>157992929.59999999</v>
      </c>
      <c r="D2033" s="39">
        <f t="shared" ref="D2033:D2096" si="64">$D$2*B2033</f>
        <v>67011783</v>
      </c>
    </row>
    <row r="2034" spans="2:4" x14ac:dyDescent="0.25">
      <c r="B2034" s="89">
        <v>2030</v>
      </c>
      <c r="C2034" s="39">
        <f t="shared" si="63"/>
        <v>157992929.59999999</v>
      </c>
      <c r="D2034" s="39">
        <f t="shared" si="64"/>
        <v>67044810</v>
      </c>
    </row>
    <row r="2035" spans="2:4" x14ac:dyDescent="0.25">
      <c r="B2035" s="89">
        <v>2031</v>
      </c>
      <c r="C2035" s="39">
        <f t="shared" si="63"/>
        <v>157992929.59999999</v>
      </c>
      <c r="D2035" s="39">
        <f t="shared" si="64"/>
        <v>67077837</v>
      </c>
    </row>
    <row r="2036" spans="2:4" x14ac:dyDescent="0.25">
      <c r="B2036" s="89">
        <v>2032</v>
      </c>
      <c r="C2036" s="39">
        <f t="shared" si="63"/>
        <v>157992929.59999999</v>
      </c>
      <c r="D2036" s="39">
        <f t="shared" si="64"/>
        <v>67110864</v>
      </c>
    </row>
    <row r="2037" spans="2:4" x14ac:dyDescent="0.25">
      <c r="B2037" s="89">
        <v>2033</v>
      </c>
      <c r="C2037" s="39">
        <f t="shared" si="63"/>
        <v>157992929.59999999</v>
      </c>
      <c r="D2037" s="39">
        <f t="shared" si="64"/>
        <v>67143891</v>
      </c>
    </row>
    <row r="2038" spans="2:4" x14ac:dyDescent="0.25">
      <c r="B2038" s="89">
        <v>2034</v>
      </c>
      <c r="C2038" s="39">
        <f t="shared" si="63"/>
        <v>157992929.59999999</v>
      </c>
      <c r="D2038" s="39">
        <f t="shared" si="64"/>
        <v>67176918</v>
      </c>
    </row>
    <row r="2039" spans="2:4" x14ac:dyDescent="0.25">
      <c r="B2039" s="89">
        <v>2035</v>
      </c>
      <c r="C2039" s="39">
        <f t="shared" si="63"/>
        <v>157992929.59999999</v>
      </c>
      <c r="D2039" s="39">
        <f t="shared" si="64"/>
        <v>67209945</v>
      </c>
    </row>
    <row r="2040" spans="2:4" x14ac:dyDescent="0.25">
      <c r="B2040" s="89">
        <v>2036</v>
      </c>
      <c r="C2040" s="39">
        <f t="shared" si="63"/>
        <v>157992929.59999999</v>
      </c>
      <c r="D2040" s="39">
        <f t="shared" si="64"/>
        <v>67242972</v>
      </c>
    </row>
    <row r="2041" spans="2:4" x14ac:dyDescent="0.25">
      <c r="B2041" s="89">
        <v>2037</v>
      </c>
      <c r="C2041" s="39">
        <f t="shared" si="63"/>
        <v>157992929.59999999</v>
      </c>
      <c r="D2041" s="39">
        <f t="shared" si="64"/>
        <v>67275999</v>
      </c>
    </row>
    <row r="2042" spans="2:4" x14ac:dyDescent="0.25">
      <c r="B2042" s="89">
        <v>2038</v>
      </c>
      <c r="C2042" s="39">
        <f t="shared" si="63"/>
        <v>157992929.59999999</v>
      </c>
      <c r="D2042" s="39">
        <f t="shared" si="64"/>
        <v>67309026</v>
      </c>
    </row>
    <row r="2043" spans="2:4" x14ac:dyDescent="0.25">
      <c r="B2043" s="89">
        <v>2039</v>
      </c>
      <c r="C2043" s="39">
        <f t="shared" si="63"/>
        <v>157992929.59999999</v>
      </c>
      <c r="D2043" s="39">
        <f t="shared" si="64"/>
        <v>67342053</v>
      </c>
    </row>
    <row r="2044" spans="2:4" x14ac:dyDescent="0.25">
      <c r="B2044" s="89">
        <v>2040</v>
      </c>
      <c r="C2044" s="39">
        <f t="shared" si="63"/>
        <v>157992929.59999999</v>
      </c>
      <c r="D2044" s="39">
        <f t="shared" si="64"/>
        <v>67375080</v>
      </c>
    </row>
    <row r="2045" spans="2:4" x14ac:dyDescent="0.25">
      <c r="B2045" s="89">
        <v>2041</v>
      </c>
      <c r="C2045" s="39">
        <f t="shared" si="63"/>
        <v>157992929.59999999</v>
      </c>
      <c r="D2045" s="39">
        <f t="shared" si="64"/>
        <v>67408107</v>
      </c>
    </row>
    <row r="2046" spans="2:4" x14ac:dyDescent="0.25">
      <c r="B2046" s="89">
        <v>2042</v>
      </c>
      <c r="C2046" s="39">
        <f t="shared" si="63"/>
        <v>157992929.59999999</v>
      </c>
      <c r="D2046" s="39">
        <f t="shared" si="64"/>
        <v>67441134</v>
      </c>
    </row>
    <row r="2047" spans="2:4" x14ac:dyDescent="0.25">
      <c r="B2047" s="89">
        <v>2043</v>
      </c>
      <c r="C2047" s="39">
        <f t="shared" si="63"/>
        <v>157992929.59999999</v>
      </c>
      <c r="D2047" s="39">
        <f t="shared" si="64"/>
        <v>67474161</v>
      </c>
    </row>
    <row r="2048" spans="2:4" x14ac:dyDescent="0.25">
      <c r="B2048" s="89">
        <v>2044</v>
      </c>
      <c r="C2048" s="39">
        <f t="shared" si="63"/>
        <v>157992929.59999999</v>
      </c>
      <c r="D2048" s="39">
        <f t="shared" si="64"/>
        <v>67507188</v>
      </c>
    </row>
    <row r="2049" spans="2:4" x14ac:dyDescent="0.25">
      <c r="B2049" s="89">
        <v>2045</v>
      </c>
      <c r="C2049" s="39">
        <f t="shared" si="63"/>
        <v>157992929.59999999</v>
      </c>
      <c r="D2049" s="39">
        <f t="shared" si="64"/>
        <v>67540215</v>
      </c>
    </row>
    <row r="2050" spans="2:4" x14ac:dyDescent="0.25">
      <c r="B2050" s="89">
        <v>2046</v>
      </c>
      <c r="C2050" s="39">
        <f t="shared" si="63"/>
        <v>157992929.59999999</v>
      </c>
      <c r="D2050" s="39">
        <f t="shared" si="64"/>
        <v>67573242</v>
      </c>
    </row>
    <row r="2051" spans="2:4" x14ac:dyDescent="0.25">
      <c r="B2051" s="89">
        <v>2047</v>
      </c>
      <c r="C2051" s="39">
        <f t="shared" si="63"/>
        <v>157992929.59999999</v>
      </c>
      <c r="D2051" s="39">
        <f t="shared" si="64"/>
        <v>67606269</v>
      </c>
    </row>
    <row r="2052" spans="2:4" x14ac:dyDescent="0.25">
      <c r="B2052" s="89">
        <v>2048</v>
      </c>
      <c r="C2052" s="39">
        <f t="shared" si="63"/>
        <v>157992929.59999999</v>
      </c>
      <c r="D2052" s="39">
        <f t="shared" si="64"/>
        <v>67639296</v>
      </c>
    </row>
    <row r="2053" spans="2:4" x14ac:dyDescent="0.25">
      <c r="B2053" s="89">
        <v>2049</v>
      </c>
      <c r="C2053" s="39">
        <f t="shared" si="63"/>
        <v>157992929.59999999</v>
      </c>
      <c r="D2053" s="39">
        <f t="shared" si="64"/>
        <v>67672323</v>
      </c>
    </row>
    <row r="2054" spans="2:4" x14ac:dyDescent="0.25">
      <c r="B2054" s="89">
        <v>2050</v>
      </c>
      <c r="C2054" s="39">
        <f t="shared" ref="C2054:C2117" si="65">$C2053</f>
        <v>157992929.59999999</v>
      </c>
      <c r="D2054" s="39">
        <f t="shared" si="64"/>
        <v>67705350</v>
      </c>
    </row>
    <row r="2055" spans="2:4" x14ac:dyDescent="0.25">
      <c r="B2055" s="89">
        <v>2051</v>
      </c>
      <c r="C2055" s="39">
        <f t="shared" si="65"/>
        <v>157992929.59999999</v>
      </c>
      <c r="D2055" s="39">
        <f t="shared" si="64"/>
        <v>67738377</v>
      </c>
    </row>
    <row r="2056" spans="2:4" x14ac:dyDescent="0.25">
      <c r="B2056" s="89">
        <v>2052</v>
      </c>
      <c r="C2056" s="39">
        <f t="shared" si="65"/>
        <v>157992929.59999999</v>
      </c>
      <c r="D2056" s="39">
        <f t="shared" si="64"/>
        <v>67771404</v>
      </c>
    </row>
    <row r="2057" spans="2:4" x14ac:dyDescent="0.25">
      <c r="B2057" s="89">
        <v>2053</v>
      </c>
      <c r="C2057" s="39">
        <f t="shared" si="65"/>
        <v>157992929.59999999</v>
      </c>
      <c r="D2057" s="39">
        <f t="shared" si="64"/>
        <v>67804431</v>
      </c>
    </row>
    <row r="2058" spans="2:4" x14ac:dyDescent="0.25">
      <c r="B2058" s="89">
        <v>2054</v>
      </c>
      <c r="C2058" s="39">
        <f t="shared" si="65"/>
        <v>157992929.59999999</v>
      </c>
      <c r="D2058" s="39">
        <f t="shared" si="64"/>
        <v>67837458</v>
      </c>
    </row>
    <row r="2059" spans="2:4" x14ac:dyDescent="0.25">
      <c r="B2059" s="89">
        <v>2055</v>
      </c>
      <c r="C2059" s="39">
        <f t="shared" si="65"/>
        <v>157992929.59999999</v>
      </c>
      <c r="D2059" s="39">
        <f t="shared" si="64"/>
        <v>67870485</v>
      </c>
    </row>
    <row r="2060" spans="2:4" x14ac:dyDescent="0.25">
      <c r="B2060" s="89">
        <v>2056</v>
      </c>
      <c r="C2060" s="39">
        <f t="shared" si="65"/>
        <v>157992929.59999999</v>
      </c>
      <c r="D2060" s="39">
        <f t="shared" si="64"/>
        <v>67903512</v>
      </c>
    </row>
    <row r="2061" spans="2:4" x14ac:dyDescent="0.25">
      <c r="B2061" s="89">
        <v>2057</v>
      </c>
      <c r="C2061" s="39">
        <f t="shared" si="65"/>
        <v>157992929.59999999</v>
      </c>
      <c r="D2061" s="39">
        <f t="shared" si="64"/>
        <v>67936539</v>
      </c>
    </row>
    <row r="2062" spans="2:4" x14ac:dyDescent="0.25">
      <c r="B2062" s="89">
        <v>2058</v>
      </c>
      <c r="C2062" s="39">
        <f t="shared" si="65"/>
        <v>157992929.59999999</v>
      </c>
      <c r="D2062" s="39">
        <f t="shared" si="64"/>
        <v>67969566</v>
      </c>
    </row>
    <row r="2063" spans="2:4" x14ac:dyDescent="0.25">
      <c r="B2063" s="89">
        <v>2059</v>
      </c>
      <c r="C2063" s="39">
        <f t="shared" si="65"/>
        <v>157992929.59999999</v>
      </c>
      <c r="D2063" s="39">
        <f t="shared" si="64"/>
        <v>68002593</v>
      </c>
    </row>
    <row r="2064" spans="2:4" x14ac:dyDescent="0.25">
      <c r="B2064" s="89">
        <v>2060</v>
      </c>
      <c r="C2064" s="39">
        <f t="shared" si="65"/>
        <v>157992929.59999999</v>
      </c>
      <c r="D2064" s="39">
        <f t="shared" si="64"/>
        <v>68035620</v>
      </c>
    </row>
    <row r="2065" spans="2:4" x14ac:dyDescent="0.25">
      <c r="B2065" s="89">
        <v>2061</v>
      </c>
      <c r="C2065" s="39">
        <f t="shared" si="65"/>
        <v>157992929.59999999</v>
      </c>
      <c r="D2065" s="39">
        <f t="shared" si="64"/>
        <v>68068647</v>
      </c>
    </row>
    <row r="2066" spans="2:4" x14ac:dyDescent="0.25">
      <c r="B2066" s="89">
        <v>2062</v>
      </c>
      <c r="C2066" s="39">
        <f t="shared" si="65"/>
        <v>157992929.59999999</v>
      </c>
      <c r="D2066" s="39">
        <f t="shared" si="64"/>
        <v>68101674</v>
      </c>
    </row>
    <row r="2067" spans="2:4" x14ac:dyDescent="0.25">
      <c r="B2067" s="89">
        <v>2063</v>
      </c>
      <c r="C2067" s="39">
        <f t="shared" si="65"/>
        <v>157992929.59999999</v>
      </c>
      <c r="D2067" s="39">
        <f t="shared" si="64"/>
        <v>68134701</v>
      </c>
    </row>
    <row r="2068" spans="2:4" x14ac:dyDescent="0.25">
      <c r="B2068" s="89">
        <v>2064</v>
      </c>
      <c r="C2068" s="39">
        <f t="shared" si="65"/>
        <v>157992929.59999999</v>
      </c>
      <c r="D2068" s="39">
        <f t="shared" si="64"/>
        <v>68167728</v>
      </c>
    </row>
    <row r="2069" spans="2:4" x14ac:dyDescent="0.25">
      <c r="B2069" s="89">
        <v>2065</v>
      </c>
      <c r="C2069" s="39">
        <f t="shared" si="65"/>
        <v>157992929.59999999</v>
      </c>
      <c r="D2069" s="39">
        <f t="shared" si="64"/>
        <v>68200755</v>
      </c>
    </row>
    <row r="2070" spans="2:4" x14ac:dyDescent="0.25">
      <c r="B2070" s="89">
        <v>2066</v>
      </c>
      <c r="C2070" s="39">
        <f t="shared" si="65"/>
        <v>157992929.59999999</v>
      </c>
      <c r="D2070" s="39">
        <f t="shared" si="64"/>
        <v>68233782</v>
      </c>
    </row>
    <row r="2071" spans="2:4" x14ac:dyDescent="0.25">
      <c r="B2071" s="89">
        <v>2067</v>
      </c>
      <c r="C2071" s="39">
        <f t="shared" si="65"/>
        <v>157992929.59999999</v>
      </c>
      <c r="D2071" s="39">
        <f t="shared" si="64"/>
        <v>68266809</v>
      </c>
    </row>
    <row r="2072" spans="2:4" x14ac:dyDescent="0.25">
      <c r="B2072" s="89">
        <v>2068</v>
      </c>
      <c r="C2072" s="39">
        <f t="shared" si="65"/>
        <v>157992929.59999999</v>
      </c>
      <c r="D2072" s="39">
        <f t="shared" si="64"/>
        <v>68299836</v>
      </c>
    </row>
    <row r="2073" spans="2:4" x14ac:dyDescent="0.25">
      <c r="B2073" s="89">
        <v>2069</v>
      </c>
      <c r="C2073" s="39">
        <f t="shared" si="65"/>
        <v>157992929.59999999</v>
      </c>
      <c r="D2073" s="39">
        <f t="shared" si="64"/>
        <v>68332863</v>
      </c>
    </row>
    <row r="2074" spans="2:4" x14ac:dyDescent="0.25">
      <c r="B2074" s="89">
        <v>2070</v>
      </c>
      <c r="C2074" s="39">
        <f t="shared" si="65"/>
        <v>157992929.59999999</v>
      </c>
      <c r="D2074" s="39">
        <f t="shared" si="64"/>
        <v>68365890</v>
      </c>
    </row>
    <row r="2075" spans="2:4" x14ac:dyDescent="0.25">
      <c r="B2075" s="89">
        <v>2071</v>
      </c>
      <c r="C2075" s="39">
        <f t="shared" si="65"/>
        <v>157992929.59999999</v>
      </c>
      <c r="D2075" s="39">
        <f t="shared" si="64"/>
        <v>68398917</v>
      </c>
    </row>
    <row r="2076" spans="2:4" x14ac:dyDescent="0.25">
      <c r="B2076" s="89">
        <v>2072</v>
      </c>
      <c r="C2076" s="39">
        <f t="shared" si="65"/>
        <v>157992929.59999999</v>
      </c>
      <c r="D2076" s="39">
        <f t="shared" si="64"/>
        <v>68431944</v>
      </c>
    </row>
    <row r="2077" spans="2:4" x14ac:dyDescent="0.25">
      <c r="B2077" s="89">
        <v>2073</v>
      </c>
      <c r="C2077" s="39">
        <f t="shared" si="65"/>
        <v>157992929.59999999</v>
      </c>
      <c r="D2077" s="39">
        <f t="shared" si="64"/>
        <v>68464971</v>
      </c>
    </row>
    <row r="2078" spans="2:4" x14ac:dyDescent="0.25">
      <c r="B2078" s="89">
        <v>2074</v>
      </c>
      <c r="C2078" s="39">
        <f t="shared" si="65"/>
        <v>157992929.59999999</v>
      </c>
      <c r="D2078" s="39">
        <f t="shared" si="64"/>
        <v>68497998</v>
      </c>
    </row>
    <row r="2079" spans="2:4" x14ac:dyDescent="0.25">
      <c r="B2079" s="89">
        <v>2075</v>
      </c>
      <c r="C2079" s="39">
        <f t="shared" si="65"/>
        <v>157992929.59999999</v>
      </c>
      <c r="D2079" s="39">
        <f t="shared" si="64"/>
        <v>68531025</v>
      </c>
    </row>
    <row r="2080" spans="2:4" x14ac:dyDescent="0.25">
      <c r="B2080" s="89">
        <v>2076</v>
      </c>
      <c r="C2080" s="39">
        <f t="shared" si="65"/>
        <v>157992929.59999999</v>
      </c>
      <c r="D2080" s="39">
        <f t="shared" si="64"/>
        <v>68564052</v>
      </c>
    </row>
    <row r="2081" spans="2:4" x14ac:dyDescent="0.25">
      <c r="B2081" s="89">
        <v>2077</v>
      </c>
      <c r="C2081" s="39">
        <f t="shared" si="65"/>
        <v>157992929.59999999</v>
      </c>
      <c r="D2081" s="39">
        <f t="shared" si="64"/>
        <v>68597079</v>
      </c>
    </row>
    <row r="2082" spans="2:4" x14ac:dyDescent="0.25">
      <c r="B2082" s="89">
        <v>2078</v>
      </c>
      <c r="C2082" s="39">
        <f t="shared" si="65"/>
        <v>157992929.59999999</v>
      </c>
      <c r="D2082" s="39">
        <f t="shared" si="64"/>
        <v>68630106</v>
      </c>
    </row>
    <row r="2083" spans="2:4" x14ac:dyDescent="0.25">
      <c r="B2083" s="89">
        <v>2079</v>
      </c>
      <c r="C2083" s="39">
        <f t="shared" si="65"/>
        <v>157992929.59999999</v>
      </c>
      <c r="D2083" s="39">
        <f t="shared" si="64"/>
        <v>68663133</v>
      </c>
    </row>
    <row r="2084" spans="2:4" x14ac:dyDescent="0.25">
      <c r="B2084" s="89">
        <v>2080</v>
      </c>
      <c r="C2084" s="39">
        <f t="shared" si="65"/>
        <v>157992929.59999999</v>
      </c>
      <c r="D2084" s="39">
        <f t="shared" si="64"/>
        <v>68696160</v>
      </c>
    </row>
    <row r="2085" spans="2:4" x14ac:dyDescent="0.25">
      <c r="B2085" s="89">
        <v>2081</v>
      </c>
      <c r="C2085" s="39">
        <f t="shared" si="65"/>
        <v>157992929.59999999</v>
      </c>
      <c r="D2085" s="39">
        <f t="shared" si="64"/>
        <v>68729187</v>
      </c>
    </row>
    <row r="2086" spans="2:4" x14ac:dyDescent="0.25">
      <c r="B2086" s="89">
        <v>2082</v>
      </c>
      <c r="C2086" s="39">
        <f t="shared" si="65"/>
        <v>157992929.59999999</v>
      </c>
      <c r="D2086" s="39">
        <f t="shared" si="64"/>
        <v>68762214</v>
      </c>
    </row>
    <row r="2087" spans="2:4" x14ac:dyDescent="0.25">
      <c r="B2087" s="89">
        <v>2083</v>
      </c>
      <c r="C2087" s="39">
        <f t="shared" si="65"/>
        <v>157992929.59999999</v>
      </c>
      <c r="D2087" s="39">
        <f t="shared" si="64"/>
        <v>68795241</v>
      </c>
    </row>
    <row r="2088" spans="2:4" x14ac:dyDescent="0.25">
      <c r="B2088" s="89">
        <v>2084</v>
      </c>
      <c r="C2088" s="39">
        <f t="shared" si="65"/>
        <v>157992929.59999999</v>
      </c>
      <c r="D2088" s="39">
        <f t="shared" si="64"/>
        <v>68828268</v>
      </c>
    </row>
    <row r="2089" spans="2:4" x14ac:dyDescent="0.25">
      <c r="B2089" s="89">
        <v>2085</v>
      </c>
      <c r="C2089" s="39">
        <f t="shared" si="65"/>
        <v>157992929.59999999</v>
      </c>
      <c r="D2089" s="39">
        <f t="shared" si="64"/>
        <v>68861295</v>
      </c>
    </row>
    <row r="2090" spans="2:4" x14ac:dyDescent="0.25">
      <c r="B2090" s="89">
        <v>2086</v>
      </c>
      <c r="C2090" s="39">
        <f t="shared" si="65"/>
        <v>157992929.59999999</v>
      </c>
      <c r="D2090" s="39">
        <f t="shared" si="64"/>
        <v>68894322</v>
      </c>
    </row>
    <row r="2091" spans="2:4" x14ac:dyDescent="0.25">
      <c r="B2091" s="89">
        <v>2087</v>
      </c>
      <c r="C2091" s="39">
        <f t="shared" si="65"/>
        <v>157992929.59999999</v>
      </c>
      <c r="D2091" s="39">
        <f t="shared" si="64"/>
        <v>68927349</v>
      </c>
    </row>
    <row r="2092" spans="2:4" x14ac:dyDescent="0.25">
      <c r="B2092" s="89">
        <v>2088</v>
      </c>
      <c r="C2092" s="39">
        <f t="shared" si="65"/>
        <v>157992929.59999999</v>
      </c>
      <c r="D2092" s="39">
        <f t="shared" si="64"/>
        <v>68960376</v>
      </c>
    </row>
    <row r="2093" spans="2:4" x14ac:dyDescent="0.25">
      <c r="B2093" s="89">
        <v>2089</v>
      </c>
      <c r="C2093" s="39">
        <f t="shared" si="65"/>
        <v>157992929.59999999</v>
      </c>
      <c r="D2093" s="39">
        <f t="shared" si="64"/>
        <v>68993403</v>
      </c>
    </row>
    <row r="2094" spans="2:4" x14ac:dyDescent="0.25">
      <c r="B2094" s="89">
        <v>2090</v>
      </c>
      <c r="C2094" s="39">
        <f t="shared" si="65"/>
        <v>157992929.59999999</v>
      </c>
      <c r="D2094" s="39">
        <f t="shared" si="64"/>
        <v>69026430</v>
      </c>
    </row>
    <row r="2095" spans="2:4" x14ac:dyDescent="0.25">
      <c r="B2095" s="89">
        <v>2091</v>
      </c>
      <c r="C2095" s="39">
        <f t="shared" si="65"/>
        <v>157992929.59999999</v>
      </c>
      <c r="D2095" s="39">
        <f t="shared" si="64"/>
        <v>69059457</v>
      </c>
    </row>
    <row r="2096" spans="2:4" x14ac:dyDescent="0.25">
      <c r="B2096" s="89">
        <v>2092</v>
      </c>
      <c r="C2096" s="39">
        <f t="shared" si="65"/>
        <v>157992929.59999999</v>
      </c>
      <c r="D2096" s="39">
        <f t="shared" si="64"/>
        <v>69092484</v>
      </c>
    </row>
    <row r="2097" spans="2:4" x14ac:dyDescent="0.25">
      <c r="B2097" s="89">
        <v>2093</v>
      </c>
      <c r="C2097" s="39">
        <f t="shared" si="65"/>
        <v>157992929.59999999</v>
      </c>
      <c r="D2097" s="39">
        <f t="shared" ref="D2097:D2160" si="66">$D$2*B2097</f>
        <v>69125511</v>
      </c>
    </row>
    <row r="2098" spans="2:4" x14ac:dyDescent="0.25">
      <c r="B2098" s="89">
        <v>2094</v>
      </c>
      <c r="C2098" s="39">
        <f t="shared" si="65"/>
        <v>157992929.59999999</v>
      </c>
      <c r="D2098" s="39">
        <f t="shared" si="66"/>
        <v>69158538</v>
      </c>
    </row>
    <row r="2099" spans="2:4" x14ac:dyDescent="0.25">
      <c r="B2099" s="89">
        <v>2095</v>
      </c>
      <c r="C2099" s="39">
        <f t="shared" si="65"/>
        <v>157992929.59999999</v>
      </c>
      <c r="D2099" s="39">
        <f t="shared" si="66"/>
        <v>69191565</v>
      </c>
    </row>
    <row r="2100" spans="2:4" x14ac:dyDescent="0.25">
      <c r="B2100" s="89">
        <v>2096</v>
      </c>
      <c r="C2100" s="39">
        <f t="shared" si="65"/>
        <v>157992929.59999999</v>
      </c>
      <c r="D2100" s="39">
        <f t="shared" si="66"/>
        <v>69224592</v>
      </c>
    </row>
    <row r="2101" spans="2:4" x14ac:dyDescent="0.25">
      <c r="B2101" s="89">
        <v>2097</v>
      </c>
      <c r="C2101" s="39">
        <f t="shared" si="65"/>
        <v>157992929.59999999</v>
      </c>
      <c r="D2101" s="39">
        <f t="shared" si="66"/>
        <v>69257619</v>
      </c>
    </row>
    <row r="2102" spans="2:4" x14ac:dyDescent="0.25">
      <c r="B2102" s="89">
        <v>2098</v>
      </c>
      <c r="C2102" s="39">
        <f t="shared" si="65"/>
        <v>157992929.59999999</v>
      </c>
      <c r="D2102" s="39">
        <f t="shared" si="66"/>
        <v>69290646</v>
      </c>
    </row>
    <row r="2103" spans="2:4" x14ac:dyDescent="0.25">
      <c r="B2103" s="89">
        <v>2099</v>
      </c>
      <c r="C2103" s="39">
        <f t="shared" si="65"/>
        <v>157992929.59999999</v>
      </c>
      <c r="D2103" s="39">
        <f t="shared" si="66"/>
        <v>69323673</v>
      </c>
    </row>
    <row r="2104" spans="2:4" x14ac:dyDescent="0.25">
      <c r="B2104" s="89">
        <v>2100</v>
      </c>
      <c r="C2104" s="39">
        <f t="shared" si="65"/>
        <v>157992929.59999999</v>
      </c>
      <c r="D2104" s="39">
        <f t="shared" si="66"/>
        <v>69356700</v>
      </c>
    </row>
    <row r="2105" spans="2:4" x14ac:dyDescent="0.25">
      <c r="B2105" s="89">
        <v>2101</v>
      </c>
      <c r="C2105" s="39">
        <f t="shared" si="65"/>
        <v>157992929.59999999</v>
      </c>
      <c r="D2105" s="39">
        <f t="shared" si="66"/>
        <v>69389727</v>
      </c>
    </row>
    <row r="2106" spans="2:4" x14ac:dyDescent="0.25">
      <c r="B2106" s="89">
        <v>2102</v>
      </c>
      <c r="C2106" s="39">
        <f t="shared" si="65"/>
        <v>157992929.59999999</v>
      </c>
      <c r="D2106" s="39">
        <f t="shared" si="66"/>
        <v>69422754</v>
      </c>
    </row>
    <row r="2107" spans="2:4" x14ac:dyDescent="0.25">
      <c r="B2107" s="89">
        <v>2103</v>
      </c>
      <c r="C2107" s="39">
        <f t="shared" si="65"/>
        <v>157992929.59999999</v>
      </c>
      <c r="D2107" s="39">
        <f t="shared" si="66"/>
        <v>69455781</v>
      </c>
    </row>
    <row r="2108" spans="2:4" x14ac:dyDescent="0.25">
      <c r="B2108" s="89">
        <v>2104</v>
      </c>
      <c r="C2108" s="39">
        <f t="shared" si="65"/>
        <v>157992929.59999999</v>
      </c>
      <c r="D2108" s="39">
        <f t="shared" si="66"/>
        <v>69488808</v>
      </c>
    </row>
    <row r="2109" spans="2:4" x14ac:dyDescent="0.25">
      <c r="B2109" s="89">
        <v>2105</v>
      </c>
      <c r="C2109" s="39">
        <f t="shared" si="65"/>
        <v>157992929.59999999</v>
      </c>
      <c r="D2109" s="39">
        <f t="shared" si="66"/>
        <v>69521835</v>
      </c>
    </row>
    <row r="2110" spans="2:4" x14ac:dyDescent="0.25">
      <c r="B2110" s="89">
        <v>2106</v>
      </c>
      <c r="C2110" s="39">
        <f t="shared" si="65"/>
        <v>157992929.59999999</v>
      </c>
      <c r="D2110" s="39">
        <f t="shared" si="66"/>
        <v>69554862</v>
      </c>
    </row>
    <row r="2111" spans="2:4" x14ac:dyDescent="0.25">
      <c r="B2111" s="89">
        <v>2107</v>
      </c>
      <c r="C2111" s="39">
        <f t="shared" si="65"/>
        <v>157992929.59999999</v>
      </c>
      <c r="D2111" s="39">
        <f t="shared" si="66"/>
        <v>69587889</v>
      </c>
    </row>
    <row r="2112" spans="2:4" x14ac:dyDescent="0.25">
      <c r="B2112" s="89">
        <v>2108</v>
      </c>
      <c r="C2112" s="39">
        <f t="shared" si="65"/>
        <v>157992929.59999999</v>
      </c>
      <c r="D2112" s="39">
        <f t="shared" si="66"/>
        <v>69620916</v>
      </c>
    </row>
    <row r="2113" spans="2:4" x14ac:dyDescent="0.25">
      <c r="B2113" s="89">
        <v>2109</v>
      </c>
      <c r="C2113" s="39">
        <f t="shared" si="65"/>
        <v>157992929.59999999</v>
      </c>
      <c r="D2113" s="39">
        <f t="shared" si="66"/>
        <v>69653943</v>
      </c>
    </row>
    <row r="2114" spans="2:4" x14ac:dyDescent="0.25">
      <c r="B2114" s="89">
        <v>2110</v>
      </c>
      <c r="C2114" s="39">
        <f t="shared" si="65"/>
        <v>157992929.59999999</v>
      </c>
      <c r="D2114" s="39">
        <f t="shared" si="66"/>
        <v>69686970</v>
      </c>
    </row>
    <row r="2115" spans="2:4" x14ac:dyDescent="0.25">
      <c r="B2115" s="89">
        <v>2111</v>
      </c>
      <c r="C2115" s="39">
        <f t="shared" si="65"/>
        <v>157992929.59999999</v>
      </c>
      <c r="D2115" s="39">
        <f t="shared" si="66"/>
        <v>69719997</v>
      </c>
    </row>
    <row r="2116" spans="2:4" x14ac:dyDescent="0.25">
      <c r="B2116" s="89">
        <v>2112</v>
      </c>
      <c r="C2116" s="39">
        <f t="shared" si="65"/>
        <v>157992929.59999999</v>
      </c>
      <c r="D2116" s="39">
        <f t="shared" si="66"/>
        <v>69753024</v>
      </c>
    </row>
    <row r="2117" spans="2:4" x14ac:dyDescent="0.25">
      <c r="B2117" s="89">
        <v>2113</v>
      </c>
      <c r="C2117" s="39">
        <f t="shared" si="65"/>
        <v>157992929.59999999</v>
      </c>
      <c r="D2117" s="39">
        <f t="shared" si="66"/>
        <v>69786051</v>
      </c>
    </row>
    <row r="2118" spans="2:4" x14ac:dyDescent="0.25">
      <c r="B2118" s="89">
        <v>2114</v>
      </c>
      <c r="C2118" s="39">
        <f t="shared" ref="C2118:C2181" si="67">$C2117</f>
        <v>157992929.59999999</v>
      </c>
      <c r="D2118" s="39">
        <f t="shared" si="66"/>
        <v>69819078</v>
      </c>
    </row>
    <row r="2119" spans="2:4" x14ac:dyDescent="0.25">
      <c r="B2119" s="89">
        <v>2115</v>
      </c>
      <c r="C2119" s="39">
        <f t="shared" si="67"/>
        <v>157992929.59999999</v>
      </c>
      <c r="D2119" s="39">
        <f t="shared" si="66"/>
        <v>69852105</v>
      </c>
    </row>
    <row r="2120" spans="2:4" x14ac:dyDescent="0.25">
      <c r="B2120" s="89">
        <v>2116</v>
      </c>
      <c r="C2120" s="39">
        <f t="shared" si="67"/>
        <v>157992929.59999999</v>
      </c>
      <c r="D2120" s="39">
        <f t="shared" si="66"/>
        <v>69885132</v>
      </c>
    </row>
    <row r="2121" spans="2:4" x14ac:dyDescent="0.25">
      <c r="B2121" s="89">
        <v>2117</v>
      </c>
      <c r="C2121" s="39">
        <f t="shared" si="67"/>
        <v>157992929.59999999</v>
      </c>
      <c r="D2121" s="39">
        <f t="shared" si="66"/>
        <v>69918159</v>
      </c>
    </row>
    <row r="2122" spans="2:4" x14ac:dyDescent="0.25">
      <c r="B2122" s="89">
        <v>2118</v>
      </c>
      <c r="C2122" s="39">
        <f t="shared" si="67"/>
        <v>157992929.59999999</v>
      </c>
      <c r="D2122" s="39">
        <f t="shared" si="66"/>
        <v>69951186</v>
      </c>
    </row>
    <row r="2123" spans="2:4" x14ac:dyDescent="0.25">
      <c r="B2123" s="89">
        <v>2119</v>
      </c>
      <c r="C2123" s="39">
        <f t="shared" si="67"/>
        <v>157992929.59999999</v>
      </c>
      <c r="D2123" s="39">
        <f t="shared" si="66"/>
        <v>69984213</v>
      </c>
    </row>
    <row r="2124" spans="2:4" x14ac:dyDescent="0.25">
      <c r="B2124" s="89">
        <v>2120</v>
      </c>
      <c r="C2124" s="39">
        <f t="shared" si="67"/>
        <v>157992929.59999999</v>
      </c>
      <c r="D2124" s="39">
        <f t="shared" si="66"/>
        <v>70017240</v>
      </c>
    </row>
    <row r="2125" spans="2:4" x14ac:dyDescent="0.25">
      <c r="B2125" s="89">
        <v>2121</v>
      </c>
      <c r="C2125" s="39">
        <f t="shared" si="67"/>
        <v>157992929.59999999</v>
      </c>
      <c r="D2125" s="39">
        <f t="shared" si="66"/>
        <v>70050267</v>
      </c>
    </row>
    <row r="2126" spans="2:4" x14ac:dyDescent="0.25">
      <c r="B2126" s="89">
        <v>2122</v>
      </c>
      <c r="C2126" s="39">
        <f t="shared" si="67"/>
        <v>157992929.59999999</v>
      </c>
      <c r="D2126" s="39">
        <f t="shared" si="66"/>
        <v>70083294</v>
      </c>
    </row>
    <row r="2127" spans="2:4" x14ac:dyDescent="0.25">
      <c r="B2127" s="89">
        <v>2123</v>
      </c>
      <c r="C2127" s="39">
        <f t="shared" si="67"/>
        <v>157992929.59999999</v>
      </c>
      <c r="D2127" s="39">
        <f t="shared" si="66"/>
        <v>70116321</v>
      </c>
    </row>
    <row r="2128" spans="2:4" x14ac:dyDescent="0.25">
      <c r="B2128" s="89">
        <v>2124</v>
      </c>
      <c r="C2128" s="39">
        <f t="shared" si="67"/>
        <v>157992929.59999999</v>
      </c>
      <c r="D2128" s="39">
        <f t="shared" si="66"/>
        <v>70149348</v>
      </c>
    </row>
    <row r="2129" spans="2:4" x14ac:dyDescent="0.25">
      <c r="B2129" s="89">
        <v>2125</v>
      </c>
      <c r="C2129" s="39">
        <f t="shared" si="67"/>
        <v>157992929.59999999</v>
      </c>
      <c r="D2129" s="39">
        <f t="shared" si="66"/>
        <v>70182375</v>
      </c>
    </row>
    <row r="2130" spans="2:4" x14ac:dyDescent="0.25">
      <c r="B2130" s="89">
        <v>2126</v>
      </c>
      <c r="C2130" s="39">
        <f t="shared" si="67"/>
        <v>157992929.59999999</v>
      </c>
      <c r="D2130" s="39">
        <f t="shared" si="66"/>
        <v>70215402</v>
      </c>
    </row>
    <row r="2131" spans="2:4" x14ac:dyDescent="0.25">
      <c r="B2131" s="89">
        <v>2127</v>
      </c>
      <c r="C2131" s="39">
        <f t="shared" si="67"/>
        <v>157992929.59999999</v>
      </c>
      <c r="D2131" s="39">
        <f t="shared" si="66"/>
        <v>70248429</v>
      </c>
    </row>
    <row r="2132" spans="2:4" x14ac:dyDescent="0.25">
      <c r="B2132" s="89">
        <v>2128</v>
      </c>
      <c r="C2132" s="39">
        <f t="shared" si="67"/>
        <v>157992929.59999999</v>
      </c>
      <c r="D2132" s="39">
        <f t="shared" si="66"/>
        <v>70281456</v>
      </c>
    </row>
    <row r="2133" spans="2:4" x14ac:dyDescent="0.25">
      <c r="B2133" s="89">
        <v>2129</v>
      </c>
      <c r="C2133" s="39">
        <f t="shared" si="67"/>
        <v>157992929.59999999</v>
      </c>
      <c r="D2133" s="39">
        <f t="shared" si="66"/>
        <v>70314483</v>
      </c>
    </row>
    <row r="2134" spans="2:4" x14ac:dyDescent="0.25">
      <c r="B2134" s="89">
        <v>2130</v>
      </c>
      <c r="C2134" s="39">
        <f t="shared" si="67"/>
        <v>157992929.59999999</v>
      </c>
      <c r="D2134" s="39">
        <f t="shared" si="66"/>
        <v>70347510</v>
      </c>
    </row>
    <row r="2135" spans="2:4" x14ac:dyDescent="0.25">
      <c r="B2135" s="89">
        <v>2131</v>
      </c>
      <c r="C2135" s="39">
        <f t="shared" si="67"/>
        <v>157992929.59999999</v>
      </c>
      <c r="D2135" s="39">
        <f t="shared" si="66"/>
        <v>70380537</v>
      </c>
    </row>
    <row r="2136" spans="2:4" x14ac:dyDescent="0.25">
      <c r="B2136" s="89">
        <v>2132</v>
      </c>
      <c r="C2136" s="39">
        <f t="shared" si="67"/>
        <v>157992929.59999999</v>
      </c>
      <c r="D2136" s="39">
        <f t="shared" si="66"/>
        <v>70413564</v>
      </c>
    </row>
    <row r="2137" spans="2:4" x14ac:dyDescent="0.25">
      <c r="B2137" s="89">
        <v>2133</v>
      </c>
      <c r="C2137" s="39">
        <f t="shared" si="67"/>
        <v>157992929.59999999</v>
      </c>
      <c r="D2137" s="39">
        <f t="shared" si="66"/>
        <v>70446591</v>
      </c>
    </row>
    <row r="2138" spans="2:4" x14ac:dyDescent="0.25">
      <c r="B2138" s="89">
        <v>2134</v>
      </c>
      <c r="C2138" s="39">
        <f t="shared" si="67"/>
        <v>157992929.59999999</v>
      </c>
      <c r="D2138" s="39">
        <f t="shared" si="66"/>
        <v>70479618</v>
      </c>
    </row>
    <row r="2139" spans="2:4" x14ac:dyDescent="0.25">
      <c r="B2139" s="89">
        <v>2135</v>
      </c>
      <c r="C2139" s="39">
        <f t="shared" si="67"/>
        <v>157992929.59999999</v>
      </c>
      <c r="D2139" s="39">
        <f t="shared" si="66"/>
        <v>70512645</v>
      </c>
    </row>
    <row r="2140" spans="2:4" x14ac:dyDescent="0.25">
      <c r="B2140" s="89">
        <v>2136</v>
      </c>
      <c r="C2140" s="39">
        <f t="shared" si="67"/>
        <v>157992929.59999999</v>
      </c>
      <c r="D2140" s="39">
        <f t="shared" si="66"/>
        <v>70545672</v>
      </c>
    </row>
    <row r="2141" spans="2:4" x14ac:dyDescent="0.25">
      <c r="B2141" s="89">
        <v>2137</v>
      </c>
      <c r="C2141" s="39">
        <f t="shared" si="67"/>
        <v>157992929.59999999</v>
      </c>
      <c r="D2141" s="39">
        <f t="shared" si="66"/>
        <v>70578699</v>
      </c>
    </row>
    <row r="2142" spans="2:4" x14ac:dyDescent="0.25">
      <c r="B2142" s="89">
        <v>2138</v>
      </c>
      <c r="C2142" s="39">
        <f t="shared" si="67"/>
        <v>157992929.59999999</v>
      </c>
      <c r="D2142" s="39">
        <f t="shared" si="66"/>
        <v>70611726</v>
      </c>
    </row>
    <row r="2143" spans="2:4" x14ac:dyDescent="0.25">
      <c r="B2143" s="89">
        <v>2139</v>
      </c>
      <c r="C2143" s="39">
        <f t="shared" si="67"/>
        <v>157992929.59999999</v>
      </c>
      <c r="D2143" s="39">
        <f t="shared" si="66"/>
        <v>70644753</v>
      </c>
    </row>
    <row r="2144" spans="2:4" x14ac:dyDescent="0.25">
      <c r="B2144" s="89">
        <v>2140</v>
      </c>
      <c r="C2144" s="39">
        <f t="shared" si="67"/>
        <v>157992929.59999999</v>
      </c>
      <c r="D2144" s="39">
        <f t="shared" si="66"/>
        <v>70677780</v>
      </c>
    </row>
    <row r="2145" spans="2:4" x14ac:dyDescent="0.25">
      <c r="B2145" s="89">
        <v>2141</v>
      </c>
      <c r="C2145" s="39">
        <f t="shared" si="67"/>
        <v>157992929.59999999</v>
      </c>
      <c r="D2145" s="39">
        <f t="shared" si="66"/>
        <v>70710807</v>
      </c>
    </row>
    <row r="2146" spans="2:4" x14ac:dyDescent="0.25">
      <c r="B2146" s="89">
        <v>2142</v>
      </c>
      <c r="C2146" s="39">
        <f t="shared" si="67"/>
        <v>157992929.59999999</v>
      </c>
      <c r="D2146" s="39">
        <f t="shared" si="66"/>
        <v>70743834</v>
      </c>
    </row>
    <row r="2147" spans="2:4" x14ac:dyDescent="0.25">
      <c r="B2147" s="89">
        <v>2143</v>
      </c>
      <c r="C2147" s="39">
        <f t="shared" si="67"/>
        <v>157992929.59999999</v>
      </c>
      <c r="D2147" s="39">
        <f t="shared" si="66"/>
        <v>70776861</v>
      </c>
    </row>
    <row r="2148" spans="2:4" x14ac:dyDescent="0.25">
      <c r="B2148" s="89">
        <v>2144</v>
      </c>
      <c r="C2148" s="39">
        <f t="shared" si="67"/>
        <v>157992929.59999999</v>
      </c>
      <c r="D2148" s="39">
        <f t="shared" si="66"/>
        <v>70809888</v>
      </c>
    </row>
    <row r="2149" spans="2:4" x14ac:dyDescent="0.25">
      <c r="B2149" s="89">
        <v>2145</v>
      </c>
      <c r="C2149" s="39">
        <f t="shared" si="67"/>
        <v>157992929.59999999</v>
      </c>
      <c r="D2149" s="39">
        <f t="shared" si="66"/>
        <v>70842915</v>
      </c>
    </row>
    <row r="2150" spans="2:4" x14ac:dyDescent="0.25">
      <c r="B2150" s="89">
        <v>2146</v>
      </c>
      <c r="C2150" s="39">
        <f t="shared" si="67"/>
        <v>157992929.59999999</v>
      </c>
      <c r="D2150" s="39">
        <f t="shared" si="66"/>
        <v>70875942</v>
      </c>
    </row>
    <row r="2151" spans="2:4" x14ac:dyDescent="0.25">
      <c r="B2151" s="89">
        <v>2147</v>
      </c>
      <c r="C2151" s="39">
        <f t="shared" si="67"/>
        <v>157992929.59999999</v>
      </c>
      <c r="D2151" s="39">
        <f t="shared" si="66"/>
        <v>70908969</v>
      </c>
    </row>
    <row r="2152" spans="2:4" x14ac:dyDescent="0.25">
      <c r="B2152" s="89">
        <v>2148</v>
      </c>
      <c r="C2152" s="39">
        <f t="shared" si="67"/>
        <v>157992929.59999999</v>
      </c>
      <c r="D2152" s="39">
        <f t="shared" si="66"/>
        <v>70941996</v>
      </c>
    </row>
    <row r="2153" spans="2:4" x14ac:dyDescent="0.25">
      <c r="B2153" s="89">
        <v>2149</v>
      </c>
      <c r="C2153" s="39">
        <f t="shared" si="67"/>
        <v>157992929.59999999</v>
      </c>
      <c r="D2153" s="39">
        <f t="shared" si="66"/>
        <v>70975023</v>
      </c>
    </row>
    <row r="2154" spans="2:4" x14ac:dyDescent="0.25">
      <c r="B2154" s="89">
        <v>2150</v>
      </c>
      <c r="C2154" s="39">
        <f t="shared" si="67"/>
        <v>157992929.59999999</v>
      </c>
      <c r="D2154" s="39">
        <f t="shared" si="66"/>
        <v>71008050</v>
      </c>
    </row>
    <row r="2155" spans="2:4" x14ac:dyDescent="0.25">
      <c r="B2155" s="89">
        <v>2151</v>
      </c>
      <c r="C2155" s="39">
        <f t="shared" si="67"/>
        <v>157992929.59999999</v>
      </c>
      <c r="D2155" s="39">
        <f t="shared" si="66"/>
        <v>71041077</v>
      </c>
    </row>
    <row r="2156" spans="2:4" x14ac:dyDescent="0.25">
      <c r="B2156" s="89">
        <v>2152</v>
      </c>
      <c r="C2156" s="39">
        <f t="shared" si="67"/>
        <v>157992929.59999999</v>
      </c>
      <c r="D2156" s="39">
        <f t="shared" si="66"/>
        <v>71074104</v>
      </c>
    </row>
    <row r="2157" spans="2:4" x14ac:dyDescent="0.25">
      <c r="B2157" s="89">
        <v>2153</v>
      </c>
      <c r="C2157" s="39">
        <f t="shared" si="67"/>
        <v>157992929.59999999</v>
      </c>
      <c r="D2157" s="39">
        <f t="shared" si="66"/>
        <v>71107131</v>
      </c>
    </row>
    <row r="2158" spans="2:4" x14ac:dyDescent="0.25">
      <c r="B2158" s="89">
        <v>2154</v>
      </c>
      <c r="C2158" s="39">
        <f t="shared" si="67"/>
        <v>157992929.59999999</v>
      </c>
      <c r="D2158" s="39">
        <f t="shared" si="66"/>
        <v>71140158</v>
      </c>
    </row>
    <row r="2159" spans="2:4" x14ac:dyDescent="0.25">
      <c r="B2159" s="89">
        <v>2155</v>
      </c>
      <c r="C2159" s="39">
        <f t="shared" si="67"/>
        <v>157992929.59999999</v>
      </c>
      <c r="D2159" s="39">
        <f t="shared" si="66"/>
        <v>71173185</v>
      </c>
    </row>
    <row r="2160" spans="2:4" x14ac:dyDescent="0.25">
      <c r="B2160" s="89">
        <v>2156</v>
      </c>
      <c r="C2160" s="39">
        <f t="shared" si="67"/>
        <v>157992929.59999999</v>
      </c>
      <c r="D2160" s="39">
        <f t="shared" si="66"/>
        <v>71206212</v>
      </c>
    </row>
    <row r="2161" spans="2:4" x14ac:dyDescent="0.25">
      <c r="B2161" s="89">
        <v>2157</v>
      </c>
      <c r="C2161" s="39">
        <f t="shared" si="67"/>
        <v>157992929.59999999</v>
      </c>
      <c r="D2161" s="39">
        <f t="shared" ref="D2161:D2224" si="68">$D$2*B2161</f>
        <v>71239239</v>
      </c>
    </row>
    <row r="2162" spans="2:4" x14ac:dyDescent="0.25">
      <c r="B2162" s="89">
        <v>2158</v>
      </c>
      <c r="C2162" s="39">
        <f t="shared" si="67"/>
        <v>157992929.59999999</v>
      </c>
      <c r="D2162" s="39">
        <f t="shared" si="68"/>
        <v>71272266</v>
      </c>
    </row>
    <row r="2163" spans="2:4" x14ac:dyDescent="0.25">
      <c r="B2163" s="89">
        <v>2159</v>
      </c>
      <c r="C2163" s="39">
        <f t="shared" si="67"/>
        <v>157992929.59999999</v>
      </c>
      <c r="D2163" s="39">
        <f t="shared" si="68"/>
        <v>71305293</v>
      </c>
    </row>
    <row r="2164" spans="2:4" x14ac:dyDescent="0.25">
      <c r="B2164" s="89">
        <v>2160</v>
      </c>
      <c r="C2164" s="39">
        <f t="shared" si="67"/>
        <v>157992929.59999999</v>
      </c>
      <c r="D2164" s="39">
        <f t="shared" si="68"/>
        <v>71338320</v>
      </c>
    </row>
    <row r="2165" spans="2:4" x14ac:dyDescent="0.25">
      <c r="B2165" s="89">
        <v>2161</v>
      </c>
      <c r="C2165" s="39">
        <f t="shared" si="67"/>
        <v>157992929.59999999</v>
      </c>
      <c r="D2165" s="39">
        <f t="shared" si="68"/>
        <v>71371347</v>
      </c>
    </row>
    <row r="2166" spans="2:4" x14ac:dyDescent="0.25">
      <c r="B2166" s="89">
        <v>2162</v>
      </c>
      <c r="C2166" s="39">
        <f t="shared" si="67"/>
        <v>157992929.59999999</v>
      </c>
      <c r="D2166" s="39">
        <f t="shared" si="68"/>
        <v>71404374</v>
      </c>
    </row>
    <row r="2167" spans="2:4" x14ac:dyDescent="0.25">
      <c r="B2167" s="89">
        <v>2163</v>
      </c>
      <c r="C2167" s="39">
        <f t="shared" si="67"/>
        <v>157992929.59999999</v>
      </c>
      <c r="D2167" s="39">
        <f t="shared" si="68"/>
        <v>71437401</v>
      </c>
    </row>
    <row r="2168" spans="2:4" x14ac:dyDescent="0.25">
      <c r="B2168" s="89">
        <v>2164</v>
      </c>
      <c r="C2168" s="39">
        <f t="shared" si="67"/>
        <v>157992929.59999999</v>
      </c>
      <c r="D2168" s="39">
        <f t="shared" si="68"/>
        <v>71470428</v>
      </c>
    </row>
    <row r="2169" spans="2:4" x14ac:dyDescent="0.25">
      <c r="B2169" s="89">
        <v>2165</v>
      </c>
      <c r="C2169" s="39">
        <f t="shared" si="67"/>
        <v>157992929.59999999</v>
      </c>
      <c r="D2169" s="39">
        <f t="shared" si="68"/>
        <v>71503455</v>
      </c>
    </row>
    <row r="2170" spans="2:4" x14ac:dyDescent="0.25">
      <c r="B2170" s="89">
        <v>2166</v>
      </c>
      <c r="C2170" s="39">
        <f t="shared" si="67"/>
        <v>157992929.59999999</v>
      </c>
      <c r="D2170" s="39">
        <f t="shared" si="68"/>
        <v>71536482</v>
      </c>
    </row>
    <row r="2171" spans="2:4" x14ac:dyDescent="0.25">
      <c r="B2171" s="89">
        <v>2167</v>
      </c>
      <c r="C2171" s="39">
        <f t="shared" si="67"/>
        <v>157992929.59999999</v>
      </c>
      <c r="D2171" s="39">
        <f t="shared" si="68"/>
        <v>71569509</v>
      </c>
    </row>
    <row r="2172" spans="2:4" x14ac:dyDescent="0.25">
      <c r="B2172" s="89">
        <v>2168</v>
      </c>
      <c r="C2172" s="39">
        <f t="shared" si="67"/>
        <v>157992929.59999999</v>
      </c>
      <c r="D2172" s="39">
        <f t="shared" si="68"/>
        <v>71602536</v>
      </c>
    </row>
    <row r="2173" spans="2:4" x14ac:dyDescent="0.25">
      <c r="B2173" s="89">
        <v>2169</v>
      </c>
      <c r="C2173" s="39">
        <f t="shared" si="67"/>
        <v>157992929.59999999</v>
      </c>
      <c r="D2173" s="39">
        <f t="shared" si="68"/>
        <v>71635563</v>
      </c>
    </row>
    <row r="2174" spans="2:4" x14ac:dyDescent="0.25">
      <c r="B2174" s="89">
        <v>2170</v>
      </c>
      <c r="C2174" s="39">
        <f t="shared" si="67"/>
        <v>157992929.59999999</v>
      </c>
      <c r="D2174" s="39">
        <f t="shared" si="68"/>
        <v>71668590</v>
      </c>
    </row>
    <row r="2175" spans="2:4" x14ac:dyDescent="0.25">
      <c r="B2175" s="89">
        <v>2171</v>
      </c>
      <c r="C2175" s="39">
        <f t="shared" si="67"/>
        <v>157992929.59999999</v>
      </c>
      <c r="D2175" s="39">
        <f t="shared" si="68"/>
        <v>71701617</v>
      </c>
    </row>
    <row r="2176" spans="2:4" x14ac:dyDescent="0.25">
      <c r="B2176" s="89">
        <v>2172</v>
      </c>
      <c r="C2176" s="39">
        <f t="shared" si="67"/>
        <v>157992929.59999999</v>
      </c>
      <c r="D2176" s="39">
        <f t="shared" si="68"/>
        <v>71734644</v>
      </c>
    </row>
    <row r="2177" spans="2:4" x14ac:dyDescent="0.25">
      <c r="B2177" s="89">
        <v>2173</v>
      </c>
      <c r="C2177" s="39">
        <f t="shared" si="67"/>
        <v>157992929.59999999</v>
      </c>
      <c r="D2177" s="39">
        <f t="shared" si="68"/>
        <v>71767671</v>
      </c>
    </row>
    <row r="2178" spans="2:4" x14ac:dyDescent="0.25">
      <c r="B2178" s="89">
        <v>2174</v>
      </c>
      <c r="C2178" s="39">
        <f t="shared" si="67"/>
        <v>157992929.59999999</v>
      </c>
      <c r="D2178" s="39">
        <f t="shared" si="68"/>
        <v>71800698</v>
      </c>
    </row>
    <row r="2179" spans="2:4" x14ac:dyDescent="0.25">
      <c r="B2179" s="89">
        <v>2175</v>
      </c>
      <c r="C2179" s="39">
        <f t="shared" si="67"/>
        <v>157992929.59999999</v>
      </c>
      <c r="D2179" s="39">
        <f t="shared" si="68"/>
        <v>71833725</v>
      </c>
    </row>
    <row r="2180" spans="2:4" x14ac:dyDescent="0.25">
      <c r="B2180" s="89">
        <v>2176</v>
      </c>
      <c r="C2180" s="39">
        <f t="shared" si="67"/>
        <v>157992929.59999999</v>
      </c>
      <c r="D2180" s="39">
        <f t="shared" si="68"/>
        <v>71866752</v>
      </c>
    </row>
    <row r="2181" spans="2:4" x14ac:dyDescent="0.25">
      <c r="B2181" s="89">
        <v>2177</v>
      </c>
      <c r="C2181" s="39">
        <f t="shared" si="67"/>
        <v>157992929.59999999</v>
      </c>
      <c r="D2181" s="39">
        <f t="shared" si="68"/>
        <v>71899779</v>
      </c>
    </row>
    <row r="2182" spans="2:4" x14ac:dyDescent="0.25">
      <c r="B2182" s="89">
        <v>2178</v>
      </c>
      <c r="C2182" s="39">
        <f t="shared" ref="C2182:C2245" si="69">$C2181</f>
        <v>157992929.59999999</v>
      </c>
      <c r="D2182" s="39">
        <f t="shared" si="68"/>
        <v>71932806</v>
      </c>
    </row>
    <row r="2183" spans="2:4" x14ac:dyDescent="0.25">
      <c r="B2183" s="89">
        <v>2179</v>
      </c>
      <c r="C2183" s="39">
        <f t="shared" si="69"/>
        <v>157992929.59999999</v>
      </c>
      <c r="D2183" s="39">
        <f t="shared" si="68"/>
        <v>71965833</v>
      </c>
    </row>
    <row r="2184" spans="2:4" x14ac:dyDescent="0.25">
      <c r="B2184" s="89">
        <v>2180</v>
      </c>
      <c r="C2184" s="39">
        <f t="shared" si="69"/>
        <v>157992929.59999999</v>
      </c>
      <c r="D2184" s="39">
        <f t="shared" si="68"/>
        <v>71998860</v>
      </c>
    </row>
    <row r="2185" spans="2:4" x14ac:dyDescent="0.25">
      <c r="B2185" s="89">
        <v>2181</v>
      </c>
      <c r="C2185" s="39">
        <f t="shared" si="69"/>
        <v>157992929.59999999</v>
      </c>
      <c r="D2185" s="39">
        <f t="shared" si="68"/>
        <v>72031887</v>
      </c>
    </row>
    <row r="2186" spans="2:4" x14ac:dyDescent="0.25">
      <c r="B2186" s="89">
        <v>2182</v>
      </c>
      <c r="C2186" s="39">
        <f t="shared" si="69"/>
        <v>157992929.59999999</v>
      </c>
      <c r="D2186" s="39">
        <f t="shared" si="68"/>
        <v>72064914</v>
      </c>
    </row>
    <row r="2187" spans="2:4" x14ac:dyDescent="0.25">
      <c r="B2187" s="89">
        <v>2183</v>
      </c>
      <c r="C2187" s="39">
        <f t="shared" si="69"/>
        <v>157992929.59999999</v>
      </c>
      <c r="D2187" s="39">
        <f t="shared" si="68"/>
        <v>72097941</v>
      </c>
    </row>
    <row r="2188" spans="2:4" x14ac:dyDescent="0.25">
      <c r="B2188" s="89">
        <v>2184</v>
      </c>
      <c r="C2188" s="39">
        <f t="shared" si="69"/>
        <v>157992929.59999999</v>
      </c>
      <c r="D2188" s="39">
        <f t="shared" si="68"/>
        <v>72130968</v>
      </c>
    </row>
    <row r="2189" spans="2:4" x14ac:dyDescent="0.25">
      <c r="B2189" s="89">
        <v>2185</v>
      </c>
      <c r="C2189" s="39">
        <f t="shared" si="69"/>
        <v>157992929.59999999</v>
      </c>
      <c r="D2189" s="39">
        <f t="shared" si="68"/>
        <v>72163995</v>
      </c>
    </row>
    <row r="2190" spans="2:4" x14ac:dyDescent="0.25">
      <c r="B2190" s="89">
        <v>2186</v>
      </c>
      <c r="C2190" s="39">
        <f t="shared" si="69"/>
        <v>157992929.59999999</v>
      </c>
      <c r="D2190" s="39">
        <f t="shared" si="68"/>
        <v>72197022</v>
      </c>
    </row>
    <row r="2191" spans="2:4" x14ac:dyDescent="0.25">
      <c r="B2191" s="89">
        <v>2187</v>
      </c>
      <c r="C2191" s="39">
        <f t="shared" si="69"/>
        <v>157992929.59999999</v>
      </c>
      <c r="D2191" s="39">
        <f t="shared" si="68"/>
        <v>72230049</v>
      </c>
    </row>
    <row r="2192" spans="2:4" x14ac:dyDescent="0.25">
      <c r="B2192" s="89">
        <v>2188</v>
      </c>
      <c r="C2192" s="39">
        <f t="shared" si="69"/>
        <v>157992929.59999999</v>
      </c>
      <c r="D2192" s="39">
        <f t="shared" si="68"/>
        <v>72263076</v>
      </c>
    </row>
    <row r="2193" spans="2:4" x14ac:dyDescent="0.25">
      <c r="B2193" s="89">
        <v>2189</v>
      </c>
      <c r="C2193" s="39">
        <f t="shared" si="69"/>
        <v>157992929.59999999</v>
      </c>
      <c r="D2193" s="39">
        <f t="shared" si="68"/>
        <v>72296103</v>
      </c>
    </row>
    <row r="2194" spans="2:4" x14ac:dyDescent="0.25">
      <c r="B2194" s="89">
        <v>2190</v>
      </c>
      <c r="C2194" s="39">
        <f t="shared" si="69"/>
        <v>157992929.59999999</v>
      </c>
      <c r="D2194" s="39">
        <f t="shared" si="68"/>
        <v>72329130</v>
      </c>
    </row>
    <row r="2195" spans="2:4" x14ac:dyDescent="0.25">
      <c r="B2195" s="89">
        <v>2191</v>
      </c>
      <c r="C2195" s="39">
        <f t="shared" si="69"/>
        <v>157992929.59999999</v>
      </c>
      <c r="D2195" s="39">
        <f t="shared" si="68"/>
        <v>72362157</v>
      </c>
    </row>
    <row r="2196" spans="2:4" x14ac:dyDescent="0.25">
      <c r="B2196" s="89">
        <v>2192</v>
      </c>
      <c r="C2196" s="39">
        <f t="shared" si="69"/>
        <v>157992929.59999999</v>
      </c>
      <c r="D2196" s="39">
        <f t="shared" si="68"/>
        <v>72395184</v>
      </c>
    </row>
    <row r="2197" spans="2:4" x14ac:dyDescent="0.25">
      <c r="B2197" s="89">
        <v>2193</v>
      </c>
      <c r="C2197" s="39">
        <f t="shared" si="69"/>
        <v>157992929.59999999</v>
      </c>
      <c r="D2197" s="39">
        <f t="shared" si="68"/>
        <v>72428211</v>
      </c>
    </row>
    <row r="2198" spans="2:4" x14ac:dyDescent="0.25">
      <c r="B2198" s="89">
        <v>2194</v>
      </c>
      <c r="C2198" s="39">
        <f t="shared" si="69"/>
        <v>157992929.59999999</v>
      </c>
      <c r="D2198" s="39">
        <f t="shared" si="68"/>
        <v>72461238</v>
      </c>
    </row>
    <row r="2199" spans="2:4" x14ac:dyDescent="0.25">
      <c r="B2199" s="89">
        <v>2195</v>
      </c>
      <c r="C2199" s="39">
        <f t="shared" si="69"/>
        <v>157992929.59999999</v>
      </c>
      <c r="D2199" s="39">
        <f t="shared" si="68"/>
        <v>72494265</v>
      </c>
    </row>
    <row r="2200" spans="2:4" x14ac:dyDescent="0.25">
      <c r="B2200" s="89">
        <v>2196</v>
      </c>
      <c r="C2200" s="39">
        <f t="shared" si="69"/>
        <v>157992929.59999999</v>
      </c>
      <c r="D2200" s="39">
        <f t="shared" si="68"/>
        <v>72527292</v>
      </c>
    </row>
    <row r="2201" spans="2:4" x14ac:dyDescent="0.25">
      <c r="B2201" s="89">
        <v>2197</v>
      </c>
      <c r="C2201" s="39">
        <f t="shared" si="69"/>
        <v>157992929.59999999</v>
      </c>
      <c r="D2201" s="39">
        <f t="shared" si="68"/>
        <v>72560319</v>
      </c>
    </row>
    <row r="2202" spans="2:4" x14ac:dyDescent="0.25">
      <c r="B2202" s="89">
        <v>2198</v>
      </c>
      <c r="C2202" s="39">
        <f t="shared" si="69"/>
        <v>157992929.59999999</v>
      </c>
      <c r="D2202" s="39">
        <f t="shared" si="68"/>
        <v>72593346</v>
      </c>
    </row>
    <row r="2203" spans="2:4" x14ac:dyDescent="0.25">
      <c r="B2203" s="89">
        <v>2199</v>
      </c>
      <c r="C2203" s="39">
        <f t="shared" si="69"/>
        <v>157992929.59999999</v>
      </c>
      <c r="D2203" s="39">
        <f t="shared" si="68"/>
        <v>72626373</v>
      </c>
    </row>
    <row r="2204" spans="2:4" x14ac:dyDescent="0.25">
      <c r="B2204" s="89">
        <v>2200</v>
      </c>
      <c r="C2204" s="39">
        <f t="shared" si="69"/>
        <v>157992929.59999999</v>
      </c>
      <c r="D2204" s="39">
        <f t="shared" si="68"/>
        <v>72659400</v>
      </c>
    </row>
    <row r="2205" spans="2:4" x14ac:dyDescent="0.25">
      <c r="B2205" s="89">
        <v>2201</v>
      </c>
      <c r="C2205" s="39">
        <f t="shared" si="69"/>
        <v>157992929.59999999</v>
      </c>
      <c r="D2205" s="39">
        <f t="shared" si="68"/>
        <v>72692427</v>
      </c>
    </row>
    <row r="2206" spans="2:4" x14ac:dyDescent="0.25">
      <c r="B2206" s="89">
        <v>2202</v>
      </c>
      <c r="C2206" s="39">
        <f t="shared" si="69"/>
        <v>157992929.59999999</v>
      </c>
      <c r="D2206" s="39">
        <f t="shared" si="68"/>
        <v>72725454</v>
      </c>
    </row>
    <row r="2207" spans="2:4" x14ac:dyDescent="0.25">
      <c r="B2207" s="89">
        <v>2203</v>
      </c>
      <c r="C2207" s="39">
        <f t="shared" si="69"/>
        <v>157992929.59999999</v>
      </c>
      <c r="D2207" s="39">
        <f t="shared" si="68"/>
        <v>72758481</v>
      </c>
    </row>
    <row r="2208" spans="2:4" x14ac:dyDescent="0.25">
      <c r="B2208" s="89">
        <v>2204</v>
      </c>
      <c r="C2208" s="39">
        <f t="shared" si="69"/>
        <v>157992929.59999999</v>
      </c>
      <c r="D2208" s="39">
        <f t="shared" si="68"/>
        <v>72791508</v>
      </c>
    </row>
    <row r="2209" spans="2:4" x14ac:dyDescent="0.25">
      <c r="B2209" s="89">
        <v>2205</v>
      </c>
      <c r="C2209" s="39">
        <f t="shared" si="69"/>
        <v>157992929.59999999</v>
      </c>
      <c r="D2209" s="39">
        <f t="shared" si="68"/>
        <v>72824535</v>
      </c>
    </row>
    <row r="2210" spans="2:4" x14ac:dyDescent="0.25">
      <c r="B2210" s="89">
        <v>2206</v>
      </c>
      <c r="C2210" s="39">
        <f t="shared" si="69"/>
        <v>157992929.59999999</v>
      </c>
      <c r="D2210" s="39">
        <f t="shared" si="68"/>
        <v>72857562</v>
      </c>
    </row>
    <row r="2211" spans="2:4" x14ac:dyDescent="0.25">
      <c r="B2211" s="89">
        <v>2207</v>
      </c>
      <c r="C2211" s="39">
        <f t="shared" si="69"/>
        <v>157992929.59999999</v>
      </c>
      <c r="D2211" s="39">
        <f t="shared" si="68"/>
        <v>72890589</v>
      </c>
    </row>
    <row r="2212" spans="2:4" x14ac:dyDescent="0.25">
      <c r="B2212" s="89">
        <v>2208</v>
      </c>
      <c r="C2212" s="39">
        <f t="shared" si="69"/>
        <v>157992929.59999999</v>
      </c>
      <c r="D2212" s="39">
        <f t="shared" si="68"/>
        <v>72923616</v>
      </c>
    </row>
    <row r="2213" spans="2:4" x14ac:dyDescent="0.25">
      <c r="B2213" s="89">
        <v>2209</v>
      </c>
      <c r="C2213" s="39">
        <f t="shared" si="69"/>
        <v>157992929.59999999</v>
      </c>
      <c r="D2213" s="39">
        <f t="shared" si="68"/>
        <v>72956643</v>
      </c>
    </row>
    <row r="2214" spans="2:4" x14ac:dyDescent="0.25">
      <c r="B2214" s="89">
        <v>2210</v>
      </c>
      <c r="C2214" s="39">
        <f t="shared" si="69"/>
        <v>157992929.59999999</v>
      </c>
      <c r="D2214" s="39">
        <f t="shared" si="68"/>
        <v>72989670</v>
      </c>
    </row>
    <row r="2215" spans="2:4" x14ac:dyDescent="0.25">
      <c r="B2215" s="89">
        <v>2211</v>
      </c>
      <c r="C2215" s="39">
        <f t="shared" si="69"/>
        <v>157992929.59999999</v>
      </c>
      <c r="D2215" s="39">
        <f t="shared" si="68"/>
        <v>73022697</v>
      </c>
    </row>
    <row r="2216" spans="2:4" x14ac:dyDescent="0.25">
      <c r="B2216" s="89">
        <v>2212</v>
      </c>
      <c r="C2216" s="39">
        <f t="shared" si="69"/>
        <v>157992929.59999999</v>
      </c>
      <c r="D2216" s="39">
        <f t="shared" si="68"/>
        <v>73055724</v>
      </c>
    </row>
    <row r="2217" spans="2:4" x14ac:dyDescent="0.25">
      <c r="B2217" s="89">
        <v>2213</v>
      </c>
      <c r="C2217" s="39">
        <f t="shared" si="69"/>
        <v>157992929.59999999</v>
      </c>
      <c r="D2217" s="39">
        <f t="shared" si="68"/>
        <v>73088751</v>
      </c>
    </row>
    <row r="2218" spans="2:4" x14ac:dyDescent="0.25">
      <c r="B2218" s="89">
        <v>2214</v>
      </c>
      <c r="C2218" s="39">
        <f t="shared" si="69"/>
        <v>157992929.59999999</v>
      </c>
      <c r="D2218" s="39">
        <f t="shared" si="68"/>
        <v>73121778</v>
      </c>
    </row>
    <row r="2219" spans="2:4" x14ac:dyDescent="0.25">
      <c r="B2219" s="89">
        <v>2215</v>
      </c>
      <c r="C2219" s="39">
        <f t="shared" si="69"/>
        <v>157992929.59999999</v>
      </c>
      <c r="D2219" s="39">
        <f t="shared" si="68"/>
        <v>73154805</v>
      </c>
    </row>
    <row r="2220" spans="2:4" x14ac:dyDescent="0.25">
      <c r="B2220" s="89">
        <v>2216</v>
      </c>
      <c r="C2220" s="39">
        <f t="shared" si="69"/>
        <v>157992929.59999999</v>
      </c>
      <c r="D2220" s="39">
        <f t="shared" si="68"/>
        <v>73187832</v>
      </c>
    </row>
    <row r="2221" spans="2:4" x14ac:dyDescent="0.25">
      <c r="B2221" s="89">
        <v>2217</v>
      </c>
      <c r="C2221" s="39">
        <f t="shared" si="69"/>
        <v>157992929.59999999</v>
      </c>
      <c r="D2221" s="39">
        <f t="shared" si="68"/>
        <v>73220859</v>
      </c>
    </row>
    <row r="2222" spans="2:4" x14ac:dyDescent="0.25">
      <c r="B2222" s="89">
        <v>2218</v>
      </c>
      <c r="C2222" s="39">
        <f t="shared" si="69"/>
        <v>157992929.59999999</v>
      </c>
      <c r="D2222" s="39">
        <f t="shared" si="68"/>
        <v>73253886</v>
      </c>
    </row>
    <row r="2223" spans="2:4" x14ac:dyDescent="0.25">
      <c r="B2223" s="89">
        <v>2219</v>
      </c>
      <c r="C2223" s="39">
        <f t="shared" si="69"/>
        <v>157992929.59999999</v>
      </c>
      <c r="D2223" s="39">
        <f t="shared" si="68"/>
        <v>73286913</v>
      </c>
    </row>
    <row r="2224" spans="2:4" x14ac:dyDescent="0.25">
      <c r="B2224" s="89">
        <v>2220</v>
      </c>
      <c r="C2224" s="39">
        <f t="shared" si="69"/>
        <v>157992929.59999999</v>
      </c>
      <c r="D2224" s="39">
        <f t="shared" si="68"/>
        <v>73319940</v>
      </c>
    </row>
    <row r="2225" spans="2:4" x14ac:dyDescent="0.25">
      <c r="B2225" s="89">
        <v>2221</v>
      </c>
      <c r="C2225" s="39">
        <f t="shared" si="69"/>
        <v>157992929.59999999</v>
      </c>
      <c r="D2225" s="39">
        <f t="shared" ref="D2225:D2288" si="70">$D$2*B2225</f>
        <v>73352967</v>
      </c>
    </row>
    <row r="2226" spans="2:4" x14ac:dyDescent="0.25">
      <c r="B2226" s="89">
        <v>2222</v>
      </c>
      <c r="C2226" s="39">
        <f t="shared" si="69"/>
        <v>157992929.59999999</v>
      </c>
      <c r="D2226" s="39">
        <f t="shared" si="70"/>
        <v>73385994</v>
      </c>
    </row>
    <row r="2227" spans="2:4" x14ac:dyDescent="0.25">
      <c r="B2227" s="89">
        <v>2223</v>
      </c>
      <c r="C2227" s="39">
        <f t="shared" si="69"/>
        <v>157992929.59999999</v>
      </c>
      <c r="D2227" s="39">
        <f t="shared" si="70"/>
        <v>73419021</v>
      </c>
    </row>
    <row r="2228" spans="2:4" x14ac:dyDescent="0.25">
      <c r="B2228" s="89">
        <v>2224</v>
      </c>
      <c r="C2228" s="39">
        <f t="shared" si="69"/>
        <v>157992929.59999999</v>
      </c>
      <c r="D2228" s="39">
        <f t="shared" si="70"/>
        <v>73452048</v>
      </c>
    </row>
    <row r="2229" spans="2:4" x14ac:dyDescent="0.25">
      <c r="B2229" s="89">
        <v>2225</v>
      </c>
      <c r="C2229" s="39">
        <f t="shared" si="69"/>
        <v>157992929.59999999</v>
      </c>
      <c r="D2229" s="39">
        <f t="shared" si="70"/>
        <v>73485075</v>
      </c>
    </row>
    <row r="2230" spans="2:4" x14ac:dyDescent="0.25">
      <c r="B2230" s="89">
        <v>2226</v>
      </c>
      <c r="C2230" s="39">
        <f t="shared" si="69"/>
        <v>157992929.59999999</v>
      </c>
      <c r="D2230" s="39">
        <f t="shared" si="70"/>
        <v>73518102</v>
      </c>
    </row>
    <row r="2231" spans="2:4" x14ac:dyDescent="0.25">
      <c r="B2231" s="89">
        <v>2227</v>
      </c>
      <c r="C2231" s="39">
        <f t="shared" si="69"/>
        <v>157992929.59999999</v>
      </c>
      <c r="D2231" s="39">
        <f t="shared" si="70"/>
        <v>73551129</v>
      </c>
    </row>
    <row r="2232" spans="2:4" x14ac:dyDescent="0.25">
      <c r="B2232" s="89">
        <v>2228</v>
      </c>
      <c r="C2232" s="39">
        <f t="shared" si="69"/>
        <v>157992929.59999999</v>
      </c>
      <c r="D2232" s="39">
        <f t="shared" si="70"/>
        <v>73584156</v>
      </c>
    </row>
    <row r="2233" spans="2:4" x14ac:dyDescent="0.25">
      <c r="B2233" s="89">
        <v>2229</v>
      </c>
      <c r="C2233" s="39">
        <f t="shared" si="69"/>
        <v>157992929.59999999</v>
      </c>
      <c r="D2233" s="39">
        <f t="shared" si="70"/>
        <v>73617183</v>
      </c>
    </row>
    <row r="2234" spans="2:4" x14ac:dyDescent="0.25">
      <c r="B2234" s="89">
        <v>2230</v>
      </c>
      <c r="C2234" s="39">
        <f t="shared" si="69"/>
        <v>157992929.59999999</v>
      </c>
      <c r="D2234" s="39">
        <f t="shared" si="70"/>
        <v>73650210</v>
      </c>
    </row>
    <row r="2235" spans="2:4" x14ac:dyDescent="0.25">
      <c r="B2235" s="89">
        <v>2231</v>
      </c>
      <c r="C2235" s="39">
        <f t="shared" si="69"/>
        <v>157992929.59999999</v>
      </c>
      <c r="D2235" s="39">
        <f t="shared" si="70"/>
        <v>73683237</v>
      </c>
    </row>
    <row r="2236" spans="2:4" x14ac:dyDescent="0.25">
      <c r="B2236" s="89">
        <v>2232</v>
      </c>
      <c r="C2236" s="39">
        <f t="shared" si="69"/>
        <v>157992929.59999999</v>
      </c>
      <c r="D2236" s="39">
        <f t="shared" si="70"/>
        <v>73716264</v>
      </c>
    </row>
    <row r="2237" spans="2:4" x14ac:dyDescent="0.25">
      <c r="B2237" s="89">
        <v>2233</v>
      </c>
      <c r="C2237" s="39">
        <f t="shared" si="69"/>
        <v>157992929.59999999</v>
      </c>
      <c r="D2237" s="39">
        <f t="shared" si="70"/>
        <v>73749291</v>
      </c>
    </row>
    <row r="2238" spans="2:4" x14ac:dyDescent="0.25">
      <c r="B2238" s="89">
        <v>2234</v>
      </c>
      <c r="C2238" s="39">
        <f t="shared" si="69"/>
        <v>157992929.59999999</v>
      </c>
      <c r="D2238" s="39">
        <f t="shared" si="70"/>
        <v>73782318</v>
      </c>
    </row>
    <row r="2239" spans="2:4" x14ac:dyDescent="0.25">
      <c r="B2239" s="89">
        <v>2235</v>
      </c>
      <c r="C2239" s="39">
        <f t="shared" si="69"/>
        <v>157992929.59999999</v>
      </c>
      <c r="D2239" s="39">
        <f t="shared" si="70"/>
        <v>73815345</v>
      </c>
    </row>
    <row r="2240" spans="2:4" x14ac:dyDescent="0.25">
      <c r="B2240" s="89">
        <v>2236</v>
      </c>
      <c r="C2240" s="39">
        <f t="shared" si="69"/>
        <v>157992929.59999999</v>
      </c>
      <c r="D2240" s="39">
        <f t="shared" si="70"/>
        <v>73848372</v>
      </c>
    </row>
    <row r="2241" spans="2:4" x14ac:dyDescent="0.25">
      <c r="B2241" s="89">
        <v>2237</v>
      </c>
      <c r="C2241" s="39">
        <f t="shared" si="69"/>
        <v>157992929.59999999</v>
      </c>
      <c r="D2241" s="39">
        <f t="shared" si="70"/>
        <v>73881399</v>
      </c>
    </row>
    <row r="2242" spans="2:4" x14ac:dyDescent="0.25">
      <c r="B2242" s="89">
        <v>2238</v>
      </c>
      <c r="C2242" s="39">
        <f t="shared" si="69"/>
        <v>157992929.59999999</v>
      </c>
      <c r="D2242" s="39">
        <f t="shared" si="70"/>
        <v>73914426</v>
      </c>
    </row>
    <row r="2243" spans="2:4" x14ac:dyDescent="0.25">
      <c r="B2243" s="89">
        <v>2239</v>
      </c>
      <c r="C2243" s="39">
        <f t="shared" si="69"/>
        <v>157992929.59999999</v>
      </c>
      <c r="D2243" s="39">
        <f t="shared" si="70"/>
        <v>73947453</v>
      </c>
    </row>
    <row r="2244" spans="2:4" x14ac:dyDescent="0.25">
      <c r="B2244" s="89">
        <v>2240</v>
      </c>
      <c r="C2244" s="39">
        <f t="shared" si="69"/>
        <v>157992929.59999999</v>
      </c>
      <c r="D2244" s="39">
        <f t="shared" si="70"/>
        <v>73980480</v>
      </c>
    </row>
    <row r="2245" spans="2:4" x14ac:dyDescent="0.25">
      <c r="B2245" s="89">
        <v>2241</v>
      </c>
      <c r="C2245" s="39">
        <f t="shared" si="69"/>
        <v>157992929.59999999</v>
      </c>
      <c r="D2245" s="39">
        <f t="shared" si="70"/>
        <v>74013507</v>
      </c>
    </row>
    <row r="2246" spans="2:4" x14ac:dyDescent="0.25">
      <c r="B2246" s="89">
        <v>2242</v>
      </c>
      <c r="C2246" s="39">
        <f t="shared" ref="C2246:C2309" si="71">$C2245</f>
        <v>157992929.59999999</v>
      </c>
      <c r="D2246" s="39">
        <f t="shared" si="70"/>
        <v>74046534</v>
      </c>
    </row>
    <row r="2247" spans="2:4" x14ac:dyDescent="0.25">
      <c r="B2247" s="89">
        <v>2243</v>
      </c>
      <c r="C2247" s="39">
        <f t="shared" si="71"/>
        <v>157992929.59999999</v>
      </c>
      <c r="D2247" s="39">
        <f t="shared" si="70"/>
        <v>74079561</v>
      </c>
    </row>
    <row r="2248" spans="2:4" x14ac:dyDescent="0.25">
      <c r="B2248" s="89">
        <v>2244</v>
      </c>
      <c r="C2248" s="39">
        <f t="shared" si="71"/>
        <v>157992929.59999999</v>
      </c>
      <c r="D2248" s="39">
        <f t="shared" si="70"/>
        <v>74112588</v>
      </c>
    </row>
    <row r="2249" spans="2:4" x14ac:dyDescent="0.25">
      <c r="B2249" s="89">
        <v>2245</v>
      </c>
      <c r="C2249" s="39">
        <f t="shared" si="71"/>
        <v>157992929.59999999</v>
      </c>
      <c r="D2249" s="39">
        <f t="shared" si="70"/>
        <v>74145615</v>
      </c>
    </row>
    <row r="2250" spans="2:4" x14ac:dyDescent="0.25">
      <c r="B2250" s="89">
        <v>2246</v>
      </c>
      <c r="C2250" s="39">
        <f t="shared" si="71"/>
        <v>157992929.59999999</v>
      </c>
      <c r="D2250" s="39">
        <f t="shared" si="70"/>
        <v>74178642</v>
      </c>
    </row>
    <row r="2251" spans="2:4" x14ac:dyDescent="0.25">
      <c r="B2251" s="89">
        <v>2247</v>
      </c>
      <c r="C2251" s="39">
        <f t="shared" si="71"/>
        <v>157992929.59999999</v>
      </c>
      <c r="D2251" s="39">
        <f t="shared" si="70"/>
        <v>74211669</v>
      </c>
    </row>
    <row r="2252" spans="2:4" x14ac:dyDescent="0.25">
      <c r="B2252" s="89">
        <v>2248</v>
      </c>
      <c r="C2252" s="39">
        <f t="shared" si="71"/>
        <v>157992929.59999999</v>
      </c>
      <c r="D2252" s="39">
        <f t="shared" si="70"/>
        <v>74244696</v>
      </c>
    </row>
    <row r="2253" spans="2:4" x14ac:dyDescent="0.25">
      <c r="B2253" s="89">
        <v>2249</v>
      </c>
      <c r="C2253" s="39">
        <f t="shared" si="71"/>
        <v>157992929.59999999</v>
      </c>
      <c r="D2253" s="39">
        <f t="shared" si="70"/>
        <v>74277723</v>
      </c>
    </row>
    <row r="2254" spans="2:4" x14ac:dyDescent="0.25">
      <c r="B2254" s="89">
        <v>2250</v>
      </c>
      <c r="C2254" s="39">
        <f t="shared" si="71"/>
        <v>157992929.59999999</v>
      </c>
      <c r="D2254" s="39">
        <f t="shared" si="70"/>
        <v>74310750</v>
      </c>
    </row>
    <row r="2255" spans="2:4" x14ac:dyDescent="0.25">
      <c r="B2255" s="89">
        <v>2251</v>
      </c>
      <c r="C2255" s="39">
        <f t="shared" si="71"/>
        <v>157992929.59999999</v>
      </c>
      <c r="D2255" s="39">
        <f t="shared" si="70"/>
        <v>74343777</v>
      </c>
    </row>
    <row r="2256" spans="2:4" x14ac:dyDescent="0.25">
      <c r="B2256" s="89">
        <v>2252</v>
      </c>
      <c r="C2256" s="39">
        <f t="shared" si="71"/>
        <v>157992929.59999999</v>
      </c>
      <c r="D2256" s="39">
        <f t="shared" si="70"/>
        <v>74376804</v>
      </c>
    </row>
    <row r="2257" spans="2:4" x14ac:dyDescent="0.25">
      <c r="B2257" s="89">
        <v>2253</v>
      </c>
      <c r="C2257" s="39">
        <f t="shared" si="71"/>
        <v>157992929.59999999</v>
      </c>
      <c r="D2257" s="39">
        <f t="shared" si="70"/>
        <v>74409831</v>
      </c>
    </row>
    <row r="2258" spans="2:4" x14ac:dyDescent="0.25">
      <c r="B2258" s="89">
        <v>2254</v>
      </c>
      <c r="C2258" s="39">
        <f t="shared" si="71"/>
        <v>157992929.59999999</v>
      </c>
      <c r="D2258" s="39">
        <f t="shared" si="70"/>
        <v>74442858</v>
      </c>
    </row>
    <row r="2259" spans="2:4" x14ac:dyDescent="0.25">
      <c r="B2259" s="89">
        <v>2255</v>
      </c>
      <c r="C2259" s="39">
        <f t="shared" si="71"/>
        <v>157992929.59999999</v>
      </c>
      <c r="D2259" s="39">
        <f t="shared" si="70"/>
        <v>74475885</v>
      </c>
    </row>
    <row r="2260" spans="2:4" x14ac:dyDescent="0.25">
      <c r="B2260" s="89">
        <v>2256</v>
      </c>
      <c r="C2260" s="39">
        <f t="shared" si="71"/>
        <v>157992929.59999999</v>
      </c>
      <c r="D2260" s="39">
        <f t="shared" si="70"/>
        <v>74508912</v>
      </c>
    </row>
    <row r="2261" spans="2:4" x14ac:dyDescent="0.25">
      <c r="B2261" s="89">
        <v>2257</v>
      </c>
      <c r="C2261" s="39">
        <f t="shared" si="71"/>
        <v>157992929.59999999</v>
      </c>
      <c r="D2261" s="39">
        <f t="shared" si="70"/>
        <v>74541939</v>
      </c>
    </row>
    <row r="2262" spans="2:4" x14ac:dyDescent="0.25">
      <c r="B2262" s="89">
        <v>2258</v>
      </c>
      <c r="C2262" s="39">
        <f t="shared" si="71"/>
        <v>157992929.59999999</v>
      </c>
      <c r="D2262" s="39">
        <f t="shared" si="70"/>
        <v>74574966</v>
      </c>
    </row>
    <row r="2263" spans="2:4" x14ac:dyDescent="0.25">
      <c r="B2263" s="89">
        <v>2259</v>
      </c>
      <c r="C2263" s="39">
        <f t="shared" si="71"/>
        <v>157992929.59999999</v>
      </c>
      <c r="D2263" s="39">
        <f t="shared" si="70"/>
        <v>74607993</v>
      </c>
    </row>
    <row r="2264" spans="2:4" x14ac:dyDescent="0.25">
      <c r="B2264" s="89">
        <v>2260</v>
      </c>
      <c r="C2264" s="39">
        <f t="shared" si="71"/>
        <v>157992929.59999999</v>
      </c>
      <c r="D2264" s="39">
        <f t="shared" si="70"/>
        <v>74641020</v>
      </c>
    </row>
    <row r="2265" spans="2:4" x14ac:dyDescent="0.25">
      <c r="B2265" s="89">
        <v>2261</v>
      </c>
      <c r="C2265" s="39">
        <f t="shared" si="71"/>
        <v>157992929.59999999</v>
      </c>
      <c r="D2265" s="39">
        <f t="shared" si="70"/>
        <v>74674047</v>
      </c>
    </row>
    <row r="2266" spans="2:4" x14ac:dyDescent="0.25">
      <c r="B2266" s="89">
        <v>2262</v>
      </c>
      <c r="C2266" s="39">
        <f t="shared" si="71"/>
        <v>157992929.59999999</v>
      </c>
      <c r="D2266" s="39">
        <f t="shared" si="70"/>
        <v>74707074</v>
      </c>
    </row>
    <row r="2267" spans="2:4" x14ac:dyDescent="0.25">
      <c r="B2267" s="89">
        <v>2263</v>
      </c>
      <c r="C2267" s="39">
        <f t="shared" si="71"/>
        <v>157992929.59999999</v>
      </c>
      <c r="D2267" s="39">
        <f t="shared" si="70"/>
        <v>74740101</v>
      </c>
    </row>
    <row r="2268" spans="2:4" x14ac:dyDescent="0.25">
      <c r="B2268" s="89">
        <v>2264</v>
      </c>
      <c r="C2268" s="39">
        <f t="shared" si="71"/>
        <v>157992929.59999999</v>
      </c>
      <c r="D2268" s="39">
        <f t="shared" si="70"/>
        <v>74773128</v>
      </c>
    </row>
    <row r="2269" spans="2:4" x14ac:dyDescent="0.25">
      <c r="B2269" s="89">
        <v>2265</v>
      </c>
      <c r="C2269" s="39">
        <f t="shared" si="71"/>
        <v>157992929.59999999</v>
      </c>
      <c r="D2269" s="39">
        <f t="shared" si="70"/>
        <v>74806155</v>
      </c>
    </row>
    <row r="2270" spans="2:4" x14ac:dyDescent="0.25">
      <c r="B2270" s="89">
        <v>2266</v>
      </c>
      <c r="C2270" s="39">
        <f t="shared" si="71"/>
        <v>157992929.59999999</v>
      </c>
      <c r="D2270" s="39">
        <f t="shared" si="70"/>
        <v>74839182</v>
      </c>
    </row>
    <row r="2271" spans="2:4" x14ac:dyDescent="0.25">
      <c r="B2271" s="89">
        <v>2267</v>
      </c>
      <c r="C2271" s="39">
        <f t="shared" si="71"/>
        <v>157992929.59999999</v>
      </c>
      <c r="D2271" s="39">
        <f t="shared" si="70"/>
        <v>74872209</v>
      </c>
    </row>
    <row r="2272" spans="2:4" x14ac:dyDescent="0.25">
      <c r="B2272" s="89">
        <v>2268</v>
      </c>
      <c r="C2272" s="39">
        <f t="shared" si="71"/>
        <v>157992929.59999999</v>
      </c>
      <c r="D2272" s="39">
        <f t="shared" si="70"/>
        <v>74905236</v>
      </c>
    </row>
    <row r="2273" spans="2:4" x14ac:dyDescent="0.25">
      <c r="B2273" s="89">
        <v>2269</v>
      </c>
      <c r="C2273" s="39">
        <f t="shared" si="71"/>
        <v>157992929.59999999</v>
      </c>
      <c r="D2273" s="39">
        <f t="shared" si="70"/>
        <v>74938263</v>
      </c>
    </row>
    <row r="2274" spans="2:4" x14ac:dyDescent="0.25">
      <c r="B2274" s="89">
        <v>2270</v>
      </c>
      <c r="C2274" s="39">
        <f t="shared" si="71"/>
        <v>157992929.59999999</v>
      </c>
      <c r="D2274" s="39">
        <f t="shared" si="70"/>
        <v>74971290</v>
      </c>
    </row>
    <row r="2275" spans="2:4" x14ac:dyDescent="0.25">
      <c r="B2275" s="89">
        <v>2271</v>
      </c>
      <c r="C2275" s="39">
        <f t="shared" si="71"/>
        <v>157992929.59999999</v>
      </c>
      <c r="D2275" s="39">
        <f t="shared" si="70"/>
        <v>75004317</v>
      </c>
    </row>
    <row r="2276" spans="2:4" x14ac:dyDescent="0.25">
      <c r="B2276" s="89">
        <v>2272</v>
      </c>
      <c r="C2276" s="39">
        <f t="shared" si="71"/>
        <v>157992929.59999999</v>
      </c>
      <c r="D2276" s="39">
        <f t="shared" si="70"/>
        <v>75037344</v>
      </c>
    </row>
    <row r="2277" spans="2:4" x14ac:dyDescent="0.25">
      <c r="B2277" s="89">
        <v>2273</v>
      </c>
      <c r="C2277" s="39">
        <f t="shared" si="71"/>
        <v>157992929.59999999</v>
      </c>
      <c r="D2277" s="39">
        <f t="shared" si="70"/>
        <v>75070371</v>
      </c>
    </row>
    <row r="2278" spans="2:4" x14ac:dyDescent="0.25">
      <c r="B2278" s="89">
        <v>2274</v>
      </c>
      <c r="C2278" s="39">
        <f t="shared" si="71"/>
        <v>157992929.59999999</v>
      </c>
      <c r="D2278" s="39">
        <f t="shared" si="70"/>
        <v>75103398</v>
      </c>
    </row>
    <row r="2279" spans="2:4" x14ac:dyDescent="0.25">
      <c r="B2279" s="89">
        <v>2275</v>
      </c>
      <c r="C2279" s="39">
        <f t="shared" si="71"/>
        <v>157992929.59999999</v>
      </c>
      <c r="D2279" s="39">
        <f t="shared" si="70"/>
        <v>75136425</v>
      </c>
    </row>
    <row r="2280" spans="2:4" x14ac:dyDescent="0.25">
      <c r="B2280" s="89">
        <v>2276</v>
      </c>
      <c r="C2280" s="39">
        <f t="shared" si="71"/>
        <v>157992929.59999999</v>
      </c>
      <c r="D2280" s="39">
        <f t="shared" si="70"/>
        <v>75169452</v>
      </c>
    </row>
    <row r="2281" spans="2:4" x14ac:dyDescent="0.25">
      <c r="B2281" s="89">
        <v>2277</v>
      </c>
      <c r="C2281" s="39">
        <f t="shared" si="71"/>
        <v>157992929.59999999</v>
      </c>
      <c r="D2281" s="39">
        <f t="shared" si="70"/>
        <v>75202479</v>
      </c>
    </row>
    <row r="2282" spans="2:4" x14ac:dyDescent="0.25">
      <c r="B2282" s="89">
        <v>2278</v>
      </c>
      <c r="C2282" s="39">
        <f t="shared" si="71"/>
        <v>157992929.59999999</v>
      </c>
      <c r="D2282" s="39">
        <f t="shared" si="70"/>
        <v>75235506</v>
      </c>
    </row>
    <row r="2283" spans="2:4" x14ac:dyDescent="0.25">
      <c r="B2283" s="89">
        <v>2279</v>
      </c>
      <c r="C2283" s="39">
        <f t="shared" si="71"/>
        <v>157992929.59999999</v>
      </c>
      <c r="D2283" s="39">
        <f t="shared" si="70"/>
        <v>75268533</v>
      </c>
    </row>
    <row r="2284" spans="2:4" x14ac:dyDescent="0.25">
      <c r="B2284" s="89">
        <v>2280</v>
      </c>
      <c r="C2284" s="39">
        <f t="shared" si="71"/>
        <v>157992929.59999999</v>
      </c>
      <c r="D2284" s="39">
        <f t="shared" si="70"/>
        <v>75301560</v>
      </c>
    </row>
    <row r="2285" spans="2:4" x14ac:dyDescent="0.25">
      <c r="B2285" s="89">
        <v>2281</v>
      </c>
      <c r="C2285" s="39">
        <f t="shared" si="71"/>
        <v>157992929.59999999</v>
      </c>
      <c r="D2285" s="39">
        <f t="shared" si="70"/>
        <v>75334587</v>
      </c>
    </row>
    <row r="2286" spans="2:4" x14ac:dyDescent="0.25">
      <c r="B2286" s="89">
        <v>2282</v>
      </c>
      <c r="C2286" s="39">
        <f t="shared" si="71"/>
        <v>157992929.59999999</v>
      </c>
      <c r="D2286" s="39">
        <f t="shared" si="70"/>
        <v>75367614</v>
      </c>
    </row>
    <row r="2287" spans="2:4" x14ac:dyDescent="0.25">
      <c r="B2287" s="89">
        <v>2283</v>
      </c>
      <c r="C2287" s="39">
        <f t="shared" si="71"/>
        <v>157992929.59999999</v>
      </c>
      <c r="D2287" s="39">
        <f t="shared" si="70"/>
        <v>75400641</v>
      </c>
    </row>
    <row r="2288" spans="2:4" x14ac:dyDescent="0.25">
      <c r="B2288" s="89">
        <v>2284</v>
      </c>
      <c r="C2288" s="39">
        <f t="shared" si="71"/>
        <v>157992929.59999999</v>
      </c>
      <c r="D2288" s="39">
        <f t="shared" si="70"/>
        <v>75433668</v>
      </c>
    </row>
    <row r="2289" spans="2:4" x14ac:dyDescent="0.25">
      <c r="B2289" s="89">
        <v>2285</v>
      </c>
      <c r="C2289" s="39">
        <f t="shared" si="71"/>
        <v>157992929.59999999</v>
      </c>
      <c r="D2289" s="39">
        <f t="shared" ref="D2289:D2352" si="72">$D$2*B2289</f>
        <v>75466695</v>
      </c>
    </row>
    <row r="2290" spans="2:4" x14ac:dyDescent="0.25">
      <c r="B2290" s="89">
        <v>2286</v>
      </c>
      <c r="C2290" s="39">
        <f t="shared" si="71"/>
        <v>157992929.59999999</v>
      </c>
      <c r="D2290" s="39">
        <f t="shared" si="72"/>
        <v>75499722</v>
      </c>
    </row>
    <row r="2291" spans="2:4" x14ac:dyDescent="0.25">
      <c r="B2291" s="89">
        <v>2287</v>
      </c>
      <c r="C2291" s="39">
        <f t="shared" si="71"/>
        <v>157992929.59999999</v>
      </c>
      <c r="D2291" s="39">
        <f t="shared" si="72"/>
        <v>75532749</v>
      </c>
    </row>
    <row r="2292" spans="2:4" x14ac:dyDescent="0.25">
      <c r="B2292" s="89">
        <v>2288</v>
      </c>
      <c r="C2292" s="39">
        <f t="shared" si="71"/>
        <v>157992929.59999999</v>
      </c>
      <c r="D2292" s="39">
        <f t="shared" si="72"/>
        <v>75565776</v>
      </c>
    </row>
    <row r="2293" spans="2:4" x14ac:dyDescent="0.25">
      <c r="B2293" s="89">
        <v>2289</v>
      </c>
      <c r="C2293" s="39">
        <f t="shared" si="71"/>
        <v>157992929.59999999</v>
      </c>
      <c r="D2293" s="39">
        <f t="shared" si="72"/>
        <v>75598803</v>
      </c>
    </row>
    <row r="2294" spans="2:4" x14ac:dyDescent="0.25">
      <c r="B2294" s="89">
        <v>2290</v>
      </c>
      <c r="C2294" s="39">
        <f t="shared" si="71"/>
        <v>157992929.59999999</v>
      </c>
      <c r="D2294" s="39">
        <f t="shared" si="72"/>
        <v>75631830</v>
      </c>
    </row>
    <row r="2295" spans="2:4" x14ac:dyDescent="0.25">
      <c r="B2295" s="89">
        <v>2291</v>
      </c>
      <c r="C2295" s="39">
        <f t="shared" si="71"/>
        <v>157992929.59999999</v>
      </c>
      <c r="D2295" s="39">
        <f t="shared" si="72"/>
        <v>75664857</v>
      </c>
    </row>
    <row r="2296" spans="2:4" x14ac:dyDescent="0.25">
      <c r="B2296" s="89">
        <v>2292</v>
      </c>
      <c r="C2296" s="39">
        <f t="shared" si="71"/>
        <v>157992929.59999999</v>
      </c>
      <c r="D2296" s="39">
        <f t="shared" si="72"/>
        <v>75697884</v>
      </c>
    </row>
    <row r="2297" spans="2:4" x14ac:dyDescent="0.25">
      <c r="B2297" s="89">
        <v>2293</v>
      </c>
      <c r="C2297" s="39">
        <f t="shared" si="71"/>
        <v>157992929.59999999</v>
      </c>
      <c r="D2297" s="39">
        <f t="shared" si="72"/>
        <v>75730911</v>
      </c>
    </row>
    <row r="2298" spans="2:4" x14ac:dyDescent="0.25">
      <c r="B2298" s="89">
        <v>2294</v>
      </c>
      <c r="C2298" s="39">
        <f t="shared" si="71"/>
        <v>157992929.59999999</v>
      </c>
      <c r="D2298" s="39">
        <f t="shared" si="72"/>
        <v>75763938</v>
      </c>
    </row>
    <row r="2299" spans="2:4" x14ac:dyDescent="0.25">
      <c r="B2299" s="89">
        <v>2295</v>
      </c>
      <c r="C2299" s="39">
        <f t="shared" si="71"/>
        <v>157992929.59999999</v>
      </c>
      <c r="D2299" s="39">
        <f t="shared" si="72"/>
        <v>75796965</v>
      </c>
    </row>
    <row r="2300" spans="2:4" x14ac:dyDescent="0.25">
      <c r="B2300" s="89">
        <v>2296</v>
      </c>
      <c r="C2300" s="39">
        <f t="shared" si="71"/>
        <v>157992929.59999999</v>
      </c>
      <c r="D2300" s="39">
        <f t="shared" si="72"/>
        <v>75829992</v>
      </c>
    </row>
    <row r="2301" spans="2:4" x14ac:dyDescent="0.25">
      <c r="B2301" s="89">
        <v>2297</v>
      </c>
      <c r="C2301" s="39">
        <f t="shared" si="71"/>
        <v>157992929.59999999</v>
      </c>
      <c r="D2301" s="39">
        <f t="shared" si="72"/>
        <v>75863019</v>
      </c>
    </row>
    <row r="2302" spans="2:4" x14ac:dyDescent="0.25">
      <c r="B2302" s="89">
        <v>2298</v>
      </c>
      <c r="C2302" s="39">
        <f t="shared" si="71"/>
        <v>157992929.59999999</v>
      </c>
      <c r="D2302" s="39">
        <f t="shared" si="72"/>
        <v>75896046</v>
      </c>
    </row>
    <row r="2303" spans="2:4" x14ac:dyDescent="0.25">
      <c r="B2303" s="89">
        <v>2299</v>
      </c>
      <c r="C2303" s="39">
        <f t="shared" si="71"/>
        <v>157992929.59999999</v>
      </c>
      <c r="D2303" s="39">
        <f t="shared" si="72"/>
        <v>75929073</v>
      </c>
    </row>
    <row r="2304" spans="2:4" x14ac:dyDescent="0.25">
      <c r="B2304" s="89">
        <v>2300</v>
      </c>
      <c r="C2304" s="39">
        <f t="shared" si="71"/>
        <v>157992929.59999999</v>
      </c>
      <c r="D2304" s="39">
        <f t="shared" si="72"/>
        <v>75962100</v>
      </c>
    </row>
    <row r="2305" spans="2:4" x14ac:dyDescent="0.25">
      <c r="B2305" s="89">
        <v>2301</v>
      </c>
      <c r="C2305" s="39">
        <f t="shared" si="71"/>
        <v>157992929.59999999</v>
      </c>
      <c r="D2305" s="39">
        <f t="shared" si="72"/>
        <v>75995127</v>
      </c>
    </row>
    <row r="2306" spans="2:4" x14ac:dyDescent="0.25">
      <c r="B2306" s="89">
        <v>2302</v>
      </c>
      <c r="C2306" s="39">
        <f t="shared" si="71"/>
        <v>157992929.59999999</v>
      </c>
      <c r="D2306" s="39">
        <f t="shared" si="72"/>
        <v>76028154</v>
      </c>
    </row>
    <row r="2307" spans="2:4" x14ac:dyDescent="0.25">
      <c r="B2307" s="89">
        <v>2303</v>
      </c>
      <c r="C2307" s="39">
        <f t="shared" si="71"/>
        <v>157992929.59999999</v>
      </c>
      <c r="D2307" s="39">
        <f t="shared" si="72"/>
        <v>76061181</v>
      </c>
    </row>
    <row r="2308" spans="2:4" x14ac:dyDescent="0.25">
      <c r="B2308" s="89">
        <v>2304</v>
      </c>
      <c r="C2308" s="39">
        <f t="shared" si="71"/>
        <v>157992929.59999999</v>
      </c>
      <c r="D2308" s="39">
        <f t="shared" si="72"/>
        <v>76094208</v>
      </c>
    </row>
    <row r="2309" spans="2:4" x14ac:dyDescent="0.25">
      <c r="B2309" s="89">
        <v>2305</v>
      </c>
      <c r="C2309" s="39">
        <f t="shared" si="71"/>
        <v>157992929.59999999</v>
      </c>
      <c r="D2309" s="39">
        <f t="shared" si="72"/>
        <v>76127235</v>
      </c>
    </row>
    <row r="2310" spans="2:4" x14ac:dyDescent="0.25">
      <c r="B2310" s="89">
        <v>2306</v>
      </c>
      <c r="C2310" s="39">
        <f t="shared" ref="C2310:C2373" si="73">$C2309</f>
        <v>157992929.59999999</v>
      </c>
      <c r="D2310" s="39">
        <f t="shared" si="72"/>
        <v>76160262</v>
      </c>
    </row>
    <row r="2311" spans="2:4" x14ac:dyDescent="0.25">
      <c r="B2311" s="89">
        <v>2307</v>
      </c>
      <c r="C2311" s="39">
        <f t="shared" si="73"/>
        <v>157992929.59999999</v>
      </c>
      <c r="D2311" s="39">
        <f t="shared" si="72"/>
        <v>76193289</v>
      </c>
    </row>
    <row r="2312" spans="2:4" x14ac:dyDescent="0.25">
      <c r="B2312" s="89">
        <v>2308</v>
      </c>
      <c r="C2312" s="39">
        <f t="shared" si="73"/>
        <v>157992929.59999999</v>
      </c>
      <c r="D2312" s="39">
        <f t="shared" si="72"/>
        <v>76226316</v>
      </c>
    </row>
    <row r="2313" spans="2:4" x14ac:dyDescent="0.25">
      <c r="B2313" s="89">
        <v>2309</v>
      </c>
      <c r="C2313" s="39">
        <f t="shared" si="73"/>
        <v>157992929.59999999</v>
      </c>
      <c r="D2313" s="39">
        <f t="shared" si="72"/>
        <v>76259343</v>
      </c>
    </row>
    <row r="2314" spans="2:4" x14ac:dyDescent="0.25">
      <c r="B2314" s="89">
        <v>2310</v>
      </c>
      <c r="C2314" s="39">
        <f t="shared" si="73"/>
        <v>157992929.59999999</v>
      </c>
      <c r="D2314" s="39">
        <f t="shared" si="72"/>
        <v>76292370</v>
      </c>
    </row>
    <row r="2315" spans="2:4" x14ac:dyDescent="0.25">
      <c r="B2315" s="89">
        <v>2311</v>
      </c>
      <c r="C2315" s="39">
        <f t="shared" si="73"/>
        <v>157992929.59999999</v>
      </c>
      <c r="D2315" s="39">
        <f t="shared" si="72"/>
        <v>76325397</v>
      </c>
    </row>
    <row r="2316" spans="2:4" x14ac:dyDescent="0.25">
      <c r="B2316" s="89">
        <v>2312</v>
      </c>
      <c r="C2316" s="39">
        <f t="shared" si="73"/>
        <v>157992929.59999999</v>
      </c>
      <c r="D2316" s="39">
        <f t="shared" si="72"/>
        <v>76358424</v>
      </c>
    </row>
    <row r="2317" spans="2:4" x14ac:dyDescent="0.25">
      <c r="B2317" s="89">
        <v>2313</v>
      </c>
      <c r="C2317" s="39">
        <f t="shared" si="73"/>
        <v>157992929.59999999</v>
      </c>
      <c r="D2317" s="39">
        <f t="shared" si="72"/>
        <v>76391451</v>
      </c>
    </row>
    <row r="2318" spans="2:4" x14ac:dyDescent="0.25">
      <c r="B2318" s="89">
        <v>2314</v>
      </c>
      <c r="C2318" s="39">
        <f t="shared" si="73"/>
        <v>157992929.59999999</v>
      </c>
      <c r="D2318" s="39">
        <f t="shared" si="72"/>
        <v>76424478</v>
      </c>
    </row>
    <row r="2319" spans="2:4" x14ac:dyDescent="0.25">
      <c r="B2319" s="89">
        <v>2315</v>
      </c>
      <c r="C2319" s="39">
        <f t="shared" si="73"/>
        <v>157992929.59999999</v>
      </c>
      <c r="D2319" s="39">
        <f t="shared" si="72"/>
        <v>76457505</v>
      </c>
    </row>
    <row r="2320" spans="2:4" x14ac:dyDescent="0.25">
      <c r="B2320" s="89">
        <v>2316</v>
      </c>
      <c r="C2320" s="39">
        <f t="shared" si="73"/>
        <v>157992929.59999999</v>
      </c>
      <c r="D2320" s="39">
        <f t="shared" si="72"/>
        <v>76490532</v>
      </c>
    </row>
    <row r="2321" spans="2:4" x14ac:dyDescent="0.25">
      <c r="B2321" s="89">
        <v>2317</v>
      </c>
      <c r="C2321" s="39">
        <f t="shared" si="73"/>
        <v>157992929.59999999</v>
      </c>
      <c r="D2321" s="39">
        <f t="shared" si="72"/>
        <v>76523559</v>
      </c>
    </row>
    <row r="2322" spans="2:4" x14ac:dyDescent="0.25">
      <c r="B2322" s="89">
        <v>2318</v>
      </c>
      <c r="C2322" s="39">
        <f t="shared" si="73"/>
        <v>157992929.59999999</v>
      </c>
      <c r="D2322" s="39">
        <f t="shared" si="72"/>
        <v>76556586</v>
      </c>
    </row>
    <row r="2323" spans="2:4" x14ac:dyDescent="0.25">
      <c r="B2323" s="89">
        <v>2319</v>
      </c>
      <c r="C2323" s="39">
        <f t="shared" si="73"/>
        <v>157992929.59999999</v>
      </c>
      <c r="D2323" s="39">
        <f t="shared" si="72"/>
        <v>76589613</v>
      </c>
    </row>
    <row r="2324" spans="2:4" x14ac:dyDescent="0.25">
      <c r="B2324" s="89">
        <v>2320</v>
      </c>
      <c r="C2324" s="39">
        <f t="shared" si="73"/>
        <v>157992929.59999999</v>
      </c>
      <c r="D2324" s="39">
        <f t="shared" si="72"/>
        <v>76622640</v>
      </c>
    </row>
    <row r="2325" spans="2:4" x14ac:dyDescent="0.25">
      <c r="B2325" s="89">
        <v>2321</v>
      </c>
      <c r="C2325" s="39">
        <f t="shared" si="73"/>
        <v>157992929.59999999</v>
      </c>
      <c r="D2325" s="39">
        <f t="shared" si="72"/>
        <v>76655667</v>
      </c>
    </row>
    <row r="2326" spans="2:4" x14ac:dyDescent="0.25">
      <c r="B2326" s="89">
        <v>2322</v>
      </c>
      <c r="C2326" s="39">
        <f t="shared" si="73"/>
        <v>157992929.59999999</v>
      </c>
      <c r="D2326" s="39">
        <f t="shared" si="72"/>
        <v>76688694</v>
      </c>
    </row>
    <row r="2327" spans="2:4" x14ac:dyDescent="0.25">
      <c r="B2327" s="89">
        <v>2323</v>
      </c>
      <c r="C2327" s="39">
        <f t="shared" si="73"/>
        <v>157992929.59999999</v>
      </c>
      <c r="D2327" s="39">
        <f t="shared" si="72"/>
        <v>76721721</v>
      </c>
    </row>
    <row r="2328" spans="2:4" x14ac:dyDescent="0.25">
      <c r="B2328" s="89">
        <v>2324</v>
      </c>
      <c r="C2328" s="39">
        <f t="shared" si="73"/>
        <v>157992929.59999999</v>
      </c>
      <c r="D2328" s="39">
        <f t="shared" si="72"/>
        <v>76754748</v>
      </c>
    </row>
    <row r="2329" spans="2:4" x14ac:dyDescent="0.25">
      <c r="B2329" s="89">
        <v>2325</v>
      </c>
      <c r="C2329" s="39">
        <f t="shared" si="73"/>
        <v>157992929.59999999</v>
      </c>
      <c r="D2329" s="39">
        <f t="shared" si="72"/>
        <v>76787775</v>
      </c>
    </row>
    <row r="2330" spans="2:4" x14ac:dyDescent="0.25">
      <c r="B2330" s="89">
        <v>2326</v>
      </c>
      <c r="C2330" s="39">
        <f t="shared" si="73"/>
        <v>157992929.59999999</v>
      </c>
      <c r="D2330" s="39">
        <f t="shared" si="72"/>
        <v>76820802</v>
      </c>
    </row>
    <row r="2331" spans="2:4" x14ac:dyDescent="0.25">
      <c r="B2331" s="89">
        <v>2327</v>
      </c>
      <c r="C2331" s="39">
        <f t="shared" si="73"/>
        <v>157992929.59999999</v>
      </c>
      <c r="D2331" s="39">
        <f t="shared" si="72"/>
        <v>76853829</v>
      </c>
    </row>
    <row r="2332" spans="2:4" x14ac:dyDescent="0.25">
      <c r="B2332" s="89">
        <v>2328</v>
      </c>
      <c r="C2332" s="39">
        <f t="shared" si="73"/>
        <v>157992929.59999999</v>
      </c>
      <c r="D2332" s="39">
        <f t="shared" si="72"/>
        <v>76886856</v>
      </c>
    </row>
    <row r="2333" spans="2:4" x14ac:dyDescent="0.25">
      <c r="B2333" s="89">
        <v>2329</v>
      </c>
      <c r="C2333" s="39">
        <f t="shared" si="73"/>
        <v>157992929.59999999</v>
      </c>
      <c r="D2333" s="39">
        <f t="shared" si="72"/>
        <v>76919883</v>
      </c>
    </row>
    <row r="2334" spans="2:4" x14ac:dyDescent="0.25">
      <c r="B2334" s="89">
        <v>2330</v>
      </c>
      <c r="C2334" s="39">
        <f t="shared" si="73"/>
        <v>157992929.59999999</v>
      </c>
      <c r="D2334" s="39">
        <f t="shared" si="72"/>
        <v>76952910</v>
      </c>
    </row>
    <row r="2335" spans="2:4" x14ac:dyDescent="0.25">
      <c r="B2335" s="89">
        <v>2331</v>
      </c>
      <c r="C2335" s="39">
        <f t="shared" si="73"/>
        <v>157992929.59999999</v>
      </c>
      <c r="D2335" s="39">
        <f t="shared" si="72"/>
        <v>76985937</v>
      </c>
    </row>
    <row r="2336" spans="2:4" x14ac:dyDescent="0.25">
      <c r="B2336" s="89">
        <v>2332</v>
      </c>
      <c r="C2336" s="39">
        <f t="shared" si="73"/>
        <v>157992929.59999999</v>
      </c>
      <c r="D2336" s="39">
        <f t="shared" si="72"/>
        <v>77018964</v>
      </c>
    </row>
    <row r="2337" spans="2:4" x14ac:dyDescent="0.25">
      <c r="B2337" s="89">
        <v>2333</v>
      </c>
      <c r="C2337" s="39">
        <f t="shared" si="73"/>
        <v>157992929.59999999</v>
      </c>
      <c r="D2337" s="39">
        <f t="shared" si="72"/>
        <v>77051991</v>
      </c>
    </row>
    <row r="2338" spans="2:4" x14ac:dyDescent="0.25">
      <c r="B2338" s="89">
        <v>2334</v>
      </c>
      <c r="C2338" s="39">
        <f t="shared" si="73"/>
        <v>157992929.59999999</v>
      </c>
      <c r="D2338" s="39">
        <f t="shared" si="72"/>
        <v>77085018</v>
      </c>
    </row>
    <row r="2339" spans="2:4" x14ac:dyDescent="0.25">
      <c r="B2339" s="89">
        <v>2335</v>
      </c>
      <c r="C2339" s="39">
        <f t="shared" si="73"/>
        <v>157992929.59999999</v>
      </c>
      <c r="D2339" s="39">
        <f t="shared" si="72"/>
        <v>77118045</v>
      </c>
    </row>
    <row r="2340" spans="2:4" x14ac:dyDescent="0.25">
      <c r="B2340" s="89">
        <v>2336</v>
      </c>
      <c r="C2340" s="39">
        <f t="shared" si="73"/>
        <v>157992929.59999999</v>
      </c>
      <c r="D2340" s="39">
        <f t="shared" si="72"/>
        <v>77151072</v>
      </c>
    </row>
    <row r="2341" spans="2:4" x14ac:dyDescent="0.25">
      <c r="B2341" s="89">
        <v>2337</v>
      </c>
      <c r="C2341" s="39">
        <f t="shared" si="73"/>
        <v>157992929.59999999</v>
      </c>
      <c r="D2341" s="39">
        <f t="shared" si="72"/>
        <v>77184099</v>
      </c>
    </row>
    <row r="2342" spans="2:4" x14ac:dyDescent="0.25">
      <c r="B2342" s="89">
        <v>2338</v>
      </c>
      <c r="C2342" s="39">
        <f t="shared" si="73"/>
        <v>157992929.59999999</v>
      </c>
      <c r="D2342" s="39">
        <f t="shared" si="72"/>
        <v>77217126</v>
      </c>
    </row>
    <row r="2343" spans="2:4" x14ac:dyDescent="0.25">
      <c r="B2343" s="89">
        <v>2339</v>
      </c>
      <c r="C2343" s="39">
        <f t="shared" si="73"/>
        <v>157992929.59999999</v>
      </c>
      <c r="D2343" s="39">
        <f t="shared" si="72"/>
        <v>77250153</v>
      </c>
    </row>
    <row r="2344" spans="2:4" x14ac:dyDescent="0.25">
      <c r="B2344" s="89">
        <v>2340</v>
      </c>
      <c r="C2344" s="39">
        <f t="shared" si="73"/>
        <v>157992929.59999999</v>
      </c>
      <c r="D2344" s="39">
        <f t="shared" si="72"/>
        <v>77283180</v>
      </c>
    </row>
    <row r="2345" spans="2:4" x14ac:dyDescent="0.25">
      <c r="B2345" s="89">
        <v>2341</v>
      </c>
      <c r="C2345" s="39">
        <f t="shared" si="73"/>
        <v>157992929.59999999</v>
      </c>
      <c r="D2345" s="39">
        <f t="shared" si="72"/>
        <v>77316207</v>
      </c>
    </row>
    <row r="2346" spans="2:4" x14ac:dyDescent="0.25">
      <c r="B2346" s="89">
        <v>2342</v>
      </c>
      <c r="C2346" s="39">
        <f t="shared" si="73"/>
        <v>157992929.59999999</v>
      </c>
      <c r="D2346" s="39">
        <f t="shared" si="72"/>
        <v>77349234</v>
      </c>
    </row>
    <row r="2347" spans="2:4" x14ac:dyDescent="0.25">
      <c r="B2347" s="89">
        <v>2343</v>
      </c>
      <c r="C2347" s="39">
        <f t="shared" si="73"/>
        <v>157992929.59999999</v>
      </c>
      <c r="D2347" s="39">
        <f t="shared" si="72"/>
        <v>77382261</v>
      </c>
    </row>
    <row r="2348" spans="2:4" x14ac:dyDescent="0.25">
      <c r="B2348" s="89">
        <v>2344</v>
      </c>
      <c r="C2348" s="39">
        <f t="shared" si="73"/>
        <v>157992929.59999999</v>
      </c>
      <c r="D2348" s="39">
        <f t="shared" si="72"/>
        <v>77415288</v>
      </c>
    </row>
    <row r="2349" spans="2:4" x14ac:dyDescent="0.25">
      <c r="B2349" s="89">
        <v>2345</v>
      </c>
      <c r="C2349" s="39">
        <f t="shared" si="73"/>
        <v>157992929.59999999</v>
      </c>
      <c r="D2349" s="39">
        <f t="shared" si="72"/>
        <v>77448315</v>
      </c>
    </row>
    <row r="2350" spans="2:4" x14ac:dyDescent="0.25">
      <c r="B2350" s="89">
        <v>2346</v>
      </c>
      <c r="C2350" s="39">
        <f t="shared" si="73"/>
        <v>157992929.59999999</v>
      </c>
      <c r="D2350" s="39">
        <f t="shared" si="72"/>
        <v>77481342</v>
      </c>
    </row>
    <row r="2351" spans="2:4" x14ac:dyDescent="0.25">
      <c r="B2351" s="89">
        <v>2347</v>
      </c>
      <c r="C2351" s="39">
        <f t="shared" si="73"/>
        <v>157992929.59999999</v>
      </c>
      <c r="D2351" s="39">
        <f t="shared" si="72"/>
        <v>77514369</v>
      </c>
    </row>
    <row r="2352" spans="2:4" x14ac:dyDescent="0.25">
      <c r="B2352" s="89">
        <v>2348</v>
      </c>
      <c r="C2352" s="39">
        <f t="shared" si="73"/>
        <v>157992929.59999999</v>
      </c>
      <c r="D2352" s="39">
        <f t="shared" si="72"/>
        <v>77547396</v>
      </c>
    </row>
    <row r="2353" spans="2:4" x14ac:dyDescent="0.25">
      <c r="B2353" s="89">
        <v>2349</v>
      </c>
      <c r="C2353" s="39">
        <f t="shared" si="73"/>
        <v>157992929.59999999</v>
      </c>
      <c r="D2353" s="39">
        <f t="shared" ref="D2353:D2416" si="74">$D$2*B2353</f>
        <v>77580423</v>
      </c>
    </row>
    <row r="2354" spans="2:4" x14ac:dyDescent="0.25">
      <c r="B2354" s="89">
        <v>2350</v>
      </c>
      <c r="C2354" s="39">
        <f t="shared" si="73"/>
        <v>157992929.59999999</v>
      </c>
      <c r="D2354" s="39">
        <f t="shared" si="74"/>
        <v>77613450</v>
      </c>
    </row>
    <row r="2355" spans="2:4" x14ac:dyDescent="0.25">
      <c r="B2355" s="89">
        <v>2351</v>
      </c>
      <c r="C2355" s="39">
        <f t="shared" si="73"/>
        <v>157992929.59999999</v>
      </c>
      <c r="D2355" s="39">
        <f t="shared" si="74"/>
        <v>77646477</v>
      </c>
    </row>
    <row r="2356" spans="2:4" x14ac:dyDescent="0.25">
      <c r="B2356" s="89">
        <v>2352</v>
      </c>
      <c r="C2356" s="39">
        <f t="shared" si="73"/>
        <v>157992929.59999999</v>
      </c>
      <c r="D2356" s="39">
        <f t="shared" si="74"/>
        <v>77679504</v>
      </c>
    </row>
    <row r="2357" spans="2:4" x14ac:dyDescent="0.25">
      <c r="B2357" s="89">
        <v>2353</v>
      </c>
      <c r="C2357" s="39">
        <f t="shared" si="73"/>
        <v>157992929.59999999</v>
      </c>
      <c r="D2357" s="39">
        <f t="shared" si="74"/>
        <v>77712531</v>
      </c>
    </row>
    <row r="2358" spans="2:4" x14ac:dyDescent="0.25">
      <c r="B2358" s="89">
        <v>2354</v>
      </c>
      <c r="C2358" s="39">
        <f t="shared" si="73"/>
        <v>157992929.59999999</v>
      </c>
      <c r="D2358" s="39">
        <f t="shared" si="74"/>
        <v>77745558</v>
      </c>
    </row>
    <row r="2359" spans="2:4" x14ac:dyDescent="0.25">
      <c r="B2359" s="89">
        <v>2355</v>
      </c>
      <c r="C2359" s="39">
        <f t="shared" si="73"/>
        <v>157992929.59999999</v>
      </c>
      <c r="D2359" s="39">
        <f t="shared" si="74"/>
        <v>77778585</v>
      </c>
    </row>
    <row r="2360" spans="2:4" x14ac:dyDescent="0.25">
      <c r="B2360" s="89">
        <v>2356</v>
      </c>
      <c r="C2360" s="39">
        <f t="shared" si="73"/>
        <v>157992929.59999999</v>
      </c>
      <c r="D2360" s="39">
        <f t="shared" si="74"/>
        <v>77811612</v>
      </c>
    </row>
    <row r="2361" spans="2:4" x14ac:dyDescent="0.25">
      <c r="B2361" s="89">
        <v>2357</v>
      </c>
      <c r="C2361" s="39">
        <f t="shared" si="73"/>
        <v>157992929.59999999</v>
      </c>
      <c r="D2361" s="39">
        <f t="shared" si="74"/>
        <v>77844639</v>
      </c>
    </row>
    <row r="2362" spans="2:4" x14ac:dyDescent="0.25">
      <c r="B2362" s="89">
        <v>2358</v>
      </c>
      <c r="C2362" s="39">
        <f t="shared" si="73"/>
        <v>157992929.59999999</v>
      </c>
      <c r="D2362" s="39">
        <f t="shared" si="74"/>
        <v>77877666</v>
      </c>
    </row>
    <row r="2363" spans="2:4" x14ac:dyDescent="0.25">
      <c r="B2363" s="89">
        <v>2359</v>
      </c>
      <c r="C2363" s="39">
        <f t="shared" si="73"/>
        <v>157992929.59999999</v>
      </c>
      <c r="D2363" s="39">
        <f t="shared" si="74"/>
        <v>77910693</v>
      </c>
    </row>
    <row r="2364" spans="2:4" x14ac:dyDescent="0.25">
      <c r="B2364" s="89">
        <v>2360</v>
      </c>
      <c r="C2364" s="39">
        <f t="shared" si="73"/>
        <v>157992929.59999999</v>
      </c>
      <c r="D2364" s="39">
        <f t="shared" si="74"/>
        <v>77943720</v>
      </c>
    </row>
    <row r="2365" spans="2:4" x14ac:dyDescent="0.25">
      <c r="B2365" s="89">
        <v>2361</v>
      </c>
      <c r="C2365" s="39">
        <f t="shared" si="73"/>
        <v>157992929.59999999</v>
      </c>
      <c r="D2365" s="39">
        <f t="shared" si="74"/>
        <v>77976747</v>
      </c>
    </row>
    <row r="2366" spans="2:4" x14ac:dyDescent="0.25">
      <c r="B2366" s="89">
        <v>2362</v>
      </c>
      <c r="C2366" s="39">
        <f t="shared" si="73"/>
        <v>157992929.59999999</v>
      </c>
      <c r="D2366" s="39">
        <f t="shared" si="74"/>
        <v>78009774</v>
      </c>
    </row>
    <row r="2367" spans="2:4" x14ac:dyDescent="0.25">
      <c r="B2367" s="89">
        <v>2363</v>
      </c>
      <c r="C2367" s="39">
        <f t="shared" si="73"/>
        <v>157992929.59999999</v>
      </c>
      <c r="D2367" s="39">
        <f t="shared" si="74"/>
        <v>78042801</v>
      </c>
    </row>
    <row r="2368" spans="2:4" x14ac:dyDescent="0.25">
      <c r="B2368" s="89">
        <v>2364</v>
      </c>
      <c r="C2368" s="39">
        <f t="shared" si="73"/>
        <v>157992929.59999999</v>
      </c>
      <c r="D2368" s="39">
        <f t="shared" si="74"/>
        <v>78075828</v>
      </c>
    </row>
    <row r="2369" spans="2:4" x14ac:dyDescent="0.25">
      <c r="B2369" s="89">
        <v>2365</v>
      </c>
      <c r="C2369" s="39">
        <f t="shared" si="73"/>
        <v>157992929.59999999</v>
      </c>
      <c r="D2369" s="39">
        <f t="shared" si="74"/>
        <v>78108855</v>
      </c>
    </row>
    <row r="2370" spans="2:4" x14ac:dyDescent="0.25">
      <c r="B2370" s="89">
        <v>2366</v>
      </c>
      <c r="C2370" s="39">
        <f t="shared" si="73"/>
        <v>157992929.59999999</v>
      </c>
      <c r="D2370" s="39">
        <f t="shared" si="74"/>
        <v>78141882</v>
      </c>
    </row>
    <row r="2371" spans="2:4" x14ac:dyDescent="0.25">
      <c r="B2371" s="89">
        <v>2367</v>
      </c>
      <c r="C2371" s="39">
        <f t="shared" si="73"/>
        <v>157992929.59999999</v>
      </c>
      <c r="D2371" s="39">
        <f t="shared" si="74"/>
        <v>78174909</v>
      </c>
    </row>
    <row r="2372" spans="2:4" x14ac:dyDescent="0.25">
      <c r="B2372" s="89">
        <v>2368</v>
      </c>
      <c r="C2372" s="39">
        <f t="shared" si="73"/>
        <v>157992929.59999999</v>
      </c>
      <c r="D2372" s="39">
        <f t="shared" si="74"/>
        <v>78207936</v>
      </c>
    </row>
    <row r="2373" spans="2:4" x14ac:dyDescent="0.25">
      <c r="B2373" s="89">
        <v>2369</v>
      </c>
      <c r="C2373" s="39">
        <f t="shared" si="73"/>
        <v>157992929.59999999</v>
      </c>
      <c r="D2373" s="39">
        <f t="shared" si="74"/>
        <v>78240963</v>
      </c>
    </row>
    <row r="2374" spans="2:4" x14ac:dyDescent="0.25">
      <c r="B2374" s="89">
        <v>2370</v>
      </c>
      <c r="C2374" s="39">
        <f t="shared" ref="C2374:C2437" si="75">$C2373</f>
        <v>157992929.59999999</v>
      </c>
      <c r="D2374" s="39">
        <f t="shared" si="74"/>
        <v>78273990</v>
      </c>
    </row>
    <row r="2375" spans="2:4" x14ac:dyDescent="0.25">
      <c r="B2375" s="89">
        <v>2371</v>
      </c>
      <c r="C2375" s="39">
        <f t="shared" si="75"/>
        <v>157992929.59999999</v>
      </c>
      <c r="D2375" s="39">
        <f t="shared" si="74"/>
        <v>78307017</v>
      </c>
    </row>
    <row r="2376" spans="2:4" x14ac:dyDescent="0.25">
      <c r="B2376" s="89">
        <v>2372</v>
      </c>
      <c r="C2376" s="39">
        <f t="shared" si="75"/>
        <v>157992929.59999999</v>
      </c>
      <c r="D2376" s="39">
        <f t="shared" si="74"/>
        <v>78340044</v>
      </c>
    </row>
    <row r="2377" spans="2:4" x14ac:dyDescent="0.25">
      <c r="B2377" s="89">
        <v>2373</v>
      </c>
      <c r="C2377" s="39">
        <f t="shared" si="75"/>
        <v>157992929.59999999</v>
      </c>
      <c r="D2377" s="39">
        <f t="shared" si="74"/>
        <v>78373071</v>
      </c>
    </row>
    <row r="2378" spans="2:4" x14ac:dyDescent="0.25">
      <c r="B2378" s="89">
        <v>2374</v>
      </c>
      <c r="C2378" s="39">
        <f t="shared" si="75"/>
        <v>157992929.59999999</v>
      </c>
      <c r="D2378" s="39">
        <f t="shared" si="74"/>
        <v>78406098</v>
      </c>
    </row>
    <row r="2379" spans="2:4" x14ac:dyDescent="0.25">
      <c r="B2379" s="89">
        <v>2375</v>
      </c>
      <c r="C2379" s="39">
        <f t="shared" si="75"/>
        <v>157992929.59999999</v>
      </c>
      <c r="D2379" s="39">
        <f t="shared" si="74"/>
        <v>78439125</v>
      </c>
    </row>
    <row r="2380" spans="2:4" x14ac:dyDescent="0.25">
      <c r="B2380" s="89">
        <v>2376</v>
      </c>
      <c r="C2380" s="39">
        <f t="shared" si="75"/>
        <v>157992929.59999999</v>
      </c>
      <c r="D2380" s="39">
        <f t="shared" si="74"/>
        <v>78472152</v>
      </c>
    </row>
    <row r="2381" spans="2:4" x14ac:dyDescent="0.25">
      <c r="B2381" s="89">
        <v>2377</v>
      </c>
      <c r="C2381" s="39">
        <f t="shared" si="75"/>
        <v>157992929.59999999</v>
      </c>
      <c r="D2381" s="39">
        <f t="shared" si="74"/>
        <v>78505179</v>
      </c>
    </row>
    <row r="2382" spans="2:4" x14ac:dyDescent="0.25">
      <c r="B2382" s="89">
        <v>2378</v>
      </c>
      <c r="C2382" s="39">
        <f t="shared" si="75"/>
        <v>157992929.59999999</v>
      </c>
      <c r="D2382" s="39">
        <f t="shared" si="74"/>
        <v>78538206</v>
      </c>
    </row>
    <row r="2383" spans="2:4" x14ac:dyDescent="0.25">
      <c r="B2383" s="89">
        <v>2379</v>
      </c>
      <c r="C2383" s="39">
        <f t="shared" si="75"/>
        <v>157992929.59999999</v>
      </c>
      <c r="D2383" s="39">
        <f t="shared" si="74"/>
        <v>78571233</v>
      </c>
    </row>
    <row r="2384" spans="2:4" x14ac:dyDescent="0.25">
      <c r="B2384" s="89">
        <v>2380</v>
      </c>
      <c r="C2384" s="39">
        <f t="shared" si="75"/>
        <v>157992929.59999999</v>
      </c>
      <c r="D2384" s="39">
        <f t="shared" si="74"/>
        <v>78604260</v>
      </c>
    </row>
    <row r="2385" spans="2:4" x14ac:dyDescent="0.25">
      <c r="B2385" s="89">
        <v>2381</v>
      </c>
      <c r="C2385" s="39">
        <f t="shared" si="75"/>
        <v>157992929.59999999</v>
      </c>
      <c r="D2385" s="39">
        <f t="shared" si="74"/>
        <v>78637287</v>
      </c>
    </row>
    <row r="2386" spans="2:4" x14ac:dyDescent="0.25">
      <c r="B2386" s="89">
        <v>2382</v>
      </c>
      <c r="C2386" s="39">
        <f t="shared" si="75"/>
        <v>157992929.59999999</v>
      </c>
      <c r="D2386" s="39">
        <f t="shared" si="74"/>
        <v>78670314</v>
      </c>
    </row>
    <row r="2387" spans="2:4" x14ac:dyDescent="0.25">
      <c r="B2387" s="89">
        <v>2383</v>
      </c>
      <c r="C2387" s="39">
        <f t="shared" si="75"/>
        <v>157992929.59999999</v>
      </c>
      <c r="D2387" s="39">
        <f t="shared" si="74"/>
        <v>78703341</v>
      </c>
    </row>
    <row r="2388" spans="2:4" x14ac:dyDescent="0.25">
      <c r="B2388" s="89">
        <v>2384</v>
      </c>
      <c r="C2388" s="39">
        <f t="shared" si="75"/>
        <v>157992929.59999999</v>
      </c>
      <c r="D2388" s="39">
        <f t="shared" si="74"/>
        <v>78736368</v>
      </c>
    </row>
    <row r="2389" spans="2:4" x14ac:dyDescent="0.25">
      <c r="B2389" s="89">
        <v>2385</v>
      </c>
      <c r="C2389" s="39">
        <f t="shared" si="75"/>
        <v>157992929.59999999</v>
      </c>
      <c r="D2389" s="39">
        <f t="shared" si="74"/>
        <v>78769395</v>
      </c>
    </row>
    <row r="2390" spans="2:4" x14ac:dyDescent="0.25">
      <c r="B2390" s="89">
        <v>2386</v>
      </c>
      <c r="C2390" s="39">
        <f t="shared" si="75"/>
        <v>157992929.59999999</v>
      </c>
      <c r="D2390" s="39">
        <f t="shared" si="74"/>
        <v>78802422</v>
      </c>
    </row>
    <row r="2391" spans="2:4" x14ac:dyDescent="0.25">
      <c r="B2391" s="89">
        <v>2387</v>
      </c>
      <c r="C2391" s="39">
        <f t="shared" si="75"/>
        <v>157992929.59999999</v>
      </c>
      <c r="D2391" s="39">
        <f t="shared" si="74"/>
        <v>78835449</v>
      </c>
    </row>
    <row r="2392" spans="2:4" x14ac:dyDescent="0.25">
      <c r="B2392" s="89">
        <v>2388</v>
      </c>
      <c r="C2392" s="39">
        <f t="shared" si="75"/>
        <v>157992929.59999999</v>
      </c>
      <c r="D2392" s="39">
        <f t="shared" si="74"/>
        <v>78868476</v>
      </c>
    </row>
    <row r="2393" spans="2:4" x14ac:dyDescent="0.25">
      <c r="B2393" s="89">
        <v>2389</v>
      </c>
      <c r="C2393" s="39">
        <f t="shared" si="75"/>
        <v>157992929.59999999</v>
      </c>
      <c r="D2393" s="39">
        <f t="shared" si="74"/>
        <v>78901503</v>
      </c>
    </row>
    <row r="2394" spans="2:4" x14ac:dyDescent="0.25">
      <c r="B2394" s="89">
        <v>2390</v>
      </c>
      <c r="C2394" s="39">
        <f t="shared" si="75"/>
        <v>157992929.59999999</v>
      </c>
      <c r="D2394" s="39">
        <f t="shared" si="74"/>
        <v>78934530</v>
      </c>
    </row>
    <row r="2395" spans="2:4" x14ac:dyDescent="0.25">
      <c r="B2395" s="89">
        <v>2391</v>
      </c>
      <c r="C2395" s="39">
        <f t="shared" si="75"/>
        <v>157992929.59999999</v>
      </c>
      <c r="D2395" s="39">
        <f t="shared" si="74"/>
        <v>78967557</v>
      </c>
    </row>
    <row r="2396" spans="2:4" x14ac:dyDescent="0.25">
      <c r="B2396" s="89">
        <v>2392</v>
      </c>
      <c r="C2396" s="39">
        <f t="shared" si="75"/>
        <v>157992929.59999999</v>
      </c>
      <c r="D2396" s="39">
        <f t="shared" si="74"/>
        <v>79000584</v>
      </c>
    </row>
    <row r="2397" spans="2:4" x14ac:dyDescent="0.25">
      <c r="B2397" s="89">
        <v>2393</v>
      </c>
      <c r="C2397" s="39">
        <f t="shared" si="75"/>
        <v>157992929.59999999</v>
      </c>
      <c r="D2397" s="39">
        <f t="shared" si="74"/>
        <v>79033611</v>
      </c>
    </row>
    <row r="2398" spans="2:4" x14ac:dyDescent="0.25">
      <c r="B2398" s="89">
        <v>2394</v>
      </c>
      <c r="C2398" s="39">
        <f t="shared" si="75"/>
        <v>157992929.59999999</v>
      </c>
      <c r="D2398" s="39">
        <f t="shared" si="74"/>
        <v>79066638</v>
      </c>
    </row>
    <row r="2399" spans="2:4" x14ac:dyDescent="0.25">
      <c r="B2399" s="89">
        <v>2395</v>
      </c>
      <c r="C2399" s="39">
        <f t="shared" si="75"/>
        <v>157992929.59999999</v>
      </c>
      <c r="D2399" s="39">
        <f t="shared" si="74"/>
        <v>79099665</v>
      </c>
    </row>
    <row r="2400" spans="2:4" x14ac:dyDescent="0.25">
      <c r="B2400" s="89">
        <v>2396</v>
      </c>
      <c r="C2400" s="39">
        <f t="shared" si="75"/>
        <v>157992929.59999999</v>
      </c>
      <c r="D2400" s="39">
        <f t="shared" si="74"/>
        <v>79132692</v>
      </c>
    </row>
    <row r="2401" spans="2:4" x14ac:dyDescent="0.25">
      <c r="B2401" s="89">
        <v>2397</v>
      </c>
      <c r="C2401" s="39">
        <f t="shared" si="75"/>
        <v>157992929.59999999</v>
      </c>
      <c r="D2401" s="39">
        <f t="shared" si="74"/>
        <v>79165719</v>
      </c>
    </row>
    <row r="2402" spans="2:4" x14ac:dyDescent="0.25">
      <c r="B2402" s="89">
        <v>2398</v>
      </c>
      <c r="C2402" s="39">
        <f t="shared" si="75"/>
        <v>157992929.59999999</v>
      </c>
      <c r="D2402" s="39">
        <f t="shared" si="74"/>
        <v>79198746</v>
      </c>
    </row>
    <row r="2403" spans="2:4" x14ac:dyDescent="0.25">
      <c r="B2403" s="89">
        <v>2399</v>
      </c>
      <c r="C2403" s="39">
        <f t="shared" si="75"/>
        <v>157992929.59999999</v>
      </c>
      <c r="D2403" s="39">
        <f t="shared" si="74"/>
        <v>79231773</v>
      </c>
    </row>
    <row r="2404" spans="2:4" x14ac:dyDescent="0.25">
      <c r="B2404" s="89">
        <v>2400</v>
      </c>
      <c r="C2404" s="39">
        <f t="shared" si="75"/>
        <v>157992929.59999999</v>
      </c>
      <c r="D2404" s="39">
        <f t="shared" si="74"/>
        <v>79264800</v>
      </c>
    </row>
    <row r="2405" spans="2:4" x14ac:dyDescent="0.25">
      <c r="B2405" s="89">
        <v>2401</v>
      </c>
      <c r="C2405" s="39">
        <f t="shared" si="75"/>
        <v>157992929.59999999</v>
      </c>
      <c r="D2405" s="39">
        <f t="shared" si="74"/>
        <v>79297827</v>
      </c>
    </row>
    <row r="2406" spans="2:4" x14ac:dyDescent="0.25">
      <c r="B2406" s="89">
        <v>2402</v>
      </c>
      <c r="C2406" s="39">
        <f t="shared" si="75"/>
        <v>157992929.59999999</v>
      </c>
      <c r="D2406" s="39">
        <f t="shared" si="74"/>
        <v>79330854</v>
      </c>
    </row>
    <row r="2407" spans="2:4" x14ac:dyDescent="0.25">
      <c r="B2407" s="89">
        <v>2403</v>
      </c>
      <c r="C2407" s="39">
        <f t="shared" si="75"/>
        <v>157992929.59999999</v>
      </c>
      <c r="D2407" s="39">
        <f t="shared" si="74"/>
        <v>79363881</v>
      </c>
    </row>
    <row r="2408" spans="2:4" x14ac:dyDescent="0.25">
      <c r="B2408" s="89">
        <v>2404</v>
      </c>
      <c r="C2408" s="39">
        <f t="shared" si="75"/>
        <v>157992929.59999999</v>
      </c>
      <c r="D2408" s="39">
        <f t="shared" si="74"/>
        <v>79396908</v>
      </c>
    </row>
    <row r="2409" spans="2:4" x14ac:dyDescent="0.25">
      <c r="B2409" s="89">
        <v>2405</v>
      </c>
      <c r="C2409" s="39">
        <f t="shared" si="75"/>
        <v>157992929.59999999</v>
      </c>
      <c r="D2409" s="39">
        <f t="shared" si="74"/>
        <v>79429935</v>
      </c>
    </row>
    <row r="2410" spans="2:4" x14ac:dyDescent="0.25">
      <c r="B2410" s="89">
        <v>2406</v>
      </c>
      <c r="C2410" s="39">
        <f t="shared" si="75"/>
        <v>157992929.59999999</v>
      </c>
      <c r="D2410" s="39">
        <f t="shared" si="74"/>
        <v>79462962</v>
      </c>
    </row>
    <row r="2411" spans="2:4" x14ac:dyDescent="0.25">
      <c r="B2411" s="89">
        <v>2407</v>
      </c>
      <c r="C2411" s="39">
        <f t="shared" si="75"/>
        <v>157992929.59999999</v>
      </c>
      <c r="D2411" s="39">
        <f t="shared" si="74"/>
        <v>79495989</v>
      </c>
    </row>
    <row r="2412" spans="2:4" x14ac:dyDescent="0.25">
      <c r="B2412" s="89">
        <v>2408</v>
      </c>
      <c r="C2412" s="39">
        <f t="shared" si="75"/>
        <v>157992929.59999999</v>
      </c>
      <c r="D2412" s="39">
        <f t="shared" si="74"/>
        <v>79529016</v>
      </c>
    </row>
    <row r="2413" spans="2:4" x14ac:dyDescent="0.25">
      <c r="B2413" s="89">
        <v>2409</v>
      </c>
      <c r="C2413" s="39">
        <f t="shared" si="75"/>
        <v>157992929.59999999</v>
      </c>
      <c r="D2413" s="39">
        <f t="shared" si="74"/>
        <v>79562043</v>
      </c>
    </row>
    <row r="2414" spans="2:4" x14ac:dyDescent="0.25">
      <c r="B2414" s="89">
        <v>2410</v>
      </c>
      <c r="C2414" s="39">
        <f t="shared" si="75"/>
        <v>157992929.59999999</v>
      </c>
      <c r="D2414" s="39">
        <f t="shared" si="74"/>
        <v>79595070</v>
      </c>
    </row>
    <row r="2415" spans="2:4" x14ac:dyDescent="0.25">
      <c r="B2415" s="89">
        <v>2411</v>
      </c>
      <c r="C2415" s="39">
        <f t="shared" si="75"/>
        <v>157992929.59999999</v>
      </c>
      <c r="D2415" s="39">
        <f t="shared" si="74"/>
        <v>79628097</v>
      </c>
    </row>
    <row r="2416" spans="2:4" x14ac:dyDescent="0.25">
      <c r="B2416" s="89">
        <v>2412</v>
      </c>
      <c r="C2416" s="39">
        <f t="shared" si="75"/>
        <v>157992929.59999999</v>
      </c>
      <c r="D2416" s="39">
        <f t="shared" si="74"/>
        <v>79661124</v>
      </c>
    </row>
    <row r="2417" spans="2:4" x14ac:dyDescent="0.25">
      <c r="B2417" s="89">
        <v>2413</v>
      </c>
      <c r="C2417" s="39">
        <f t="shared" si="75"/>
        <v>157992929.59999999</v>
      </c>
      <c r="D2417" s="39">
        <f t="shared" ref="D2417:D2480" si="76">$D$2*B2417</f>
        <v>79694151</v>
      </c>
    </row>
    <row r="2418" spans="2:4" x14ac:dyDescent="0.25">
      <c r="B2418" s="89">
        <v>2414</v>
      </c>
      <c r="C2418" s="39">
        <f t="shared" si="75"/>
        <v>157992929.59999999</v>
      </c>
      <c r="D2418" s="39">
        <f t="shared" si="76"/>
        <v>79727178</v>
      </c>
    </row>
    <row r="2419" spans="2:4" x14ac:dyDescent="0.25">
      <c r="B2419" s="89">
        <v>2415</v>
      </c>
      <c r="C2419" s="39">
        <f t="shared" si="75"/>
        <v>157992929.59999999</v>
      </c>
      <c r="D2419" s="39">
        <f t="shared" si="76"/>
        <v>79760205</v>
      </c>
    </row>
    <row r="2420" spans="2:4" x14ac:dyDescent="0.25">
      <c r="B2420" s="89">
        <v>2416</v>
      </c>
      <c r="C2420" s="39">
        <f t="shared" si="75"/>
        <v>157992929.59999999</v>
      </c>
      <c r="D2420" s="39">
        <f t="shared" si="76"/>
        <v>79793232</v>
      </c>
    </row>
    <row r="2421" spans="2:4" x14ac:dyDescent="0.25">
      <c r="B2421" s="89">
        <v>2417</v>
      </c>
      <c r="C2421" s="39">
        <f t="shared" si="75"/>
        <v>157992929.59999999</v>
      </c>
      <c r="D2421" s="39">
        <f t="shared" si="76"/>
        <v>79826259</v>
      </c>
    </row>
    <row r="2422" spans="2:4" x14ac:dyDescent="0.25">
      <c r="B2422" s="89">
        <v>2418</v>
      </c>
      <c r="C2422" s="39">
        <f t="shared" si="75"/>
        <v>157992929.59999999</v>
      </c>
      <c r="D2422" s="39">
        <f t="shared" si="76"/>
        <v>79859286</v>
      </c>
    </row>
    <row r="2423" spans="2:4" x14ac:dyDescent="0.25">
      <c r="B2423" s="89">
        <v>2419</v>
      </c>
      <c r="C2423" s="39">
        <f t="shared" si="75"/>
        <v>157992929.59999999</v>
      </c>
      <c r="D2423" s="39">
        <f t="shared" si="76"/>
        <v>79892313</v>
      </c>
    </row>
    <row r="2424" spans="2:4" x14ac:dyDescent="0.25">
      <c r="B2424" s="89">
        <v>2420</v>
      </c>
      <c r="C2424" s="39">
        <f t="shared" si="75"/>
        <v>157992929.59999999</v>
      </c>
      <c r="D2424" s="39">
        <f t="shared" si="76"/>
        <v>79925340</v>
      </c>
    </row>
    <row r="2425" spans="2:4" x14ac:dyDescent="0.25">
      <c r="B2425" s="89">
        <v>2421</v>
      </c>
      <c r="C2425" s="39">
        <f t="shared" si="75"/>
        <v>157992929.59999999</v>
      </c>
      <c r="D2425" s="39">
        <f t="shared" si="76"/>
        <v>79958367</v>
      </c>
    </row>
    <row r="2426" spans="2:4" x14ac:dyDescent="0.25">
      <c r="B2426" s="89">
        <v>2422</v>
      </c>
      <c r="C2426" s="39">
        <f t="shared" si="75"/>
        <v>157992929.59999999</v>
      </c>
      <c r="D2426" s="39">
        <f t="shared" si="76"/>
        <v>79991394</v>
      </c>
    </row>
    <row r="2427" spans="2:4" x14ac:dyDescent="0.25">
      <c r="B2427" s="89">
        <v>2423</v>
      </c>
      <c r="C2427" s="39">
        <f t="shared" si="75"/>
        <v>157992929.59999999</v>
      </c>
      <c r="D2427" s="39">
        <f t="shared" si="76"/>
        <v>80024421</v>
      </c>
    </row>
    <row r="2428" spans="2:4" x14ac:dyDescent="0.25">
      <c r="B2428" s="89">
        <v>2424</v>
      </c>
      <c r="C2428" s="39">
        <f t="shared" si="75"/>
        <v>157992929.59999999</v>
      </c>
      <c r="D2428" s="39">
        <f t="shared" si="76"/>
        <v>80057448</v>
      </c>
    </row>
    <row r="2429" spans="2:4" x14ac:dyDescent="0.25">
      <c r="B2429" s="89">
        <v>2425</v>
      </c>
      <c r="C2429" s="39">
        <f t="shared" si="75"/>
        <v>157992929.59999999</v>
      </c>
      <c r="D2429" s="39">
        <f t="shared" si="76"/>
        <v>80090475</v>
      </c>
    </row>
    <row r="2430" spans="2:4" x14ac:dyDescent="0.25">
      <c r="B2430" s="89">
        <v>2426</v>
      </c>
      <c r="C2430" s="39">
        <f t="shared" si="75"/>
        <v>157992929.59999999</v>
      </c>
      <c r="D2430" s="39">
        <f t="shared" si="76"/>
        <v>80123502</v>
      </c>
    </row>
    <row r="2431" spans="2:4" x14ac:dyDescent="0.25">
      <c r="B2431" s="89">
        <v>2427</v>
      </c>
      <c r="C2431" s="39">
        <f t="shared" si="75"/>
        <v>157992929.59999999</v>
      </c>
      <c r="D2431" s="39">
        <f t="shared" si="76"/>
        <v>80156529</v>
      </c>
    </row>
    <row r="2432" spans="2:4" x14ac:dyDescent="0.25">
      <c r="B2432" s="89">
        <v>2428</v>
      </c>
      <c r="C2432" s="39">
        <f t="shared" si="75"/>
        <v>157992929.59999999</v>
      </c>
      <c r="D2432" s="39">
        <f t="shared" si="76"/>
        <v>80189556</v>
      </c>
    </row>
    <row r="2433" spans="2:4" x14ac:dyDescent="0.25">
      <c r="B2433" s="89">
        <v>2429</v>
      </c>
      <c r="C2433" s="39">
        <f t="shared" si="75"/>
        <v>157992929.59999999</v>
      </c>
      <c r="D2433" s="39">
        <f t="shared" si="76"/>
        <v>80222583</v>
      </c>
    </row>
    <row r="2434" spans="2:4" x14ac:dyDescent="0.25">
      <c r="B2434" s="89">
        <v>2430</v>
      </c>
      <c r="C2434" s="39">
        <f t="shared" si="75"/>
        <v>157992929.59999999</v>
      </c>
      <c r="D2434" s="39">
        <f t="shared" si="76"/>
        <v>80255610</v>
      </c>
    </row>
    <row r="2435" spans="2:4" x14ac:dyDescent="0.25">
      <c r="B2435" s="89">
        <v>2431</v>
      </c>
      <c r="C2435" s="39">
        <f t="shared" si="75"/>
        <v>157992929.59999999</v>
      </c>
      <c r="D2435" s="39">
        <f t="shared" si="76"/>
        <v>80288637</v>
      </c>
    </row>
    <row r="2436" spans="2:4" x14ac:dyDescent="0.25">
      <c r="B2436" s="89">
        <v>2432</v>
      </c>
      <c r="C2436" s="39">
        <f t="shared" si="75"/>
        <v>157992929.59999999</v>
      </c>
      <c r="D2436" s="39">
        <f t="shared" si="76"/>
        <v>80321664</v>
      </c>
    </row>
    <row r="2437" spans="2:4" x14ac:dyDescent="0.25">
      <c r="B2437" s="89">
        <v>2433</v>
      </c>
      <c r="C2437" s="39">
        <f t="shared" si="75"/>
        <v>157992929.59999999</v>
      </c>
      <c r="D2437" s="39">
        <f t="shared" si="76"/>
        <v>80354691</v>
      </c>
    </row>
    <row r="2438" spans="2:4" x14ac:dyDescent="0.25">
      <c r="B2438" s="89">
        <v>2434</v>
      </c>
      <c r="C2438" s="39">
        <f t="shared" ref="C2438:C2501" si="77">$C2437</f>
        <v>157992929.59999999</v>
      </c>
      <c r="D2438" s="39">
        <f t="shared" si="76"/>
        <v>80387718</v>
      </c>
    </row>
    <row r="2439" spans="2:4" x14ac:dyDescent="0.25">
      <c r="B2439" s="89">
        <v>2435</v>
      </c>
      <c r="C2439" s="39">
        <f t="shared" si="77"/>
        <v>157992929.59999999</v>
      </c>
      <c r="D2439" s="39">
        <f t="shared" si="76"/>
        <v>80420745</v>
      </c>
    </row>
    <row r="2440" spans="2:4" x14ac:dyDescent="0.25">
      <c r="B2440" s="89">
        <v>2436</v>
      </c>
      <c r="C2440" s="39">
        <f t="shared" si="77"/>
        <v>157992929.59999999</v>
      </c>
      <c r="D2440" s="39">
        <f t="shared" si="76"/>
        <v>80453772</v>
      </c>
    </row>
    <row r="2441" spans="2:4" x14ac:dyDescent="0.25">
      <c r="B2441" s="89">
        <v>2437</v>
      </c>
      <c r="C2441" s="39">
        <f t="shared" si="77"/>
        <v>157992929.59999999</v>
      </c>
      <c r="D2441" s="39">
        <f t="shared" si="76"/>
        <v>80486799</v>
      </c>
    </row>
    <row r="2442" spans="2:4" x14ac:dyDescent="0.25">
      <c r="B2442" s="89">
        <v>2438</v>
      </c>
      <c r="C2442" s="39">
        <f t="shared" si="77"/>
        <v>157992929.59999999</v>
      </c>
      <c r="D2442" s="39">
        <f t="shared" si="76"/>
        <v>80519826</v>
      </c>
    </row>
    <row r="2443" spans="2:4" x14ac:dyDescent="0.25">
      <c r="B2443" s="89">
        <v>2439</v>
      </c>
      <c r="C2443" s="39">
        <f t="shared" si="77"/>
        <v>157992929.59999999</v>
      </c>
      <c r="D2443" s="39">
        <f t="shared" si="76"/>
        <v>80552853</v>
      </c>
    </row>
    <row r="2444" spans="2:4" x14ac:dyDescent="0.25">
      <c r="B2444" s="89">
        <v>2440</v>
      </c>
      <c r="C2444" s="39">
        <f t="shared" si="77"/>
        <v>157992929.59999999</v>
      </c>
      <c r="D2444" s="39">
        <f t="shared" si="76"/>
        <v>80585880</v>
      </c>
    </row>
    <row r="2445" spans="2:4" x14ac:dyDescent="0.25">
      <c r="B2445" s="89">
        <v>2441</v>
      </c>
      <c r="C2445" s="39">
        <f t="shared" si="77"/>
        <v>157992929.59999999</v>
      </c>
      <c r="D2445" s="39">
        <f t="shared" si="76"/>
        <v>80618907</v>
      </c>
    </row>
    <row r="2446" spans="2:4" x14ac:dyDescent="0.25">
      <c r="B2446" s="89">
        <v>2442</v>
      </c>
      <c r="C2446" s="39">
        <f t="shared" si="77"/>
        <v>157992929.59999999</v>
      </c>
      <c r="D2446" s="39">
        <f t="shared" si="76"/>
        <v>80651934</v>
      </c>
    </row>
    <row r="2447" spans="2:4" x14ac:dyDescent="0.25">
      <c r="B2447" s="89">
        <v>2443</v>
      </c>
      <c r="C2447" s="39">
        <f t="shared" si="77"/>
        <v>157992929.59999999</v>
      </c>
      <c r="D2447" s="39">
        <f t="shared" si="76"/>
        <v>80684961</v>
      </c>
    </row>
    <row r="2448" spans="2:4" x14ac:dyDescent="0.25">
      <c r="B2448" s="89">
        <v>2444</v>
      </c>
      <c r="C2448" s="39">
        <f t="shared" si="77"/>
        <v>157992929.59999999</v>
      </c>
      <c r="D2448" s="39">
        <f t="shared" si="76"/>
        <v>80717988</v>
      </c>
    </row>
    <row r="2449" spans="2:4" x14ac:dyDescent="0.25">
      <c r="B2449" s="89">
        <v>2445</v>
      </c>
      <c r="C2449" s="39">
        <f t="shared" si="77"/>
        <v>157992929.59999999</v>
      </c>
      <c r="D2449" s="39">
        <f t="shared" si="76"/>
        <v>80751015</v>
      </c>
    </row>
    <row r="2450" spans="2:4" x14ac:dyDescent="0.25">
      <c r="B2450" s="89">
        <v>2446</v>
      </c>
      <c r="C2450" s="39">
        <f t="shared" si="77"/>
        <v>157992929.59999999</v>
      </c>
      <c r="D2450" s="39">
        <f t="shared" si="76"/>
        <v>80784042</v>
      </c>
    </row>
    <row r="2451" spans="2:4" x14ac:dyDescent="0.25">
      <c r="B2451" s="89">
        <v>2447</v>
      </c>
      <c r="C2451" s="39">
        <f t="shared" si="77"/>
        <v>157992929.59999999</v>
      </c>
      <c r="D2451" s="39">
        <f t="shared" si="76"/>
        <v>80817069</v>
      </c>
    </row>
    <row r="2452" spans="2:4" x14ac:dyDescent="0.25">
      <c r="B2452" s="89">
        <v>2448</v>
      </c>
      <c r="C2452" s="39">
        <f t="shared" si="77"/>
        <v>157992929.59999999</v>
      </c>
      <c r="D2452" s="39">
        <f t="shared" si="76"/>
        <v>80850096</v>
      </c>
    </row>
    <row r="2453" spans="2:4" x14ac:dyDescent="0.25">
      <c r="B2453" s="89">
        <v>2449</v>
      </c>
      <c r="C2453" s="39">
        <f t="shared" si="77"/>
        <v>157992929.59999999</v>
      </c>
      <c r="D2453" s="39">
        <f t="shared" si="76"/>
        <v>80883123</v>
      </c>
    </row>
    <row r="2454" spans="2:4" x14ac:dyDescent="0.25">
      <c r="B2454" s="89">
        <v>2450</v>
      </c>
      <c r="C2454" s="39">
        <f t="shared" si="77"/>
        <v>157992929.59999999</v>
      </c>
      <c r="D2454" s="39">
        <f t="shared" si="76"/>
        <v>80916150</v>
      </c>
    </row>
    <row r="2455" spans="2:4" x14ac:dyDescent="0.25">
      <c r="B2455" s="89">
        <v>2451</v>
      </c>
      <c r="C2455" s="39">
        <f t="shared" si="77"/>
        <v>157992929.59999999</v>
      </c>
      <c r="D2455" s="39">
        <f t="shared" si="76"/>
        <v>80949177</v>
      </c>
    </row>
    <row r="2456" spans="2:4" x14ac:dyDescent="0.25">
      <c r="B2456" s="89">
        <v>2452</v>
      </c>
      <c r="C2456" s="39">
        <f t="shared" si="77"/>
        <v>157992929.59999999</v>
      </c>
      <c r="D2456" s="39">
        <f t="shared" si="76"/>
        <v>80982204</v>
      </c>
    </row>
    <row r="2457" spans="2:4" x14ac:dyDescent="0.25">
      <c r="B2457" s="89">
        <v>2453</v>
      </c>
      <c r="C2457" s="39">
        <f t="shared" si="77"/>
        <v>157992929.59999999</v>
      </c>
      <c r="D2457" s="39">
        <f t="shared" si="76"/>
        <v>81015231</v>
      </c>
    </row>
    <row r="2458" spans="2:4" x14ac:dyDescent="0.25">
      <c r="B2458" s="89">
        <v>2454</v>
      </c>
      <c r="C2458" s="39">
        <f t="shared" si="77"/>
        <v>157992929.59999999</v>
      </c>
      <c r="D2458" s="39">
        <f t="shared" si="76"/>
        <v>81048258</v>
      </c>
    </row>
    <row r="2459" spans="2:4" x14ac:dyDescent="0.25">
      <c r="B2459" s="89">
        <v>2455</v>
      </c>
      <c r="C2459" s="39">
        <f t="shared" si="77"/>
        <v>157992929.59999999</v>
      </c>
      <c r="D2459" s="39">
        <f t="shared" si="76"/>
        <v>81081285</v>
      </c>
    </row>
    <row r="2460" spans="2:4" x14ac:dyDescent="0.25">
      <c r="B2460" s="89">
        <v>2456</v>
      </c>
      <c r="C2460" s="39">
        <f t="shared" si="77"/>
        <v>157992929.59999999</v>
      </c>
      <c r="D2460" s="39">
        <f t="shared" si="76"/>
        <v>81114312</v>
      </c>
    </row>
    <row r="2461" spans="2:4" x14ac:dyDescent="0.25">
      <c r="B2461" s="89">
        <v>2457</v>
      </c>
      <c r="C2461" s="39">
        <f t="shared" si="77"/>
        <v>157992929.59999999</v>
      </c>
      <c r="D2461" s="39">
        <f t="shared" si="76"/>
        <v>81147339</v>
      </c>
    </row>
    <row r="2462" spans="2:4" x14ac:dyDescent="0.25">
      <c r="B2462" s="89">
        <v>2458</v>
      </c>
      <c r="C2462" s="39">
        <f t="shared" si="77"/>
        <v>157992929.59999999</v>
      </c>
      <c r="D2462" s="39">
        <f t="shared" si="76"/>
        <v>81180366</v>
      </c>
    </row>
    <row r="2463" spans="2:4" x14ac:dyDescent="0.25">
      <c r="B2463" s="89">
        <v>2459</v>
      </c>
      <c r="C2463" s="39">
        <f t="shared" si="77"/>
        <v>157992929.59999999</v>
      </c>
      <c r="D2463" s="39">
        <f t="shared" si="76"/>
        <v>81213393</v>
      </c>
    </row>
    <row r="2464" spans="2:4" x14ac:dyDescent="0.25">
      <c r="B2464" s="89">
        <v>2460</v>
      </c>
      <c r="C2464" s="39">
        <f t="shared" si="77"/>
        <v>157992929.59999999</v>
      </c>
      <c r="D2464" s="39">
        <f t="shared" si="76"/>
        <v>81246420</v>
      </c>
    </row>
    <row r="2465" spans="2:4" x14ac:dyDescent="0.25">
      <c r="B2465" s="89">
        <v>2461</v>
      </c>
      <c r="C2465" s="39">
        <f t="shared" si="77"/>
        <v>157992929.59999999</v>
      </c>
      <c r="D2465" s="39">
        <f t="shared" si="76"/>
        <v>81279447</v>
      </c>
    </row>
    <row r="2466" spans="2:4" x14ac:dyDescent="0.25">
      <c r="B2466" s="89">
        <v>2462</v>
      </c>
      <c r="C2466" s="39">
        <f t="shared" si="77"/>
        <v>157992929.59999999</v>
      </c>
      <c r="D2466" s="39">
        <f t="shared" si="76"/>
        <v>81312474</v>
      </c>
    </row>
    <row r="2467" spans="2:4" x14ac:dyDescent="0.25">
      <c r="B2467" s="89">
        <v>2463</v>
      </c>
      <c r="C2467" s="39">
        <f t="shared" si="77"/>
        <v>157992929.59999999</v>
      </c>
      <c r="D2467" s="39">
        <f t="shared" si="76"/>
        <v>81345501</v>
      </c>
    </row>
    <row r="2468" spans="2:4" x14ac:dyDescent="0.25">
      <c r="B2468" s="89">
        <v>2464</v>
      </c>
      <c r="C2468" s="39">
        <f t="shared" si="77"/>
        <v>157992929.59999999</v>
      </c>
      <c r="D2468" s="39">
        <f t="shared" si="76"/>
        <v>81378528</v>
      </c>
    </row>
    <row r="2469" spans="2:4" x14ac:dyDescent="0.25">
      <c r="B2469" s="89">
        <v>2465</v>
      </c>
      <c r="C2469" s="39">
        <f t="shared" si="77"/>
        <v>157992929.59999999</v>
      </c>
      <c r="D2469" s="39">
        <f t="shared" si="76"/>
        <v>81411555</v>
      </c>
    </row>
    <row r="2470" spans="2:4" x14ac:dyDescent="0.25">
      <c r="B2470" s="89">
        <v>2466</v>
      </c>
      <c r="C2470" s="39">
        <f t="shared" si="77"/>
        <v>157992929.59999999</v>
      </c>
      <c r="D2470" s="39">
        <f t="shared" si="76"/>
        <v>81444582</v>
      </c>
    </row>
    <row r="2471" spans="2:4" x14ac:dyDescent="0.25">
      <c r="B2471" s="89">
        <v>2467</v>
      </c>
      <c r="C2471" s="39">
        <f t="shared" si="77"/>
        <v>157992929.59999999</v>
      </c>
      <c r="D2471" s="39">
        <f t="shared" si="76"/>
        <v>81477609</v>
      </c>
    </row>
    <row r="2472" spans="2:4" x14ac:dyDescent="0.25">
      <c r="B2472" s="89">
        <v>2468</v>
      </c>
      <c r="C2472" s="39">
        <f t="shared" si="77"/>
        <v>157992929.59999999</v>
      </c>
      <c r="D2472" s="39">
        <f t="shared" si="76"/>
        <v>81510636</v>
      </c>
    </row>
    <row r="2473" spans="2:4" x14ac:dyDescent="0.25">
      <c r="B2473" s="89">
        <v>2469</v>
      </c>
      <c r="C2473" s="39">
        <f t="shared" si="77"/>
        <v>157992929.59999999</v>
      </c>
      <c r="D2473" s="39">
        <f t="shared" si="76"/>
        <v>81543663</v>
      </c>
    </row>
    <row r="2474" spans="2:4" x14ac:dyDescent="0.25">
      <c r="B2474" s="89">
        <v>2470</v>
      </c>
      <c r="C2474" s="39">
        <f t="shared" si="77"/>
        <v>157992929.59999999</v>
      </c>
      <c r="D2474" s="39">
        <f t="shared" si="76"/>
        <v>81576690</v>
      </c>
    </row>
    <row r="2475" spans="2:4" x14ac:dyDescent="0.25">
      <c r="B2475" s="89">
        <v>2471</v>
      </c>
      <c r="C2475" s="39">
        <f t="shared" si="77"/>
        <v>157992929.59999999</v>
      </c>
      <c r="D2475" s="39">
        <f t="shared" si="76"/>
        <v>81609717</v>
      </c>
    </row>
    <row r="2476" spans="2:4" x14ac:dyDescent="0.25">
      <c r="B2476" s="89">
        <v>2472</v>
      </c>
      <c r="C2476" s="39">
        <f t="shared" si="77"/>
        <v>157992929.59999999</v>
      </c>
      <c r="D2476" s="39">
        <f t="shared" si="76"/>
        <v>81642744</v>
      </c>
    </row>
    <row r="2477" spans="2:4" x14ac:dyDescent="0.25">
      <c r="B2477" s="89">
        <v>2473</v>
      </c>
      <c r="C2477" s="39">
        <f t="shared" si="77"/>
        <v>157992929.59999999</v>
      </c>
      <c r="D2477" s="39">
        <f t="shared" si="76"/>
        <v>81675771</v>
      </c>
    </row>
    <row r="2478" spans="2:4" x14ac:dyDescent="0.25">
      <c r="B2478" s="89">
        <v>2474</v>
      </c>
      <c r="C2478" s="39">
        <f t="shared" si="77"/>
        <v>157992929.59999999</v>
      </c>
      <c r="D2478" s="39">
        <f t="shared" si="76"/>
        <v>81708798</v>
      </c>
    </row>
    <row r="2479" spans="2:4" x14ac:dyDescent="0.25">
      <c r="B2479" s="89">
        <v>2475</v>
      </c>
      <c r="C2479" s="39">
        <f t="shared" si="77"/>
        <v>157992929.59999999</v>
      </c>
      <c r="D2479" s="39">
        <f t="shared" si="76"/>
        <v>81741825</v>
      </c>
    </row>
    <row r="2480" spans="2:4" x14ac:dyDescent="0.25">
      <c r="B2480" s="89">
        <v>2476</v>
      </c>
      <c r="C2480" s="39">
        <f t="shared" si="77"/>
        <v>157992929.59999999</v>
      </c>
      <c r="D2480" s="39">
        <f t="shared" si="76"/>
        <v>81774852</v>
      </c>
    </row>
    <row r="2481" spans="2:4" x14ac:dyDescent="0.25">
      <c r="B2481" s="89">
        <v>2477</v>
      </c>
      <c r="C2481" s="39">
        <f t="shared" si="77"/>
        <v>157992929.59999999</v>
      </c>
      <c r="D2481" s="39">
        <f t="shared" ref="D2481:D2544" si="78">$D$2*B2481</f>
        <v>81807879</v>
      </c>
    </row>
    <row r="2482" spans="2:4" x14ac:dyDescent="0.25">
      <c r="B2482" s="89">
        <v>2478</v>
      </c>
      <c r="C2482" s="39">
        <f t="shared" si="77"/>
        <v>157992929.59999999</v>
      </c>
      <c r="D2482" s="39">
        <f t="shared" si="78"/>
        <v>81840906</v>
      </c>
    </row>
    <row r="2483" spans="2:4" x14ac:dyDescent="0.25">
      <c r="B2483" s="89">
        <v>2479</v>
      </c>
      <c r="C2483" s="39">
        <f t="shared" si="77"/>
        <v>157992929.59999999</v>
      </c>
      <c r="D2483" s="39">
        <f t="shared" si="78"/>
        <v>81873933</v>
      </c>
    </row>
    <row r="2484" spans="2:4" x14ac:dyDescent="0.25">
      <c r="B2484" s="89">
        <v>2480</v>
      </c>
      <c r="C2484" s="39">
        <f t="shared" si="77"/>
        <v>157992929.59999999</v>
      </c>
      <c r="D2484" s="39">
        <f t="shared" si="78"/>
        <v>81906960</v>
      </c>
    </row>
    <row r="2485" spans="2:4" x14ac:dyDescent="0.25">
      <c r="B2485" s="89">
        <v>2481</v>
      </c>
      <c r="C2485" s="39">
        <f t="shared" si="77"/>
        <v>157992929.59999999</v>
      </c>
      <c r="D2485" s="39">
        <f t="shared" si="78"/>
        <v>81939987</v>
      </c>
    </row>
    <row r="2486" spans="2:4" x14ac:dyDescent="0.25">
      <c r="B2486" s="89">
        <v>2482</v>
      </c>
      <c r="C2486" s="39">
        <f t="shared" si="77"/>
        <v>157992929.59999999</v>
      </c>
      <c r="D2486" s="39">
        <f t="shared" si="78"/>
        <v>81973014</v>
      </c>
    </row>
    <row r="2487" spans="2:4" x14ac:dyDescent="0.25">
      <c r="B2487" s="89">
        <v>2483</v>
      </c>
      <c r="C2487" s="39">
        <f t="shared" si="77"/>
        <v>157992929.59999999</v>
      </c>
      <c r="D2487" s="39">
        <f t="shared" si="78"/>
        <v>82006041</v>
      </c>
    </row>
    <row r="2488" spans="2:4" x14ac:dyDescent="0.25">
      <c r="B2488" s="89">
        <v>2484</v>
      </c>
      <c r="C2488" s="39">
        <f t="shared" si="77"/>
        <v>157992929.59999999</v>
      </c>
      <c r="D2488" s="39">
        <f t="shared" si="78"/>
        <v>82039068</v>
      </c>
    </row>
    <row r="2489" spans="2:4" x14ac:dyDescent="0.25">
      <c r="B2489" s="89">
        <v>2485</v>
      </c>
      <c r="C2489" s="39">
        <f t="shared" si="77"/>
        <v>157992929.59999999</v>
      </c>
      <c r="D2489" s="39">
        <f t="shared" si="78"/>
        <v>82072095</v>
      </c>
    </row>
    <row r="2490" spans="2:4" x14ac:dyDescent="0.25">
      <c r="B2490" s="89">
        <v>2486</v>
      </c>
      <c r="C2490" s="39">
        <f t="shared" si="77"/>
        <v>157992929.59999999</v>
      </c>
      <c r="D2490" s="39">
        <f t="shared" si="78"/>
        <v>82105122</v>
      </c>
    </row>
    <row r="2491" spans="2:4" x14ac:dyDescent="0.25">
      <c r="B2491" s="89">
        <v>2487</v>
      </c>
      <c r="C2491" s="39">
        <f t="shared" si="77"/>
        <v>157992929.59999999</v>
      </c>
      <c r="D2491" s="39">
        <f t="shared" si="78"/>
        <v>82138149</v>
      </c>
    </row>
    <row r="2492" spans="2:4" x14ac:dyDescent="0.25">
      <c r="B2492" s="89">
        <v>2488</v>
      </c>
      <c r="C2492" s="39">
        <f t="shared" si="77"/>
        <v>157992929.59999999</v>
      </c>
      <c r="D2492" s="39">
        <f t="shared" si="78"/>
        <v>82171176</v>
      </c>
    </row>
    <row r="2493" spans="2:4" x14ac:dyDescent="0.25">
      <c r="B2493" s="89">
        <v>2489</v>
      </c>
      <c r="C2493" s="39">
        <f t="shared" si="77"/>
        <v>157992929.59999999</v>
      </c>
      <c r="D2493" s="39">
        <f t="shared" si="78"/>
        <v>82204203</v>
      </c>
    </row>
    <row r="2494" spans="2:4" x14ac:dyDescent="0.25">
      <c r="B2494" s="89">
        <v>2490</v>
      </c>
      <c r="C2494" s="39">
        <f t="shared" si="77"/>
        <v>157992929.59999999</v>
      </c>
      <c r="D2494" s="39">
        <f t="shared" si="78"/>
        <v>82237230</v>
      </c>
    </row>
    <row r="2495" spans="2:4" x14ac:dyDescent="0.25">
      <c r="B2495" s="89">
        <v>2491</v>
      </c>
      <c r="C2495" s="39">
        <f t="shared" si="77"/>
        <v>157992929.59999999</v>
      </c>
      <c r="D2495" s="39">
        <f t="shared" si="78"/>
        <v>82270257</v>
      </c>
    </row>
    <row r="2496" spans="2:4" x14ac:dyDescent="0.25">
      <c r="B2496" s="89">
        <v>2492</v>
      </c>
      <c r="C2496" s="39">
        <f t="shared" si="77"/>
        <v>157992929.59999999</v>
      </c>
      <c r="D2496" s="39">
        <f t="shared" si="78"/>
        <v>82303284</v>
      </c>
    </row>
    <row r="2497" spans="2:4" x14ac:dyDescent="0.25">
      <c r="B2497" s="89">
        <v>2493</v>
      </c>
      <c r="C2497" s="39">
        <f t="shared" si="77"/>
        <v>157992929.59999999</v>
      </c>
      <c r="D2497" s="39">
        <f t="shared" si="78"/>
        <v>82336311</v>
      </c>
    </row>
    <row r="2498" spans="2:4" x14ac:dyDescent="0.25">
      <c r="B2498" s="89">
        <v>2494</v>
      </c>
      <c r="C2498" s="39">
        <f t="shared" si="77"/>
        <v>157992929.59999999</v>
      </c>
      <c r="D2498" s="39">
        <f t="shared" si="78"/>
        <v>82369338</v>
      </c>
    </row>
    <row r="2499" spans="2:4" x14ac:dyDescent="0.25">
      <c r="B2499" s="89">
        <v>2495</v>
      </c>
      <c r="C2499" s="39">
        <f t="shared" si="77"/>
        <v>157992929.59999999</v>
      </c>
      <c r="D2499" s="39">
        <f t="shared" si="78"/>
        <v>82402365</v>
      </c>
    </row>
    <row r="2500" spans="2:4" x14ac:dyDescent="0.25">
      <c r="B2500" s="89">
        <v>2496</v>
      </c>
      <c r="C2500" s="39">
        <f t="shared" si="77"/>
        <v>157992929.59999999</v>
      </c>
      <c r="D2500" s="39">
        <f t="shared" si="78"/>
        <v>82435392</v>
      </c>
    </row>
    <row r="2501" spans="2:4" x14ac:dyDescent="0.25">
      <c r="B2501" s="89">
        <v>2497</v>
      </c>
      <c r="C2501" s="39">
        <f t="shared" si="77"/>
        <v>157992929.59999999</v>
      </c>
      <c r="D2501" s="39">
        <f t="shared" si="78"/>
        <v>82468419</v>
      </c>
    </row>
    <row r="2502" spans="2:4" x14ac:dyDescent="0.25">
      <c r="B2502" s="89">
        <v>2498</v>
      </c>
      <c r="C2502" s="39">
        <f t="shared" ref="C2502:C2565" si="79">$C2501</f>
        <v>157992929.59999999</v>
      </c>
      <c r="D2502" s="39">
        <f t="shared" si="78"/>
        <v>82501446</v>
      </c>
    </row>
    <row r="2503" spans="2:4" x14ac:dyDescent="0.25">
      <c r="B2503" s="89">
        <v>2499</v>
      </c>
      <c r="C2503" s="39">
        <f t="shared" si="79"/>
        <v>157992929.59999999</v>
      </c>
      <c r="D2503" s="39">
        <f t="shared" si="78"/>
        <v>82534473</v>
      </c>
    </row>
    <row r="2504" spans="2:4" x14ac:dyDescent="0.25">
      <c r="B2504" s="89">
        <v>2500</v>
      </c>
      <c r="C2504" s="39">
        <f t="shared" si="79"/>
        <v>157992929.59999999</v>
      </c>
      <c r="D2504" s="39">
        <f t="shared" si="78"/>
        <v>82567500</v>
      </c>
    </row>
    <row r="2505" spans="2:4" x14ac:dyDescent="0.25">
      <c r="B2505" s="89">
        <v>2501</v>
      </c>
      <c r="C2505" s="39">
        <f t="shared" si="79"/>
        <v>157992929.59999999</v>
      </c>
      <c r="D2505" s="39">
        <f t="shared" si="78"/>
        <v>82600527</v>
      </c>
    </row>
    <row r="2506" spans="2:4" x14ac:dyDescent="0.25">
      <c r="B2506" s="89">
        <v>2502</v>
      </c>
      <c r="C2506" s="39">
        <f t="shared" si="79"/>
        <v>157992929.59999999</v>
      </c>
      <c r="D2506" s="39">
        <f t="shared" si="78"/>
        <v>82633554</v>
      </c>
    </row>
    <row r="2507" spans="2:4" x14ac:dyDescent="0.25">
      <c r="B2507" s="89">
        <v>2503</v>
      </c>
      <c r="C2507" s="39">
        <f t="shared" si="79"/>
        <v>157992929.59999999</v>
      </c>
      <c r="D2507" s="39">
        <f t="shared" si="78"/>
        <v>82666581</v>
      </c>
    </row>
    <row r="2508" spans="2:4" x14ac:dyDescent="0.25">
      <c r="B2508" s="89">
        <v>2504</v>
      </c>
      <c r="C2508" s="39">
        <f t="shared" si="79"/>
        <v>157992929.59999999</v>
      </c>
      <c r="D2508" s="39">
        <f t="shared" si="78"/>
        <v>82699608</v>
      </c>
    </row>
    <row r="2509" spans="2:4" x14ac:dyDescent="0.25">
      <c r="B2509" s="89">
        <v>2505</v>
      </c>
      <c r="C2509" s="39">
        <f t="shared" si="79"/>
        <v>157992929.59999999</v>
      </c>
      <c r="D2509" s="39">
        <f t="shared" si="78"/>
        <v>82732635</v>
      </c>
    </row>
    <row r="2510" spans="2:4" x14ac:dyDescent="0.25">
      <c r="B2510" s="89">
        <v>2506</v>
      </c>
      <c r="C2510" s="39">
        <f t="shared" si="79"/>
        <v>157992929.59999999</v>
      </c>
      <c r="D2510" s="39">
        <f t="shared" si="78"/>
        <v>82765662</v>
      </c>
    </row>
    <row r="2511" spans="2:4" x14ac:dyDescent="0.25">
      <c r="B2511" s="89">
        <v>2507</v>
      </c>
      <c r="C2511" s="39">
        <f t="shared" si="79"/>
        <v>157992929.59999999</v>
      </c>
      <c r="D2511" s="39">
        <f t="shared" si="78"/>
        <v>82798689</v>
      </c>
    </row>
    <row r="2512" spans="2:4" x14ac:dyDescent="0.25">
      <c r="B2512" s="89">
        <v>2508</v>
      </c>
      <c r="C2512" s="39">
        <f t="shared" si="79"/>
        <v>157992929.59999999</v>
      </c>
      <c r="D2512" s="39">
        <f t="shared" si="78"/>
        <v>82831716</v>
      </c>
    </row>
    <row r="2513" spans="2:4" x14ac:dyDescent="0.25">
      <c r="B2513" s="89">
        <v>2509</v>
      </c>
      <c r="C2513" s="39">
        <f t="shared" si="79"/>
        <v>157992929.59999999</v>
      </c>
      <c r="D2513" s="39">
        <f t="shared" si="78"/>
        <v>82864743</v>
      </c>
    </row>
    <row r="2514" spans="2:4" x14ac:dyDescent="0.25">
      <c r="B2514" s="89">
        <v>2510</v>
      </c>
      <c r="C2514" s="39">
        <f t="shared" si="79"/>
        <v>157992929.59999999</v>
      </c>
      <c r="D2514" s="39">
        <f t="shared" si="78"/>
        <v>82897770</v>
      </c>
    </row>
    <row r="2515" spans="2:4" x14ac:dyDescent="0.25">
      <c r="B2515" s="89">
        <v>2511</v>
      </c>
      <c r="C2515" s="39">
        <f t="shared" si="79"/>
        <v>157992929.59999999</v>
      </c>
      <c r="D2515" s="39">
        <f t="shared" si="78"/>
        <v>82930797</v>
      </c>
    </row>
    <row r="2516" spans="2:4" x14ac:dyDescent="0.25">
      <c r="B2516" s="89">
        <v>2512</v>
      </c>
      <c r="C2516" s="39">
        <f t="shared" si="79"/>
        <v>157992929.59999999</v>
      </c>
      <c r="D2516" s="39">
        <f t="shared" si="78"/>
        <v>82963824</v>
      </c>
    </row>
    <row r="2517" spans="2:4" x14ac:dyDescent="0.25">
      <c r="B2517" s="89">
        <v>2513</v>
      </c>
      <c r="C2517" s="39">
        <f t="shared" si="79"/>
        <v>157992929.59999999</v>
      </c>
      <c r="D2517" s="39">
        <f t="shared" si="78"/>
        <v>82996851</v>
      </c>
    </row>
    <row r="2518" spans="2:4" x14ac:dyDescent="0.25">
      <c r="B2518" s="89">
        <v>2514</v>
      </c>
      <c r="C2518" s="39">
        <f t="shared" si="79"/>
        <v>157992929.59999999</v>
      </c>
      <c r="D2518" s="39">
        <f t="shared" si="78"/>
        <v>83029878</v>
      </c>
    </row>
    <row r="2519" spans="2:4" x14ac:dyDescent="0.25">
      <c r="B2519" s="89">
        <v>2515</v>
      </c>
      <c r="C2519" s="39">
        <f t="shared" si="79"/>
        <v>157992929.59999999</v>
      </c>
      <c r="D2519" s="39">
        <f t="shared" si="78"/>
        <v>83062905</v>
      </c>
    </row>
    <row r="2520" spans="2:4" x14ac:dyDescent="0.25">
      <c r="B2520" s="89">
        <v>2516</v>
      </c>
      <c r="C2520" s="39">
        <f t="shared" si="79"/>
        <v>157992929.59999999</v>
      </c>
      <c r="D2520" s="39">
        <f t="shared" si="78"/>
        <v>83095932</v>
      </c>
    </row>
    <row r="2521" spans="2:4" x14ac:dyDescent="0.25">
      <c r="B2521" s="89">
        <v>2517</v>
      </c>
      <c r="C2521" s="39">
        <f t="shared" si="79"/>
        <v>157992929.59999999</v>
      </c>
      <c r="D2521" s="39">
        <f t="shared" si="78"/>
        <v>83128959</v>
      </c>
    </row>
    <row r="2522" spans="2:4" x14ac:dyDescent="0.25">
      <c r="B2522" s="89">
        <v>2518</v>
      </c>
      <c r="C2522" s="39">
        <f t="shared" si="79"/>
        <v>157992929.59999999</v>
      </c>
      <c r="D2522" s="39">
        <f t="shared" si="78"/>
        <v>83161986</v>
      </c>
    </row>
    <row r="2523" spans="2:4" x14ac:dyDescent="0.25">
      <c r="B2523" s="89">
        <v>2519</v>
      </c>
      <c r="C2523" s="39">
        <f t="shared" si="79"/>
        <v>157992929.59999999</v>
      </c>
      <c r="D2523" s="39">
        <f t="shared" si="78"/>
        <v>83195013</v>
      </c>
    </row>
    <row r="2524" spans="2:4" x14ac:dyDescent="0.25">
      <c r="B2524" s="89">
        <v>2520</v>
      </c>
      <c r="C2524" s="39">
        <f t="shared" si="79"/>
        <v>157992929.59999999</v>
      </c>
      <c r="D2524" s="39">
        <f t="shared" si="78"/>
        <v>83228040</v>
      </c>
    </row>
    <row r="2525" spans="2:4" x14ac:dyDescent="0.25">
      <c r="B2525" s="89">
        <v>2521</v>
      </c>
      <c r="C2525" s="39">
        <f t="shared" si="79"/>
        <v>157992929.59999999</v>
      </c>
      <c r="D2525" s="39">
        <f t="shared" si="78"/>
        <v>83261067</v>
      </c>
    </row>
    <row r="2526" spans="2:4" x14ac:dyDescent="0.25">
      <c r="B2526" s="89">
        <v>2522</v>
      </c>
      <c r="C2526" s="39">
        <f t="shared" si="79"/>
        <v>157992929.59999999</v>
      </c>
      <c r="D2526" s="39">
        <f t="shared" si="78"/>
        <v>83294094</v>
      </c>
    </row>
    <row r="2527" spans="2:4" x14ac:dyDescent="0.25">
      <c r="B2527" s="89">
        <v>2523</v>
      </c>
      <c r="C2527" s="39">
        <f t="shared" si="79"/>
        <v>157992929.59999999</v>
      </c>
      <c r="D2527" s="39">
        <f t="shared" si="78"/>
        <v>83327121</v>
      </c>
    </row>
    <row r="2528" spans="2:4" x14ac:dyDescent="0.25">
      <c r="B2528" s="89">
        <v>2524</v>
      </c>
      <c r="C2528" s="39">
        <f t="shared" si="79"/>
        <v>157992929.59999999</v>
      </c>
      <c r="D2528" s="39">
        <f t="shared" si="78"/>
        <v>83360148</v>
      </c>
    </row>
    <row r="2529" spans="2:4" x14ac:dyDescent="0.25">
      <c r="B2529" s="89">
        <v>2525</v>
      </c>
      <c r="C2529" s="39">
        <f t="shared" si="79"/>
        <v>157992929.59999999</v>
      </c>
      <c r="D2529" s="39">
        <f t="shared" si="78"/>
        <v>83393175</v>
      </c>
    </row>
    <row r="2530" spans="2:4" x14ac:dyDescent="0.25">
      <c r="B2530" s="89">
        <v>2526</v>
      </c>
      <c r="C2530" s="39">
        <f t="shared" si="79"/>
        <v>157992929.59999999</v>
      </c>
      <c r="D2530" s="39">
        <f t="shared" si="78"/>
        <v>83426202</v>
      </c>
    </row>
    <row r="2531" spans="2:4" x14ac:dyDescent="0.25">
      <c r="B2531" s="89">
        <v>2527</v>
      </c>
      <c r="C2531" s="39">
        <f t="shared" si="79"/>
        <v>157992929.59999999</v>
      </c>
      <c r="D2531" s="39">
        <f t="shared" si="78"/>
        <v>83459229</v>
      </c>
    </row>
    <row r="2532" spans="2:4" x14ac:dyDescent="0.25">
      <c r="B2532" s="89">
        <v>2528</v>
      </c>
      <c r="C2532" s="39">
        <f t="shared" si="79"/>
        <v>157992929.59999999</v>
      </c>
      <c r="D2532" s="39">
        <f t="shared" si="78"/>
        <v>83492256</v>
      </c>
    </row>
    <row r="2533" spans="2:4" x14ac:dyDescent="0.25">
      <c r="B2533" s="89">
        <v>2529</v>
      </c>
      <c r="C2533" s="39">
        <f t="shared" si="79"/>
        <v>157992929.59999999</v>
      </c>
      <c r="D2533" s="39">
        <f t="shared" si="78"/>
        <v>83525283</v>
      </c>
    </row>
    <row r="2534" spans="2:4" x14ac:dyDescent="0.25">
      <c r="B2534" s="89">
        <v>2530</v>
      </c>
      <c r="C2534" s="39">
        <f t="shared" si="79"/>
        <v>157992929.59999999</v>
      </c>
      <c r="D2534" s="39">
        <f t="shared" si="78"/>
        <v>83558310</v>
      </c>
    </row>
    <row r="2535" spans="2:4" x14ac:dyDescent="0.25">
      <c r="B2535" s="89">
        <v>2531</v>
      </c>
      <c r="C2535" s="39">
        <f t="shared" si="79"/>
        <v>157992929.59999999</v>
      </c>
      <c r="D2535" s="39">
        <f t="shared" si="78"/>
        <v>83591337</v>
      </c>
    </row>
    <row r="2536" spans="2:4" x14ac:dyDescent="0.25">
      <c r="B2536" s="89">
        <v>2532</v>
      </c>
      <c r="C2536" s="39">
        <f t="shared" si="79"/>
        <v>157992929.59999999</v>
      </c>
      <c r="D2536" s="39">
        <f t="shared" si="78"/>
        <v>83624364</v>
      </c>
    </row>
    <row r="2537" spans="2:4" x14ac:dyDescent="0.25">
      <c r="B2537" s="89">
        <v>2533</v>
      </c>
      <c r="C2537" s="39">
        <f t="shared" si="79"/>
        <v>157992929.59999999</v>
      </c>
      <c r="D2537" s="39">
        <f t="shared" si="78"/>
        <v>83657391</v>
      </c>
    </row>
    <row r="2538" spans="2:4" x14ac:dyDescent="0.25">
      <c r="B2538" s="89">
        <v>2534</v>
      </c>
      <c r="C2538" s="39">
        <f t="shared" si="79"/>
        <v>157992929.59999999</v>
      </c>
      <c r="D2538" s="39">
        <f t="shared" si="78"/>
        <v>83690418</v>
      </c>
    </row>
    <row r="2539" spans="2:4" x14ac:dyDescent="0.25">
      <c r="B2539" s="89">
        <v>2535</v>
      </c>
      <c r="C2539" s="39">
        <f t="shared" si="79"/>
        <v>157992929.59999999</v>
      </c>
      <c r="D2539" s="39">
        <f t="shared" si="78"/>
        <v>83723445</v>
      </c>
    </row>
    <row r="2540" spans="2:4" x14ac:dyDescent="0.25">
      <c r="B2540" s="89">
        <v>2536</v>
      </c>
      <c r="C2540" s="39">
        <f t="shared" si="79"/>
        <v>157992929.59999999</v>
      </c>
      <c r="D2540" s="39">
        <f t="shared" si="78"/>
        <v>83756472</v>
      </c>
    </row>
    <row r="2541" spans="2:4" x14ac:dyDescent="0.25">
      <c r="B2541" s="89">
        <v>2537</v>
      </c>
      <c r="C2541" s="39">
        <f t="shared" si="79"/>
        <v>157992929.59999999</v>
      </c>
      <c r="D2541" s="39">
        <f t="shared" si="78"/>
        <v>83789499</v>
      </c>
    </row>
    <row r="2542" spans="2:4" x14ac:dyDescent="0.25">
      <c r="B2542" s="89">
        <v>2538</v>
      </c>
      <c r="C2542" s="39">
        <f t="shared" si="79"/>
        <v>157992929.59999999</v>
      </c>
      <c r="D2542" s="39">
        <f t="shared" si="78"/>
        <v>83822526</v>
      </c>
    </row>
    <row r="2543" spans="2:4" x14ac:dyDescent="0.25">
      <c r="B2543" s="89">
        <v>2539</v>
      </c>
      <c r="C2543" s="39">
        <f t="shared" si="79"/>
        <v>157992929.59999999</v>
      </c>
      <c r="D2543" s="39">
        <f t="shared" si="78"/>
        <v>83855553</v>
      </c>
    </row>
    <row r="2544" spans="2:4" x14ac:dyDescent="0.25">
      <c r="B2544" s="89">
        <v>2540</v>
      </c>
      <c r="C2544" s="39">
        <f t="shared" si="79"/>
        <v>157992929.59999999</v>
      </c>
      <c r="D2544" s="39">
        <f t="shared" si="78"/>
        <v>83888580</v>
      </c>
    </row>
    <row r="2545" spans="2:4" x14ac:dyDescent="0.25">
      <c r="B2545" s="89">
        <v>2541</v>
      </c>
      <c r="C2545" s="39">
        <f t="shared" si="79"/>
        <v>157992929.59999999</v>
      </c>
      <c r="D2545" s="39">
        <f t="shared" ref="D2545:D2608" si="80">$D$2*B2545</f>
        <v>83921607</v>
      </c>
    </row>
    <row r="2546" spans="2:4" x14ac:dyDescent="0.25">
      <c r="B2546" s="89">
        <v>2542</v>
      </c>
      <c r="C2546" s="39">
        <f t="shared" si="79"/>
        <v>157992929.59999999</v>
      </c>
      <c r="D2546" s="39">
        <f t="shared" si="80"/>
        <v>83954634</v>
      </c>
    </row>
    <row r="2547" spans="2:4" x14ac:dyDescent="0.25">
      <c r="B2547" s="89">
        <v>2543</v>
      </c>
      <c r="C2547" s="39">
        <f t="shared" si="79"/>
        <v>157992929.59999999</v>
      </c>
      <c r="D2547" s="39">
        <f t="shared" si="80"/>
        <v>83987661</v>
      </c>
    </row>
    <row r="2548" spans="2:4" x14ac:dyDescent="0.25">
      <c r="B2548" s="89">
        <v>2544</v>
      </c>
      <c r="C2548" s="39">
        <f t="shared" si="79"/>
        <v>157992929.59999999</v>
      </c>
      <c r="D2548" s="39">
        <f t="shared" si="80"/>
        <v>84020688</v>
      </c>
    </row>
    <row r="2549" spans="2:4" x14ac:dyDescent="0.25">
      <c r="B2549" s="89">
        <v>2545</v>
      </c>
      <c r="C2549" s="39">
        <f t="shared" si="79"/>
        <v>157992929.59999999</v>
      </c>
      <c r="D2549" s="39">
        <f t="shared" si="80"/>
        <v>84053715</v>
      </c>
    </row>
    <row r="2550" spans="2:4" x14ac:dyDescent="0.25">
      <c r="B2550" s="89">
        <v>2546</v>
      </c>
      <c r="C2550" s="39">
        <f t="shared" si="79"/>
        <v>157992929.59999999</v>
      </c>
      <c r="D2550" s="39">
        <f t="shared" si="80"/>
        <v>84086742</v>
      </c>
    </row>
    <row r="2551" spans="2:4" x14ac:dyDescent="0.25">
      <c r="B2551" s="89">
        <v>2547</v>
      </c>
      <c r="C2551" s="39">
        <f t="shared" si="79"/>
        <v>157992929.59999999</v>
      </c>
      <c r="D2551" s="39">
        <f t="shared" si="80"/>
        <v>84119769</v>
      </c>
    </row>
    <row r="2552" spans="2:4" x14ac:dyDescent="0.25">
      <c r="B2552" s="89">
        <v>2548</v>
      </c>
      <c r="C2552" s="39">
        <f t="shared" si="79"/>
        <v>157992929.59999999</v>
      </c>
      <c r="D2552" s="39">
        <f t="shared" si="80"/>
        <v>84152796</v>
      </c>
    </row>
    <row r="2553" spans="2:4" x14ac:dyDescent="0.25">
      <c r="B2553" s="89">
        <v>2549</v>
      </c>
      <c r="C2553" s="39">
        <f t="shared" si="79"/>
        <v>157992929.59999999</v>
      </c>
      <c r="D2553" s="39">
        <f t="shared" si="80"/>
        <v>84185823</v>
      </c>
    </row>
    <row r="2554" spans="2:4" x14ac:dyDescent="0.25">
      <c r="B2554" s="89">
        <v>2550</v>
      </c>
      <c r="C2554" s="39">
        <f t="shared" si="79"/>
        <v>157992929.59999999</v>
      </c>
      <c r="D2554" s="39">
        <f t="shared" si="80"/>
        <v>84218850</v>
      </c>
    </row>
    <row r="2555" spans="2:4" x14ac:dyDescent="0.25">
      <c r="B2555" s="89">
        <v>2551</v>
      </c>
      <c r="C2555" s="39">
        <f t="shared" si="79"/>
        <v>157992929.59999999</v>
      </c>
      <c r="D2555" s="39">
        <f t="shared" si="80"/>
        <v>84251877</v>
      </c>
    </row>
    <row r="2556" spans="2:4" x14ac:dyDescent="0.25">
      <c r="B2556" s="89">
        <v>2552</v>
      </c>
      <c r="C2556" s="39">
        <f t="shared" si="79"/>
        <v>157992929.59999999</v>
      </c>
      <c r="D2556" s="39">
        <f t="shared" si="80"/>
        <v>84284904</v>
      </c>
    </row>
    <row r="2557" spans="2:4" x14ac:dyDescent="0.25">
      <c r="B2557" s="89">
        <v>2553</v>
      </c>
      <c r="C2557" s="39">
        <f t="shared" si="79"/>
        <v>157992929.59999999</v>
      </c>
      <c r="D2557" s="39">
        <f t="shared" si="80"/>
        <v>84317931</v>
      </c>
    </row>
    <row r="2558" spans="2:4" x14ac:dyDescent="0.25">
      <c r="B2558" s="89">
        <v>2554</v>
      </c>
      <c r="C2558" s="39">
        <f t="shared" si="79"/>
        <v>157992929.59999999</v>
      </c>
      <c r="D2558" s="39">
        <f t="shared" si="80"/>
        <v>84350958</v>
      </c>
    </row>
    <row r="2559" spans="2:4" x14ac:dyDescent="0.25">
      <c r="B2559" s="89">
        <v>2555</v>
      </c>
      <c r="C2559" s="39">
        <f t="shared" si="79"/>
        <v>157992929.59999999</v>
      </c>
      <c r="D2559" s="39">
        <f t="shared" si="80"/>
        <v>84383985</v>
      </c>
    </row>
    <row r="2560" spans="2:4" x14ac:dyDescent="0.25">
      <c r="B2560" s="89">
        <v>2556</v>
      </c>
      <c r="C2560" s="39">
        <f t="shared" si="79"/>
        <v>157992929.59999999</v>
      </c>
      <c r="D2560" s="39">
        <f t="shared" si="80"/>
        <v>84417012</v>
      </c>
    </row>
    <row r="2561" spans="2:4" x14ac:dyDescent="0.25">
      <c r="B2561" s="89">
        <v>2557</v>
      </c>
      <c r="C2561" s="39">
        <f t="shared" si="79"/>
        <v>157992929.59999999</v>
      </c>
      <c r="D2561" s="39">
        <f t="shared" si="80"/>
        <v>84450039</v>
      </c>
    </row>
    <row r="2562" spans="2:4" x14ac:dyDescent="0.25">
      <c r="B2562" s="89">
        <v>2558</v>
      </c>
      <c r="C2562" s="39">
        <f t="shared" si="79"/>
        <v>157992929.59999999</v>
      </c>
      <c r="D2562" s="39">
        <f t="shared" si="80"/>
        <v>84483066</v>
      </c>
    </row>
    <row r="2563" spans="2:4" x14ac:dyDescent="0.25">
      <c r="B2563" s="89">
        <v>2559</v>
      </c>
      <c r="C2563" s="39">
        <f t="shared" si="79"/>
        <v>157992929.59999999</v>
      </c>
      <c r="D2563" s="39">
        <f t="shared" si="80"/>
        <v>84516093</v>
      </c>
    </row>
    <row r="2564" spans="2:4" x14ac:dyDescent="0.25">
      <c r="B2564" s="89">
        <v>2560</v>
      </c>
      <c r="C2564" s="39">
        <f t="shared" si="79"/>
        <v>157992929.59999999</v>
      </c>
      <c r="D2564" s="39">
        <f t="shared" si="80"/>
        <v>84549120</v>
      </c>
    </row>
    <row r="2565" spans="2:4" x14ac:dyDescent="0.25">
      <c r="B2565" s="89">
        <v>2561</v>
      </c>
      <c r="C2565" s="39">
        <f t="shared" si="79"/>
        <v>157992929.59999999</v>
      </c>
      <c r="D2565" s="39">
        <f t="shared" si="80"/>
        <v>84582147</v>
      </c>
    </row>
    <row r="2566" spans="2:4" x14ac:dyDescent="0.25">
      <c r="B2566" s="89">
        <v>2562</v>
      </c>
      <c r="C2566" s="39">
        <f t="shared" ref="C2566:C2629" si="81">$C2565</f>
        <v>157992929.59999999</v>
      </c>
      <c r="D2566" s="39">
        <f t="shared" si="80"/>
        <v>84615174</v>
      </c>
    </row>
    <row r="2567" spans="2:4" x14ac:dyDescent="0.25">
      <c r="B2567" s="89">
        <v>2563</v>
      </c>
      <c r="C2567" s="39">
        <f t="shared" si="81"/>
        <v>157992929.59999999</v>
      </c>
      <c r="D2567" s="39">
        <f t="shared" si="80"/>
        <v>84648201</v>
      </c>
    </row>
    <row r="2568" spans="2:4" x14ac:dyDescent="0.25">
      <c r="B2568" s="89">
        <v>2564</v>
      </c>
      <c r="C2568" s="39">
        <f t="shared" si="81"/>
        <v>157992929.59999999</v>
      </c>
      <c r="D2568" s="39">
        <f t="shared" si="80"/>
        <v>84681228</v>
      </c>
    </row>
    <row r="2569" spans="2:4" x14ac:dyDescent="0.25">
      <c r="B2569" s="89">
        <v>2565</v>
      </c>
      <c r="C2569" s="39">
        <f t="shared" si="81"/>
        <v>157992929.59999999</v>
      </c>
      <c r="D2569" s="39">
        <f t="shared" si="80"/>
        <v>84714255</v>
      </c>
    </row>
    <row r="2570" spans="2:4" x14ac:dyDescent="0.25">
      <c r="B2570" s="89">
        <v>2566</v>
      </c>
      <c r="C2570" s="39">
        <f t="shared" si="81"/>
        <v>157992929.59999999</v>
      </c>
      <c r="D2570" s="39">
        <f t="shared" si="80"/>
        <v>84747282</v>
      </c>
    </row>
    <row r="2571" spans="2:4" x14ac:dyDescent="0.25">
      <c r="B2571" s="89">
        <v>2567</v>
      </c>
      <c r="C2571" s="39">
        <f t="shared" si="81"/>
        <v>157992929.59999999</v>
      </c>
      <c r="D2571" s="39">
        <f t="shared" si="80"/>
        <v>84780309</v>
      </c>
    </row>
    <row r="2572" spans="2:4" x14ac:dyDescent="0.25">
      <c r="B2572" s="89">
        <v>2568</v>
      </c>
      <c r="C2572" s="39">
        <f t="shared" si="81"/>
        <v>157992929.59999999</v>
      </c>
      <c r="D2572" s="39">
        <f t="shared" si="80"/>
        <v>84813336</v>
      </c>
    </row>
    <row r="2573" spans="2:4" x14ac:dyDescent="0.25">
      <c r="B2573" s="89">
        <v>2569</v>
      </c>
      <c r="C2573" s="39">
        <f t="shared" si="81"/>
        <v>157992929.59999999</v>
      </c>
      <c r="D2573" s="39">
        <f t="shared" si="80"/>
        <v>84846363</v>
      </c>
    </row>
    <row r="2574" spans="2:4" x14ac:dyDescent="0.25">
      <c r="B2574" s="89">
        <v>2570</v>
      </c>
      <c r="C2574" s="39">
        <f t="shared" si="81"/>
        <v>157992929.59999999</v>
      </c>
      <c r="D2574" s="39">
        <f t="shared" si="80"/>
        <v>84879390</v>
      </c>
    </row>
    <row r="2575" spans="2:4" x14ac:dyDescent="0.25">
      <c r="B2575" s="89">
        <v>2571</v>
      </c>
      <c r="C2575" s="39">
        <f t="shared" si="81"/>
        <v>157992929.59999999</v>
      </c>
      <c r="D2575" s="39">
        <f t="shared" si="80"/>
        <v>84912417</v>
      </c>
    </row>
    <row r="2576" spans="2:4" x14ac:dyDescent="0.25">
      <c r="B2576" s="89">
        <v>2572</v>
      </c>
      <c r="C2576" s="39">
        <f t="shared" si="81"/>
        <v>157992929.59999999</v>
      </c>
      <c r="D2576" s="39">
        <f t="shared" si="80"/>
        <v>84945444</v>
      </c>
    </row>
    <row r="2577" spans="2:4" x14ac:dyDescent="0.25">
      <c r="B2577" s="89">
        <v>2573</v>
      </c>
      <c r="C2577" s="39">
        <f t="shared" si="81"/>
        <v>157992929.59999999</v>
      </c>
      <c r="D2577" s="39">
        <f t="shared" si="80"/>
        <v>84978471</v>
      </c>
    </row>
    <row r="2578" spans="2:4" x14ac:dyDescent="0.25">
      <c r="B2578" s="89">
        <v>2574</v>
      </c>
      <c r="C2578" s="39">
        <f t="shared" si="81"/>
        <v>157992929.59999999</v>
      </c>
      <c r="D2578" s="39">
        <f t="shared" si="80"/>
        <v>85011498</v>
      </c>
    </row>
    <row r="2579" spans="2:4" x14ac:dyDescent="0.25">
      <c r="B2579" s="89">
        <v>2575</v>
      </c>
      <c r="C2579" s="39">
        <f t="shared" si="81"/>
        <v>157992929.59999999</v>
      </c>
      <c r="D2579" s="39">
        <f t="shared" si="80"/>
        <v>85044525</v>
      </c>
    </row>
    <row r="2580" spans="2:4" x14ac:dyDescent="0.25">
      <c r="B2580" s="89">
        <v>2576</v>
      </c>
      <c r="C2580" s="39">
        <f t="shared" si="81"/>
        <v>157992929.59999999</v>
      </c>
      <c r="D2580" s="39">
        <f t="shared" si="80"/>
        <v>85077552</v>
      </c>
    </row>
    <row r="2581" spans="2:4" x14ac:dyDescent="0.25">
      <c r="B2581" s="89">
        <v>2577</v>
      </c>
      <c r="C2581" s="39">
        <f t="shared" si="81"/>
        <v>157992929.59999999</v>
      </c>
      <c r="D2581" s="39">
        <f t="shared" si="80"/>
        <v>85110579</v>
      </c>
    </row>
    <row r="2582" spans="2:4" x14ac:dyDescent="0.25">
      <c r="B2582" s="89">
        <v>2578</v>
      </c>
      <c r="C2582" s="39">
        <f t="shared" si="81"/>
        <v>157992929.59999999</v>
      </c>
      <c r="D2582" s="39">
        <f t="shared" si="80"/>
        <v>85143606</v>
      </c>
    </row>
    <row r="2583" spans="2:4" x14ac:dyDescent="0.25">
      <c r="B2583" s="89">
        <v>2579</v>
      </c>
      <c r="C2583" s="39">
        <f t="shared" si="81"/>
        <v>157992929.59999999</v>
      </c>
      <c r="D2583" s="39">
        <f t="shared" si="80"/>
        <v>85176633</v>
      </c>
    </row>
    <row r="2584" spans="2:4" x14ac:dyDescent="0.25">
      <c r="B2584" s="89">
        <v>2580</v>
      </c>
      <c r="C2584" s="39">
        <f t="shared" si="81"/>
        <v>157992929.59999999</v>
      </c>
      <c r="D2584" s="39">
        <f t="shared" si="80"/>
        <v>85209660</v>
      </c>
    </row>
    <row r="2585" spans="2:4" x14ac:dyDescent="0.25">
      <c r="B2585" s="89">
        <v>2581</v>
      </c>
      <c r="C2585" s="39">
        <f t="shared" si="81"/>
        <v>157992929.59999999</v>
      </c>
      <c r="D2585" s="39">
        <f t="shared" si="80"/>
        <v>85242687</v>
      </c>
    </row>
    <row r="2586" spans="2:4" x14ac:dyDescent="0.25">
      <c r="B2586" s="89">
        <v>2582</v>
      </c>
      <c r="C2586" s="39">
        <f t="shared" si="81"/>
        <v>157992929.59999999</v>
      </c>
      <c r="D2586" s="39">
        <f t="shared" si="80"/>
        <v>85275714</v>
      </c>
    </row>
    <row r="2587" spans="2:4" x14ac:dyDescent="0.25">
      <c r="B2587" s="89">
        <v>2583</v>
      </c>
      <c r="C2587" s="39">
        <f t="shared" si="81"/>
        <v>157992929.59999999</v>
      </c>
      <c r="D2587" s="39">
        <f t="shared" si="80"/>
        <v>85308741</v>
      </c>
    </row>
    <row r="2588" spans="2:4" x14ac:dyDescent="0.25">
      <c r="B2588" s="89">
        <v>2584</v>
      </c>
      <c r="C2588" s="39">
        <f t="shared" si="81"/>
        <v>157992929.59999999</v>
      </c>
      <c r="D2588" s="39">
        <f t="shared" si="80"/>
        <v>85341768</v>
      </c>
    </row>
    <row r="2589" spans="2:4" x14ac:dyDescent="0.25">
      <c r="B2589" s="89">
        <v>2585</v>
      </c>
      <c r="C2589" s="39">
        <f t="shared" si="81"/>
        <v>157992929.59999999</v>
      </c>
      <c r="D2589" s="39">
        <f t="shared" si="80"/>
        <v>85374795</v>
      </c>
    </row>
    <row r="2590" spans="2:4" x14ac:dyDescent="0.25">
      <c r="B2590" s="89">
        <v>2586</v>
      </c>
      <c r="C2590" s="39">
        <f t="shared" si="81"/>
        <v>157992929.59999999</v>
      </c>
      <c r="D2590" s="39">
        <f t="shared" si="80"/>
        <v>85407822</v>
      </c>
    </row>
    <row r="2591" spans="2:4" x14ac:dyDescent="0.25">
      <c r="B2591" s="89">
        <v>2587</v>
      </c>
      <c r="C2591" s="39">
        <f t="shared" si="81"/>
        <v>157992929.59999999</v>
      </c>
      <c r="D2591" s="39">
        <f t="shared" si="80"/>
        <v>85440849</v>
      </c>
    </row>
    <row r="2592" spans="2:4" x14ac:dyDescent="0.25">
      <c r="B2592" s="89">
        <v>2588</v>
      </c>
      <c r="C2592" s="39">
        <f t="shared" si="81"/>
        <v>157992929.59999999</v>
      </c>
      <c r="D2592" s="39">
        <f t="shared" si="80"/>
        <v>85473876</v>
      </c>
    </row>
    <row r="2593" spans="2:4" x14ac:dyDescent="0.25">
      <c r="B2593" s="89">
        <v>2589</v>
      </c>
      <c r="C2593" s="39">
        <f t="shared" si="81"/>
        <v>157992929.59999999</v>
      </c>
      <c r="D2593" s="39">
        <f t="shared" si="80"/>
        <v>85506903</v>
      </c>
    </row>
    <row r="2594" spans="2:4" x14ac:dyDescent="0.25">
      <c r="B2594" s="89">
        <v>2590</v>
      </c>
      <c r="C2594" s="39">
        <f t="shared" si="81"/>
        <v>157992929.59999999</v>
      </c>
      <c r="D2594" s="39">
        <f t="shared" si="80"/>
        <v>85539930</v>
      </c>
    </row>
    <row r="2595" spans="2:4" x14ac:dyDescent="0.25">
      <c r="B2595" s="89">
        <v>2591</v>
      </c>
      <c r="C2595" s="39">
        <f t="shared" si="81"/>
        <v>157992929.59999999</v>
      </c>
      <c r="D2595" s="39">
        <f t="shared" si="80"/>
        <v>85572957</v>
      </c>
    </row>
    <row r="2596" spans="2:4" x14ac:dyDescent="0.25">
      <c r="B2596" s="89">
        <v>2592</v>
      </c>
      <c r="C2596" s="39">
        <f t="shared" si="81"/>
        <v>157992929.59999999</v>
      </c>
      <c r="D2596" s="39">
        <f t="shared" si="80"/>
        <v>85605984</v>
      </c>
    </row>
    <row r="2597" spans="2:4" x14ac:dyDescent="0.25">
      <c r="B2597" s="89">
        <v>2593</v>
      </c>
      <c r="C2597" s="39">
        <f t="shared" si="81"/>
        <v>157992929.59999999</v>
      </c>
      <c r="D2597" s="39">
        <f t="shared" si="80"/>
        <v>85639011</v>
      </c>
    </row>
    <row r="2598" spans="2:4" x14ac:dyDescent="0.25">
      <c r="B2598" s="89">
        <v>2594</v>
      </c>
      <c r="C2598" s="39">
        <f t="shared" si="81"/>
        <v>157992929.59999999</v>
      </c>
      <c r="D2598" s="39">
        <f t="shared" si="80"/>
        <v>85672038</v>
      </c>
    </row>
    <row r="2599" spans="2:4" x14ac:dyDescent="0.25">
      <c r="B2599" s="89">
        <v>2595</v>
      </c>
      <c r="C2599" s="39">
        <f t="shared" si="81"/>
        <v>157992929.59999999</v>
      </c>
      <c r="D2599" s="39">
        <f t="shared" si="80"/>
        <v>85705065</v>
      </c>
    </row>
    <row r="2600" spans="2:4" x14ac:dyDescent="0.25">
      <c r="B2600" s="89">
        <v>2596</v>
      </c>
      <c r="C2600" s="39">
        <f t="shared" si="81"/>
        <v>157992929.59999999</v>
      </c>
      <c r="D2600" s="39">
        <f t="shared" si="80"/>
        <v>85738092</v>
      </c>
    </row>
    <row r="2601" spans="2:4" x14ac:dyDescent="0.25">
      <c r="B2601" s="89">
        <v>2597</v>
      </c>
      <c r="C2601" s="39">
        <f t="shared" si="81"/>
        <v>157992929.59999999</v>
      </c>
      <c r="D2601" s="39">
        <f t="shared" si="80"/>
        <v>85771119</v>
      </c>
    </row>
    <row r="2602" spans="2:4" x14ac:dyDescent="0.25">
      <c r="B2602" s="89">
        <v>2598</v>
      </c>
      <c r="C2602" s="39">
        <f t="shared" si="81"/>
        <v>157992929.59999999</v>
      </c>
      <c r="D2602" s="39">
        <f t="shared" si="80"/>
        <v>85804146</v>
      </c>
    </row>
    <row r="2603" spans="2:4" x14ac:dyDescent="0.25">
      <c r="B2603" s="89">
        <v>2599</v>
      </c>
      <c r="C2603" s="39">
        <f t="shared" si="81"/>
        <v>157992929.59999999</v>
      </c>
      <c r="D2603" s="39">
        <f t="shared" si="80"/>
        <v>85837173</v>
      </c>
    </row>
    <row r="2604" spans="2:4" x14ac:dyDescent="0.25">
      <c r="B2604" s="89">
        <v>2600</v>
      </c>
      <c r="C2604" s="39">
        <f t="shared" si="81"/>
        <v>157992929.59999999</v>
      </c>
      <c r="D2604" s="39">
        <f t="shared" si="80"/>
        <v>85870200</v>
      </c>
    </row>
    <row r="2605" spans="2:4" x14ac:dyDescent="0.25">
      <c r="B2605" s="89">
        <v>2601</v>
      </c>
      <c r="C2605" s="39">
        <f t="shared" si="81"/>
        <v>157992929.59999999</v>
      </c>
      <c r="D2605" s="39">
        <f t="shared" si="80"/>
        <v>85903227</v>
      </c>
    </row>
    <row r="2606" spans="2:4" x14ac:dyDescent="0.25">
      <c r="B2606" s="89">
        <v>2602</v>
      </c>
      <c r="C2606" s="39">
        <f t="shared" si="81"/>
        <v>157992929.59999999</v>
      </c>
      <c r="D2606" s="39">
        <f t="shared" si="80"/>
        <v>85936254</v>
      </c>
    </row>
    <row r="2607" spans="2:4" x14ac:dyDescent="0.25">
      <c r="B2607" s="89">
        <v>2603</v>
      </c>
      <c r="C2607" s="39">
        <f t="shared" si="81"/>
        <v>157992929.59999999</v>
      </c>
      <c r="D2607" s="39">
        <f t="shared" si="80"/>
        <v>85969281</v>
      </c>
    </row>
    <row r="2608" spans="2:4" x14ac:dyDescent="0.25">
      <c r="B2608" s="89">
        <v>2604</v>
      </c>
      <c r="C2608" s="39">
        <f t="shared" si="81"/>
        <v>157992929.59999999</v>
      </c>
      <c r="D2608" s="39">
        <f t="shared" si="80"/>
        <v>86002308</v>
      </c>
    </row>
    <row r="2609" spans="2:4" x14ac:dyDescent="0.25">
      <c r="B2609" s="89">
        <v>2605</v>
      </c>
      <c r="C2609" s="39">
        <f t="shared" si="81"/>
        <v>157992929.59999999</v>
      </c>
      <c r="D2609" s="39">
        <f t="shared" ref="D2609:D2672" si="82">$D$2*B2609</f>
        <v>86035335</v>
      </c>
    </row>
    <row r="2610" spans="2:4" x14ac:dyDescent="0.25">
      <c r="B2610" s="89">
        <v>2606</v>
      </c>
      <c r="C2610" s="39">
        <f t="shared" si="81"/>
        <v>157992929.59999999</v>
      </c>
      <c r="D2610" s="39">
        <f t="shared" si="82"/>
        <v>86068362</v>
      </c>
    </row>
    <row r="2611" spans="2:4" x14ac:dyDescent="0.25">
      <c r="B2611" s="89">
        <v>2607</v>
      </c>
      <c r="C2611" s="39">
        <f t="shared" si="81"/>
        <v>157992929.59999999</v>
      </c>
      <c r="D2611" s="39">
        <f t="shared" si="82"/>
        <v>86101389</v>
      </c>
    </row>
    <row r="2612" spans="2:4" x14ac:dyDescent="0.25">
      <c r="B2612" s="89">
        <v>2608</v>
      </c>
      <c r="C2612" s="39">
        <f t="shared" si="81"/>
        <v>157992929.59999999</v>
      </c>
      <c r="D2612" s="39">
        <f t="shared" si="82"/>
        <v>86134416</v>
      </c>
    </row>
    <row r="2613" spans="2:4" x14ac:dyDescent="0.25">
      <c r="B2613" s="89">
        <v>2609</v>
      </c>
      <c r="C2613" s="39">
        <f t="shared" si="81"/>
        <v>157992929.59999999</v>
      </c>
      <c r="D2613" s="39">
        <f t="shared" si="82"/>
        <v>86167443</v>
      </c>
    </row>
    <row r="2614" spans="2:4" x14ac:dyDescent="0.25">
      <c r="B2614" s="89">
        <v>2610</v>
      </c>
      <c r="C2614" s="39">
        <f t="shared" si="81"/>
        <v>157992929.59999999</v>
      </c>
      <c r="D2614" s="39">
        <f t="shared" si="82"/>
        <v>86200470</v>
      </c>
    </row>
    <row r="2615" spans="2:4" x14ac:dyDescent="0.25">
      <c r="B2615" s="89">
        <v>2611</v>
      </c>
      <c r="C2615" s="39">
        <f t="shared" si="81"/>
        <v>157992929.59999999</v>
      </c>
      <c r="D2615" s="39">
        <f t="shared" si="82"/>
        <v>86233497</v>
      </c>
    </row>
    <row r="2616" spans="2:4" x14ac:dyDescent="0.25">
      <c r="B2616" s="89">
        <v>2612</v>
      </c>
      <c r="C2616" s="39">
        <f t="shared" si="81"/>
        <v>157992929.59999999</v>
      </c>
      <c r="D2616" s="39">
        <f t="shared" si="82"/>
        <v>86266524</v>
      </c>
    </row>
    <row r="2617" spans="2:4" x14ac:dyDescent="0.25">
      <c r="B2617" s="89">
        <v>2613</v>
      </c>
      <c r="C2617" s="39">
        <f t="shared" si="81"/>
        <v>157992929.59999999</v>
      </c>
      <c r="D2617" s="39">
        <f t="shared" si="82"/>
        <v>86299551</v>
      </c>
    </row>
    <row r="2618" spans="2:4" x14ac:dyDescent="0.25">
      <c r="B2618" s="89">
        <v>2614</v>
      </c>
      <c r="C2618" s="39">
        <f t="shared" si="81"/>
        <v>157992929.59999999</v>
      </c>
      <c r="D2618" s="39">
        <f t="shared" si="82"/>
        <v>86332578</v>
      </c>
    </row>
    <row r="2619" spans="2:4" x14ac:dyDescent="0.25">
      <c r="B2619" s="89">
        <v>2615</v>
      </c>
      <c r="C2619" s="39">
        <f t="shared" si="81"/>
        <v>157992929.59999999</v>
      </c>
      <c r="D2619" s="39">
        <f t="shared" si="82"/>
        <v>86365605</v>
      </c>
    </row>
    <row r="2620" spans="2:4" x14ac:dyDescent="0.25">
      <c r="B2620" s="89">
        <v>2616</v>
      </c>
      <c r="C2620" s="39">
        <f t="shared" si="81"/>
        <v>157992929.59999999</v>
      </c>
      <c r="D2620" s="39">
        <f t="shared" si="82"/>
        <v>86398632</v>
      </c>
    </row>
    <row r="2621" spans="2:4" x14ac:dyDescent="0.25">
      <c r="B2621" s="89">
        <v>2617</v>
      </c>
      <c r="C2621" s="39">
        <f t="shared" si="81"/>
        <v>157992929.59999999</v>
      </c>
      <c r="D2621" s="39">
        <f t="shared" si="82"/>
        <v>86431659</v>
      </c>
    </row>
    <row r="2622" spans="2:4" x14ac:dyDescent="0.25">
      <c r="B2622" s="89">
        <v>2618</v>
      </c>
      <c r="C2622" s="39">
        <f t="shared" si="81"/>
        <v>157992929.59999999</v>
      </c>
      <c r="D2622" s="39">
        <f t="shared" si="82"/>
        <v>86464686</v>
      </c>
    </row>
    <row r="2623" spans="2:4" x14ac:dyDescent="0.25">
      <c r="B2623" s="89">
        <v>2619</v>
      </c>
      <c r="C2623" s="39">
        <f t="shared" si="81"/>
        <v>157992929.59999999</v>
      </c>
      <c r="D2623" s="39">
        <f t="shared" si="82"/>
        <v>86497713</v>
      </c>
    </row>
    <row r="2624" spans="2:4" x14ac:dyDescent="0.25">
      <c r="B2624" s="89">
        <v>2620</v>
      </c>
      <c r="C2624" s="39">
        <f t="shared" si="81"/>
        <v>157992929.59999999</v>
      </c>
      <c r="D2624" s="39">
        <f t="shared" si="82"/>
        <v>86530740</v>
      </c>
    </row>
    <row r="2625" spans="2:4" x14ac:dyDescent="0.25">
      <c r="B2625" s="89">
        <v>2621</v>
      </c>
      <c r="C2625" s="39">
        <f t="shared" si="81"/>
        <v>157992929.59999999</v>
      </c>
      <c r="D2625" s="39">
        <f t="shared" si="82"/>
        <v>86563767</v>
      </c>
    </row>
    <row r="2626" spans="2:4" x14ac:dyDescent="0.25">
      <c r="B2626" s="89">
        <v>2622</v>
      </c>
      <c r="C2626" s="39">
        <f t="shared" si="81"/>
        <v>157992929.59999999</v>
      </c>
      <c r="D2626" s="39">
        <f t="shared" si="82"/>
        <v>86596794</v>
      </c>
    </row>
    <row r="2627" spans="2:4" x14ac:dyDescent="0.25">
      <c r="B2627" s="89">
        <v>2623</v>
      </c>
      <c r="C2627" s="39">
        <f t="shared" si="81"/>
        <v>157992929.59999999</v>
      </c>
      <c r="D2627" s="39">
        <f t="shared" si="82"/>
        <v>86629821</v>
      </c>
    </row>
    <row r="2628" spans="2:4" x14ac:dyDescent="0.25">
      <c r="B2628" s="89">
        <v>2624</v>
      </c>
      <c r="C2628" s="39">
        <f t="shared" si="81"/>
        <v>157992929.59999999</v>
      </c>
      <c r="D2628" s="39">
        <f t="shared" si="82"/>
        <v>86662848</v>
      </c>
    </row>
    <row r="2629" spans="2:4" x14ac:dyDescent="0.25">
      <c r="B2629" s="89">
        <v>2625</v>
      </c>
      <c r="C2629" s="39">
        <f t="shared" si="81"/>
        <v>157992929.59999999</v>
      </c>
      <c r="D2629" s="39">
        <f t="shared" si="82"/>
        <v>86695875</v>
      </c>
    </row>
    <row r="2630" spans="2:4" x14ac:dyDescent="0.25">
      <c r="B2630" s="89">
        <v>2626</v>
      </c>
      <c r="C2630" s="39">
        <f t="shared" ref="C2630:C2693" si="83">$C2629</f>
        <v>157992929.59999999</v>
      </c>
      <c r="D2630" s="39">
        <f t="shared" si="82"/>
        <v>86728902</v>
      </c>
    </row>
    <row r="2631" spans="2:4" x14ac:dyDescent="0.25">
      <c r="B2631" s="89">
        <v>2627</v>
      </c>
      <c r="C2631" s="39">
        <f t="shared" si="83"/>
        <v>157992929.59999999</v>
      </c>
      <c r="D2631" s="39">
        <f t="shared" si="82"/>
        <v>86761929</v>
      </c>
    </row>
    <row r="2632" spans="2:4" x14ac:dyDescent="0.25">
      <c r="B2632" s="89">
        <v>2628</v>
      </c>
      <c r="C2632" s="39">
        <f t="shared" si="83"/>
        <v>157992929.59999999</v>
      </c>
      <c r="D2632" s="39">
        <f t="shared" si="82"/>
        <v>86794956</v>
      </c>
    </row>
    <row r="2633" spans="2:4" x14ac:dyDescent="0.25">
      <c r="B2633" s="89">
        <v>2629</v>
      </c>
      <c r="C2633" s="39">
        <f t="shared" si="83"/>
        <v>157992929.59999999</v>
      </c>
      <c r="D2633" s="39">
        <f t="shared" si="82"/>
        <v>86827983</v>
      </c>
    </row>
    <row r="2634" spans="2:4" x14ac:dyDescent="0.25">
      <c r="B2634" s="89">
        <v>2630</v>
      </c>
      <c r="C2634" s="39">
        <f t="shared" si="83"/>
        <v>157992929.59999999</v>
      </c>
      <c r="D2634" s="39">
        <f t="shared" si="82"/>
        <v>86861010</v>
      </c>
    </row>
    <row r="2635" spans="2:4" x14ac:dyDescent="0.25">
      <c r="B2635" s="89">
        <v>2631</v>
      </c>
      <c r="C2635" s="39">
        <f t="shared" si="83"/>
        <v>157992929.59999999</v>
      </c>
      <c r="D2635" s="39">
        <f t="shared" si="82"/>
        <v>86894037</v>
      </c>
    </row>
    <row r="2636" spans="2:4" x14ac:dyDescent="0.25">
      <c r="B2636" s="89">
        <v>2632</v>
      </c>
      <c r="C2636" s="39">
        <f t="shared" si="83"/>
        <v>157992929.59999999</v>
      </c>
      <c r="D2636" s="39">
        <f t="shared" si="82"/>
        <v>86927064</v>
      </c>
    </row>
    <row r="2637" spans="2:4" x14ac:dyDescent="0.25">
      <c r="B2637" s="89">
        <v>2633</v>
      </c>
      <c r="C2637" s="39">
        <f t="shared" si="83"/>
        <v>157992929.59999999</v>
      </c>
      <c r="D2637" s="39">
        <f t="shared" si="82"/>
        <v>86960091</v>
      </c>
    </row>
    <row r="2638" spans="2:4" x14ac:dyDescent="0.25">
      <c r="B2638" s="89">
        <v>2634</v>
      </c>
      <c r="C2638" s="39">
        <f t="shared" si="83"/>
        <v>157992929.59999999</v>
      </c>
      <c r="D2638" s="39">
        <f t="shared" si="82"/>
        <v>86993118</v>
      </c>
    </row>
    <row r="2639" spans="2:4" x14ac:dyDescent="0.25">
      <c r="B2639" s="89">
        <v>2635</v>
      </c>
      <c r="C2639" s="39">
        <f t="shared" si="83"/>
        <v>157992929.59999999</v>
      </c>
      <c r="D2639" s="39">
        <f t="shared" si="82"/>
        <v>87026145</v>
      </c>
    </row>
    <row r="2640" spans="2:4" x14ac:dyDescent="0.25">
      <c r="B2640" s="89">
        <v>2636</v>
      </c>
      <c r="C2640" s="39">
        <f t="shared" si="83"/>
        <v>157992929.59999999</v>
      </c>
      <c r="D2640" s="39">
        <f t="shared" si="82"/>
        <v>87059172</v>
      </c>
    </row>
    <row r="2641" spans="2:4" x14ac:dyDescent="0.25">
      <c r="B2641" s="89">
        <v>2637</v>
      </c>
      <c r="C2641" s="39">
        <f t="shared" si="83"/>
        <v>157992929.59999999</v>
      </c>
      <c r="D2641" s="39">
        <f t="shared" si="82"/>
        <v>87092199</v>
      </c>
    </row>
    <row r="2642" spans="2:4" x14ac:dyDescent="0.25">
      <c r="B2642" s="89">
        <v>2638</v>
      </c>
      <c r="C2642" s="39">
        <f t="shared" si="83"/>
        <v>157992929.59999999</v>
      </c>
      <c r="D2642" s="39">
        <f t="shared" si="82"/>
        <v>87125226</v>
      </c>
    </row>
    <row r="2643" spans="2:4" x14ac:dyDescent="0.25">
      <c r="B2643" s="89">
        <v>2639</v>
      </c>
      <c r="C2643" s="39">
        <f t="shared" si="83"/>
        <v>157992929.59999999</v>
      </c>
      <c r="D2643" s="39">
        <f t="shared" si="82"/>
        <v>87158253</v>
      </c>
    </row>
    <row r="2644" spans="2:4" x14ac:dyDescent="0.25">
      <c r="B2644" s="89">
        <v>2640</v>
      </c>
      <c r="C2644" s="39">
        <f t="shared" si="83"/>
        <v>157992929.59999999</v>
      </c>
      <c r="D2644" s="39">
        <f t="shared" si="82"/>
        <v>87191280</v>
      </c>
    </row>
    <row r="2645" spans="2:4" x14ac:dyDescent="0.25">
      <c r="B2645" s="89">
        <v>2641</v>
      </c>
      <c r="C2645" s="39">
        <f t="shared" si="83"/>
        <v>157992929.59999999</v>
      </c>
      <c r="D2645" s="39">
        <f t="shared" si="82"/>
        <v>87224307</v>
      </c>
    </row>
    <row r="2646" spans="2:4" x14ac:dyDescent="0.25">
      <c r="B2646" s="89">
        <v>2642</v>
      </c>
      <c r="C2646" s="39">
        <f t="shared" si="83"/>
        <v>157992929.59999999</v>
      </c>
      <c r="D2646" s="39">
        <f t="shared" si="82"/>
        <v>87257334</v>
      </c>
    </row>
    <row r="2647" spans="2:4" x14ac:dyDescent="0.25">
      <c r="B2647" s="89">
        <v>2643</v>
      </c>
      <c r="C2647" s="39">
        <f t="shared" si="83"/>
        <v>157992929.59999999</v>
      </c>
      <c r="D2647" s="39">
        <f t="shared" si="82"/>
        <v>87290361</v>
      </c>
    </row>
    <row r="2648" spans="2:4" x14ac:dyDescent="0.25">
      <c r="B2648" s="89">
        <v>2644</v>
      </c>
      <c r="C2648" s="39">
        <f t="shared" si="83"/>
        <v>157992929.59999999</v>
      </c>
      <c r="D2648" s="39">
        <f t="shared" si="82"/>
        <v>87323388</v>
      </c>
    </row>
    <row r="2649" spans="2:4" x14ac:dyDescent="0.25">
      <c r="B2649" s="89">
        <v>2645</v>
      </c>
      <c r="C2649" s="39">
        <f t="shared" si="83"/>
        <v>157992929.59999999</v>
      </c>
      <c r="D2649" s="39">
        <f t="shared" si="82"/>
        <v>87356415</v>
      </c>
    </row>
    <row r="2650" spans="2:4" x14ac:dyDescent="0.25">
      <c r="B2650" s="89">
        <v>2646</v>
      </c>
      <c r="C2650" s="39">
        <f t="shared" si="83"/>
        <v>157992929.59999999</v>
      </c>
      <c r="D2650" s="39">
        <f t="shared" si="82"/>
        <v>87389442</v>
      </c>
    </row>
    <row r="2651" spans="2:4" x14ac:dyDescent="0.25">
      <c r="B2651" s="89">
        <v>2647</v>
      </c>
      <c r="C2651" s="39">
        <f t="shared" si="83"/>
        <v>157992929.59999999</v>
      </c>
      <c r="D2651" s="39">
        <f t="shared" si="82"/>
        <v>87422469</v>
      </c>
    </row>
    <row r="2652" spans="2:4" x14ac:dyDescent="0.25">
      <c r="B2652" s="89">
        <v>2648</v>
      </c>
      <c r="C2652" s="39">
        <f t="shared" si="83"/>
        <v>157992929.59999999</v>
      </c>
      <c r="D2652" s="39">
        <f t="shared" si="82"/>
        <v>87455496</v>
      </c>
    </row>
    <row r="2653" spans="2:4" x14ac:dyDescent="0.25">
      <c r="B2653" s="89">
        <v>2649</v>
      </c>
      <c r="C2653" s="39">
        <f t="shared" si="83"/>
        <v>157992929.59999999</v>
      </c>
      <c r="D2653" s="39">
        <f t="shared" si="82"/>
        <v>87488523</v>
      </c>
    </row>
    <row r="2654" spans="2:4" x14ac:dyDescent="0.25">
      <c r="B2654" s="89">
        <v>2650</v>
      </c>
      <c r="C2654" s="39">
        <f t="shared" si="83"/>
        <v>157992929.59999999</v>
      </c>
      <c r="D2654" s="39">
        <f t="shared" si="82"/>
        <v>87521550</v>
      </c>
    </row>
    <row r="2655" spans="2:4" x14ac:dyDescent="0.25">
      <c r="B2655" s="89">
        <v>2651</v>
      </c>
      <c r="C2655" s="39">
        <f t="shared" si="83"/>
        <v>157992929.59999999</v>
      </c>
      <c r="D2655" s="39">
        <f t="shared" si="82"/>
        <v>87554577</v>
      </c>
    </row>
    <row r="2656" spans="2:4" x14ac:dyDescent="0.25">
      <c r="B2656" s="89">
        <v>2652</v>
      </c>
      <c r="C2656" s="39">
        <f t="shared" si="83"/>
        <v>157992929.59999999</v>
      </c>
      <c r="D2656" s="39">
        <f t="shared" si="82"/>
        <v>87587604</v>
      </c>
    </row>
    <row r="2657" spans="2:4" x14ac:dyDescent="0.25">
      <c r="B2657" s="89">
        <v>2653</v>
      </c>
      <c r="C2657" s="39">
        <f t="shared" si="83"/>
        <v>157992929.59999999</v>
      </c>
      <c r="D2657" s="39">
        <f t="shared" si="82"/>
        <v>87620631</v>
      </c>
    </row>
    <row r="2658" spans="2:4" x14ac:dyDescent="0.25">
      <c r="B2658" s="89">
        <v>2654</v>
      </c>
      <c r="C2658" s="39">
        <f t="shared" si="83"/>
        <v>157992929.59999999</v>
      </c>
      <c r="D2658" s="39">
        <f t="shared" si="82"/>
        <v>87653658</v>
      </c>
    </row>
    <row r="2659" spans="2:4" x14ac:dyDescent="0.25">
      <c r="B2659" s="89">
        <v>2655</v>
      </c>
      <c r="C2659" s="39">
        <f t="shared" si="83"/>
        <v>157992929.59999999</v>
      </c>
      <c r="D2659" s="39">
        <f t="shared" si="82"/>
        <v>87686685</v>
      </c>
    </row>
    <row r="2660" spans="2:4" x14ac:dyDescent="0.25">
      <c r="B2660" s="89">
        <v>2656</v>
      </c>
      <c r="C2660" s="39">
        <f t="shared" si="83"/>
        <v>157992929.59999999</v>
      </c>
      <c r="D2660" s="39">
        <f t="shared" si="82"/>
        <v>87719712</v>
      </c>
    </row>
    <row r="2661" spans="2:4" x14ac:dyDescent="0.25">
      <c r="B2661" s="89">
        <v>2657</v>
      </c>
      <c r="C2661" s="39">
        <f t="shared" si="83"/>
        <v>157992929.59999999</v>
      </c>
      <c r="D2661" s="39">
        <f t="shared" si="82"/>
        <v>87752739</v>
      </c>
    </row>
    <row r="2662" spans="2:4" x14ac:dyDescent="0.25">
      <c r="B2662" s="89">
        <v>2658</v>
      </c>
      <c r="C2662" s="39">
        <f t="shared" si="83"/>
        <v>157992929.59999999</v>
      </c>
      <c r="D2662" s="39">
        <f t="shared" si="82"/>
        <v>87785766</v>
      </c>
    </row>
    <row r="2663" spans="2:4" x14ac:dyDescent="0.25">
      <c r="B2663" s="89">
        <v>2659</v>
      </c>
      <c r="C2663" s="39">
        <f t="shared" si="83"/>
        <v>157992929.59999999</v>
      </c>
      <c r="D2663" s="39">
        <f t="shared" si="82"/>
        <v>87818793</v>
      </c>
    </row>
    <row r="2664" spans="2:4" x14ac:dyDescent="0.25">
      <c r="B2664" s="89">
        <v>2660</v>
      </c>
      <c r="C2664" s="39">
        <f t="shared" si="83"/>
        <v>157992929.59999999</v>
      </c>
      <c r="D2664" s="39">
        <f t="shared" si="82"/>
        <v>87851820</v>
      </c>
    </row>
    <row r="2665" spans="2:4" x14ac:dyDescent="0.25">
      <c r="B2665" s="89">
        <v>2661</v>
      </c>
      <c r="C2665" s="39">
        <f t="shared" si="83"/>
        <v>157992929.59999999</v>
      </c>
      <c r="D2665" s="39">
        <f t="shared" si="82"/>
        <v>87884847</v>
      </c>
    </row>
    <row r="2666" spans="2:4" x14ac:dyDescent="0.25">
      <c r="B2666" s="89">
        <v>2662</v>
      </c>
      <c r="C2666" s="39">
        <f t="shared" si="83"/>
        <v>157992929.59999999</v>
      </c>
      <c r="D2666" s="39">
        <f t="shared" si="82"/>
        <v>87917874</v>
      </c>
    </row>
    <row r="2667" spans="2:4" x14ac:dyDescent="0.25">
      <c r="B2667" s="89">
        <v>2663</v>
      </c>
      <c r="C2667" s="39">
        <f t="shared" si="83"/>
        <v>157992929.59999999</v>
      </c>
      <c r="D2667" s="39">
        <f t="shared" si="82"/>
        <v>87950901</v>
      </c>
    </row>
    <row r="2668" spans="2:4" x14ac:dyDescent="0.25">
      <c r="B2668" s="89">
        <v>2664</v>
      </c>
      <c r="C2668" s="39">
        <f t="shared" si="83"/>
        <v>157992929.59999999</v>
      </c>
      <c r="D2668" s="39">
        <f t="shared" si="82"/>
        <v>87983928</v>
      </c>
    </row>
    <row r="2669" spans="2:4" x14ac:dyDescent="0.25">
      <c r="B2669" s="89">
        <v>2665</v>
      </c>
      <c r="C2669" s="39">
        <f t="shared" si="83"/>
        <v>157992929.59999999</v>
      </c>
      <c r="D2669" s="39">
        <f t="shared" si="82"/>
        <v>88016955</v>
      </c>
    </row>
    <row r="2670" spans="2:4" x14ac:dyDescent="0.25">
      <c r="B2670" s="89">
        <v>2666</v>
      </c>
      <c r="C2670" s="39">
        <f t="shared" si="83"/>
        <v>157992929.59999999</v>
      </c>
      <c r="D2670" s="39">
        <f t="shared" si="82"/>
        <v>88049982</v>
      </c>
    </row>
    <row r="2671" spans="2:4" x14ac:dyDescent="0.25">
      <c r="B2671" s="89">
        <v>2667</v>
      </c>
      <c r="C2671" s="39">
        <f t="shared" si="83"/>
        <v>157992929.59999999</v>
      </c>
      <c r="D2671" s="39">
        <f t="shared" si="82"/>
        <v>88083009</v>
      </c>
    </row>
    <row r="2672" spans="2:4" x14ac:dyDescent="0.25">
      <c r="B2672" s="89">
        <v>2668</v>
      </c>
      <c r="C2672" s="39">
        <f t="shared" si="83"/>
        <v>157992929.59999999</v>
      </c>
      <c r="D2672" s="39">
        <f t="shared" si="82"/>
        <v>88116036</v>
      </c>
    </row>
    <row r="2673" spans="2:4" x14ac:dyDescent="0.25">
      <c r="B2673" s="89">
        <v>2669</v>
      </c>
      <c r="C2673" s="39">
        <f t="shared" si="83"/>
        <v>157992929.59999999</v>
      </c>
      <c r="D2673" s="39">
        <f t="shared" ref="D2673:D2736" si="84">$D$2*B2673</f>
        <v>88149063</v>
      </c>
    </row>
    <row r="2674" spans="2:4" x14ac:dyDescent="0.25">
      <c r="B2674" s="89">
        <v>2670</v>
      </c>
      <c r="C2674" s="39">
        <f t="shared" si="83"/>
        <v>157992929.59999999</v>
      </c>
      <c r="D2674" s="39">
        <f t="shared" si="84"/>
        <v>88182090</v>
      </c>
    </row>
    <row r="2675" spans="2:4" x14ac:dyDescent="0.25">
      <c r="B2675" s="89">
        <v>2671</v>
      </c>
      <c r="C2675" s="39">
        <f t="shared" si="83"/>
        <v>157992929.59999999</v>
      </c>
      <c r="D2675" s="39">
        <f t="shared" si="84"/>
        <v>88215117</v>
      </c>
    </row>
    <row r="2676" spans="2:4" x14ac:dyDescent="0.25">
      <c r="B2676" s="89">
        <v>2672</v>
      </c>
      <c r="C2676" s="39">
        <f t="shared" si="83"/>
        <v>157992929.59999999</v>
      </c>
      <c r="D2676" s="39">
        <f t="shared" si="84"/>
        <v>88248144</v>
      </c>
    </row>
    <row r="2677" spans="2:4" x14ac:dyDescent="0.25">
      <c r="B2677" s="89">
        <v>2673</v>
      </c>
      <c r="C2677" s="39">
        <f t="shared" si="83"/>
        <v>157992929.59999999</v>
      </c>
      <c r="D2677" s="39">
        <f t="shared" si="84"/>
        <v>88281171</v>
      </c>
    </row>
    <row r="2678" spans="2:4" x14ac:dyDescent="0.25">
      <c r="B2678" s="89">
        <v>2674</v>
      </c>
      <c r="C2678" s="39">
        <f t="shared" si="83"/>
        <v>157992929.59999999</v>
      </c>
      <c r="D2678" s="39">
        <f t="shared" si="84"/>
        <v>88314198</v>
      </c>
    </row>
    <row r="2679" spans="2:4" x14ac:dyDescent="0.25">
      <c r="B2679" s="89">
        <v>2675</v>
      </c>
      <c r="C2679" s="39">
        <f t="shared" si="83"/>
        <v>157992929.59999999</v>
      </c>
      <c r="D2679" s="39">
        <f t="shared" si="84"/>
        <v>88347225</v>
      </c>
    </row>
    <row r="2680" spans="2:4" x14ac:dyDescent="0.25">
      <c r="B2680" s="89">
        <v>2676</v>
      </c>
      <c r="C2680" s="39">
        <f t="shared" si="83"/>
        <v>157992929.59999999</v>
      </c>
      <c r="D2680" s="39">
        <f t="shared" si="84"/>
        <v>88380252</v>
      </c>
    </row>
    <row r="2681" spans="2:4" x14ac:dyDescent="0.25">
      <c r="B2681" s="89">
        <v>2677</v>
      </c>
      <c r="C2681" s="39">
        <f t="shared" si="83"/>
        <v>157992929.59999999</v>
      </c>
      <c r="D2681" s="39">
        <f t="shared" si="84"/>
        <v>88413279</v>
      </c>
    </row>
    <row r="2682" spans="2:4" x14ac:dyDescent="0.25">
      <c r="B2682" s="89">
        <v>2678</v>
      </c>
      <c r="C2682" s="39">
        <f t="shared" si="83"/>
        <v>157992929.59999999</v>
      </c>
      <c r="D2682" s="39">
        <f t="shared" si="84"/>
        <v>88446306</v>
      </c>
    </row>
    <row r="2683" spans="2:4" x14ac:dyDescent="0.25">
      <c r="B2683" s="89">
        <v>2679</v>
      </c>
      <c r="C2683" s="39">
        <f t="shared" si="83"/>
        <v>157992929.59999999</v>
      </c>
      <c r="D2683" s="39">
        <f t="shared" si="84"/>
        <v>88479333</v>
      </c>
    </row>
    <row r="2684" spans="2:4" x14ac:dyDescent="0.25">
      <c r="B2684" s="89">
        <v>2680</v>
      </c>
      <c r="C2684" s="39">
        <f t="shared" si="83"/>
        <v>157992929.59999999</v>
      </c>
      <c r="D2684" s="39">
        <f t="shared" si="84"/>
        <v>88512360</v>
      </c>
    </row>
    <row r="2685" spans="2:4" x14ac:dyDescent="0.25">
      <c r="B2685" s="89">
        <v>2681</v>
      </c>
      <c r="C2685" s="39">
        <f t="shared" si="83"/>
        <v>157992929.59999999</v>
      </c>
      <c r="D2685" s="39">
        <f t="shared" si="84"/>
        <v>88545387</v>
      </c>
    </row>
    <row r="2686" spans="2:4" x14ac:dyDescent="0.25">
      <c r="B2686" s="89">
        <v>2682</v>
      </c>
      <c r="C2686" s="39">
        <f t="shared" si="83"/>
        <v>157992929.59999999</v>
      </c>
      <c r="D2686" s="39">
        <f t="shared" si="84"/>
        <v>88578414</v>
      </c>
    </row>
    <row r="2687" spans="2:4" x14ac:dyDescent="0.25">
      <c r="B2687" s="89">
        <v>2683</v>
      </c>
      <c r="C2687" s="39">
        <f t="shared" si="83"/>
        <v>157992929.59999999</v>
      </c>
      <c r="D2687" s="39">
        <f t="shared" si="84"/>
        <v>88611441</v>
      </c>
    </row>
    <row r="2688" spans="2:4" x14ac:dyDescent="0.25">
      <c r="B2688" s="89">
        <v>2684</v>
      </c>
      <c r="C2688" s="39">
        <f t="shared" si="83"/>
        <v>157992929.59999999</v>
      </c>
      <c r="D2688" s="39">
        <f t="shared" si="84"/>
        <v>88644468</v>
      </c>
    </row>
    <row r="2689" spans="2:4" x14ac:dyDescent="0.25">
      <c r="B2689" s="89">
        <v>2685</v>
      </c>
      <c r="C2689" s="39">
        <f t="shared" si="83"/>
        <v>157992929.59999999</v>
      </c>
      <c r="D2689" s="39">
        <f t="shared" si="84"/>
        <v>88677495</v>
      </c>
    </row>
    <row r="2690" spans="2:4" x14ac:dyDescent="0.25">
      <c r="B2690" s="89">
        <v>2686</v>
      </c>
      <c r="C2690" s="39">
        <f t="shared" si="83"/>
        <v>157992929.59999999</v>
      </c>
      <c r="D2690" s="39">
        <f t="shared" si="84"/>
        <v>88710522</v>
      </c>
    </row>
    <row r="2691" spans="2:4" x14ac:dyDescent="0.25">
      <c r="B2691" s="89">
        <v>2687</v>
      </c>
      <c r="C2691" s="39">
        <f t="shared" si="83"/>
        <v>157992929.59999999</v>
      </c>
      <c r="D2691" s="39">
        <f t="shared" si="84"/>
        <v>88743549</v>
      </c>
    </row>
    <row r="2692" spans="2:4" x14ac:dyDescent="0.25">
      <c r="B2692" s="89">
        <v>2688</v>
      </c>
      <c r="C2692" s="39">
        <f t="shared" si="83"/>
        <v>157992929.59999999</v>
      </c>
      <c r="D2692" s="39">
        <f t="shared" si="84"/>
        <v>88776576</v>
      </c>
    </row>
    <row r="2693" spans="2:4" x14ac:dyDescent="0.25">
      <c r="B2693" s="89">
        <v>2689</v>
      </c>
      <c r="C2693" s="39">
        <f t="shared" si="83"/>
        <v>157992929.59999999</v>
      </c>
      <c r="D2693" s="39">
        <f t="shared" si="84"/>
        <v>88809603</v>
      </c>
    </row>
    <row r="2694" spans="2:4" x14ac:dyDescent="0.25">
      <c r="B2694" s="89">
        <v>2690</v>
      </c>
      <c r="C2694" s="39">
        <f t="shared" ref="C2694:C2757" si="85">$C2693</f>
        <v>157992929.59999999</v>
      </c>
      <c r="D2694" s="39">
        <f t="shared" si="84"/>
        <v>88842630</v>
      </c>
    </row>
    <row r="2695" spans="2:4" x14ac:dyDescent="0.25">
      <c r="B2695" s="89">
        <v>2691</v>
      </c>
      <c r="C2695" s="39">
        <f t="shared" si="85"/>
        <v>157992929.59999999</v>
      </c>
      <c r="D2695" s="39">
        <f t="shared" si="84"/>
        <v>88875657</v>
      </c>
    </row>
    <row r="2696" spans="2:4" x14ac:dyDescent="0.25">
      <c r="B2696" s="89">
        <v>2692</v>
      </c>
      <c r="C2696" s="39">
        <f t="shared" si="85"/>
        <v>157992929.59999999</v>
      </c>
      <c r="D2696" s="39">
        <f t="shared" si="84"/>
        <v>88908684</v>
      </c>
    </row>
    <row r="2697" spans="2:4" x14ac:dyDescent="0.25">
      <c r="B2697" s="89">
        <v>2693</v>
      </c>
      <c r="C2697" s="39">
        <f t="shared" si="85"/>
        <v>157992929.59999999</v>
      </c>
      <c r="D2697" s="39">
        <f t="shared" si="84"/>
        <v>88941711</v>
      </c>
    </row>
    <row r="2698" spans="2:4" x14ac:dyDescent="0.25">
      <c r="B2698" s="89">
        <v>2694</v>
      </c>
      <c r="C2698" s="39">
        <f t="shared" si="85"/>
        <v>157992929.59999999</v>
      </c>
      <c r="D2698" s="39">
        <f t="shared" si="84"/>
        <v>88974738</v>
      </c>
    </row>
    <row r="2699" spans="2:4" x14ac:dyDescent="0.25">
      <c r="B2699" s="89">
        <v>2695</v>
      </c>
      <c r="C2699" s="39">
        <f t="shared" si="85"/>
        <v>157992929.59999999</v>
      </c>
      <c r="D2699" s="39">
        <f t="shared" si="84"/>
        <v>89007765</v>
      </c>
    </row>
    <row r="2700" spans="2:4" x14ac:dyDescent="0.25">
      <c r="B2700" s="89">
        <v>2696</v>
      </c>
      <c r="C2700" s="39">
        <f t="shared" si="85"/>
        <v>157992929.59999999</v>
      </c>
      <c r="D2700" s="39">
        <f t="shared" si="84"/>
        <v>89040792</v>
      </c>
    </row>
    <row r="2701" spans="2:4" x14ac:dyDescent="0.25">
      <c r="B2701" s="89">
        <v>2697</v>
      </c>
      <c r="C2701" s="39">
        <f t="shared" si="85"/>
        <v>157992929.59999999</v>
      </c>
      <c r="D2701" s="39">
        <f t="shared" si="84"/>
        <v>89073819</v>
      </c>
    </row>
    <row r="2702" spans="2:4" x14ac:dyDescent="0.25">
      <c r="B2702" s="89">
        <v>2698</v>
      </c>
      <c r="C2702" s="39">
        <f t="shared" si="85"/>
        <v>157992929.59999999</v>
      </c>
      <c r="D2702" s="39">
        <f t="shared" si="84"/>
        <v>89106846</v>
      </c>
    </row>
    <row r="2703" spans="2:4" x14ac:dyDescent="0.25">
      <c r="B2703" s="89">
        <v>2699</v>
      </c>
      <c r="C2703" s="39">
        <f t="shared" si="85"/>
        <v>157992929.59999999</v>
      </c>
      <c r="D2703" s="39">
        <f t="shared" si="84"/>
        <v>89139873</v>
      </c>
    </row>
    <row r="2704" spans="2:4" x14ac:dyDescent="0.25">
      <c r="B2704" s="89">
        <v>2700</v>
      </c>
      <c r="C2704" s="39">
        <f t="shared" si="85"/>
        <v>157992929.59999999</v>
      </c>
      <c r="D2704" s="39">
        <f t="shared" si="84"/>
        <v>89172900</v>
      </c>
    </row>
    <row r="2705" spans="2:4" x14ac:dyDescent="0.25">
      <c r="B2705" s="89">
        <v>2701</v>
      </c>
      <c r="C2705" s="39">
        <f t="shared" si="85"/>
        <v>157992929.59999999</v>
      </c>
      <c r="D2705" s="39">
        <f t="shared" si="84"/>
        <v>89205927</v>
      </c>
    </row>
    <row r="2706" spans="2:4" x14ac:dyDescent="0.25">
      <c r="B2706" s="89">
        <v>2702</v>
      </c>
      <c r="C2706" s="39">
        <f t="shared" si="85"/>
        <v>157992929.59999999</v>
      </c>
      <c r="D2706" s="39">
        <f t="shared" si="84"/>
        <v>89238954</v>
      </c>
    </row>
    <row r="2707" spans="2:4" x14ac:dyDescent="0.25">
      <c r="B2707" s="89">
        <v>2703</v>
      </c>
      <c r="C2707" s="39">
        <f t="shared" si="85"/>
        <v>157992929.59999999</v>
      </c>
      <c r="D2707" s="39">
        <f t="shared" si="84"/>
        <v>89271981</v>
      </c>
    </row>
    <row r="2708" spans="2:4" x14ac:dyDescent="0.25">
      <c r="B2708" s="89">
        <v>2704</v>
      </c>
      <c r="C2708" s="39">
        <f t="shared" si="85"/>
        <v>157992929.59999999</v>
      </c>
      <c r="D2708" s="39">
        <f t="shared" si="84"/>
        <v>89305008</v>
      </c>
    </row>
    <row r="2709" spans="2:4" x14ac:dyDescent="0.25">
      <c r="B2709" s="89">
        <v>2705</v>
      </c>
      <c r="C2709" s="39">
        <f t="shared" si="85"/>
        <v>157992929.59999999</v>
      </c>
      <c r="D2709" s="39">
        <f t="shared" si="84"/>
        <v>89338035</v>
      </c>
    </row>
    <row r="2710" spans="2:4" x14ac:dyDescent="0.25">
      <c r="B2710" s="89">
        <v>2706</v>
      </c>
      <c r="C2710" s="39">
        <f t="shared" si="85"/>
        <v>157992929.59999999</v>
      </c>
      <c r="D2710" s="39">
        <f t="shared" si="84"/>
        <v>89371062</v>
      </c>
    </row>
    <row r="2711" spans="2:4" x14ac:dyDescent="0.25">
      <c r="B2711" s="89">
        <v>2707</v>
      </c>
      <c r="C2711" s="39">
        <f t="shared" si="85"/>
        <v>157992929.59999999</v>
      </c>
      <c r="D2711" s="39">
        <f t="shared" si="84"/>
        <v>89404089</v>
      </c>
    </row>
    <row r="2712" spans="2:4" x14ac:dyDescent="0.25">
      <c r="B2712" s="89">
        <v>2708</v>
      </c>
      <c r="C2712" s="39">
        <f t="shared" si="85"/>
        <v>157992929.59999999</v>
      </c>
      <c r="D2712" s="39">
        <f t="shared" si="84"/>
        <v>89437116</v>
      </c>
    </row>
    <row r="2713" spans="2:4" x14ac:dyDescent="0.25">
      <c r="B2713" s="89">
        <v>2709</v>
      </c>
      <c r="C2713" s="39">
        <f t="shared" si="85"/>
        <v>157992929.59999999</v>
      </c>
      <c r="D2713" s="39">
        <f t="shared" si="84"/>
        <v>89470143</v>
      </c>
    </row>
    <row r="2714" spans="2:4" x14ac:dyDescent="0.25">
      <c r="B2714" s="89">
        <v>2710</v>
      </c>
      <c r="C2714" s="39">
        <f t="shared" si="85"/>
        <v>157992929.59999999</v>
      </c>
      <c r="D2714" s="39">
        <f t="shared" si="84"/>
        <v>89503170</v>
      </c>
    </row>
    <row r="2715" spans="2:4" x14ac:dyDescent="0.25">
      <c r="B2715" s="89">
        <v>2711</v>
      </c>
      <c r="C2715" s="39">
        <f t="shared" si="85"/>
        <v>157992929.59999999</v>
      </c>
      <c r="D2715" s="39">
        <f t="shared" si="84"/>
        <v>89536197</v>
      </c>
    </row>
    <row r="2716" spans="2:4" x14ac:dyDescent="0.25">
      <c r="B2716" s="89">
        <v>2712</v>
      </c>
      <c r="C2716" s="39">
        <f t="shared" si="85"/>
        <v>157992929.59999999</v>
      </c>
      <c r="D2716" s="39">
        <f t="shared" si="84"/>
        <v>89569224</v>
      </c>
    </row>
    <row r="2717" spans="2:4" x14ac:dyDescent="0.25">
      <c r="B2717" s="89">
        <v>2713</v>
      </c>
      <c r="C2717" s="39">
        <f t="shared" si="85"/>
        <v>157992929.59999999</v>
      </c>
      <c r="D2717" s="39">
        <f t="shared" si="84"/>
        <v>89602251</v>
      </c>
    </row>
    <row r="2718" spans="2:4" x14ac:dyDescent="0.25">
      <c r="B2718" s="89">
        <v>2714</v>
      </c>
      <c r="C2718" s="39">
        <f t="shared" si="85"/>
        <v>157992929.59999999</v>
      </c>
      <c r="D2718" s="39">
        <f t="shared" si="84"/>
        <v>89635278</v>
      </c>
    </row>
    <row r="2719" spans="2:4" x14ac:dyDescent="0.25">
      <c r="B2719" s="89">
        <v>2715</v>
      </c>
      <c r="C2719" s="39">
        <f t="shared" si="85"/>
        <v>157992929.59999999</v>
      </c>
      <c r="D2719" s="39">
        <f t="shared" si="84"/>
        <v>89668305</v>
      </c>
    </row>
    <row r="2720" spans="2:4" x14ac:dyDescent="0.25">
      <c r="B2720" s="89">
        <v>2716</v>
      </c>
      <c r="C2720" s="39">
        <f t="shared" si="85"/>
        <v>157992929.59999999</v>
      </c>
      <c r="D2720" s="39">
        <f t="shared" si="84"/>
        <v>89701332</v>
      </c>
    </row>
    <row r="2721" spans="2:4" x14ac:dyDescent="0.25">
      <c r="B2721" s="89">
        <v>2717</v>
      </c>
      <c r="C2721" s="39">
        <f t="shared" si="85"/>
        <v>157992929.59999999</v>
      </c>
      <c r="D2721" s="39">
        <f t="shared" si="84"/>
        <v>89734359</v>
      </c>
    </row>
    <row r="2722" spans="2:4" x14ac:dyDescent="0.25">
      <c r="B2722" s="89">
        <v>2718</v>
      </c>
      <c r="C2722" s="39">
        <f t="shared" si="85"/>
        <v>157992929.59999999</v>
      </c>
      <c r="D2722" s="39">
        <f t="shared" si="84"/>
        <v>89767386</v>
      </c>
    </row>
    <row r="2723" spans="2:4" x14ac:dyDescent="0.25">
      <c r="B2723" s="89">
        <v>2719</v>
      </c>
      <c r="C2723" s="39">
        <f t="shared" si="85"/>
        <v>157992929.59999999</v>
      </c>
      <c r="D2723" s="39">
        <f t="shared" si="84"/>
        <v>89800413</v>
      </c>
    </row>
    <row r="2724" spans="2:4" x14ac:dyDescent="0.25">
      <c r="B2724" s="89">
        <v>2720</v>
      </c>
      <c r="C2724" s="39">
        <f t="shared" si="85"/>
        <v>157992929.59999999</v>
      </c>
      <c r="D2724" s="39">
        <f t="shared" si="84"/>
        <v>89833440</v>
      </c>
    </row>
    <row r="2725" spans="2:4" x14ac:dyDescent="0.25">
      <c r="B2725" s="89">
        <v>2721</v>
      </c>
      <c r="C2725" s="39">
        <f t="shared" si="85"/>
        <v>157992929.59999999</v>
      </c>
      <c r="D2725" s="39">
        <f t="shared" si="84"/>
        <v>89866467</v>
      </c>
    </row>
    <row r="2726" spans="2:4" x14ac:dyDescent="0.25">
      <c r="B2726" s="89">
        <v>2722</v>
      </c>
      <c r="C2726" s="39">
        <f t="shared" si="85"/>
        <v>157992929.59999999</v>
      </c>
      <c r="D2726" s="39">
        <f t="shared" si="84"/>
        <v>89899494</v>
      </c>
    </row>
    <row r="2727" spans="2:4" x14ac:dyDescent="0.25">
      <c r="B2727" s="89">
        <v>2723</v>
      </c>
      <c r="C2727" s="39">
        <f t="shared" si="85"/>
        <v>157992929.59999999</v>
      </c>
      <c r="D2727" s="39">
        <f t="shared" si="84"/>
        <v>89932521</v>
      </c>
    </row>
    <row r="2728" spans="2:4" x14ac:dyDescent="0.25">
      <c r="B2728" s="89">
        <v>2724</v>
      </c>
      <c r="C2728" s="39">
        <f t="shared" si="85"/>
        <v>157992929.59999999</v>
      </c>
      <c r="D2728" s="39">
        <f t="shared" si="84"/>
        <v>89965548</v>
      </c>
    </row>
    <row r="2729" spans="2:4" x14ac:dyDescent="0.25">
      <c r="B2729" s="89">
        <v>2725</v>
      </c>
      <c r="C2729" s="39">
        <f t="shared" si="85"/>
        <v>157992929.59999999</v>
      </c>
      <c r="D2729" s="39">
        <f t="shared" si="84"/>
        <v>89998575</v>
      </c>
    </row>
    <row r="2730" spans="2:4" x14ac:dyDescent="0.25">
      <c r="B2730" s="89">
        <v>2726</v>
      </c>
      <c r="C2730" s="39">
        <f t="shared" si="85"/>
        <v>157992929.59999999</v>
      </c>
      <c r="D2730" s="39">
        <f t="shared" si="84"/>
        <v>90031602</v>
      </c>
    </row>
    <row r="2731" spans="2:4" x14ac:dyDescent="0.25">
      <c r="B2731" s="89">
        <v>2727</v>
      </c>
      <c r="C2731" s="39">
        <f t="shared" si="85"/>
        <v>157992929.59999999</v>
      </c>
      <c r="D2731" s="39">
        <f t="shared" si="84"/>
        <v>90064629</v>
      </c>
    </row>
    <row r="2732" spans="2:4" x14ac:dyDescent="0.25">
      <c r="B2732" s="89">
        <v>2728</v>
      </c>
      <c r="C2732" s="39">
        <f t="shared" si="85"/>
        <v>157992929.59999999</v>
      </c>
      <c r="D2732" s="39">
        <f t="shared" si="84"/>
        <v>90097656</v>
      </c>
    </row>
    <row r="2733" spans="2:4" x14ac:dyDescent="0.25">
      <c r="B2733" s="89">
        <v>2729</v>
      </c>
      <c r="C2733" s="39">
        <f t="shared" si="85"/>
        <v>157992929.59999999</v>
      </c>
      <c r="D2733" s="39">
        <f t="shared" si="84"/>
        <v>90130683</v>
      </c>
    </row>
    <row r="2734" spans="2:4" x14ac:dyDescent="0.25">
      <c r="B2734" s="89">
        <v>2730</v>
      </c>
      <c r="C2734" s="39">
        <f t="shared" si="85"/>
        <v>157992929.59999999</v>
      </c>
      <c r="D2734" s="39">
        <f t="shared" si="84"/>
        <v>90163710</v>
      </c>
    </row>
    <row r="2735" spans="2:4" x14ac:dyDescent="0.25">
      <c r="B2735" s="89">
        <v>2731</v>
      </c>
      <c r="C2735" s="39">
        <f t="shared" si="85"/>
        <v>157992929.59999999</v>
      </c>
      <c r="D2735" s="39">
        <f t="shared" si="84"/>
        <v>90196737</v>
      </c>
    </row>
    <row r="2736" spans="2:4" x14ac:dyDescent="0.25">
      <c r="B2736" s="89">
        <v>2732</v>
      </c>
      <c r="C2736" s="39">
        <f t="shared" si="85"/>
        <v>157992929.59999999</v>
      </c>
      <c r="D2736" s="39">
        <f t="shared" si="84"/>
        <v>90229764</v>
      </c>
    </row>
    <row r="2737" spans="2:4" x14ac:dyDescent="0.25">
      <c r="B2737" s="89">
        <v>2733</v>
      </c>
      <c r="C2737" s="39">
        <f t="shared" si="85"/>
        <v>157992929.59999999</v>
      </c>
      <c r="D2737" s="39">
        <f t="shared" ref="D2737:D2800" si="86">$D$2*B2737</f>
        <v>90262791</v>
      </c>
    </row>
    <row r="2738" spans="2:4" x14ac:dyDescent="0.25">
      <c r="B2738" s="89">
        <v>2734</v>
      </c>
      <c r="C2738" s="39">
        <f t="shared" si="85"/>
        <v>157992929.59999999</v>
      </c>
      <c r="D2738" s="39">
        <f t="shared" si="86"/>
        <v>90295818</v>
      </c>
    </row>
    <row r="2739" spans="2:4" x14ac:dyDescent="0.25">
      <c r="B2739" s="89">
        <v>2735</v>
      </c>
      <c r="C2739" s="39">
        <f t="shared" si="85"/>
        <v>157992929.59999999</v>
      </c>
      <c r="D2739" s="39">
        <f t="shared" si="86"/>
        <v>90328845</v>
      </c>
    </row>
    <row r="2740" spans="2:4" x14ac:dyDescent="0.25">
      <c r="B2740" s="89">
        <v>2736</v>
      </c>
      <c r="C2740" s="39">
        <f t="shared" si="85"/>
        <v>157992929.59999999</v>
      </c>
      <c r="D2740" s="39">
        <f t="shared" si="86"/>
        <v>90361872</v>
      </c>
    </row>
    <row r="2741" spans="2:4" x14ac:dyDescent="0.25">
      <c r="B2741" s="89">
        <v>2737</v>
      </c>
      <c r="C2741" s="39">
        <f t="shared" si="85"/>
        <v>157992929.59999999</v>
      </c>
      <c r="D2741" s="39">
        <f t="shared" si="86"/>
        <v>90394899</v>
      </c>
    </row>
    <row r="2742" spans="2:4" x14ac:dyDescent="0.25">
      <c r="B2742" s="89">
        <v>2738</v>
      </c>
      <c r="C2742" s="39">
        <f t="shared" si="85"/>
        <v>157992929.59999999</v>
      </c>
      <c r="D2742" s="39">
        <f t="shared" si="86"/>
        <v>90427926</v>
      </c>
    </row>
    <row r="2743" spans="2:4" x14ac:dyDescent="0.25">
      <c r="B2743" s="89">
        <v>2739</v>
      </c>
      <c r="C2743" s="39">
        <f t="shared" si="85"/>
        <v>157992929.59999999</v>
      </c>
      <c r="D2743" s="39">
        <f t="shared" si="86"/>
        <v>90460953</v>
      </c>
    </row>
    <row r="2744" spans="2:4" x14ac:dyDescent="0.25">
      <c r="B2744" s="89">
        <v>2740</v>
      </c>
      <c r="C2744" s="39">
        <f t="shared" si="85"/>
        <v>157992929.59999999</v>
      </c>
      <c r="D2744" s="39">
        <f t="shared" si="86"/>
        <v>90493980</v>
      </c>
    </row>
    <row r="2745" spans="2:4" x14ac:dyDescent="0.25">
      <c r="B2745" s="89">
        <v>2741</v>
      </c>
      <c r="C2745" s="39">
        <f t="shared" si="85"/>
        <v>157992929.59999999</v>
      </c>
      <c r="D2745" s="39">
        <f t="shared" si="86"/>
        <v>90527007</v>
      </c>
    </row>
    <row r="2746" spans="2:4" x14ac:dyDescent="0.25">
      <c r="B2746" s="89">
        <v>2742</v>
      </c>
      <c r="C2746" s="39">
        <f t="shared" si="85"/>
        <v>157992929.59999999</v>
      </c>
      <c r="D2746" s="39">
        <f t="shared" si="86"/>
        <v>90560034</v>
      </c>
    </row>
    <row r="2747" spans="2:4" x14ac:dyDescent="0.25">
      <c r="B2747" s="89">
        <v>2743</v>
      </c>
      <c r="C2747" s="39">
        <f t="shared" si="85"/>
        <v>157992929.59999999</v>
      </c>
      <c r="D2747" s="39">
        <f t="shared" si="86"/>
        <v>90593061</v>
      </c>
    </row>
    <row r="2748" spans="2:4" x14ac:dyDescent="0.25">
      <c r="B2748" s="89">
        <v>2744</v>
      </c>
      <c r="C2748" s="39">
        <f t="shared" si="85"/>
        <v>157992929.59999999</v>
      </c>
      <c r="D2748" s="39">
        <f t="shared" si="86"/>
        <v>90626088</v>
      </c>
    </row>
    <row r="2749" spans="2:4" x14ac:dyDescent="0.25">
      <c r="B2749" s="89">
        <v>2745</v>
      </c>
      <c r="C2749" s="39">
        <f t="shared" si="85"/>
        <v>157992929.59999999</v>
      </c>
      <c r="D2749" s="39">
        <f t="shared" si="86"/>
        <v>90659115</v>
      </c>
    </row>
    <row r="2750" spans="2:4" x14ac:dyDescent="0.25">
      <c r="B2750" s="89">
        <v>2746</v>
      </c>
      <c r="C2750" s="39">
        <f t="shared" si="85"/>
        <v>157992929.59999999</v>
      </c>
      <c r="D2750" s="39">
        <f t="shared" si="86"/>
        <v>90692142</v>
      </c>
    </row>
    <row r="2751" spans="2:4" x14ac:dyDescent="0.25">
      <c r="B2751" s="89">
        <v>2747</v>
      </c>
      <c r="C2751" s="39">
        <f t="shared" si="85"/>
        <v>157992929.59999999</v>
      </c>
      <c r="D2751" s="39">
        <f t="shared" si="86"/>
        <v>90725169</v>
      </c>
    </row>
    <row r="2752" spans="2:4" x14ac:dyDescent="0.25">
      <c r="B2752" s="89">
        <v>2748</v>
      </c>
      <c r="C2752" s="39">
        <f t="shared" si="85"/>
        <v>157992929.59999999</v>
      </c>
      <c r="D2752" s="39">
        <f t="shared" si="86"/>
        <v>90758196</v>
      </c>
    </row>
    <row r="2753" spans="2:4" x14ac:dyDescent="0.25">
      <c r="B2753" s="89">
        <v>2749</v>
      </c>
      <c r="C2753" s="39">
        <f t="shared" si="85"/>
        <v>157992929.59999999</v>
      </c>
      <c r="D2753" s="39">
        <f t="shared" si="86"/>
        <v>90791223</v>
      </c>
    </row>
    <row r="2754" spans="2:4" x14ac:dyDescent="0.25">
      <c r="B2754" s="89">
        <v>2750</v>
      </c>
      <c r="C2754" s="39">
        <f t="shared" si="85"/>
        <v>157992929.59999999</v>
      </c>
      <c r="D2754" s="39">
        <f t="shared" si="86"/>
        <v>90824250</v>
      </c>
    </row>
    <row r="2755" spans="2:4" x14ac:dyDescent="0.25">
      <c r="B2755" s="89">
        <v>2751</v>
      </c>
      <c r="C2755" s="39">
        <f t="shared" si="85"/>
        <v>157992929.59999999</v>
      </c>
      <c r="D2755" s="39">
        <f t="shared" si="86"/>
        <v>90857277</v>
      </c>
    </row>
    <row r="2756" spans="2:4" x14ac:dyDescent="0.25">
      <c r="B2756" s="89">
        <v>2752</v>
      </c>
      <c r="C2756" s="39">
        <f t="shared" si="85"/>
        <v>157992929.59999999</v>
      </c>
      <c r="D2756" s="39">
        <f t="shared" si="86"/>
        <v>90890304</v>
      </c>
    </row>
    <row r="2757" spans="2:4" x14ac:dyDescent="0.25">
      <c r="B2757" s="89">
        <v>2753</v>
      </c>
      <c r="C2757" s="39">
        <f t="shared" si="85"/>
        <v>157992929.59999999</v>
      </c>
      <c r="D2757" s="39">
        <f t="shared" si="86"/>
        <v>90923331</v>
      </c>
    </row>
    <row r="2758" spans="2:4" x14ac:dyDescent="0.25">
      <c r="B2758" s="89">
        <v>2754</v>
      </c>
      <c r="C2758" s="39">
        <f t="shared" ref="C2758:C2821" si="87">$C2757</f>
        <v>157992929.59999999</v>
      </c>
      <c r="D2758" s="39">
        <f t="shared" si="86"/>
        <v>90956358</v>
      </c>
    </row>
    <row r="2759" spans="2:4" x14ac:dyDescent="0.25">
      <c r="B2759" s="89">
        <v>2755</v>
      </c>
      <c r="C2759" s="39">
        <f t="shared" si="87"/>
        <v>157992929.59999999</v>
      </c>
      <c r="D2759" s="39">
        <f t="shared" si="86"/>
        <v>90989385</v>
      </c>
    </row>
    <row r="2760" spans="2:4" x14ac:dyDescent="0.25">
      <c r="B2760" s="89">
        <v>2756</v>
      </c>
      <c r="C2760" s="39">
        <f t="shared" si="87"/>
        <v>157992929.59999999</v>
      </c>
      <c r="D2760" s="39">
        <f t="shared" si="86"/>
        <v>91022412</v>
      </c>
    </row>
    <row r="2761" spans="2:4" x14ac:dyDescent="0.25">
      <c r="B2761" s="89">
        <v>2757</v>
      </c>
      <c r="C2761" s="39">
        <f t="shared" si="87"/>
        <v>157992929.59999999</v>
      </c>
      <c r="D2761" s="39">
        <f t="shared" si="86"/>
        <v>91055439</v>
      </c>
    </row>
    <row r="2762" spans="2:4" x14ac:dyDescent="0.25">
      <c r="B2762" s="89">
        <v>2758</v>
      </c>
      <c r="C2762" s="39">
        <f t="shared" si="87"/>
        <v>157992929.59999999</v>
      </c>
      <c r="D2762" s="39">
        <f t="shared" si="86"/>
        <v>91088466</v>
      </c>
    </row>
    <row r="2763" spans="2:4" x14ac:dyDescent="0.25">
      <c r="B2763" s="89">
        <v>2759</v>
      </c>
      <c r="C2763" s="39">
        <f t="shared" si="87"/>
        <v>157992929.59999999</v>
      </c>
      <c r="D2763" s="39">
        <f t="shared" si="86"/>
        <v>91121493</v>
      </c>
    </row>
    <row r="2764" spans="2:4" x14ac:dyDescent="0.25">
      <c r="B2764" s="89">
        <v>2760</v>
      </c>
      <c r="C2764" s="39">
        <f t="shared" si="87"/>
        <v>157992929.59999999</v>
      </c>
      <c r="D2764" s="39">
        <f t="shared" si="86"/>
        <v>91154520</v>
      </c>
    </row>
    <row r="2765" spans="2:4" x14ac:dyDescent="0.25">
      <c r="B2765" s="89">
        <v>2761</v>
      </c>
      <c r="C2765" s="39">
        <f t="shared" si="87"/>
        <v>157992929.59999999</v>
      </c>
      <c r="D2765" s="39">
        <f t="shared" si="86"/>
        <v>91187547</v>
      </c>
    </row>
    <row r="2766" spans="2:4" x14ac:dyDescent="0.25">
      <c r="B2766" s="89">
        <v>2762</v>
      </c>
      <c r="C2766" s="39">
        <f t="shared" si="87"/>
        <v>157992929.59999999</v>
      </c>
      <c r="D2766" s="39">
        <f t="shared" si="86"/>
        <v>91220574</v>
      </c>
    </row>
    <row r="2767" spans="2:4" x14ac:dyDescent="0.25">
      <c r="B2767" s="89">
        <v>2763</v>
      </c>
      <c r="C2767" s="39">
        <f t="shared" si="87"/>
        <v>157992929.59999999</v>
      </c>
      <c r="D2767" s="39">
        <f t="shared" si="86"/>
        <v>91253601</v>
      </c>
    </row>
    <row r="2768" spans="2:4" x14ac:dyDescent="0.25">
      <c r="B2768" s="89">
        <v>2764</v>
      </c>
      <c r="C2768" s="39">
        <f t="shared" si="87"/>
        <v>157992929.59999999</v>
      </c>
      <c r="D2768" s="39">
        <f t="shared" si="86"/>
        <v>91286628</v>
      </c>
    </row>
    <row r="2769" spans="2:4" x14ac:dyDescent="0.25">
      <c r="B2769" s="89">
        <v>2765</v>
      </c>
      <c r="C2769" s="39">
        <f t="shared" si="87"/>
        <v>157992929.59999999</v>
      </c>
      <c r="D2769" s="39">
        <f t="shared" si="86"/>
        <v>91319655</v>
      </c>
    </row>
    <row r="2770" spans="2:4" x14ac:dyDescent="0.25">
      <c r="B2770" s="89">
        <v>2766</v>
      </c>
      <c r="C2770" s="39">
        <f t="shared" si="87"/>
        <v>157992929.59999999</v>
      </c>
      <c r="D2770" s="39">
        <f t="shared" si="86"/>
        <v>91352682</v>
      </c>
    </row>
    <row r="2771" spans="2:4" x14ac:dyDescent="0.25">
      <c r="B2771" s="89">
        <v>2767</v>
      </c>
      <c r="C2771" s="39">
        <f t="shared" si="87"/>
        <v>157992929.59999999</v>
      </c>
      <c r="D2771" s="39">
        <f t="shared" si="86"/>
        <v>91385709</v>
      </c>
    </row>
    <row r="2772" spans="2:4" x14ac:dyDescent="0.25">
      <c r="B2772" s="89">
        <v>2768</v>
      </c>
      <c r="C2772" s="39">
        <f t="shared" si="87"/>
        <v>157992929.59999999</v>
      </c>
      <c r="D2772" s="39">
        <f t="shared" si="86"/>
        <v>91418736</v>
      </c>
    </row>
    <row r="2773" spans="2:4" x14ac:dyDescent="0.25">
      <c r="B2773" s="89">
        <v>2769</v>
      </c>
      <c r="C2773" s="39">
        <f t="shared" si="87"/>
        <v>157992929.59999999</v>
      </c>
      <c r="D2773" s="39">
        <f t="shared" si="86"/>
        <v>91451763</v>
      </c>
    </row>
    <row r="2774" spans="2:4" x14ac:dyDescent="0.25">
      <c r="B2774" s="89">
        <v>2770</v>
      </c>
      <c r="C2774" s="39">
        <f t="shared" si="87"/>
        <v>157992929.59999999</v>
      </c>
      <c r="D2774" s="39">
        <f t="shared" si="86"/>
        <v>91484790</v>
      </c>
    </row>
    <row r="2775" spans="2:4" x14ac:dyDescent="0.25">
      <c r="B2775" s="89">
        <v>2771</v>
      </c>
      <c r="C2775" s="39">
        <f t="shared" si="87"/>
        <v>157992929.59999999</v>
      </c>
      <c r="D2775" s="39">
        <f t="shared" si="86"/>
        <v>91517817</v>
      </c>
    </row>
    <row r="2776" spans="2:4" x14ac:dyDescent="0.25">
      <c r="B2776" s="89">
        <v>2772</v>
      </c>
      <c r="C2776" s="39">
        <f t="shared" si="87"/>
        <v>157992929.59999999</v>
      </c>
      <c r="D2776" s="39">
        <f t="shared" si="86"/>
        <v>91550844</v>
      </c>
    </row>
    <row r="2777" spans="2:4" x14ac:dyDescent="0.25">
      <c r="B2777" s="89">
        <v>2773</v>
      </c>
      <c r="C2777" s="39">
        <f t="shared" si="87"/>
        <v>157992929.59999999</v>
      </c>
      <c r="D2777" s="39">
        <f t="shared" si="86"/>
        <v>91583871</v>
      </c>
    </row>
    <row r="2778" spans="2:4" x14ac:dyDescent="0.25">
      <c r="B2778" s="89">
        <v>2774</v>
      </c>
      <c r="C2778" s="39">
        <f t="shared" si="87"/>
        <v>157992929.59999999</v>
      </c>
      <c r="D2778" s="39">
        <f t="shared" si="86"/>
        <v>91616898</v>
      </c>
    </row>
    <row r="2779" spans="2:4" x14ac:dyDescent="0.25">
      <c r="B2779" s="89">
        <v>2775</v>
      </c>
      <c r="C2779" s="39">
        <f t="shared" si="87"/>
        <v>157992929.59999999</v>
      </c>
      <c r="D2779" s="39">
        <f t="shared" si="86"/>
        <v>91649925</v>
      </c>
    </row>
    <row r="2780" spans="2:4" x14ac:dyDescent="0.25">
      <c r="B2780" s="89">
        <v>2776</v>
      </c>
      <c r="C2780" s="39">
        <f t="shared" si="87"/>
        <v>157992929.59999999</v>
      </c>
      <c r="D2780" s="39">
        <f t="shared" si="86"/>
        <v>91682952</v>
      </c>
    </row>
    <row r="2781" spans="2:4" x14ac:dyDescent="0.25">
      <c r="B2781" s="89">
        <v>2777</v>
      </c>
      <c r="C2781" s="39">
        <f t="shared" si="87"/>
        <v>157992929.59999999</v>
      </c>
      <c r="D2781" s="39">
        <f t="shared" si="86"/>
        <v>91715979</v>
      </c>
    </row>
    <row r="2782" spans="2:4" x14ac:dyDescent="0.25">
      <c r="B2782" s="89">
        <v>2778</v>
      </c>
      <c r="C2782" s="39">
        <f t="shared" si="87"/>
        <v>157992929.59999999</v>
      </c>
      <c r="D2782" s="39">
        <f t="shared" si="86"/>
        <v>91749006</v>
      </c>
    </row>
    <row r="2783" spans="2:4" x14ac:dyDescent="0.25">
      <c r="B2783" s="89">
        <v>2779</v>
      </c>
      <c r="C2783" s="39">
        <f t="shared" si="87"/>
        <v>157992929.59999999</v>
      </c>
      <c r="D2783" s="39">
        <f t="shared" si="86"/>
        <v>91782033</v>
      </c>
    </row>
    <row r="2784" spans="2:4" x14ac:dyDescent="0.25">
      <c r="B2784" s="89">
        <v>2780</v>
      </c>
      <c r="C2784" s="39">
        <f t="shared" si="87"/>
        <v>157992929.59999999</v>
      </c>
      <c r="D2784" s="39">
        <f t="shared" si="86"/>
        <v>91815060</v>
      </c>
    </row>
    <row r="2785" spans="2:4" x14ac:dyDescent="0.25">
      <c r="B2785" s="89">
        <v>2781</v>
      </c>
      <c r="C2785" s="39">
        <f t="shared" si="87"/>
        <v>157992929.59999999</v>
      </c>
      <c r="D2785" s="39">
        <f t="shared" si="86"/>
        <v>91848087</v>
      </c>
    </row>
    <row r="2786" spans="2:4" x14ac:dyDescent="0.25">
      <c r="B2786" s="89">
        <v>2782</v>
      </c>
      <c r="C2786" s="39">
        <f t="shared" si="87"/>
        <v>157992929.59999999</v>
      </c>
      <c r="D2786" s="39">
        <f t="shared" si="86"/>
        <v>91881114</v>
      </c>
    </row>
    <row r="2787" spans="2:4" x14ac:dyDescent="0.25">
      <c r="B2787" s="89">
        <v>2783</v>
      </c>
      <c r="C2787" s="39">
        <f t="shared" si="87"/>
        <v>157992929.59999999</v>
      </c>
      <c r="D2787" s="39">
        <f t="shared" si="86"/>
        <v>91914141</v>
      </c>
    </row>
    <row r="2788" spans="2:4" x14ac:dyDescent="0.25">
      <c r="B2788" s="89">
        <v>2784</v>
      </c>
      <c r="C2788" s="39">
        <f t="shared" si="87"/>
        <v>157992929.59999999</v>
      </c>
      <c r="D2788" s="39">
        <f t="shared" si="86"/>
        <v>91947168</v>
      </c>
    </row>
    <row r="2789" spans="2:4" x14ac:dyDescent="0.25">
      <c r="B2789" s="89">
        <v>2785</v>
      </c>
      <c r="C2789" s="39">
        <f t="shared" si="87"/>
        <v>157992929.59999999</v>
      </c>
      <c r="D2789" s="39">
        <f t="shared" si="86"/>
        <v>91980195</v>
      </c>
    </row>
    <row r="2790" spans="2:4" x14ac:dyDescent="0.25">
      <c r="B2790" s="89">
        <v>2786</v>
      </c>
      <c r="C2790" s="39">
        <f t="shared" si="87"/>
        <v>157992929.59999999</v>
      </c>
      <c r="D2790" s="39">
        <f t="shared" si="86"/>
        <v>92013222</v>
      </c>
    </row>
    <row r="2791" spans="2:4" x14ac:dyDescent="0.25">
      <c r="B2791" s="89">
        <v>2787</v>
      </c>
      <c r="C2791" s="39">
        <f t="shared" si="87"/>
        <v>157992929.59999999</v>
      </c>
      <c r="D2791" s="39">
        <f t="shared" si="86"/>
        <v>92046249</v>
      </c>
    </row>
    <row r="2792" spans="2:4" x14ac:dyDescent="0.25">
      <c r="B2792" s="89">
        <v>2788</v>
      </c>
      <c r="C2792" s="39">
        <f t="shared" si="87"/>
        <v>157992929.59999999</v>
      </c>
      <c r="D2792" s="39">
        <f t="shared" si="86"/>
        <v>92079276</v>
      </c>
    </row>
    <row r="2793" spans="2:4" x14ac:dyDescent="0.25">
      <c r="B2793" s="89">
        <v>2789</v>
      </c>
      <c r="C2793" s="39">
        <f t="shared" si="87"/>
        <v>157992929.59999999</v>
      </c>
      <c r="D2793" s="39">
        <f t="shared" si="86"/>
        <v>92112303</v>
      </c>
    </row>
    <row r="2794" spans="2:4" x14ac:dyDescent="0.25">
      <c r="B2794" s="89">
        <v>2790</v>
      </c>
      <c r="C2794" s="39">
        <f t="shared" si="87"/>
        <v>157992929.59999999</v>
      </c>
      <c r="D2794" s="39">
        <f t="shared" si="86"/>
        <v>92145330</v>
      </c>
    </row>
    <row r="2795" spans="2:4" x14ac:dyDescent="0.25">
      <c r="B2795" s="89">
        <v>2791</v>
      </c>
      <c r="C2795" s="39">
        <f t="shared" si="87"/>
        <v>157992929.59999999</v>
      </c>
      <c r="D2795" s="39">
        <f t="shared" si="86"/>
        <v>92178357</v>
      </c>
    </row>
    <row r="2796" spans="2:4" x14ac:dyDescent="0.25">
      <c r="B2796" s="89">
        <v>2792</v>
      </c>
      <c r="C2796" s="39">
        <f t="shared" si="87"/>
        <v>157992929.59999999</v>
      </c>
      <c r="D2796" s="39">
        <f t="shared" si="86"/>
        <v>92211384</v>
      </c>
    </row>
    <row r="2797" spans="2:4" x14ac:dyDescent="0.25">
      <c r="B2797" s="89">
        <v>2793</v>
      </c>
      <c r="C2797" s="39">
        <f t="shared" si="87"/>
        <v>157992929.59999999</v>
      </c>
      <c r="D2797" s="39">
        <f t="shared" si="86"/>
        <v>92244411</v>
      </c>
    </row>
    <row r="2798" spans="2:4" x14ac:dyDescent="0.25">
      <c r="B2798" s="89">
        <v>2794</v>
      </c>
      <c r="C2798" s="39">
        <f t="shared" si="87"/>
        <v>157992929.59999999</v>
      </c>
      <c r="D2798" s="39">
        <f t="shared" si="86"/>
        <v>92277438</v>
      </c>
    </row>
    <row r="2799" spans="2:4" x14ac:dyDescent="0.25">
      <c r="B2799" s="89">
        <v>2795</v>
      </c>
      <c r="C2799" s="39">
        <f t="shared" si="87"/>
        <v>157992929.59999999</v>
      </c>
      <c r="D2799" s="39">
        <f t="shared" si="86"/>
        <v>92310465</v>
      </c>
    </row>
    <row r="2800" spans="2:4" x14ac:dyDescent="0.25">
      <c r="B2800" s="89">
        <v>2796</v>
      </c>
      <c r="C2800" s="39">
        <f t="shared" si="87"/>
        <v>157992929.59999999</v>
      </c>
      <c r="D2800" s="39">
        <f t="shared" si="86"/>
        <v>92343492</v>
      </c>
    </row>
    <row r="2801" spans="2:4" x14ac:dyDescent="0.25">
      <c r="B2801" s="89">
        <v>2797</v>
      </c>
      <c r="C2801" s="39">
        <f t="shared" si="87"/>
        <v>157992929.59999999</v>
      </c>
      <c r="D2801" s="39">
        <f t="shared" ref="D2801:D2864" si="88">$D$2*B2801</f>
        <v>92376519</v>
      </c>
    </row>
    <row r="2802" spans="2:4" x14ac:dyDescent="0.25">
      <c r="B2802" s="89">
        <v>2798</v>
      </c>
      <c r="C2802" s="39">
        <f t="shared" si="87"/>
        <v>157992929.59999999</v>
      </c>
      <c r="D2802" s="39">
        <f t="shared" si="88"/>
        <v>92409546</v>
      </c>
    </row>
    <row r="2803" spans="2:4" x14ac:dyDescent="0.25">
      <c r="B2803" s="89">
        <v>2799</v>
      </c>
      <c r="C2803" s="39">
        <f t="shared" si="87"/>
        <v>157992929.59999999</v>
      </c>
      <c r="D2803" s="39">
        <f t="shared" si="88"/>
        <v>92442573</v>
      </c>
    </row>
    <row r="2804" spans="2:4" x14ac:dyDescent="0.25">
      <c r="B2804" s="89">
        <v>2800</v>
      </c>
      <c r="C2804" s="39">
        <f t="shared" si="87"/>
        <v>157992929.59999999</v>
      </c>
      <c r="D2804" s="39">
        <f t="shared" si="88"/>
        <v>92475600</v>
      </c>
    </row>
    <row r="2805" spans="2:4" x14ac:dyDescent="0.25">
      <c r="B2805" s="89">
        <v>2801</v>
      </c>
      <c r="C2805" s="39">
        <f t="shared" si="87"/>
        <v>157992929.59999999</v>
      </c>
      <c r="D2805" s="39">
        <f t="shared" si="88"/>
        <v>92508627</v>
      </c>
    </row>
    <row r="2806" spans="2:4" x14ac:dyDescent="0.25">
      <c r="B2806" s="89">
        <v>2802</v>
      </c>
      <c r="C2806" s="39">
        <f t="shared" si="87"/>
        <v>157992929.59999999</v>
      </c>
      <c r="D2806" s="39">
        <f t="shared" si="88"/>
        <v>92541654</v>
      </c>
    </row>
    <row r="2807" spans="2:4" x14ac:dyDescent="0.25">
      <c r="B2807" s="89">
        <v>2803</v>
      </c>
      <c r="C2807" s="39">
        <f t="shared" si="87"/>
        <v>157992929.59999999</v>
      </c>
      <c r="D2807" s="39">
        <f t="shared" si="88"/>
        <v>92574681</v>
      </c>
    </row>
    <row r="2808" spans="2:4" x14ac:dyDescent="0.25">
      <c r="B2808" s="89">
        <v>2804</v>
      </c>
      <c r="C2808" s="39">
        <f t="shared" si="87"/>
        <v>157992929.59999999</v>
      </c>
      <c r="D2808" s="39">
        <f t="shared" si="88"/>
        <v>92607708</v>
      </c>
    </row>
    <row r="2809" spans="2:4" x14ac:dyDescent="0.25">
      <c r="B2809" s="89">
        <v>2805</v>
      </c>
      <c r="C2809" s="39">
        <f t="shared" si="87"/>
        <v>157992929.59999999</v>
      </c>
      <c r="D2809" s="39">
        <f t="shared" si="88"/>
        <v>92640735</v>
      </c>
    </row>
    <row r="2810" spans="2:4" x14ac:dyDescent="0.25">
      <c r="B2810" s="89">
        <v>2806</v>
      </c>
      <c r="C2810" s="39">
        <f t="shared" si="87"/>
        <v>157992929.59999999</v>
      </c>
      <c r="D2810" s="39">
        <f t="shared" si="88"/>
        <v>92673762</v>
      </c>
    </row>
    <row r="2811" spans="2:4" x14ac:dyDescent="0.25">
      <c r="B2811" s="89">
        <v>2807</v>
      </c>
      <c r="C2811" s="39">
        <f t="shared" si="87"/>
        <v>157992929.59999999</v>
      </c>
      <c r="D2811" s="39">
        <f t="shared" si="88"/>
        <v>92706789</v>
      </c>
    </row>
    <row r="2812" spans="2:4" x14ac:dyDescent="0.25">
      <c r="B2812" s="89">
        <v>2808</v>
      </c>
      <c r="C2812" s="39">
        <f t="shared" si="87"/>
        <v>157992929.59999999</v>
      </c>
      <c r="D2812" s="39">
        <f t="shared" si="88"/>
        <v>92739816</v>
      </c>
    </row>
    <row r="2813" spans="2:4" x14ac:dyDescent="0.25">
      <c r="B2813" s="89">
        <v>2809</v>
      </c>
      <c r="C2813" s="39">
        <f t="shared" si="87"/>
        <v>157992929.59999999</v>
      </c>
      <c r="D2813" s="39">
        <f t="shared" si="88"/>
        <v>92772843</v>
      </c>
    </row>
    <row r="2814" spans="2:4" x14ac:dyDescent="0.25">
      <c r="B2814" s="89">
        <v>2810</v>
      </c>
      <c r="C2814" s="39">
        <f t="shared" si="87"/>
        <v>157992929.59999999</v>
      </c>
      <c r="D2814" s="39">
        <f t="shared" si="88"/>
        <v>92805870</v>
      </c>
    </row>
    <row r="2815" spans="2:4" x14ac:dyDescent="0.25">
      <c r="B2815" s="89">
        <v>2811</v>
      </c>
      <c r="C2815" s="39">
        <f t="shared" si="87"/>
        <v>157992929.59999999</v>
      </c>
      <c r="D2815" s="39">
        <f t="shared" si="88"/>
        <v>92838897</v>
      </c>
    </row>
    <row r="2816" spans="2:4" x14ac:dyDescent="0.25">
      <c r="B2816" s="89">
        <v>2812</v>
      </c>
      <c r="C2816" s="39">
        <f t="shared" si="87"/>
        <v>157992929.59999999</v>
      </c>
      <c r="D2816" s="39">
        <f t="shared" si="88"/>
        <v>92871924</v>
      </c>
    </row>
    <row r="2817" spans="2:4" x14ac:dyDescent="0.25">
      <c r="B2817" s="89">
        <v>2813</v>
      </c>
      <c r="C2817" s="39">
        <f t="shared" si="87"/>
        <v>157992929.59999999</v>
      </c>
      <c r="D2817" s="39">
        <f t="shared" si="88"/>
        <v>92904951</v>
      </c>
    </row>
    <row r="2818" spans="2:4" x14ac:dyDescent="0.25">
      <c r="B2818" s="89">
        <v>2814</v>
      </c>
      <c r="C2818" s="39">
        <f t="shared" si="87"/>
        <v>157992929.59999999</v>
      </c>
      <c r="D2818" s="39">
        <f t="shared" si="88"/>
        <v>92937978</v>
      </c>
    </row>
    <row r="2819" spans="2:4" x14ac:dyDescent="0.25">
      <c r="B2819" s="89">
        <v>2815</v>
      </c>
      <c r="C2819" s="39">
        <f t="shared" si="87"/>
        <v>157992929.59999999</v>
      </c>
      <c r="D2819" s="39">
        <f t="shared" si="88"/>
        <v>92971005</v>
      </c>
    </row>
    <row r="2820" spans="2:4" x14ac:dyDescent="0.25">
      <c r="B2820" s="89">
        <v>2816</v>
      </c>
      <c r="C2820" s="39">
        <f t="shared" si="87"/>
        <v>157992929.59999999</v>
      </c>
      <c r="D2820" s="39">
        <f t="shared" si="88"/>
        <v>93004032</v>
      </c>
    </row>
    <row r="2821" spans="2:4" x14ac:dyDescent="0.25">
      <c r="B2821" s="89">
        <v>2817</v>
      </c>
      <c r="C2821" s="39">
        <f t="shared" si="87"/>
        <v>157992929.59999999</v>
      </c>
      <c r="D2821" s="39">
        <f t="shared" si="88"/>
        <v>93037059</v>
      </c>
    </row>
    <row r="2822" spans="2:4" x14ac:dyDescent="0.25">
      <c r="B2822" s="89">
        <v>2818</v>
      </c>
      <c r="C2822" s="39">
        <f t="shared" ref="C2822:C2885" si="89">$C2821</f>
        <v>157992929.59999999</v>
      </c>
      <c r="D2822" s="39">
        <f t="shared" si="88"/>
        <v>93070086</v>
      </c>
    </row>
    <row r="2823" spans="2:4" x14ac:dyDescent="0.25">
      <c r="B2823" s="89">
        <v>2819</v>
      </c>
      <c r="C2823" s="39">
        <f t="shared" si="89"/>
        <v>157992929.59999999</v>
      </c>
      <c r="D2823" s="39">
        <f t="shared" si="88"/>
        <v>93103113</v>
      </c>
    </row>
    <row r="2824" spans="2:4" x14ac:dyDescent="0.25">
      <c r="B2824" s="89">
        <v>2820</v>
      </c>
      <c r="C2824" s="39">
        <f t="shared" si="89"/>
        <v>157992929.59999999</v>
      </c>
      <c r="D2824" s="39">
        <f t="shared" si="88"/>
        <v>93136140</v>
      </c>
    </row>
    <row r="2825" spans="2:4" x14ac:dyDescent="0.25">
      <c r="B2825" s="89">
        <v>2821</v>
      </c>
      <c r="C2825" s="39">
        <f t="shared" si="89"/>
        <v>157992929.59999999</v>
      </c>
      <c r="D2825" s="39">
        <f t="shared" si="88"/>
        <v>93169167</v>
      </c>
    </row>
    <row r="2826" spans="2:4" x14ac:dyDescent="0.25">
      <c r="B2826" s="89">
        <v>2822</v>
      </c>
      <c r="C2826" s="39">
        <f t="shared" si="89"/>
        <v>157992929.59999999</v>
      </c>
      <c r="D2826" s="39">
        <f t="shared" si="88"/>
        <v>93202194</v>
      </c>
    </row>
    <row r="2827" spans="2:4" x14ac:dyDescent="0.25">
      <c r="B2827" s="89">
        <v>2823</v>
      </c>
      <c r="C2827" s="39">
        <f t="shared" si="89"/>
        <v>157992929.59999999</v>
      </c>
      <c r="D2827" s="39">
        <f t="shared" si="88"/>
        <v>93235221</v>
      </c>
    </row>
    <row r="2828" spans="2:4" x14ac:dyDescent="0.25">
      <c r="B2828" s="89">
        <v>2824</v>
      </c>
      <c r="C2828" s="39">
        <f t="shared" si="89"/>
        <v>157992929.59999999</v>
      </c>
      <c r="D2828" s="39">
        <f t="shared" si="88"/>
        <v>93268248</v>
      </c>
    </row>
    <row r="2829" spans="2:4" x14ac:dyDescent="0.25">
      <c r="B2829" s="89">
        <v>2825</v>
      </c>
      <c r="C2829" s="39">
        <f t="shared" si="89"/>
        <v>157992929.59999999</v>
      </c>
      <c r="D2829" s="39">
        <f t="shared" si="88"/>
        <v>93301275</v>
      </c>
    </row>
    <row r="2830" spans="2:4" x14ac:dyDescent="0.25">
      <c r="B2830" s="89">
        <v>2826</v>
      </c>
      <c r="C2830" s="39">
        <f t="shared" si="89"/>
        <v>157992929.59999999</v>
      </c>
      <c r="D2830" s="39">
        <f t="shared" si="88"/>
        <v>93334302</v>
      </c>
    </row>
    <row r="2831" spans="2:4" x14ac:dyDescent="0.25">
      <c r="B2831" s="89">
        <v>2827</v>
      </c>
      <c r="C2831" s="39">
        <f t="shared" si="89"/>
        <v>157992929.59999999</v>
      </c>
      <c r="D2831" s="39">
        <f t="shared" si="88"/>
        <v>93367329</v>
      </c>
    </row>
    <row r="2832" spans="2:4" x14ac:dyDescent="0.25">
      <c r="B2832" s="89">
        <v>2828</v>
      </c>
      <c r="C2832" s="39">
        <f t="shared" si="89"/>
        <v>157992929.59999999</v>
      </c>
      <c r="D2832" s="39">
        <f t="shared" si="88"/>
        <v>93400356</v>
      </c>
    </row>
    <row r="2833" spans="2:4" x14ac:dyDescent="0.25">
      <c r="B2833" s="89">
        <v>2829</v>
      </c>
      <c r="C2833" s="39">
        <f t="shared" si="89"/>
        <v>157992929.59999999</v>
      </c>
      <c r="D2833" s="39">
        <f t="shared" si="88"/>
        <v>93433383</v>
      </c>
    </row>
    <row r="2834" spans="2:4" x14ac:dyDescent="0.25">
      <c r="B2834" s="89">
        <v>2830</v>
      </c>
      <c r="C2834" s="39">
        <f t="shared" si="89"/>
        <v>157992929.59999999</v>
      </c>
      <c r="D2834" s="39">
        <f t="shared" si="88"/>
        <v>93466410</v>
      </c>
    </row>
    <row r="2835" spans="2:4" x14ac:dyDescent="0.25">
      <c r="B2835" s="89">
        <v>2831</v>
      </c>
      <c r="C2835" s="39">
        <f t="shared" si="89"/>
        <v>157992929.59999999</v>
      </c>
      <c r="D2835" s="39">
        <f t="shared" si="88"/>
        <v>93499437</v>
      </c>
    </row>
    <row r="2836" spans="2:4" x14ac:dyDescent="0.25">
      <c r="B2836" s="89">
        <v>2832</v>
      </c>
      <c r="C2836" s="39">
        <f t="shared" si="89"/>
        <v>157992929.59999999</v>
      </c>
      <c r="D2836" s="39">
        <f t="shared" si="88"/>
        <v>93532464</v>
      </c>
    </row>
    <row r="2837" spans="2:4" x14ac:dyDescent="0.25">
      <c r="B2837" s="89">
        <v>2833</v>
      </c>
      <c r="C2837" s="39">
        <f t="shared" si="89"/>
        <v>157992929.59999999</v>
      </c>
      <c r="D2837" s="39">
        <f t="shared" si="88"/>
        <v>93565491</v>
      </c>
    </row>
    <row r="2838" spans="2:4" x14ac:dyDescent="0.25">
      <c r="B2838" s="89">
        <v>2834</v>
      </c>
      <c r="C2838" s="39">
        <f t="shared" si="89"/>
        <v>157992929.59999999</v>
      </c>
      <c r="D2838" s="39">
        <f t="shared" si="88"/>
        <v>93598518</v>
      </c>
    </row>
    <row r="2839" spans="2:4" x14ac:dyDescent="0.25">
      <c r="B2839" s="89">
        <v>2835</v>
      </c>
      <c r="C2839" s="39">
        <f t="shared" si="89"/>
        <v>157992929.59999999</v>
      </c>
      <c r="D2839" s="39">
        <f t="shared" si="88"/>
        <v>93631545</v>
      </c>
    </row>
    <row r="2840" spans="2:4" x14ac:dyDescent="0.25">
      <c r="B2840" s="89">
        <v>2836</v>
      </c>
      <c r="C2840" s="39">
        <f t="shared" si="89"/>
        <v>157992929.59999999</v>
      </c>
      <c r="D2840" s="39">
        <f t="shared" si="88"/>
        <v>93664572</v>
      </c>
    </row>
    <row r="2841" spans="2:4" x14ac:dyDescent="0.25">
      <c r="B2841" s="89">
        <v>2837</v>
      </c>
      <c r="C2841" s="39">
        <f t="shared" si="89"/>
        <v>157992929.59999999</v>
      </c>
      <c r="D2841" s="39">
        <f t="shared" si="88"/>
        <v>93697599</v>
      </c>
    </row>
    <row r="2842" spans="2:4" x14ac:dyDescent="0.25">
      <c r="B2842" s="89">
        <v>2838</v>
      </c>
      <c r="C2842" s="39">
        <f t="shared" si="89"/>
        <v>157992929.59999999</v>
      </c>
      <c r="D2842" s="39">
        <f t="shared" si="88"/>
        <v>93730626</v>
      </c>
    </row>
    <row r="2843" spans="2:4" x14ac:dyDescent="0.25">
      <c r="B2843" s="89">
        <v>2839</v>
      </c>
      <c r="C2843" s="39">
        <f t="shared" si="89"/>
        <v>157992929.59999999</v>
      </c>
      <c r="D2843" s="39">
        <f t="shared" si="88"/>
        <v>93763653</v>
      </c>
    </row>
    <row r="2844" spans="2:4" x14ac:dyDescent="0.25">
      <c r="B2844" s="89">
        <v>2840</v>
      </c>
      <c r="C2844" s="39">
        <f t="shared" si="89"/>
        <v>157992929.59999999</v>
      </c>
      <c r="D2844" s="39">
        <f t="shared" si="88"/>
        <v>93796680</v>
      </c>
    </row>
    <row r="2845" spans="2:4" x14ac:dyDescent="0.25">
      <c r="B2845" s="89">
        <v>2841</v>
      </c>
      <c r="C2845" s="39">
        <f t="shared" si="89"/>
        <v>157992929.59999999</v>
      </c>
      <c r="D2845" s="39">
        <f t="shared" si="88"/>
        <v>93829707</v>
      </c>
    </row>
    <row r="2846" spans="2:4" x14ac:dyDescent="0.25">
      <c r="B2846" s="89">
        <v>2842</v>
      </c>
      <c r="C2846" s="39">
        <f t="shared" si="89"/>
        <v>157992929.59999999</v>
      </c>
      <c r="D2846" s="39">
        <f t="shared" si="88"/>
        <v>93862734</v>
      </c>
    </row>
    <row r="2847" spans="2:4" x14ac:dyDescent="0.25">
      <c r="B2847" s="89">
        <v>2843</v>
      </c>
      <c r="C2847" s="39">
        <f t="shared" si="89"/>
        <v>157992929.59999999</v>
      </c>
      <c r="D2847" s="39">
        <f t="shared" si="88"/>
        <v>93895761</v>
      </c>
    </row>
    <row r="2848" spans="2:4" x14ac:dyDescent="0.25">
      <c r="B2848" s="89">
        <v>2844</v>
      </c>
      <c r="C2848" s="39">
        <f t="shared" si="89"/>
        <v>157992929.59999999</v>
      </c>
      <c r="D2848" s="39">
        <f t="shared" si="88"/>
        <v>93928788</v>
      </c>
    </row>
    <row r="2849" spans="2:4" x14ac:dyDescent="0.25">
      <c r="B2849" s="89">
        <v>2845</v>
      </c>
      <c r="C2849" s="39">
        <f t="shared" si="89"/>
        <v>157992929.59999999</v>
      </c>
      <c r="D2849" s="39">
        <f t="shared" si="88"/>
        <v>93961815</v>
      </c>
    </row>
    <row r="2850" spans="2:4" x14ac:dyDescent="0.25">
      <c r="B2850" s="89">
        <v>2846</v>
      </c>
      <c r="C2850" s="39">
        <f t="shared" si="89"/>
        <v>157992929.59999999</v>
      </c>
      <c r="D2850" s="39">
        <f t="shared" si="88"/>
        <v>93994842</v>
      </c>
    </row>
    <row r="2851" spans="2:4" x14ac:dyDescent="0.25">
      <c r="B2851" s="89">
        <v>2847</v>
      </c>
      <c r="C2851" s="39">
        <f t="shared" si="89"/>
        <v>157992929.59999999</v>
      </c>
      <c r="D2851" s="39">
        <f t="shared" si="88"/>
        <v>94027869</v>
      </c>
    </row>
    <row r="2852" spans="2:4" x14ac:dyDescent="0.25">
      <c r="B2852" s="89">
        <v>2848</v>
      </c>
      <c r="C2852" s="39">
        <f t="shared" si="89"/>
        <v>157992929.59999999</v>
      </c>
      <c r="D2852" s="39">
        <f t="shared" si="88"/>
        <v>94060896</v>
      </c>
    </row>
    <row r="2853" spans="2:4" x14ac:dyDescent="0.25">
      <c r="B2853" s="89">
        <v>2849</v>
      </c>
      <c r="C2853" s="39">
        <f t="shared" si="89"/>
        <v>157992929.59999999</v>
      </c>
      <c r="D2853" s="39">
        <f t="shared" si="88"/>
        <v>94093923</v>
      </c>
    </row>
    <row r="2854" spans="2:4" x14ac:dyDescent="0.25">
      <c r="B2854" s="89">
        <v>2850</v>
      </c>
      <c r="C2854" s="39">
        <f t="shared" si="89"/>
        <v>157992929.59999999</v>
      </c>
      <c r="D2854" s="39">
        <f t="shared" si="88"/>
        <v>94126950</v>
      </c>
    </row>
    <row r="2855" spans="2:4" x14ac:dyDescent="0.25">
      <c r="B2855" s="89">
        <v>2851</v>
      </c>
      <c r="C2855" s="39">
        <f t="shared" si="89"/>
        <v>157992929.59999999</v>
      </c>
      <c r="D2855" s="39">
        <f t="shared" si="88"/>
        <v>94159977</v>
      </c>
    </row>
    <row r="2856" spans="2:4" x14ac:dyDescent="0.25">
      <c r="B2856" s="89">
        <v>2852</v>
      </c>
      <c r="C2856" s="39">
        <f t="shared" si="89"/>
        <v>157992929.59999999</v>
      </c>
      <c r="D2856" s="39">
        <f t="shared" si="88"/>
        <v>94193004</v>
      </c>
    </row>
    <row r="2857" spans="2:4" x14ac:dyDescent="0.25">
      <c r="B2857" s="89">
        <v>2853</v>
      </c>
      <c r="C2857" s="39">
        <f t="shared" si="89"/>
        <v>157992929.59999999</v>
      </c>
      <c r="D2857" s="39">
        <f t="shared" si="88"/>
        <v>94226031</v>
      </c>
    </row>
    <row r="2858" spans="2:4" x14ac:dyDescent="0.25">
      <c r="B2858" s="89">
        <v>2854</v>
      </c>
      <c r="C2858" s="39">
        <f t="shared" si="89"/>
        <v>157992929.59999999</v>
      </c>
      <c r="D2858" s="39">
        <f t="shared" si="88"/>
        <v>94259058</v>
      </c>
    </row>
    <row r="2859" spans="2:4" x14ac:dyDescent="0.25">
      <c r="B2859" s="89">
        <v>2855</v>
      </c>
      <c r="C2859" s="39">
        <f t="shared" si="89"/>
        <v>157992929.59999999</v>
      </c>
      <c r="D2859" s="39">
        <f t="shared" si="88"/>
        <v>94292085</v>
      </c>
    </row>
    <row r="2860" spans="2:4" x14ac:dyDescent="0.25">
      <c r="B2860" s="89">
        <v>2856</v>
      </c>
      <c r="C2860" s="39">
        <f t="shared" si="89"/>
        <v>157992929.59999999</v>
      </c>
      <c r="D2860" s="39">
        <f t="shared" si="88"/>
        <v>94325112</v>
      </c>
    </row>
    <row r="2861" spans="2:4" x14ac:dyDescent="0.25">
      <c r="B2861" s="89">
        <v>2857</v>
      </c>
      <c r="C2861" s="39">
        <f t="shared" si="89"/>
        <v>157992929.59999999</v>
      </c>
      <c r="D2861" s="39">
        <f t="shared" si="88"/>
        <v>94358139</v>
      </c>
    </row>
    <row r="2862" spans="2:4" x14ac:dyDescent="0.25">
      <c r="B2862" s="89">
        <v>2858</v>
      </c>
      <c r="C2862" s="39">
        <f t="shared" si="89"/>
        <v>157992929.59999999</v>
      </c>
      <c r="D2862" s="39">
        <f t="shared" si="88"/>
        <v>94391166</v>
      </c>
    </row>
    <row r="2863" spans="2:4" x14ac:dyDescent="0.25">
      <c r="B2863" s="89">
        <v>2859</v>
      </c>
      <c r="C2863" s="39">
        <f t="shared" si="89"/>
        <v>157992929.59999999</v>
      </c>
      <c r="D2863" s="39">
        <f t="shared" si="88"/>
        <v>94424193</v>
      </c>
    </row>
    <row r="2864" spans="2:4" x14ac:dyDescent="0.25">
      <c r="B2864" s="89">
        <v>2860</v>
      </c>
      <c r="C2864" s="39">
        <f t="shared" si="89"/>
        <v>157992929.59999999</v>
      </c>
      <c r="D2864" s="39">
        <f t="shared" si="88"/>
        <v>94457220</v>
      </c>
    </row>
    <row r="2865" spans="2:4" x14ac:dyDescent="0.25">
      <c r="B2865" s="89">
        <v>2861</v>
      </c>
      <c r="C2865" s="39">
        <f t="shared" si="89"/>
        <v>157992929.59999999</v>
      </c>
      <c r="D2865" s="39">
        <f t="shared" ref="D2865:D2928" si="90">$D$2*B2865</f>
        <v>94490247</v>
      </c>
    </row>
    <row r="2866" spans="2:4" x14ac:dyDescent="0.25">
      <c r="B2866" s="89">
        <v>2862</v>
      </c>
      <c r="C2866" s="39">
        <f t="shared" si="89"/>
        <v>157992929.59999999</v>
      </c>
      <c r="D2866" s="39">
        <f t="shared" si="90"/>
        <v>94523274</v>
      </c>
    </row>
    <row r="2867" spans="2:4" x14ac:dyDescent="0.25">
      <c r="B2867" s="89">
        <v>2863</v>
      </c>
      <c r="C2867" s="39">
        <f t="shared" si="89"/>
        <v>157992929.59999999</v>
      </c>
      <c r="D2867" s="39">
        <f t="shared" si="90"/>
        <v>94556301</v>
      </c>
    </row>
    <row r="2868" spans="2:4" x14ac:dyDescent="0.25">
      <c r="B2868" s="89">
        <v>2864</v>
      </c>
      <c r="C2868" s="39">
        <f t="shared" si="89"/>
        <v>157992929.59999999</v>
      </c>
      <c r="D2868" s="39">
        <f t="shared" si="90"/>
        <v>94589328</v>
      </c>
    </row>
    <row r="2869" spans="2:4" x14ac:dyDescent="0.25">
      <c r="B2869" s="89">
        <v>2865</v>
      </c>
      <c r="C2869" s="39">
        <f t="shared" si="89"/>
        <v>157992929.59999999</v>
      </c>
      <c r="D2869" s="39">
        <f t="shared" si="90"/>
        <v>94622355</v>
      </c>
    </row>
    <row r="2870" spans="2:4" x14ac:dyDescent="0.25">
      <c r="B2870" s="89">
        <v>2866</v>
      </c>
      <c r="C2870" s="39">
        <f t="shared" si="89"/>
        <v>157992929.59999999</v>
      </c>
      <c r="D2870" s="39">
        <f t="shared" si="90"/>
        <v>94655382</v>
      </c>
    </row>
    <row r="2871" spans="2:4" x14ac:dyDescent="0.25">
      <c r="B2871" s="89">
        <v>2867</v>
      </c>
      <c r="C2871" s="39">
        <f t="shared" si="89"/>
        <v>157992929.59999999</v>
      </c>
      <c r="D2871" s="39">
        <f t="shared" si="90"/>
        <v>94688409</v>
      </c>
    </row>
    <row r="2872" spans="2:4" x14ac:dyDescent="0.25">
      <c r="B2872" s="89">
        <v>2868</v>
      </c>
      <c r="C2872" s="39">
        <f t="shared" si="89"/>
        <v>157992929.59999999</v>
      </c>
      <c r="D2872" s="39">
        <f t="shared" si="90"/>
        <v>94721436</v>
      </c>
    </row>
    <row r="2873" spans="2:4" x14ac:dyDescent="0.25">
      <c r="B2873" s="89">
        <v>2869</v>
      </c>
      <c r="C2873" s="39">
        <f t="shared" si="89"/>
        <v>157992929.59999999</v>
      </c>
      <c r="D2873" s="39">
        <f t="shared" si="90"/>
        <v>94754463</v>
      </c>
    </row>
    <row r="2874" spans="2:4" x14ac:dyDescent="0.25">
      <c r="B2874" s="89">
        <v>2870</v>
      </c>
      <c r="C2874" s="39">
        <f t="shared" si="89"/>
        <v>157992929.59999999</v>
      </c>
      <c r="D2874" s="39">
        <f t="shared" si="90"/>
        <v>94787490</v>
      </c>
    </row>
    <row r="2875" spans="2:4" x14ac:dyDescent="0.25">
      <c r="B2875" s="89">
        <v>2871</v>
      </c>
      <c r="C2875" s="39">
        <f t="shared" si="89"/>
        <v>157992929.59999999</v>
      </c>
      <c r="D2875" s="39">
        <f t="shared" si="90"/>
        <v>94820517</v>
      </c>
    </row>
    <row r="2876" spans="2:4" x14ac:dyDescent="0.25">
      <c r="B2876" s="89">
        <v>2872</v>
      </c>
      <c r="C2876" s="39">
        <f t="shared" si="89"/>
        <v>157992929.59999999</v>
      </c>
      <c r="D2876" s="39">
        <f t="shared" si="90"/>
        <v>94853544</v>
      </c>
    </row>
    <row r="2877" spans="2:4" x14ac:dyDescent="0.25">
      <c r="B2877" s="89">
        <v>2873</v>
      </c>
      <c r="C2877" s="39">
        <f t="shared" si="89"/>
        <v>157992929.59999999</v>
      </c>
      <c r="D2877" s="39">
        <f t="shared" si="90"/>
        <v>94886571</v>
      </c>
    </row>
    <row r="2878" spans="2:4" x14ac:dyDescent="0.25">
      <c r="B2878" s="89">
        <v>2874</v>
      </c>
      <c r="C2878" s="39">
        <f t="shared" si="89"/>
        <v>157992929.59999999</v>
      </c>
      <c r="D2878" s="39">
        <f t="shared" si="90"/>
        <v>94919598</v>
      </c>
    </row>
    <row r="2879" spans="2:4" x14ac:dyDescent="0.25">
      <c r="B2879" s="89">
        <v>2875</v>
      </c>
      <c r="C2879" s="39">
        <f t="shared" si="89"/>
        <v>157992929.59999999</v>
      </c>
      <c r="D2879" s="39">
        <f t="shared" si="90"/>
        <v>94952625</v>
      </c>
    </row>
    <row r="2880" spans="2:4" x14ac:dyDescent="0.25">
      <c r="B2880" s="89">
        <v>2876</v>
      </c>
      <c r="C2880" s="39">
        <f t="shared" si="89"/>
        <v>157992929.59999999</v>
      </c>
      <c r="D2880" s="39">
        <f t="shared" si="90"/>
        <v>94985652</v>
      </c>
    </row>
    <row r="2881" spans="2:4" x14ac:dyDescent="0.25">
      <c r="B2881" s="89">
        <v>2877</v>
      </c>
      <c r="C2881" s="39">
        <f t="shared" si="89"/>
        <v>157992929.59999999</v>
      </c>
      <c r="D2881" s="39">
        <f t="shared" si="90"/>
        <v>95018679</v>
      </c>
    </row>
    <row r="2882" spans="2:4" x14ac:dyDescent="0.25">
      <c r="B2882" s="89">
        <v>2878</v>
      </c>
      <c r="C2882" s="39">
        <f t="shared" si="89"/>
        <v>157992929.59999999</v>
      </c>
      <c r="D2882" s="39">
        <f t="shared" si="90"/>
        <v>95051706</v>
      </c>
    </row>
    <row r="2883" spans="2:4" x14ac:dyDescent="0.25">
      <c r="B2883" s="89">
        <v>2879</v>
      </c>
      <c r="C2883" s="39">
        <f t="shared" si="89"/>
        <v>157992929.59999999</v>
      </c>
      <c r="D2883" s="39">
        <f t="shared" si="90"/>
        <v>95084733</v>
      </c>
    </row>
    <row r="2884" spans="2:4" x14ac:dyDescent="0.25">
      <c r="B2884" s="89">
        <v>2880</v>
      </c>
      <c r="C2884" s="39">
        <f t="shared" si="89"/>
        <v>157992929.59999999</v>
      </c>
      <c r="D2884" s="39">
        <f t="shared" si="90"/>
        <v>95117760</v>
      </c>
    </row>
    <row r="2885" spans="2:4" x14ac:dyDescent="0.25">
      <c r="B2885" s="89">
        <v>2881</v>
      </c>
      <c r="C2885" s="39">
        <f t="shared" si="89"/>
        <v>157992929.59999999</v>
      </c>
      <c r="D2885" s="39">
        <f t="shared" si="90"/>
        <v>95150787</v>
      </c>
    </row>
    <row r="2886" spans="2:4" x14ac:dyDescent="0.25">
      <c r="B2886" s="89">
        <v>2882</v>
      </c>
      <c r="C2886" s="39">
        <f t="shared" ref="C2886:C2949" si="91">$C2885</f>
        <v>157992929.59999999</v>
      </c>
      <c r="D2886" s="39">
        <f t="shared" si="90"/>
        <v>95183814</v>
      </c>
    </row>
    <row r="2887" spans="2:4" x14ac:dyDescent="0.25">
      <c r="B2887" s="89">
        <v>2883</v>
      </c>
      <c r="C2887" s="39">
        <f t="shared" si="91"/>
        <v>157992929.59999999</v>
      </c>
      <c r="D2887" s="39">
        <f t="shared" si="90"/>
        <v>95216841</v>
      </c>
    </row>
    <row r="2888" spans="2:4" x14ac:dyDescent="0.25">
      <c r="B2888" s="89">
        <v>2884</v>
      </c>
      <c r="C2888" s="39">
        <f t="shared" si="91"/>
        <v>157992929.59999999</v>
      </c>
      <c r="D2888" s="39">
        <f t="shared" si="90"/>
        <v>95249868</v>
      </c>
    </row>
    <row r="2889" spans="2:4" x14ac:dyDescent="0.25">
      <c r="B2889" s="89">
        <v>2885</v>
      </c>
      <c r="C2889" s="39">
        <f t="shared" si="91"/>
        <v>157992929.59999999</v>
      </c>
      <c r="D2889" s="39">
        <f t="shared" si="90"/>
        <v>95282895</v>
      </c>
    </row>
    <row r="2890" spans="2:4" x14ac:dyDescent="0.25">
      <c r="B2890" s="89">
        <v>2886</v>
      </c>
      <c r="C2890" s="39">
        <f t="shared" si="91"/>
        <v>157992929.59999999</v>
      </c>
      <c r="D2890" s="39">
        <f t="shared" si="90"/>
        <v>95315922</v>
      </c>
    </row>
    <row r="2891" spans="2:4" x14ac:dyDescent="0.25">
      <c r="B2891" s="89">
        <v>2887</v>
      </c>
      <c r="C2891" s="39">
        <f t="shared" si="91"/>
        <v>157992929.59999999</v>
      </c>
      <c r="D2891" s="39">
        <f t="shared" si="90"/>
        <v>95348949</v>
      </c>
    </row>
    <row r="2892" spans="2:4" x14ac:dyDescent="0.25">
      <c r="B2892" s="89">
        <v>2888</v>
      </c>
      <c r="C2892" s="39">
        <f t="shared" si="91"/>
        <v>157992929.59999999</v>
      </c>
      <c r="D2892" s="39">
        <f t="shared" si="90"/>
        <v>95381976</v>
      </c>
    </row>
    <row r="2893" spans="2:4" x14ac:dyDescent="0.25">
      <c r="B2893" s="89">
        <v>2889</v>
      </c>
      <c r="C2893" s="39">
        <f t="shared" si="91"/>
        <v>157992929.59999999</v>
      </c>
      <c r="D2893" s="39">
        <f t="shared" si="90"/>
        <v>95415003</v>
      </c>
    </row>
    <row r="2894" spans="2:4" x14ac:dyDescent="0.25">
      <c r="B2894" s="89">
        <v>2890</v>
      </c>
      <c r="C2894" s="39">
        <f t="shared" si="91"/>
        <v>157992929.59999999</v>
      </c>
      <c r="D2894" s="39">
        <f t="shared" si="90"/>
        <v>95448030</v>
      </c>
    </row>
    <row r="2895" spans="2:4" x14ac:dyDescent="0.25">
      <c r="B2895" s="89">
        <v>2891</v>
      </c>
      <c r="C2895" s="39">
        <f t="shared" si="91"/>
        <v>157992929.59999999</v>
      </c>
      <c r="D2895" s="39">
        <f t="shared" si="90"/>
        <v>95481057</v>
      </c>
    </row>
    <row r="2896" spans="2:4" x14ac:dyDescent="0.25">
      <c r="B2896" s="89">
        <v>2892</v>
      </c>
      <c r="C2896" s="39">
        <f t="shared" si="91"/>
        <v>157992929.59999999</v>
      </c>
      <c r="D2896" s="39">
        <f t="shared" si="90"/>
        <v>95514084</v>
      </c>
    </row>
    <row r="2897" spans="2:4" x14ac:dyDescent="0.25">
      <c r="B2897" s="89">
        <v>2893</v>
      </c>
      <c r="C2897" s="39">
        <f t="shared" si="91"/>
        <v>157992929.59999999</v>
      </c>
      <c r="D2897" s="39">
        <f t="shared" si="90"/>
        <v>95547111</v>
      </c>
    </row>
    <row r="2898" spans="2:4" x14ac:dyDescent="0.25">
      <c r="B2898" s="89">
        <v>2894</v>
      </c>
      <c r="C2898" s="39">
        <f t="shared" si="91"/>
        <v>157992929.59999999</v>
      </c>
      <c r="D2898" s="39">
        <f t="shared" si="90"/>
        <v>95580138</v>
      </c>
    </row>
    <row r="2899" spans="2:4" x14ac:dyDescent="0.25">
      <c r="B2899" s="89">
        <v>2895</v>
      </c>
      <c r="C2899" s="39">
        <f t="shared" si="91"/>
        <v>157992929.59999999</v>
      </c>
      <c r="D2899" s="39">
        <f t="shared" si="90"/>
        <v>95613165</v>
      </c>
    </row>
    <row r="2900" spans="2:4" x14ac:dyDescent="0.25">
      <c r="B2900" s="89">
        <v>2896</v>
      </c>
      <c r="C2900" s="39">
        <f t="shared" si="91"/>
        <v>157992929.59999999</v>
      </c>
      <c r="D2900" s="39">
        <f t="shared" si="90"/>
        <v>95646192</v>
      </c>
    </row>
    <row r="2901" spans="2:4" x14ac:dyDescent="0.25">
      <c r="B2901" s="89">
        <v>2897</v>
      </c>
      <c r="C2901" s="39">
        <f t="shared" si="91"/>
        <v>157992929.59999999</v>
      </c>
      <c r="D2901" s="39">
        <f t="shared" si="90"/>
        <v>95679219</v>
      </c>
    </row>
    <row r="2902" spans="2:4" x14ac:dyDescent="0.25">
      <c r="B2902" s="89">
        <v>2898</v>
      </c>
      <c r="C2902" s="39">
        <f t="shared" si="91"/>
        <v>157992929.59999999</v>
      </c>
      <c r="D2902" s="39">
        <f t="shared" si="90"/>
        <v>95712246</v>
      </c>
    </row>
    <row r="2903" spans="2:4" x14ac:dyDescent="0.25">
      <c r="B2903" s="89">
        <v>2899</v>
      </c>
      <c r="C2903" s="39">
        <f t="shared" si="91"/>
        <v>157992929.59999999</v>
      </c>
      <c r="D2903" s="39">
        <f t="shared" si="90"/>
        <v>95745273</v>
      </c>
    </row>
    <row r="2904" spans="2:4" x14ac:dyDescent="0.25">
      <c r="B2904" s="89">
        <v>2900</v>
      </c>
      <c r="C2904" s="39">
        <f t="shared" si="91"/>
        <v>157992929.59999999</v>
      </c>
      <c r="D2904" s="39">
        <f t="shared" si="90"/>
        <v>95778300</v>
      </c>
    </row>
    <row r="2905" spans="2:4" x14ac:dyDescent="0.25">
      <c r="B2905" s="89">
        <v>2901</v>
      </c>
      <c r="C2905" s="39">
        <f t="shared" si="91"/>
        <v>157992929.59999999</v>
      </c>
      <c r="D2905" s="39">
        <f t="shared" si="90"/>
        <v>95811327</v>
      </c>
    </row>
    <row r="2906" spans="2:4" x14ac:dyDescent="0.25">
      <c r="B2906" s="89">
        <v>2902</v>
      </c>
      <c r="C2906" s="39">
        <f t="shared" si="91"/>
        <v>157992929.59999999</v>
      </c>
      <c r="D2906" s="39">
        <f t="shared" si="90"/>
        <v>95844354</v>
      </c>
    </row>
    <row r="2907" spans="2:4" x14ac:dyDescent="0.25">
      <c r="B2907" s="89">
        <v>2903</v>
      </c>
      <c r="C2907" s="39">
        <f t="shared" si="91"/>
        <v>157992929.59999999</v>
      </c>
      <c r="D2907" s="39">
        <f t="shared" si="90"/>
        <v>95877381</v>
      </c>
    </row>
    <row r="2908" spans="2:4" x14ac:dyDescent="0.25">
      <c r="B2908" s="89">
        <v>2904</v>
      </c>
      <c r="C2908" s="39">
        <f t="shared" si="91"/>
        <v>157992929.59999999</v>
      </c>
      <c r="D2908" s="39">
        <f t="shared" si="90"/>
        <v>95910408</v>
      </c>
    </row>
    <row r="2909" spans="2:4" x14ac:dyDescent="0.25">
      <c r="B2909" s="89">
        <v>2905</v>
      </c>
      <c r="C2909" s="39">
        <f t="shared" si="91"/>
        <v>157992929.59999999</v>
      </c>
      <c r="D2909" s="39">
        <f t="shared" si="90"/>
        <v>95943435</v>
      </c>
    </row>
    <row r="2910" spans="2:4" x14ac:dyDescent="0.25">
      <c r="B2910" s="89">
        <v>2906</v>
      </c>
      <c r="C2910" s="39">
        <f t="shared" si="91"/>
        <v>157992929.59999999</v>
      </c>
      <c r="D2910" s="39">
        <f t="shared" si="90"/>
        <v>95976462</v>
      </c>
    </row>
    <row r="2911" spans="2:4" x14ac:dyDescent="0.25">
      <c r="B2911" s="89">
        <v>2907</v>
      </c>
      <c r="C2911" s="39">
        <f t="shared" si="91"/>
        <v>157992929.59999999</v>
      </c>
      <c r="D2911" s="39">
        <f t="shared" si="90"/>
        <v>96009489</v>
      </c>
    </row>
    <row r="2912" spans="2:4" x14ac:dyDescent="0.25">
      <c r="B2912" s="89">
        <v>2908</v>
      </c>
      <c r="C2912" s="39">
        <f t="shared" si="91"/>
        <v>157992929.59999999</v>
      </c>
      <c r="D2912" s="39">
        <f t="shared" si="90"/>
        <v>96042516</v>
      </c>
    </row>
    <row r="2913" spans="2:4" x14ac:dyDescent="0.25">
      <c r="B2913" s="89">
        <v>2909</v>
      </c>
      <c r="C2913" s="39">
        <f t="shared" si="91"/>
        <v>157992929.59999999</v>
      </c>
      <c r="D2913" s="39">
        <f t="shared" si="90"/>
        <v>96075543</v>
      </c>
    </row>
    <row r="2914" spans="2:4" x14ac:dyDescent="0.25">
      <c r="B2914" s="89">
        <v>2910</v>
      </c>
      <c r="C2914" s="39">
        <f t="shared" si="91"/>
        <v>157992929.59999999</v>
      </c>
      <c r="D2914" s="39">
        <f t="shared" si="90"/>
        <v>96108570</v>
      </c>
    </row>
    <row r="2915" spans="2:4" x14ac:dyDescent="0.25">
      <c r="B2915" s="89">
        <v>2911</v>
      </c>
      <c r="C2915" s="39">
        <f t="shared" si="91"/>
        <v>157992929.59999999</v>
      </c>
      <c r="D2915" s="39">
        <f t="shared" si="90"/>
        <v>96141597</v>
      </c>
    </row>
    <row r="2916" spans="2:4" x14ac:dyDescent="0.25">
      <c r="B2916" s="89">
        <v>2912</v>
      </c>
      <c r="C2916" s="39">
        <f t="shared" si="91"/>
        <v>157992929.59999999</v>
      </c>
      <c r="D2916" s="39">
        <f t="shared" si="90"/>
        <v>96174624</v>
      </c>
    </row>
    <row r="2917" spans="2:4" x14ac:dyDescent="0.25">
      <c r="B2917" s="89">
        <v>2913</v>
      </c>
      <c r="C2917" s="39">
        <f t="shared" si="91"/>
        <v>157992929.59999999</v>
      </c>
      <c r="D2917" s="39">
        <f t="shared" si="90"/>
        <v>96207651</v>
      </c>
    </row>
    <row r="2918" spans="2:4" x14ac:dyDescent="0.25">
      <c r="B2918" s="89">
        <v>2914</v>
      </c>
      <c r="C2918" s="39">
        <f t="shared" si="91"/>
        <v>157992929.59999999</v>
      </c>
      <c r="D2918" s="39">
        <f t="shared" si="90"/>
        <v>96240678</v>
      </c>
    </row>
    <row r="2919" spans="2:4" x14ac:dyDescent="0.25">
      <c r="B2919" s="89">
        <v>2915</v>
      </c>
      <c r="C2919" s="39">
        <f t="shared" si="91"/>
        <v>157992929.59999999</v>
      </c>
      <c r="D2919" s="39">
        <f t="shared" si="90"/>
        <v>96273705</v>
      </c>
    </row>
    <row r="2920" spans="2:4" x14ac:dyDescent="0.25">
      <c r="B2920" s="89">
        <v>2916</v>
      </c>
      <c r="C2920" s="39">
        <f t="shared" si="91"/>
        <v>157992929.59999999</v>
      </c>
      <c r="D2920" s="39">
        <f t="shared" si="90"/>
        <v>96306732</v>
      </c>
    </row>
    <row r="2921" spans="2:4" x14ac:dyDescent="0.25">
      <c r="B2921" s="89">
        <v>2917</v>
      </c>
      <c r="C2921" s="39">
        <f t="shared" si="91"/>
        <v>157992929.59999999</v>
      </c>
      <c r="D2921" s="39">
        <f t="shared" si="90"/>
        <v>96339759</v>
      </c>
    </row>
    <row r="2922" spans="2:4" x14ac:dyDescent="0.25">
      <c r="B2922" s="89">
        <v>2918</v>
      </c>
      <c r="C2922" s="39">
        <f t="shared" si="91"/>
        <v>157992929.59999999</v>
      </c>
      <c r="D2922" s="39">
        <f t="shared" si="90"/>
        <v>96372786</v>
      </c>
    </row>
    <row r="2923" spans="2:4" x14ac:dyDescent="0.25">
      <c r="B2923" s="89">
        <v>2919</v>
      </c>
      <c r="C2923" s="39">
        <f t="shared" si="91"/>
        <v>157992929.59999999</v>
      </c>
      <c r="D2923" s="39">
        <f t="shared" si="90"/>
        <v>96405813</v>
      </c>
    </row>
    <row r="2924" spans="2:4" x14ac:dyDescent="0.25">
      <c r="B2924" s="89">
        <v>2920</v>
      </c>
      <c r="C2924" s="39">
        <f t="shared" si="91"/>
        <v>157992929.59999999</v>
      </c>
      <c r="D2924" s="39">
        <f t="shared" si="90"/>
        <v>96438840</v>
      </c>
    </row>
    <row r="2925" spans="2:4" x14ac:dyDescent="0.25">
      <c r="B2925" s="89">
        <v>2921</v>
      </c>
      <c r="C2925" s="39">
        <f t="shared" si="91"/>
        <v>157992929.59999999</v>
      </c>
      <c r="D2925" s="39">
        <f t="shared" si="90"/>
        <v>96471867</v>
      </c>
    </row>
    <row r="2926" spans="2:4" x14ac:dyDescent="0.25">
      <c r="B2926" s="89">
        <v>2922</v>
      </c>
      <c r="C2926" s="39">
        <f t="shared" si="91"/>
        <v>157992929.59999999</v>
      </c>
      <c r="D2926" s="39">
        <f t="shared" si="90"/>
        <v>96504894</v>
      </c>
    </row>
    <row r="2927" spans="2:4" x14ac:dyDescent="0.25">
      <c r="B2927" s="89">
        <v>2923</v>
      </c>
      <c r="C2927" s="39">
        <f t="shared" si="91"/>
        <v>157992929.59999999</v>
      </c>
      <c r="D2927" s="39">
        <f t="shared" si="90"/>
        <v>96537921</v>
      </c>
    </row>
    <row r="2928" spans="2:4" x14ac:dyDescent="0.25">
      <c r="B2928" s="89">
        <v>2924</v>
      </c>
      <c r="C2928" s="39">
        <f t="shared" si="91"/>
        <v>157992929.59999999</v>
      </c>
      <c r="D2928" s="39">
        <f t="shared" si="90"/>
        <v>96570948</v>
      </c>
    </row>
    <row r="2929" spans="2:4" x14ac:dyDescent="0.25">
      <c r="B2929" s="89">
        <v>2925</v>
      </c>
      <c r="C2929" s="39">
        <f t="shared" si="91"/>
        <v>157992929.59999999</v>
      </c>
      <c r="D2929" s="39">
        <f t="shared" ref="D2929:D2992" si="92">$D$2*B2929</f>
        <v>96603975</v>
      </c>
    </row>
    <row r="2930" spans="2:4" x14ac:dyDescent="0.25">
      <c r="B2930" s="89">
        <v>2926</v>
      </c>
      <c r="C2930" s="39">
        <f t="shared" si="91"/>
        <v>157992929.59999999</v>
      </c>
      <c r="D2930" s="39">
        <f t="shared" si="92"/>
        <v>96637002</v>
      </c>
    </row>
    <row r="2931" spans="2:4" x14ac:dyDescent="0.25">
      <c r="B2931" s="89">
        <v>2927</v>
      </c>
      <c r="C2931" s="39">
        <f t="shared" si="91"/>
        <v>157992929.59999999</v>
      </c>
      <c r="D2931" s="39">
        <f t="shared" si="92"/>
        <v>96670029</v>
      </c>
    </row>
    <row r="2932" spans="2:4" x14ac:dyDescent="0.25">
      <c r="B2932" s="89">
        <v>2928</v>
      </c>
      <c r="C2932" s="39">
        <f t="shared" si="91"/>
        <v>157992929.59999999</v>
      </c>
      <c r="D2932" s="39">
        <f t="shared" si="92"/>
        <v>96703056</v>
      </c>
    </row>
    <row r="2933" spans="2:4" x14ac:dyDescent="0.25">
      <c r="B2933" s="89">
        <v>2929</v>
      </c>
      <c r="C2933" s="39">
        <f t="shared" si="91"/>
        <v>157992929.59999999</v>
      </c>
      <c r="D2933" s="39">
        <f t="shared" si="92"/>
        <v>96736083</v>
      </c>
    </row>
    <row r="2934" spans="2:4" x14ac:dyDescent="0.25">
      <c r="B2934" s="89">
        <v>2930</v>
      </c>
      <c r="C2934" s="39">
        <f t="shared" si="91"/>
        <v>157992929.59999999</v>
      </c>
      <c r="D2934" s="39">
        <f t="shared" si="92"/>
        <v>96769110</v>
      </c>
    </row>
    <row r="2935" spans="2:4" x14ac:dyDescent="0.25">
      <c r="B2935" s="89">
        <v>2931</v>
      </c>
      <c r="C2935" s="39">
        <f t="shared" si="91"/>
        <v>157992929.59999999</v>
      </c>
      <c r="D2935" s="39">
        <f t="shared" si="92"/>
        <v>96802137</v>
      </c>
    </row>
    <row r="2936" spans="2:4" x14ac:dyDescent="0.25">
      <c r="B2936" s="89">
        <v>2932</v>
      </c>
      <c r="C2936" s="39">
        <f t="shared" si="91"/>
        <v>157992929.59999999</v>
      </c>
      <c r="D2936" s="39">
        <f t="shared" si="92"/>
        <v>96835164</v>
      </c>
    </row>
    <row r="2937" spans="2:4" x14ac:dyDescent="0.25">
      <c r="B2937" s="89">
        <v>2933</v>
      </c>
      <c r="C2937" s="39">
        <f t="shared" si="91"/>
        <v>157992929.59999999</v>
      </c>
      <c r="D2937" s="39">
        <f t="shared" si="92"/>
        <v>96868191</v>
      </c>
    </row>
    <row r="2938" spans="2:4" x14ac:dyDescent="0.25">
      <c r="B2938" s="89">
        <v>2934</v>
      </c>
      <c r="C2938" s="39">
        <f t="shared" si="91"/>
        <v>157992929.59999999</v>
      </c>
      <c r="D2938" s="39">
        <f t="shared" si="92"/>
        <v>96901218</v>
      </c>
    </row>
    <row r="2939" spans="2:4" x14ac:dyDescent="0.25">
      <c r="B2939" s="89">
        <v>2935</v>
      </c>
      <c r="C2939" s="39">
        <f t="shared" si="91"/>
        <v>157992929.59999999</v>
      </c>
      <c r="D2939" s="39">
        <f t="shared" si="92"/>
        <v>96934245</v>
      </c>
    </row>
    <row r="2940" spans="2:4" x14ac:dyDescent="0.25">
      <c r="B2940" s="89">
        <v>2936</v>
      </c>
      <c r="C2940" s="39">
        <f t="shared" si="91"/>
        <v>157992929.59999999</v>
      </c>
      <c r="D2940" s="39">
        <f t="shared" si="92"/>
        <v>96967272</v>
      </c>
    </row>
    <row r="2941" spans="2:4" x14ac:dyDescent="0.25">
      <c r="B2941" s="89">
        <v>2937</v>
      </c>
      <c r="C2941" s="39">
        <f t="shared" si="91"/>
        <v>157992929.59999999</v>
      </c>
      <c r="D2941" s="39">
        <f t="shared" si="92"/>
        <v>97000299</v>
      </c>
    </row>
    <row r="2942" spans="2:4" x14ac:dyDescent="0.25">
      <c r="B2942" s="89">
        <v>2938</v>
      </c>
      <c r="C2942" s="39">
        <f t="shared" si="91"/>
        <v>157992929.59999999</v>
      </c>
      <c r="D2942" s="39">
        <f t="shared" si="92"/>
        <v>97033326</v>
      </c>
    </row>
    <row r="2943" spans="2:4" x14ac:dyDescent="0.25">
      <c r="B2943" s="89">
        <v>2939</v>
      </c>
      <c r="C2943" s="39">
        <f t="shared" si="91"/>
        <v>157992929.59999999</v>
      </c>
      <c r="D2943" s="39">
        <f t="shared" si="92"/>
        <v>97066353</v>
      </c>
    </row>
    <row r="2944" spans="2:4" x14ac:dyDescent="0.25">
      <c r="B2944" s="89">
        <v>2940</v>
      </c>
      <c r="C2944" s="39">
        <f t="shared" si="91"/>
        <v>157992929.59999999</v>
      </c>
      <c r="D2944" s="39">
        <f t="shared" si="92"/>
        <v>97099380</v>
      </c>
    </row>
    <row r="2945" spans="2:4" x14ac:dyDescent="0.25">
      <c r="B2945" s="89">
        <v>2941</v>
      </c>
      <c r="C2945" s="39">
        <f t="shared" si="91"/>
        <v>157992929.59999999</v>
      </c>
      <c r="D2945" s="39">
        <f t="shared" si="92"/>
        <v>97132407</v>
      </c>
    </row>
    <row r="2946" spans="2:4" x14ac:dyDescent="0.25">
      <c r="B2946" s="89">
        <v>2942</v>
      </c>
      <c r="C2946" s="39">
        <f t="shared" si="91"/>
        <v>157992929.59999999</v>
      </c>
      <c r="D2946" s="39">
        <f t="shared" si="92"/>
        <v>97165434</v>
      </c>
    </row>
    <row r="2947" spans="2:4" x14ac:dyDescent="0.25">
      <c r="B2947" s="89">
        <v>2943</v>
      </c>
      <c r="C2947" s="39">
        <f t="shared" si="91"/>
        <v>157992929.59999999</v>
      </c>
      <c r="D2947" s="39">
        <f t="shared" si="92"/>
        <v>97198461</v>
      </c>
    </row>
    <row r="2948" spans="2:4" x14ac:dyDescent="0.25">
      <c r="B2948" s="89">
        <v>2944</v>
      </c>
      <c r="C2948" s="39">
        <f t="shared" si="91"/>
        <v>157992929.59999999</v>
      </c>
      <c r="D2948" s="39">
        <f t="shared" si="92"/>
        <v>97231488</v>
      </c>
    </row>
    <row r="2949" spans="2:4" x14ac:dyDescent="0.25">
      <c r="B2949" s="89">
        <v>2945</v>
      </c>
      <c r="C2949" s="39">
        <f t="shared" si="91"/>
        <v>157992929.59999999</v>
      </c>
      <c r="D2949" s="39">
        <f t="shared" si="92"/>
        <v>97264515</v>
      </c>
    </row>
    <row r="2950" spans="2:4" x14ac:dyDescent="0.25">
      <c r="B2950" s="89">
        <v>2946</v>
      </c>
      <c r="C2950" s="39">
        <f t="shared" ref="C2950:C3013" si="93">$C2949</f>
        <v>157992929.59999999</v>
      </c>
      <c r="D2950" s="39">
        <f t="shared" si="92"/>
        <v>97297542</v>
      </c>
    </row>
    <row r="2951" spans="2:4" x14ac:dyDescent="0.25">
      <c r="B2951" s="89">
        <v>2947</v>
      </c>
      <c r="C2951" s="39">
        <f t="shared" si="93"/>
        <v>157992929.59999999</v>
      </c>
      <c r="D2951" s="39">
        <f t="shared" si="92"/>
        <v>97330569</v>
      </c>
    </row>
    <row r="2952" spans="2:4" x14ac:dyDescent="0.25">
      <c r="B2952" s="89">
        <v>2948</v>
      </c>
      <c r="C2952" s="39">
        <f t="shared" si="93"/>
        <v>157992929.59999999</v>
      </c>
      <c r="D2952" s="39">
        <f t="shared" si="92"/>
        <v>97363596</v>
      </c>
    </row>
    <row r="2953" spans="2:4" x14ac:dyDescent="0.25">
      <c r="B2953" s="89">
        <v>2949</v>
      </c>
      <c r="C2953" s="39">
        <f t="shared" si="93"/>
        <v>157992929.59999999</v>
      </c>
      <c r="D2953" s="39">
        <f t="shared" si="92"/>
        <v>97396623</v>
      </c>
    </row>
    <row r="2954" spans="2:4" x14ac:dyDescent="0.25">
      <c r="B2954" s="89">
        <v>2950</v>
      </c>
      <c r="C2954" s="39">
        <f t="shared" si="93"/>
        <v>157992929.59999999</v>
      </c>
      <c r="D2954" s="39">
        <f t="shared" si="92"/>
        <v>97429650</v>
      </c>
    </row>
    <row r="2955" spans="2:4" x14ac:dyDescent="0.25">
      <c r="B2955" s="89">
        <v>2951</v>
      </c>
      <c r="C2955" s="39">
        <f t="shared" si="93"/>
        <v>157992929.59999999</v>
      </c>
      <c r="D2955" s="39">
        <f t="shared" si="92"/>
        <v>97462677</v>
      </c>
    </row>
    <row r="2956" spans="2:4" x14ac:dyDescent="0.25">
      <c r="B2956" s="89">
        <v>2952</v>
      </c>
      <c r="C2956" s="39">
        <f t="shared" si="93"/>
        <v>157992929.59999999</v>
      </c>
      <c r="D2956" s="39">
        <f t="shared" si="92"/>
        <v>97495704</v>
      </c>
    </row>
    <row r="2957" spans="2:4" x14ac:dyDescent="0.25">
      <c r="B2957" s="89">
        <v>2953</v>
      </c>
      <c r="C2957" s="39">
        <f t="shared" si="93"/>
        <v>157992929.59999999</v>
      </c>
      <c r="D2957" s="39">
        <f t="shared" si="92"/>
        <v>97528731</v>
      </c>
    </row>
    <row r="2958" spans="2:4" x14ac:dyDescent="0.25">
      <c r="B2958" s="89">
        <v>2954</v>
      </c>
      <c r="C2958" s="39">
        <f t="shared" si="93"/>
        <v>157992929.59999999</v>
      </c>
      <c r="D2958" s="39">
        <f t="shared" si="92"/>
        <v>97561758</v>
      </c>
    </row>
    <row r="2959" spans="2:4" x14ac:dyDescent="0.25">
      <c r="B2959" s="89">
        <v>2955</v>
      </c>
      <c r="C2959" s="39">
        <f t="shared" si="93"/>
        <v>157992929.59999999</v>
      </c>
      <c r="D2959" s="39">
        <f t="shared" si="92"/>
        <v>97594785</v>
      </c>
    </row>
    <row r="2960" spans="2:4" x14ac:dyDescent="0.25">
      <c r="B2960" s="89">
        <v>2956</v>
      </c>
      <c r="C2960" s="39">
        <f t="shared" si="93"/>
        <v>157992929.59999999</v>
      </c>
      <c r="D2960" s="39">
        <f t="shared" si="92"/>
        <v>97627812</v>
      </c>
    </row>
    <row r="2961" spans="2:4" x14ac:dyDescent="0.25">
      <c r="B2961" s="89">
        <v>2957</v>
      </c>
      <c r="C2961" s="39">
        <f t="shared" si="93"/>
        <v>157992929.59999999</v>
      </c>
      <c r="D2961" s="39">
        <f t="shared" si="92"/>
        <v>97660839</v>
      </c>
    </row>
    <row r="2962" spans="2:4" x14ac:dyDescent="0.25">
      <c r="B2962" s="89">
        <v>2958</v>
      </c>
      <c r="C2962" s="39">
        <f t="shared" si="93"/>
        <v>157992929.59999999</v>
      </c>
      <c r="D2962" s="39">
        <f t="shared" si="92"/>
        <v>97693866</v>
      </c>
    </row>
    <row r="2963" spans="2:4" x14ac:dyDescent="0.25">
      <c r="B2963" s="89">
        <v>2959</v>
      </c>
      <c r="C2963" s="39">
        <f t="shared" si="93"/>
        <v>157992929.59999999</v>
      </c>
      <c r="D2963" s="39">
        <f t="shared" si="92"/>
        <v>97726893</v>
      </c>
    </row>
    <row r="2964" spans="2:4" x14ac:dyDescent="0.25">
      <c r="B2964" s="89">
        <v>2960</v>
      </c>
      <c r="C2964" s="39">
        <f t="shared" si="93"/>
        <v>157992929.59999999</v>
      </c>
      <c r="D2964" s="39">
        <f t="shared" si="92"/>
        <v>97759920</v>
      </c>
    </row>
    <row r="2965" spans="2:4" x14ac:dyDescent="0.25">
      <c r="B2965" s="89">
        <v>2961</v>
      </c>
      <c r="C2965" s="39">
        <f t="shared" si="93"/>
        <v>157992929.59999999</v>
      </c>
      <c r="D2965" s="39">
        <f t="shared" si="92"/>
        <v>97792947</v>
      </c>
    </row>
    <row r="2966" spans="2:4" x14ac:dyDescent="0.25">
      <c r="B2966" s="89">
        <v>2962</v>
      </c>
      <c r="C2966" s="39">
        <f t="shared" si="93"/>
        <v>157992929.59999999</v>
      </c>
      <c r="D2966" s="39">
        <f t="shared" si="92"/>
        <v>97825974</v>
      </c>
    </row>
    <row r="2967" spans="2:4" x14ac:dyDescent="0.25">
      <c r="B2967" s="89">
        <v>2963</v>
      </c>
      <c r="C2967" s="39">
        <f t="shared" si="93"/>
        <v>157992929.59999999</v>
      </c>
      <c r="D2967" s="39">
        <f t="shared" si="92"/>
        <v>97859001</v>
      </c>
    </row>
    <row r="2968" spans="2:4" x14ac:dyDescent="0.25">
      <c r="B2968" s="89">
        <v>2964</v>
      </c>
      <c r="C2968" s="39">
        <f t="shared" si="93"/>
        <v>157992929.59999999</v>
      </c>
      <c r="D2968" s="39">
        <f t="shared" si="92"/>
        <v>97892028</v>
      </c>
    </row>
    <row r="2969" spans="2:4" x14ac:dyDescent="0.25">
      <c r="B2969" s="89">
        <v>2965</v>
      </c>
      <c r="C2969" s="39">
        <f t="shared" si="93"/>
        <v>157992929.59999999</v>
      </c>
      <c r="D2969" s="39">
        <f t="shared" si="92"/>
        <v>97925055</v>
      </c>
    </row>
    <row r="2970" spans="2:4" x14ac:dyDescent="0.25">
      <c r="B2970" s="89">
        <v>2966</v>
      </c>
      <c r="C2970" s="39">
        <f t="shared" si="93"/>
        <v>157992929.59999999</v>
      </c>
      <c r="D2970" s="39">
        <f t="shared" si="92"/>
        <v>97958082</v>
      </c>
    </row>
    <row r="2971" spans="2:4" x14ac:dyDescent="0.25">
      <c r="B2971" s="89">
        <v>2967</v>
      </c>
      <c r="C2971" s="39">
        <f t="shared" si="93"/>
        <v>157992929.59999999</v>
      </c>
      <c r="D2971" s="39">
        <f t="shared" si="92"/>
        <v>97991109</v>
      </c>
    </row>
    <row r="2972" spans="2:4" x14ac:dyDescent="0.25">
      <c r="B2972" s="89">
        <v>2968</v>
      </c>
      <c r="C2972" s="39">
        <f t="shared" si="93"/>
        <v>157992929.59999999</v>
      </c>
      <c r="D2972" s="39">
        <f t="shared" si="92"/>
        <v>98024136</v>
      </c>
    </row>
    <row r="2973" spans="2:4" x14ac:dyDescent="0.25">
      <c r="B2973" s="89">
        <v>2969</v>
      </c>
      <c r="C2973" s="39">
        <f t="shared" si="93"/>
        <v>157992929.59999999</v>
      </c>
      <c r="D2973" s="39">
        <f t="shared" si="92"/>
        <v>98057163</v>
      </c>
    </row>
    <row r="2974" spans="2:4" x14ac:dyDescent="0.25">
      <c r="B2974" s="89">
        <v>2970</v>
      </c>
      <c r="C2974" s="39">
        <f t="shared" si="93"/>
        <v>157992929.59999999</v>
      </c>
      <c r="D2974" s="39">
        <f t="shared" si="92"/>
        <v>98090190</v>
      </c>
    </row>
    <row r="2975" spans="2:4" x14ac:dyDescent="0.25">
      <c r="B2975" s="89">
        <v>2971</v>
      </c>
      <c r="C2975" s="39">
        <f t="shared" si="93"/>
        <v>157992929.59999999</v>
      </c>
      <c r="D2975" s="39">
        <f t="shared" si="92"/>
        <v>98123217</v>
      </c>
    </row>
    <row r="2976" spans="2:4" x14ac:dyDescent="0.25">
      <c r="B2976" s="89">
        <v>2972</v>
      </c>
      <c r="C2976" s="39">
        <f t="shared" si="93"/>
        <v>157992929.59999999</v>
      </c>
      <c r="D2976" s="39">
        <f t="shared" si="92"/>
        <v>98156244</v>
      </c>
    </row>
    <row r="2977" spans="2:4" x14ac:dyDescent="0.25">
      <c r="B2977" s="89">
        <v>2973</v>
      </c>
      <c r="C2977" s="39">
        <f t="shared" si="93"/>
        <v>157992929.59999999</v>
      </c>
      <c r="D2977" s="39">
        <f t="shared" si="92"/>
        <v>98189271</v>
      </c>
    </row>
    <row r="2978" spans="2:4" x14ac:dyDescent="0.25">
      <c r="B2978" s="89">
        <v>2974</v>
      </c>
      <c r="C2978" s="39">
        <f t="shared" si="93"/>
        <v>157992929.59999999</v>
      </c>
      <c r="D2978" s="39">
        <f t="shared" si="92"/>
        <v>98222298</v>
      </c>
    </row>
    <row r="2979" spans="2:4" x14ac:dyDescent="0.25">
      <c r="B2979" s="89">
        <v>2975</v>
      </c>
      <c r="C2979" s="39">
        <f t="shared" si="93"/>
        <v>157992929.59999999</v>
      </c>
      <c r="D2979" s="39">
        <f t="shared" si="92"/>
        <v>98255325</v>
      </c>
    </row>
    <row r="2980" spans="2:4" x14ac:dyDescent="0.25">
      <c r="B2980" s="89">
        <v>2976</v>
      </c>
      <c r="C2980" s="39">
        <f t="shared" si="93"/>
        <v>157992929.59999999</v>
      </c>
      <c r="D2980" s="39">
        <f t="shared" si="92"/>
        <v>98288352</v>
      </c>
    </row>
    <row r="2981" spans="2:4" x14ac:dyDescent="0.25">
      <c r="B2981" s="89">
        <v>2977</v>
      </c>
      <c r="C2981" s="39">
        <f t="shared" si="93"/>
        <v>157992929.59999999</v>
      </c>
      <c r="D2981" s="39">
        <f t="shared" si="92"/>
        <v>98321379</v>
      </c>
    </row>
    <row r="2982" spans="2:4" x14ac:dyDescent="0.25">
      <c r="B2982" s="89">
        <v>2978</v>
      </c>
      <c r="C2982" s="39">
        <f t="shared" si="93"/>
        <v>157992929.59999999</v>
      </c>
      <c r="D2982" s="39">
        <f t="shared" si="92"/>
        <v>98354406</v>
      </c>
    </row>
    <row r="2983" spans="2:4" x14ac:dyDescent="0.25">
      <c r="B2983" s="89">
        <v>2979</v>
      </c>
      <c r="C2983" s="39">
        <f t="shared" si="93"/>
        <v>157992929.59999999</v>
      </c>
      <c r="D2983" s="39">
        <f t="shared" si="92"/>
        <v>98387433</v>
      </c>
    </row>
    <row r="2984" spans="2:4" x14ac:dyDescent="0.25">
      <c r="B2984" s="89">
        <v>2980</v>
      </c>
      <c r="C2984" s="39">
        <f t="shared" si="93"/>
        <v>157992929.59999999</v>
      </c>
      <c r="D2984" s="39">
        <f t="shared" si="92"/>
        <v>98420460</v>
      </c>
    </row>
    <row r="2985" spans="2:4" x14ac:dyDescent="0.25">
      <c r="B2985" s="89">
        <v>2981</v>
      </c>
      <c r="C2985" s="39">
        <f t="shared" si="93"/>
        <v>157992929.59999999</v>
      </c>
      <c r="D2985" s="39">
        <f t="shared" si="92"/>
        <v>98453487</v>
      </c>
    </row>
    <row r="2986" spans="2:4" x14ac:dyDescent="0.25">
      <c r="B2986" s="89">
        <v>2982</v>
      </c>
      <c r="C2986" s="39">
        <f t="shared" si="93"/>
        <v>157992929.59999999</v>
      </c>
      <c r="D2986" s="39">
        <f t="shared" si="92"/>
        <v>98486514</v>
      </c>
    </row>
    <row r="2987" spans="2:4" x14ac:dyDescent="0.25">
      <c r="B2987" s="89">
        <v>2983</v>
      </c>
      <c r="C2987" s="39">
        <f t="shared" si="93"/>
        <v>157992929.59999999</v>
      </c>
      <c r="D2987" s="39">
        <f t="shared" si="92"/>
        <v>98519541</v>
      </c>
    </row>
    <row r="2988" spans="2:4" x14ac:dyDescent="0.25">
      <c r="B2988" s="89">
        <v>2984</v>
      </c>
      <c r="C2988" s="39">
        <f t="shared" si="93"/>
        <v>157992929.59999999</v>
      </c>
      <c r="D2988" s="39">
        <f t="shared" si="92"/>
        <v>98552568</v>
      </c>
    </row>
    <row r="2989" spans="2:4" x14ac:dyDescent="0.25">
      <c r="B2989" s="89">
        <v>2985</v>
      </c>
      <c r="C2989" s="39">
        <f t="shared" si="93"/>
        <v>157992929.59999999</v>
      </c>
      <c r="D2989" s="39">
        <f t="shared" si="92"/>
        <v>98585595</v>
      </c>
    </row>
    <row r="2990" spans="2:4" x14ac:dyDescent="0.25">
      <c r="B2990" s="89">
        <v>2986</v>
      </c>
      <c r="C2990" s="39">
        <f t="shared" si="93"/>
        <v>157992929.59999999</v>
      </c>
      <c r="D2990" s="39">
        <f t="shared" si="92"/>
        <v>98618622</v>
      </c>
    </row>
    <row r="2991" spans="2:4" x14ac:dyDescent="0.25">
      <c r="B2991" s="89">
        <v>2987</v>
      </c>
      <c r="C2991" s="39">
        <f t="shared" si="93"/>
        <v>157992929.59999999</v>
      </c>
      <c r="D2991" s="39">
        <f t="shared" si="92"/>
        <v>98651649</v>
      </c>
    </row>
    <row r="2992" spans="2:4" x14ac:dyDescent="0.25">
      <c r="B2992" s="89">
        <v>2988</v>
      </c>
      <c r="C2992" s="39">
        <f t="shared" si="93"/>
        <v>157992929.59999999</v>
      </c>
      <c r="D2992" s="39">
        <f t="shared" si="92"/>
        <v>98684676</v>
      </c>
    </row>
    <row r="2993" spans="2:4" x14ac:dyDescent="0.25">
      <c r="B2993" s="89">
        <v>2989</v>
      </c>
      <c r="C2993" s="39">
        <f t="shared" si="93"/>
        <v>157992929.59999999</v>
      </c>
      <c r="D2993" s="39">
        <f t="shared" ref="D2993:D3056" si="94">$D$2*B2993</f>
        <v>98717703</v>
      </c>
    </row>
    <row r="2994" spans="2:4" x14ac:dyDescent="0.25">
      <c r="B2994" s="89">
        <v>2990</v>
      </c>
      <c r="C2994" s="39">
        <f t="shared" si="93"/>
        <v>157992929.59999999</v>
      </c>
      <c r="D2994" s="39">
        <f t="shared" si="94"/>
        <v>98750730</v>
      </c>
    </row>
    <row r="2995" spans="2:4" x14ac:dyDescent="0.25">
      <c r="B2995" s="89">
        <v>2991</v>
      </c>
      <c r="C2995" s="39">
        <f t="shared" si="93"/>
        <v>157992929.59999999</v>
      </c>
      <c r="D2995" s="39">
        <f t="shared" si="94"/>
        <v>98783757</v>
      </c>
    </row>
    <row r="2996" spans="2:4" x14ac:dyDescent="0.25">
      <c r="B2996" s="89">
        <v>2992</v>
      </c>
      <c r="C2996" s="39">
        <f t="shared" si="93"/>
        <v>157992929.59999999</v>
      </c>
      <c r="D2996" s="39">
        <f t="shared" si="94"/>
        <v>98816784</v>
      </c>
    </row>
    <row r="2997" spans="2:4" x14ac:dyDescent="0.25">
      <c r="B2997" s="89">
        <v>2993</v>
      </c>
      <c r="C2997" s="39">
        <f t="shared" si="93"/>
        <v>157992929.59999999</v>
      </c>
      <c r="D2997" s="39">
        <f t="shared" si="94"/>
        <v>98849811</v>
      </c>
    </row>
    <row r="2998" spans="2:4" x14ac:dyDescent="0.25">
      <c r="B2998" s="89">
        <v>2994</v>
      </c>
      <c r="C2998" s="39">
        <f t="shared" si="93"/>
        <v>157992929.59999999</v>
      </c>
      <c r="D2998" s="39">
        <f t="shared" si="94"/>
        <v>98882838</v>
      </c>
    </row>
    <row r="2999" spans="2:4" x14ac:dyDescent="0.25">
      <c r="B2999" s="89">
        <v>2995</v>
      </c>
      <c r="C2999" s="39">
        <f t="shared" si="93"/>
        <v>157992929.59999999</v>
      </c>
      <c r="D2999" s="39">
        <f t="shared" si="94"/>
        <v>98915865</v>
      </c>
    </row>
    <row r="3000" spans="2:4" x14ac:dyDescent="0.25">
      <c r="B3000" s="89">
        <v>2996</v>
      </c>
      <c r="C3000" s="39">
        <f t="shared" si="93"/>
        <v>157992929.59999999</v>
      </c>
      <c r="D3000" s="39">
        <f t="shared" si="94"/>
        <v>98948892</v>
      </c>
    </row>
    <row r="3001" spans="2:4" x14ac:dyDescent="0.25">
      <c r="B3001" s="89">
        <v>2997</v>
      </c>
      <c r="C3001" s="39">
        <f t="shared" si="93"/>
        <v>157992929.59999999</v>
      </c>
      <c r="D3001" s="39">
        <f t="shared" si="94"/>
        <v>98981919</v>
      </c>
    </row>
    <row r="3002" spans="2:4" x14ac:dyDescent="0.25">
      <c r="B3002" s="89">
        <v>2998</v>
      </c>
      <c r="C3002" s="39">
        <f t="shared" si="93"/>
        <v>157992929.59999999</v>
      </c>
      <c r="D3002" s="39">
        <f t="shared" si="94"/>
        <v>99014946</v>
      </c>
    </row>
    <row r="3003" spans="2:4" x14ac:dyDescent="0.25">
      <c r="B3003" s="89">
        <v>2999</v>
      </c>
      <c r="C3003" s="39">
        <f t="shared" si="93"/>
        <v>157992929.59999999</v>
      </c>
      <c r="D3003" s="39">
        <f t="shared" si="94"/>
        <v>99047973</v>
      </c>
    </row>
    <row r="3004" spans="2:4" x14ac:dyDescent="0.25">
      <c r="B3004" s="89">
        <v>3000</v>
      </c>
      <c r="C3004" s="39">
        <f t="shared" si="93"/>
        <v>157992929.59999999</v>
      </c>
      <c r="D3004" s="39">
        <f t="shared" si="94"/>
        <v>99081000</v>
      </c>
    </row>
    <row r="3005" spans="2:4" x14ac:dyDescent="0.25">
      <c r="B3005" s="89">
        <v>3001</v>
      </c>
      <c r="C3005" s="39">
        <f t="shared" si="93"/>
        <v>157992929.59999999</v>
      </c>
      <c r="D3005" s="39">
        <f t="shared" si="94"/>
        <v>99114027</v>
      </c>
    </row>
    <row r="3006" spans="2:4" x14ac:dyDescent="0.25">
      <c r="B3006" s="89">
        <v>3002</v>
      </c>
      <c r="C3006" s="39">
        <f t="shared" si="93"/>
        <v>157992929.59999999</v>
      </c>
      <c r="D3006" s="39">
        <f t="shared" si="94"/>
        <v>99147054</v>
      </c>
    </row>
    <row r="3007" spans="2:4" x14ac:dyDescent="0.25">
      <c r="B3007" s="89">
        <v>3003</v>
      </c>
      <c r="C3007" s="39">
        <f t="shared" si="93"/>
        <v>157992929.59999999</v>
      </c>
      <c r="D3007" s="39">
        <f t="shared" si="94"/>
        <v>99180081</v>
      </c>
    </row>
    <row r="3008" spans="2:4" x14ac:dyDescent="0.25">
      <c r="B3008" s="89">
        <v>3004</v>
      </c>
      <c r="C3008" s="39">
        <f t="shared" si="93"/>
        <v>157992929.59999999</v>
      </c>
      <c r="D3008" s="39">
        <f t="shared" si="94"/>
        <v>99213108</v>
      </c>
    </row>
    <row r="3009" spans="2:4" x14ac:dyDescent="0.25">
      <c r="B3009" s="89">
        <v>3005</v>
      </c>
      <c r="C3009" s="39">
        <f t="shared" si="93"/>
        <v>157992929.59999999</v>
      </c>
      <c r="D3009" s="39">
        <f t="shared" si="94"/>
        <v>99246135</v>
      </c>
    </row>
    <row r="3010" spans="2:4" x14ac:dyDescent="0.25">
      <c r="B3010" s="89">
        <v>3006</v>
      </c>
      <c r="C3010" s="39">
        <f t="shared" si="93"/>
        <v>157992929.59999999</v>
      </c>
      <c r="D3010" s="39">
        <f t="shared" si="94"/>
        <v>99279162</v>
      </c>
    </row>
    <row r="3011" spans="2:4" x14ac:dyDescent="0.25">
      <c r="B3011" s="89">
        <v>3007</v>
      </c>
      <c r="C3011" s="39">
        <f t="shared" si="93"/>
        <v>157992929.59999999</v>
      </c>
      <c r="D3011" s="39">
        <f t="shared" si="94"/>
        <v>99312189</v>
      </c>
    </row>
    <row r="3012" spans="2:4" x14ac:dyDescent="0.25">
      <c r="B3012" s="89">
        <v>3008</v>
      </c>
      <c r="C3012" s="39">
        <f t="shared" si="93"/>
        <v>157992929.59999999</v>
      </c>
      <c r="D3012" s="39">
        <f t="shared" si="94"/>
        <v>99345216</v>
      </c>
    </row>
    <row r="3013" spans="2:4" x14ac:dyDescent="0.25">
      <c r="B3013" s="89">
        <v>3009</v>
      </c>
      <c r="C3013" s="39">
        <f t="shared" si="93"/>
        <v>157992929.59999999</v>
      </c>
      <c r="D3013" s="39">
        <f t="shared" si="94"/>
        <v>99378243</v>
      </c>
    </row>
    <row r="3014" spans="2:4" x14ac:dyDescent="0.25">
      <c r="B3014" s="89">
        <v>3010</v>
      </c>
      <c r="C3014" s="39">
        <f t="shared" ref="C3014:C3077" si="95">$C3013</f>
        <v>157992929.59999999</v>
      </c>
      <c r="D3014" s="39">
        <f t="shared" si="94"/>
        <v>99411270</v>
      </c>
    </row>
    <row r="3015" spans="2:4" x14ac:dyDescent="0.25">
      <c r="B3015" s="89">
        <v>3011</v>
      </c>
      <c r="C3015" s="39">
        <f t="shared" si="95"/>
        <v>157992929.59999999</v>
      </c>
      <c r="D3015" s="39">
        <f t="shared" si="94"/>
        <v>99444297</v>
      </c>
    </row>
    <row r="3016" spans="2:4" x14ac:dyDescent="0.25">
      <c r="B3016" s="89">
        <v>3012</v>
      </c>
      <c r="C3016" s="39">
        <f t="shared" si="95"/>
        <v>157992929.59999999</v>
      </c>
      <c r="D3016" s="39">
        <f t="shared" si="94"/>
        <v>99477324</v>
      </c>
    </row>
    <row r="3017" spans="2:4" x14ac:dyDescent="0.25">
      <c r="B3017" s="89">
        <v>3013</v>
      </c>
      <c r="C3017" s="39">
        <f t="shared" si="95"/>
        <v>157992929.59999999</v>
      </c>
      <c r="D3017" s="39">
        <f t="shared" si="94"/>
        <v>99510351</v>
      </c>
    </row>
    <row r="3018" spans="2:4" x14ac:dyDescent="0.25">
      <c r="B3018" s="89">
        <v>3014</v>
      </c>
      <c r="C3018" s="39">
        <f t="shared" si="95"/>
        <v>157992929.59999999</v>
      </c>
      <c r="D3018" s="39">
        <f t="shared" si="94"/>
        <v>99543378</v>
      </c>
    </row>
    <row r="3019" spans="2:4" x14ac:dyDescent="0.25">
      <c r="B3019" s="89">
        <v>3015</v>
      </c>
      <c r="C3019" s="39">
        <f t="shared" si="95"/>
        <v>157992929.59999999</v>
      </c>
      <c r="D3019" s="39">
        <f t="shared" si="94"/>
        <v>99576405</v>
      </c>
    </row>
    <row r="3020" spans="2:4" x14ac:dyDescent="0.25">
      <c r="B3020" s="89">
        <v>3016</v>
      </c>
      <c r="C3020" s="39">
        <f t="shared" si="95"/>
        <v>157992929.59999999</v>
      </c>
      <c r="D3020" s="39">
        <f t="shared" si="94"/>
        <v>99609432</v>
      </c>
    </row>
    <row r="3021" spans="2:4" x14ac:dyDescent="0.25">
      <c r="B3021" s="89">
        <v>3017</v>
      </c>
      <c r="C3021" s="39">
        <f t="shared" si="95"/>
        <v>157992929.59999999</v>
      </c>
      <c r="D3021" s="39">
        <f t="shared" si="94"/>
        <v>99642459</v>
      </c>
    </row>
    <row r="3022" spans="2:4" x14ac:dyDescent="0.25">
      <c r="B3022" s="89">
        <v>3018</v>
      </c>
      <c r="C3022" s="39">
        <f t="shared" si="95"/>
        <v>157992929.59999999</v>
      </c>
      <c r="D3022" s="39">
        <f t="shared" si="94"/>
        <v>99675486</v>
      </c>
    </row>
    <row r="3023" spans="2:4" x14ac:dyDescent="0.25">
      <c r="B3023" s="89">
        <v>3019</v>
      </c>
      <c r="C3023" s="39">
        <f t="shared" si="95"/>
        <v>157992929.59999999</v>
      </c>
      <c r="D3023" s="39">
        <f t="shared" si="94"/>
        <v>99708513</v>
      </c>
    </row>
    <row r="3024" spans="2:4" x14ac:dyDescent="0.25">
      <c r="B3024" s="89">
        <v>3020</v>
      </c>
      <c r="C3024" s="39">
        <f t="shared" si="95"/>
        <v>157992929.59999999</v>
      </c>
      <c r="D3024" s="39">
        <f t="shared" si="94"/>
        <v>99741540</v>
      </c>
    </row>
    <row r="3025" spans="2:4" x14ac:dyDescent="0.25">
      <c r="B3025" s="89">
        <v>3021</v>
      </c>
      <c r="C3025" s="39">
        <f t="shared" si="95"/>
        <v>157992929.59999999</v>
      </c>
      <c r="D3025" s="39">
        <f t="shared" si="94"/>
        <v>99774567</v>
      </c>
    </row>
    <row r="3026" spans="2:4" x14ac:dyDescent="0.25">
      <c r="B3026" s="89">
        <v>3022</v>
      </c>
      <c r="C3026" s="39">
        <f t="shared" si="95"/>
        <v>157992929.59999999</v>
      </c>
      <c r="D3026" s="39">
        <f t="shared" si="94"/>
        <v>99807594</v>
      </c>
    </row>
    <row r="3027" spans="2:4" x14ac:dyDescent="0.25">
      <c r="B3027" s="89">
        <v>3023</v>
      </c>
      <c r="C3027" s="39">
        <f t="shared" si="95"/>
        <v>157992929.59999999</v>
      </c>
      <c r="D3027" s="39">
        <f t="shared" si="94"/>
        <v>99840621</v>
      </c>
    </row>
    <row r="3028" spans="2:4" x14ac:dyDescent="0.25">
      <c r="B3028" s="89">
        <v>3024</v>
      </c>
      <c r="C3028" s="39">
        <f t="shared" si="95"/>
        <v>157992929.59999999</v>
      </c>
      <c r="D3028" s="39">
        <f t="shared" si="94"/>
        <v>99873648</v>
      </c>
    </row>
    <row r="3029" spans="2:4" x14ac:dyDescent="0.25">
      <c r="B3029" s="89">
        <v>3025</v>
      </c>
      <c r="C3029" s="39">
        <f t="shared" si="95"/>
        <v>157992929.59999999</v>
      </c>
      <c r="D3029" s="39">
        <f t="shared" si="94"/>
        <v>99906675</v>
      </c>
    </row>
    <row r="3030" spans="2:4" x14ac:dyDescent="0.25">
      <c r="B3030" s="89">
        <v>3026</v>
      </c>
      <c r="C3030" s="39">
        <f t="shared" si="95"/>
        <v>157992929.59999999</v>
      </c>
      <c r="D3030" s="39">
        <f t="shared" si="94"/>
        <v>99939702</v>
      </c>
    </row>
    <row r="3031" spans="2:4" x14ac:dyDescent="0.25">
      <c r="B3031" s="89">
        <v>3027</v>
      </c>
      <c r="C3031" s="39">
        <f t="shared" si="95"/>
        <v>157992929.59999999</v>
      </c>
      <c r="D3031" s="39">
        <f t="shared" si="94"/>
        <v>99972729</v>
      </c>
    </row>
    <row r="3032" spans="2:4" x14ac:dyDescent="0.25">
      <c r="B3032" s="89">
        <v>3028</v>
      </c>
      <c r="C3032" s="39">
        <f t="shared" si="95"/>
        <v>157992929.59999999</v>
      </c>
      <c r="D3032" s="39">
        <f t="shared" si="94"/>
        <v>100005756</v>
      </c>
    </row>
    <row r="3033" spans="2:4" x14ac:dyDescent="0.25">
      <c r="B3033" s="89">
        <v>3029</v>
      </c>
      <c r="C3033" s="39">
        <f t="shared" si="95"/>
        <v>157992929.59999999</v>
      </c>
      <c r="D3033" s="39">
        <f t="shared" si="94"/>
        <v>100038783</v>
      </c>
    </row>
    <row r="3034" spans="2:4" x14ac:dyDescent="0.25">
      <c r="B3034" s="89">
        <v>3030</v>
      </c>
      <c r="C3034" s="39">
        <f t="shared" si="95"/>
        <v>157992929.59999999</v>
      </c>
      <c r="D3034" s="39">
        <f t="shared" si="94"/>
        <v>100071810</v>
      </c>
    </row>
    <row r="3035" spans="2:4" x14ac:dyDescent="0.25">
      <c r="B3035" s="89">
        <v>3031</v>
      </c>
      <c r="C3035" s="39">
        <f t="shared" si="95"/>
        <v>157992929.59999999</v>
      </c>
      <c r="D3035" s="39">
        <f t="shared" si="94"/>
        <v>100104837</v>
      </c>
    </row>
    <row r="3036" spans="2:4" x14ac:dyDescent="0.25">
      <c r="B3036" s="89">
        <v>3032</v>
      </c>
      <c r="C3036" s="39">
        <f t="shared" si="95"/>
        <v>157992929.59999999</v>
      </c>
      <c r="D3036" s="39">
        <f t="shared" si="94"/>
        <v>100137864</v>
      </c>
    </row>
    <row r="3037" spans="2:4" x14ac:dyDescent="0.25">
      <c r="B3037" s="89">
        <v>3033</v>
      </c>
      <c r="C3037" s="39">
        <f t="shared" si="95"/>
        <v>157992929.59999999</v>
      </c>
      <c r="D3037" s="39">
        <f t="shared" si="94"/>
        <v>100170891</v>
      </c>
    </row>
    <row r="3038" spans="2:4" x14ac:dyDescent="0.25">
      <c r="B3038" s="89">
        <v>3034</v>
      </c>
      <c r="C3038" s="39">
        <f t="shared" si="95"/>
        <v>157992929.59999999</v>
      </c>
      <c r="D3038" s="39">
        <f t="shared" si="94"/>
        <v>100203918</v>
      </c>
    </row>
    <row r="3039" spans="2:4" x14ac:dyDescent="0.25">
      <c r="B3039" s="89">
        <v>3035</v>
      </c>
      <c r="C3039" s="39">
        <f t="shared" si="95"/>
        <v>157992929.59999999</v>
      </c>
      <c r="D3039" s="39">
        <f t="shared" si="94"/>
        <v>100236945</v>
      </c>
    </row>
    <row r="3040" spans="2:4" x14ac:dyDescent="0.25">
      <c r="B3040" s="89">
        <v>3036</v>
      </c>
      <c r="C3040" s="39">
        <f t="shared" si="95"/>
        <v>157992929.59999999</v>
      </c>
      <c r="D3040" s="39">
        <f t="shared" si="94"/>
        <v>100269972</v>
      </c>
    </row>
    <row r="3041" spans="2:4" x14ac:dyDescent="0.25">
      <c r="B3041" s="89">
        <v>3037</v>
      </c>
      <c r="C3041" s="39">
        <f t="shared" si="95"/>
        <v>157992929.59999999</v>
      </c>
      <c r="D3041" s="39">
        <f t="shared" si="94"/>
        <v>100302999</v>
      </c>
    </row>
    <row r="3042" spans="2:4" x14ac:dyDescent="0.25">
      <c r="B3042" s="89">
        <v>3038</v>
      </c>
      <c r="C3042" s="39">
        <f t="shared" si="95"/>
        <v>157992929.59999999</v>
      </c>
      <c r="D3042" s="39">
        <f t="shared" si="94"/>
        <v>100336026</v>
      </c>
    </row>
    <row r="3043" spans="2:4" x14ac:dyDescent="0.25">
      <c r="B3043" s="89">
        <v>3039</v>
      </c>
      <c r="C3043" s="39">
        <f t="shared" si="95"/>
        <v>157992929.59999999</v>
      </c>
      <c r="D3043" s="39">
        <f t="shared" si="94"/>
        <v>100369053</v>
      </c>
    </row>
    <row r="3044" spans="2:4" x14ac:dyDescent="0.25">
      <c r="B3044" s="89">
        <v>3040</v>
      </c>
      <c r="C3044" s="39">
        <f t="shared" si="95"/>
        <v>157992929.59999999</v>
      </c>
      <c r="D3044" s="39">
        <f t="shared" si="94"/>
        <v>100402080</v>
      </c>
    </row>
    <row r="3045" spans="2:4" x14ac:dyDescent="0.25">
      <c r="B3045" s="89">
        <v>3041</v>
      </c>
      <c r="C3045" s="39">
        <f t="shared" si="95"/>
        <v>157992929.59999999</v>
      </c>
      <c r="D3045" s="39">
        <f t="shared" si="94"/>
        <v>100435107</v>
      </c>
    </row>
    <row r="3046" spans="2:4" x14ac:dyDescent="0.25">
      <c r="B3046" s="89">
        <v>3042</v>
      </c>
      <c r="C3046" s="39">
        <f t="shared" si="95"/>
        <v>157992929.59999999</v>
      </c>
      <c r="D3046" s="39">
        <f t="shared" si="94"/>
        <v>100468134</v>
      </c>
    </row>
    <row r="3047" spans="2:4" x14ac:dyDescent="0.25">
      <c r="B3047" s="89">
        <v>3043</v>
      </c>
      <c r="C3047" s="39">
        <f t="shared" si="95"/>
        <v>157992929.59999999</v>
      </c>
      <c r="D3047" s="39">
        <f t="shared" si="94"/>
        <v>100501161</v>
      </c>
    </row>
    <row r="3048" spans="2:4" x14ac:dyDescent="0.25">
      <c r="B3048" s="89">
        <v>3044</v>
      </c>
      <c r="C3048" s="39">
        <f t="shared" si="95"/>
        <v>157992929.59999999</v>
      </c>
      <c r="D3048" s="39">
        <f t="shared" si="94"/>
        <v>100534188</v>
      </c>
    </row>
    <row r="3049" spans="2:4" x14ac:dyDescent="0.25">
      <c r="B3049" s="89">
        <v>3045</v>
      </c>
      <c r="C3049" s="39">
        <f t="shared" si="95"/>
        <v>157992929.59999999</v>
      </c>
      <c r="D3049" s="39">
        <f t="shared" si="94"/>
        <v>100567215</v>
      </c>
    </row>
    <row r="3050" spans="2:4" x14ac:dyDescent="0.25">
      <c r="B3050" s="89">
        <v>3046</v>
      </c>
      <c r="C3050" s="39">
        <f t="shared" si="95"/>
        <v>157992929.59999999</v>
      </c>
      <c r="D3050" s="39">
        <f t="shared" si="94"/>
        <v>100600242</v>
      </c>
    </row>
    <row r="3051" spans="2:4" x14ac:dyDescent="0.25">
      <c r="B3051" s="89">
        <v>3047</v>
      </c>
      <c r="C3051" s="39">
        <f t="shared" si="95"/>
        <v>157992929.59999999</v>
      </c>
      <c r="D3051" s="39">
        <f t="shared" si="94"/>
        <v>100633269</v>
      </c>
    </row>
    <row r="3052" spans="2:4" x14ac:dyDescent="0.25">
      <c r="B3052" s="89">
        <v>3048</v>
      </c>
      <c r="C3052" s="39">
        <f t="shared" si="95"/>
        <v>157992929.59999999</v>
      </c>
      <c r="D3052" s="39">
        <f t="shared" si="94"/>
        <v>100666296</v>
      </c>
    </row>
    <row r="3053" spans="2:4" x14ac:dyDescent="0.25">
      <c r="B3053" s="89">
        <v>3049</v>
      </c>
      <c r="C3053" s="39">
        <f t="shared" si="95"/>
        <v>157992929.59999999</v>
      </c>
      <c r="D3053" s="39">
        <f t="shared" si="94"/>
        <v>100699323</v>
      </c>
    </row>
    <row r="3054" spans="2:4" x14ac:dyDescent="0.25">
      <c r="B3054" s="89">
        <v>3050</v>
      </c>
      <c r="C3054" s="39">
        <f t="shared" si="95"/>
        <v>157992929.59999999</v>
      </c>
      <c r="D3054" s="39">
        <f t="shared" si="94"/>
        <v>100732350</v>
      </c>
    </row>
    <row r="3055" spans="2:4" x14ac:dyDescent="0.25">
      <c r="B3055" s="89">
        <v>3051</v>
      </c>
      <c r="C3055" s="39">
        <f t="shared" si="95"/>
        <v>157992929.59999999</v>
      </c>
      <c r="D3055" s="39">
        <f t="shared" si="94"/>
        <v>100765377</v>
      </c>
    </row>
    <row r="3056" spans="2:4" x14ac:dyDescent="0.25">
      <c r="B3056" s="89">
        <v>3052</v>
      </c>
      <c r="C3056" s="39">
        <f t="shared" si="95"/>
        <v>157992929.59999999</v>
      </c>
      <c r="D3056" s="39">
        <f t="shared" si="94"/>
        <v>100798404</v>
      </c>
    </row>
    <row r="3057" spans="2:4" x14ac:dyDescent="0.25">
      <c r="B3057" s="89">
        <v>3053</v>
      </c>
      <c r="C3057" s="39">
        <f t="shared" si="95"/>
        <v>157992929.59999999</v>
      </c>
      <c r="D3057" s="39">
        <f t="shared" ref="D3057:D3120" si="96">$D$2*B3057</f>
        <v>100831431</v>
      </c>
    </row>
    <row r="3058" spans="2:4" x14ac:dyDescent="0.25">
      <c r="B3058" s="89">
        <v>3054</v>
      </c>
      <c r="C3058" s="39">
        <f t="shared" si="95"/>
        <v>157992929.59999999</v>
      </c>
      <c r="D3058" s="39">
        <f t="shared" si="96"/>
        <v>100864458</v>
      </c>
    </row>
    <row r="3059" spans="2:4" x14ac:dyDescent="0.25">
      <c r="B3059" s="89">
        <v>3055</v>
      </c>
      <c r="C3059" s="39">
        <f t="shared" si="95"/>
        <v>157992929.59999999</v>
      </c>
      <c r="D3059" s="39">
        <f t="shared" si="96"/>
        <v>100897485</v>
      </c>
    </row>
    <row r="3060" spans="2:4" x14ac:dyDescent="0.25">
      <c r="B3060" s="89">
        <v>3056</v>
      </c>
      <c r="C3060" s="39">
        <f t="shared" si="95"/>
        <v>157992929.59999999</v>
      </c>
      <c r="D3060" s="39">
        <f t="shared" si="96"/>
        <v>100930512</v>
      </c>
    </row>
    <row r="3061" spans="2:4" x14ac:dyDescent="0.25">
      <c r="B3061" s="89">
        <v>3057</v>
      </c>
      <c r="C3061" s="39">
        <f t="shared" si="95"/>
        <v>157992929.59999999</v>
      </c>
      <c r="D3061" s="39">
        <f t="shared" si="96"/>
        <v>100963539</v>
      </c>
    </row>
    <row r="3062" spans="2:4" x14ac:dyDescent="0.25">
      <c r="B3062" s="89">
        <v>3058</v>
      </c>
      <c r="C3062" s="39">
        <f t="shared" si="95"/>
        <v>157992929.59999999</v>
      </c>
      <c r="D3062" s="39">
        <f t="shared" si="96"/>
        <v>100996566</v>
      </c>
    </row>
    <row r="3063" spans="2:4" x14ac:dyDescent="0.25">
      <c r="B3063" s="89">
        <v>3059</v>
      </c>
      <c r="C3063" s="39">
        <f t="shared" si="95"/>
        <v>157992929.59999999</v>
      </c>
      <c r="D3063" s="39">
        <f t="shared" si="96"/>
        <v>101029593</v>
      </c>
    </row>
    <row r="3064" spans="2:4" x14ac:dyDescent="0.25">
      <c r="B3064" s="89">
        <v>3060</v>
      </c>
      <c r="C3064" s="39">
        <f t="shared" si="95"/>
        <v>157992929.59999999</v>
      </c>
      <c r="D3064" s="39">
        <f t="shared" si="96"/>
        <v>101062620</v>
      </c>
    </row>
    <row r="3065" spans="2:4" x14ac:dyDescent="0.25">
      <c r="B3065" s="89">
        <v>3061</v>
      </c>
      <c r="C3065" s="39">
        <f t="shared" si="95"/>
        <v>157992929.59999999</v>
      </c>
      <c r="D3065" s="39">
        <f t="shared" si="96"/>
        <v>101095647</v>
      </c>
    </row>
    <row r="3066" spans="2:4" x14ac:dyDescent="0.25">
      <c r="B3066" s="89">
        <v>3062</v>
      </c>
      <c r="C3066" s="39">
        <f t="shared" si="95"/>
        <v>157992929.59999999</v>
      </c>
      <c r="D3066" s="39">
        <f t="shared" si="96"/>
        <v>101128674</v>
      </c>
    </row>
    <row r="3067" spans="2:4" x14ac:dyDescent="0.25">
      <c r="B3067" s="89">
        <v>3063</v>
      </c>
      <c r="C3067" s="39">
        <f t="shared" si="95"/>
        <v>157992929.59999999</v>
      </c>
      <c r="D3067" s="39">
        <f t="shared" si="96"/>
        <v>101161701</v>
      </c>
    </row>
    <row r="3068" spans="2:4" x14ac:dyDescent="0.25">
      <c r="B3068" s="89">
        <v>3064</v>
      </c>
      <c r="C3068" s="39">
        <f t="shared" si="95"/>
        <v>157992929.59999999</v>
      </c>
      <c r="D3068" s="39">
        <f t="shared" si="96"/>
        <v>101194728</v>
      </c>
    </row>
    <row r="3069" spans="2:4" x14ac:dyDescent="0.25">
      <c r="B3069" s="89">
        <v>3065</v>
      </c>
      <c r="C3069" s="39">
        <f t="shared" si="95"/>
        <v>157992929.59999999</v>
      </c>
      <c r="D3069" s="39">
        <f t="shared" si="96"/>
        <v>101227755</v>
      </c>
    </row>
    <row r="3070" spans="2:4" x14ac:dyDescent="0.25">
      <c r="B3070" s="89">
        <v>3066</v>
      </c>
      <c r="C3070" s="39">
        <f t="shared" si="95"/>
        <v>157992929.59999999</v>
      </c>
      <c r="D3070" s="39">
        <f t="shared" si="96"/>
        <v>101260782</v>
      </c>
    </row>
    <row r="3071" spans="2:4" x14ac:dyDescent="0.25">
      <c r="B3071" s="89">
        <v>3067</v>
      </c>
      <c r="C3071" s="39">
        <f t="shared" si="95"/>
        <v>157992929.59999999</v>
      </c>
      <c r="D3071" s="39">
        <f t="shared" si="96"/>
        <v>101293809</v>
      </c>
    </row>
    <row r="3072" spans="2:4" x14ac:dyDescent="0.25">
      <c r="B3072" s="89">
        <v>3068</v>
      </c>
      <c r="C3072" s="39">
        <f t="shared" si="95"/>
        <v>157992929.59999999</v>
      </c>
      <c r="D3072" s="39">
        <f t="shared" si="96"/>
        <v>101326836</v>
      </c>
    </row>
    <row r="3073" spans="2:4" x14ac:dyDescent="0.25">
      <c r="B3073" s="89">
        <v>3069</v>
      </c>
      <c r="C3073" s="39">
        <f t="shared" si="95"/>
        <v>157992929.59999999</v>
      </c>
      <c r="D3073" s="39">
        <f t="shared" si="96"/>
        <v>101359863</v>
      </c>
    </row>
    <row r="3074" spans="2:4" x14ac:dyDescent="0.25">
      <c r="B3074" s="89">
        <v>3070</v>
      </c>
      <c r="C3074" s="39">
        <f t="shared" si="95"/>
        <v>157992929.59999999</v>
      </c>
      <c r="D3074" s="39">
        <f t="shared" si="96"/>
        <v>101392890</v>
      </c>
    </row>
    <row r="3075" spans="2:4" x14ac:dyDescent="0.25">
      <c r="B3075" s="89">
        <v>3071</v>
      </c>
      <c r="C3075" s="39">
        <f t="shared" si="95"/>
        <v>157992929.59999999</v>
      </c>
      <c r="D3075" s="39">
        <f t="shared" si="96"/>
        <v>101425917</v>
      </c>
    </row>
    <row r="3076" spans="2:4" x14ac:dyDescent="0.25">
      <c r="B3076" s="89">
        <v>3072</v>
      </c>
      <c r="C3076" s="39">
        <f t="shared" si="95"/>
        <v>157992929.59999999</v>
      </c>
      <c r="D3076" s="39">
        <f t="shared" si="96"/>
        <v>101458944</v>
      </c>
    </row>
    <row r="3077" spans="2:4" x14ac:dyDescent="0.25">
      <c r="B3077" s="89">
        <v>3073</v>
      </c>
      <c r="C3077" s="39">
        <f t="shared" si="95"/>
        <v>157992929.59999999</v>
      </c>
      <c r="D3077" s="39">
        <f t="shared" si="96"/>
        <v>101491971</v>
      </c>
    </row>
    <row r="3078" spans="2:4" x14ac:dyDescent="0.25">
      <c r="B3078" s="89">
        <v>3074</v>
      </c>
      <c r="C3078" s="39">
        <f t="shared" ref="C3078:C3141" si="97">$C3077</f>
        <v>157992929.59999999</v>
      </c>
      <c r="D3078" s="39">
        <f t="shared" si="96"/>
        <v>101524998</v>
      </c>
    </row>
    <row r="3079" spans="2:4" x14ac:dyDescent="0.25">
      <c r="B3079" s="89">
        <v>3075</v>
      </c>
      <c r="C3079" s="39">
        <f t="shared" si="97"/>
        <v>157992929.59999999</v>
      </c>
      <c r="D3079" s="39">
        <f t="shared" si="96"/>
        <v>101558025</v>
      </c>
    </row>
    <row r="3080" spans="2:4" x14ac:dyDescent="0.25">
      <c r="B3080" s="89">
        <v>3076</v>
      </c>
      <c r="C3080" s="39">
        <f t="shared" si="97"/>
        <v>157992929.59999999</v>
      </c>
      <c r="D3080" s="39">
        <f t="shared" si="96"/>
        <v>101591052</v>
      </c>
    </row>
    <row r="3081" spans="2:4" x14ac:dyDescent="0.25">
      <c r="B3081" s="89">
        <v>3077</v>
      </c>
      <c r="C3081" s="39">
        <f t="shared" si="97"/>
        <v>157992929.59999999</v>
      </c>
      <c r="D3081" s="39">
        <f t="shared" si="96"/>
        <v>101624079</v>
      </c>
    </row>
    <row r="3082" spans="2:4" x14ac:dyDescent="0.25">
      <c r="B3082" s="89">
        <v>3078</v>
      </c>
      <c r="C3082" s="39">
        <f t="shared" si="97"/>
        <v>157992929.59999999</v>
      </c>
      <c r="D3082" s="39">
        <f t="shared" si="96"/>
        <v>101657106</v>
      </c>
    </row>
    <row r="3083" spans="2:4" x14ac:dyDescent="0.25">
      <c r="B3083" s="89">
        <v>3079</v>
      </c>
      <c r="C3083" s="39">
        <f t="shared" si="97"/>
        <v>157992929.59999999</v>
      </c>
      <c r="D3083" s="39">
        <f t="shared" si="96"/>
        <v>101690133</v>
      </c>
    </row>
    <row r="3084" spans="2:4" x14ac:dyDescent="0.25">
      <c r="B3084" s="89">
        <v>3080</v>
      </c>
      <c r="C3084" s="39">
        <f t="shared" si="97"/>
        <v>157992929.59999999</v>
      </c>
      <c r="D3084" s="39">
        <f t="shared" si="96"/>
        <v>101723160</v>
      </c>
    </row>
    <row r="3085" spans="2:4" x14ac:dyDescent="0.25">
      <c r="B3085" s="89">
        <v>3081</v>
      </c>
      <c r="C3085" s="39">
        <f t="shared" si="97"/>
        <v>157992929.59999999</v>
      </c>
      <c r="D3085" s="39">
        <f t="shared" si="96"/>
        <v>101756187</v>
      </c>
    </row>
    <row r="3086" spans="2:4" x14ac:dyDescent="0.25">
      <c r="B3086" s="89">
        <v>3082</v>
      </c>
      <c r="C3086" s="39">
        <f t="shared" si="97"/>
        <v>157992929.59999999</v>
      </c>
      <c r="D3086" s="39">
        <f t="shared" si="96"/>
        <v>101789214</v>
      </c>
    </row>
    <row r="3087" spans="2:4" x14ac:dyDescent="0.25">
      <c r="B3087" s="89">
        <v>3083</v>
      </c>
      <c r="C3087" s="39">
        <f t="shared" si="97"/>
        <v>157992929.59999999</v>
      </c>
      <c r="D3087" s="39">
        <f t="shared" si="96"/>
        <v>101822241</v>
      </c>
    </row>
    <row r="3088" spans="2:4" x14ac:dyDescent="0.25">
      <c r="B3088" s="89">
        <v>3084</v>
      </c>
      <c r="C3088" s="39">
        <f t="shared" si="97"/>
        <v>157992929.59999999</v>
      </c>
      <c r="D3088" s="39">
        <f t="shared" si="96"/>
        <v>101855268</v>
      </c>
    </row>
    <row r="3089" spans="2:4" x14ac:dyDescent="0.25">
      <c r="B3089" s="89">
        <v>3085</v>
      </c>
      <c r="C3089" s="39">
        <f t="shared" si="97"/>
        <v>157992929.59999999</v>
      </c>
      <c r="D3089" s="39">
        <f t="shared" si="96"/>
        <v>101888295</v>
      </c>
    </row>
    <row r="3090" spans="2:4" x14ac:dyDescent="0.25">
      <c r="B3090" s="89">
        <v>3086</v>
      </c>
      <c r="C3090" s="39">
        <f t="shared" si="97"/>
        <v>157992929.59999999</v>
      </c>
      <c r="D3090" s="39">
        <f t="shared" si="96"/>
        <v>101921322</v>
      </c>
    </row>
    <row r="3091" spans="2:4" x14ac:dyDescent="0.25">
      <c r="B3091" s="89">
        <v>3087</v>
      </c>
      <c r="C3091" s="39">
        <f t="shared" si="97"/>
        <v>157992929.59999999</v>
      </c>
      <c r="D3091" s="39">
        <f t="shared" si="96"/>
        <v>101954349</v>
      </c>
    </row>
    <row r="3092" spans="2:4" x14ac:dyDescent="0.25">
      <c r="B3092" s="89">
        <v>3088</v>
      </c>
      <c r="C3092" s="39">
        <f t="shared" si="97"/>
        <v>157992929.59999999</v>
      </c>
      <c r="D3092" s="39">
        <f t="shared" si="96"/>
        <v>101987376</v>
      </c>
    </row>
    <row r="3093" spans="2:4" x14ac:dyDescent="0.25">
      <c r="B3093" s="89">
        <v>3089</v>
      </c>
      <c r="C3093" s="39">
        <f t="shared" si="97"/>
        <v>157992929.59999999</v>
      </c>
      <c r="D3093" s="39">
        <f t="shared" si="96"/>
        <v>102020403</v>
      </c>
    </row>
    <row r="3094" spans="2:4" x14ac:dyDescent="0.25">
      <c r="B3094" s="89">
        <v>3090</v>
      </c>
      <c r="C3094" s="39">
        <f t="shared" si="97"/>
        <v>157992929.59999999</v>
      </c>
      <c r="D3094" s="39">
        <f t="shared" si="96"/>
        <v>102053430</v>
      </c>
    </row>
    <row r="3095" spans="2:4" x14ac:dyDescent="0.25">
      <c r="B3095" s="89">
        <v>3091</v>
      </c>
      <c r="C3095" s="39">
        <f t="shared" si="97"/>
        <v>157992929.59999999</v>
      </c>
      <c r="D3095" s="39">
        <f t="shared" si="96"/>
        <v>102086457</v>
      </c>
    </row>
    <row r="3096" spans="2:4" x14ac:dyDescent="0.25">
      <c r="B3096" s="89">
        <v>3092</v>
      </c>
      <c r="C3096" s="39">
        <f t="shared" si="97"/>
        <v>157992929.59999999</v>
      </c>
      <c r="D3096" s="39">
        <f t="shared" si="96"/>
        <v>102119484</v>
      </c>
    </row>
    <row r="3097" spans="2:4" x14ac:dyDescent="0.25">
      <c r="B3097" s="89">
        <v>3093</v>
      </c>
      <c r="C3097" s="39">
        <f t="shared" si="97"/>
        <v>157992929.59999999</v>
      </c>
      <c r="D3097" s="39">
        <f t="shared" si="96"/>
        <v>102152511</v>
      </c>
    </row>
    <row r="3098" spans="2:4" x14ac:dyDescent="0.25">
      <c r="B3098" s="89">
        <v>3094</v>
      </c>
      <c r="C3098" s="39">
        <f t="shared" si="97"/>
        <v>157992929.59999999</v>
      </c>
      <c r="D3098" s="39">
        <f t="shared" si="96"/>
        <v>102185538</v>
      </c>
    </row>
    <row r="3099" spans="2:4" x14ac:dyDescent="0.25">
      <c r="B3099" s="89">
        <v>3095</v>
      </c>
      <c r="C3099" s="39">
        <f t="shared" si="97"/>
        <v>157992929.59999999</v>
      </c>
      <c r="D3099" s="39">
        <f t="shared" si="96"/>
        <v>102218565</v>
      </c>
    </row>
    <row r="3100" spans="2:4" x14ac:dyDescent="0.25">
      <c r="B3100" s="89">
        <v>3096</v>
      </c>
      <c r="C3100" s="39">
        <f t="shared" si="97"/>
        <v>157992929.59999999</v>
      </c>
      <c r="D3100" s="39">
        <f t="shared" si="96"/>
        <v>102251592</v>
      </c>
    </row>
    <row r="3101" spans="2:4" x14ac:dyDescent="0.25">
      <c r="B3101" s="89">
        <v>3097</v>
      </c>
      <c r="C3101" s="39">
        <f t="shared" si="97"/>
        <v>157992929.59999999</v>
      </c>
      <c r="D3101" s="39">
        <f t="shared" si="96"/>
        <v>102284619</v>
      </c>
    </row>
    <row r="3102" spans="2:4" x14ac:dyDescent="0.25">
      <c r="B3102" s="89">
        <v>3098</v>
      </c>
      <c r="C3102" s="39">
        <f t="shared" si="97"/>
        <v>157992929.59999999</v>
      </c>
      <c r="D3102" s="39">
        <f t="shared" si="96"/>
        <v>102317646</v>
      </c>
    </row>
    <row r="3103" spans="2:4" x14ac:dyDescent="0.25">
      <c r="B3103" s="89">
        <v>3099</v>
      </c>
      <c r="C3103" s="39">
        <f t="shared" si="97"/>
        <v>157992929.59999999</v>
      </c>
      <c r="D3103" s="39">
        <f t="shared" si="96"/>
        <v>102350673</v>
      </c>
    </row>
    <row r="3104" spans="2:4" x14ac:dyDescent="0.25">
      <c r="B3104" s="89">
        <v>3100</v>
      </c>
      <c r="C3104" s="39">
        <f t="shared" si="97"/>
        <v>157992929.59999999</v>
      </c>
      <c r="D3104" s="39">
        <f t="shared" si="96"/>
        <v>102383700</v>
      </c>
    </row>
    <row r="3105" spans="2:4" x14ac:dyDescent="0.25">
      <c r="B3105" s="89">
        <v>3101</v>
      </c>
      <c r="C3105" s="39">
        <f t="shared" si="97"/>
        <v>157992929.59999999</v>
      </c>
      <c r="D3105" s="39">
        <f t="shared" si="96"/>
        <v>102416727</v>
      </c>
    </row>
    <row r="3106" spans="2:4" x14ac:dyDescent="0.25">
      <c r="B3106" s="89">
        <v>3102</v>
      </c>
      <c r="C3106" s="39">
        <f t="shared" si="97"/>
        <v>157992929.59999999</v>
      </c>
      <c r="D3106" s="39">
        <f t="shared" si="96"/>
        <v>102449754</v>
      </c>
    </row>
    <row r="3107" spans="2:4" x14ac:dyDescent="0.25">
      <c r="B3107" s="89">
        <v>3103</v>
      </c>
      <c r="C3107" s="39">
        <f t="shared" si="97"/>
        <v>157992929.59999999</v>
      </c>
      <c r="D3107" s="39">
        <f t="shared" si="96"/>
        <v>102482781</v>
      </c>
    </row>
    <row r="3108" spans="2:4" x14ac:dyDescent="0.25">
      <c r="B3108" s="89">
        <v>3104</v>
      </c>
      <c r="C3108" s="39">
        <f t="shared" si="97"/>
        <v>157992929.59999999</v>
      </c>
      <c r="D3108" s="39">
        <f t="shared" si="96"/>
        <v>102515808</v>
      </c>
    </row>
    <row r="3109" spans="2:4" x14ac:dyDescent="0.25">
      <c r="B3109" s="89">
        <v>3105</v>
      </c>
      <c r="C3109" s="39">
        <f t="shared" si="97"/>
        <v>157992929.59999999</v>
      </c>
      <c r="D3109" s="39">
        <f t="shared" si="96"/>
        <v>102548835</v>
      </c>
    </row>
    <row r="3110" spans="2:4" x14ac:dyDescent="0.25">
      <c r="B3110" s="89">
        <v>3106</v>
      </c>
      <c r="C3110" s="39">
        <f t="shared" si="97"/>
        <v>157992929.59999999</v>
      </c>
      <c r="D3110" s="39">
        <f t="shared" si="96"/>
        <v>102581862</v>
      </c>
    </row>
    <row r="3111" spans="2:4" x14ac:dyDescent="0.25">
      <c r="B3111" s="89">
        <v>3107</v>
      </c>
      <c r="C3111" s="39">
        <f t="shared" si="97"/>
        <v>157992929.59999999</v>
      </c>
      <c r="D3111" s="39">
        <f t="shared" si="96"/>
        <v>102614889</v>
      </c>
    </row>
    <row r="3112" spans="2:4" x14ac:dyDescent="0.25">
      <c r="B3112" s="89">
        <v>3108</v>
      </c>
      <c r="C3112" s="39">
        <f t="shared" si="97"/>
        <v>157992929.59999999</v>
      </c>
      <c r="D3112" s="39">
        <f t="shared" si="96"/>
        <v>102647916</v>
      </c>
    </row>
    <row r="3113" spans="2:4" x14ac:dyDescent="0.25">
      <c r="B3113" s="89">
        <v>3109</v>
      </c>
      <c r="C3113" s="39">
        <f t="shared" si="97"/>
        <v>157992929.59999999</v>
      </c>
      <c r="D3113" s="39">
        <f t="shared" si="96"/>
        <v>102680943</v>
      </c>
    </row>
    <row r="3114" spans="2:4" x14ac:dyDescent="0.25">
      <c r="B3114" s="89">
        <v>3110</v>
      </c>
      <c r="C3114" s="39">
        <f t="shared" si="97"/>
        <v>157992929.59999999</v>
      </c>
      <c r="D3114" s="39">
        <f t="shared" si="96"/>
        <v>102713970</v>
      </c>
    </row>
    <row r="3115" spans="2:4" x14ac:dyDescent="0.25">
      <c r="B3115" s="89">
        <v>3111</v>
      </c>
      <c r="C3115" s="39">
        <f t="shared" si="97"/>
        <v>157992929.59999999</v>
      </c>
      <c r="D3115" s="39">
        <f t="shared" si="96"/>
        <v>102746997</v>
      </c>
    </row>
    <row r="3116" spans="2:4" x14ac:dyDescent="0.25">
      <c r="B3116" s="89">
        <v>3112</v>
      </c>
      <c r="C3116" s="39">
        <f t="shared" si="97"/>
        <v>157992929.59999999</v>
      </c>
      <c r="D3116" s="39">
        <f t="shared" si="96"/>
        <v>102780024</v>
      </c>
    </row>
    <row r="3117" spans="2:4" x14ac:dyDescent="0.25">
      <c r="B3117" s="89">
        <v>3113</v>
      </c>
      <c r="C3117" s="39">
        <f t="shared" si="97"/>
        <v>157992929.59999999</v>
      </c>
      <c r="D3117" s="39">
        <f t="shared" si="96"/>
        <v>102813051</v>
      </c>
    </row>
    <row r="3118" spans="2:4" x14ac:dyDescent="0.25">
      <c r="B3118" s="89">
        <v>3114</v>
      </c>
      <c r="C3118" s="39">
        <f t="shared" si="97"/>
        <v>157992929.59999999</v>
      </c>
      <c r="D3118" s="39">
        <f t="shared" si="96"/>
        <v>102846078</v>
      </c>
    </row>
    <row r="3119" spans="2:4" x14ac:dyDescent="0.25">
      <c r="B3119" s="89">
        <v>3115</v>
      </c>
      <c r="C3119" s="39">
        <f t="shared" si="97"/>
        <v>157992929.59999999</v>
      </c>
      <c r="D3119" s="39">
        <f t="shared" si="96"/>
        <v>102879105</v>
      </c>
    </row>
    <row r="3120" spans="2:4" x14ac:dyDescent="0.25">
      <c r="B3120" s="89">
        <v>3116</v>
      </c>
      <c r="C3120" s="39">
        <f t="shared" si="97"/>
        <v>157992929.59999999</v>
      </c>
      <c r="D3120" s="39">
        <f t="shared" si="96"/>
        <v>102912132</v>
      </c>
    </row>
    <row r="3121" spans="2:4" x14ac:dyDescent="0.25">
      <c r="B3121" s="89">
        <v>3117</v>
      </c>
      <c r="C3121" s="39">
        <f t="shared" si="97"/>
        <v>157992929.59999999</v>
      </c>
      <c r="D3121" s="39">
        <f t="shared" ref="D3121:D3184" si="98">$D$2*B3121</f>
        <v>102945159</v>
      </c>
    </row>
    <row r="3122" spans="2:4" x14ac:dyDescent="0.25">
      <c r="B3122" s="89">
        <v>3118</v>
      </c>
      <c r="C3122" s="39">
        <f t="shared" si="97"/>
        <v>157992929.59999999</v>
      </c>
      <c r="D3122" s="39">
        <f t="shared" si="98"/>
        <v>102978186</v>
      </c>
    </row>
    <row r="3123" spans="2:4" x14ac:dyDescent="0.25">
      <c r="B3123" s="89">
        <v>3119</v>
      </c>
      <c r="C3123" s="39">
        <f t="shared" si="97"/>
        <v>157992929.59999999</v>
      </c>
      <c r="D3123" s="39">
        <f t="shared" si="98"/>
        <v>103011213</v>
      </c>
    </row>
    <row r="3124" spans="2:4" x14ac:dyDescent="0.25">
      <c r="B3124" s="89">
        <v>3120</v>
      </c>
      <c r="C3124" s="39">
        <f t="shared" si="97"/>
        <v>157992929.59999999</v>
      </c>
      <c r="D3124" s="39">
        <f t="shared" si="98"/>
        <v>103044240</v>
      </c>
    </row>
    <row r="3125" spans="2:4" x14ac:dyDescent="0.25">
      <c r="B3125" s="89">
        <v>3121</v>
      </c>
      <c r="C3125" s="39">
        <f t="shared" si="97"/>
        <v>157992929.59999999</v>
      </c>
      <c r="D3125" s="39">
        <f t="shared" si="98"/>
        <v>103077267</v>
      </c>
    </row>
    <row r="3126" spans="2:4" x14ac:dyDescent="0.25">
      <c r="B3126" s="89">
        <v>3122</v>
      </c>
      <c r="C3126" s="39">
        <f t="shared" si="97"/>
        <v>157992929.59999999</v>
      </c>
      <c r="D3126" s="39">
        <f t="shared" si="98"/>
        <v>103110294</v>
      </c>
    </row>
    <row r="3127" spans="2:4" x14ac:dyDescent="0.25">
      <c r="B3127" s="89">
        <v>3123</v>
      </c>
      <c r="C3127" s="39">
        <f t="shared" si="97"/>
        <v>157992929.59999999</v>
      </c>
      <c r="D3127" s="39">
        <f t="shared" si="98"/>
        <v>103143321</v>
      </c>
    </row>
    <row r="3128" spans="2:4" x14ac:dyDescent="0.25">
      <c r="B3128" s="89">
        <v>3124</v>
      </c>
      <c r="C3128" s="39">
        <f t="shared" si="97"/>
        <v>157992929.59999999</v>
      </c>
      <c r="D3128" s="39">
        <f t="shared" si="98"/>
        <v>103176348</v>
      </c>
    </row>
    <row r="3129" spans="2:4" x14ac:dyDescent="0.25">
      <c r="B3129" s="89">
        <v>3125</v>
      </c>
      <c r="C3129" s="39">
        <f t="shared" si="97"/>
        <v>157992929.59999999</v>
      </c>
      <c r="D3129" s="39">
        <f t="shared" si="98"/>
        <v>103209375</v>
      </c>
    </row>
    <row r="3130" spans="2:4" x14ac:dyDescent="0.25">
      <c r="B3130" s="89">
        <v>3126</v>
      </c>
      <c r="C3130" s="39">
        <f t="shared" si="97"/>
        <v>157992929.59999999</v>
      </c>
      <c r="D3130" s="39">
        <f t="shared" si="98"/>
        <v>103242402</v>
      </c>
    </row>
    <row r="3131" spans="2:4" x14ac:dyDescent="0.25">
      <c r="B3131" s="89">
        <v>3127</v>
      </c>
      <c r="C3131" s="39">
        <f t="shared" si="97"/>
        <v>157992929.59999999</v>
      </c>
      <c r="D3131" s="39">
        <f t="shared" si="98"/>
        <v>103275429</v>
      </c>
    </row>
    <row r="3132" spans="2:4" x14ac:dyDescent="0.25">
      <c r="B3132" s="89">
        <v>3128</v>
      </c>
      <c r="C3132" s="39">
        <f t="shared" si="97"/>
        <v>157992929.59999999</v>
      </c>
      <c r="D3132" s="39">
        <f t="shared" si="98"/>
        <v>103308456</v>
      </c>
    </row>
    <row r="3133" spans="2:4" x14ac:dyDescent="0.25">
      <c r="B3133" s="89">
        <v>3129</v>
      </c>
      <c r="C3133" s="39">
        <f t="shared" si="97"/>
        <v>157992929.59999999</v>
      </c>
      <c r="D3133" s="39">
        <f t="shared" si="98"/>
        <v>103341483</v>
      </c>
    </row>
    <row r="3134" spans="2:4" x14ac:dyDescent="0.25">
      <c r="B3134" s="89">
        <v>3130</v>
      </c>
      <c r="C3134" s="39">
        <f t="shared" si="97"/>
        <v>157992929.59999999</v>
      </c>
      <c r="D3134" s="39">
        <f t="shared" si="98"/>
        <v>103374510</v>
      </c>
    </row>
    <row r="3135" spans="2:4" x14ac:dyDescent="0.25">
      <c r="B3135" s="89">
        <v>3131</v>
      </c>
      <c r="C3135" s="39">
        <f t="shared" si="97"/>
        <v>157992929.59999999</v>
      </c>
      <c r="D3135" s="39">
        <f t="shared" si="98"/>
        <v>103407537</v>
      </c>
    </row>
    <row r="3136" spans="2:4" x14ac:dyDescent="0.25">
      <c r="B3136" s="89">
        <v>3132</v>
      </c>
      <c r="C3136" s="39">
        <f t="shared" si="97"/>
        <v>157992929.59999999</v>
      </c>
      <c r="D3136" s="39">
        <f t="shared" si="98"/>
        <v>103440564</v>
      </c>
    </row>
    <row r="3137" spans="2:4" x14ac:dyDescent="0.25">
      <c r="B3137" s="89">
        <v>3133</v>
      </c>
      <c r="C3137" s="39">
        <f t="shared" si="97"/>
        <v>157992929.59999999</v>
      </c>
      <c r="D3137" s="39">
        <f t="shared" si="98"/>
        <v>103473591</v>
      </c>
    </row>
    <row r="3138" spans="2:4" x14ac:dyDescent="0.25">
      <c r="B3138" s="89">
        <v>3134</v>
      </c>
      <c r="C3138" s="39">
        <f t="shared" si="97"/>
        <v>157992929.59999999</v>
      </c>
      <c r="D3138" s="39">
        <f t="shared" si="98"/>
        <v>103506618</v>
      </c>
    </row>
    <row r="3139" spans="2:4" x14ac:dyDescent="0.25">
      <c r="B3139" s="89">
        <v>3135</v>
      </c>
      <c r="C3139" s="39">
        <f t="shared" si="97"/>
        <v>157992929.59999999</v>
      </c>
      <c r="D3139" s="39">
        <f t="shared" si="98"/>
        <v>103539645</v>
      </c>
    </row>
    <row r="3140" spans="2:4" x14ac:dyDescent="0.25">
      <c r="B3140" s="89">
        <v>3136</v>
      </c>
      <c r="C3140" s="39">
        <f t="shared" si="97"/>
        <v>157992929.59999999</v>
      </c>
      <c r="D3140" s="39">
        <f t="shared" si="98"/>
        <v>103572672</v>
      </c>
    </row>
    <row r="3141" spans="2:4" x14ac:dyDescent="0.25">
      <c r="B3141" s="89">
        <v>3137</v>
      </c>
      <c r="C3141" s="39">
        <f t="shared" si="97"/>
        <v>157992929.59999999</v>
      </c>
      <c r="D3141" s="39">
        <f t="shared" si="98"/>
        <v>103605699</v>
      </c>
    </row>
    <row r="3142" spans="2:4" x14ac:dyDescent="0.25">
      <c r="B3142" s="89">
        <v>3138</v>
      </c>
      <c r="C3142" s="39">
        <f t="shared" ref="C3142:C3205" si="99">$C3141</f>
        <v>157992929.59999999</v>
      </c>
      <c r="D3142" s="39">
        <f t="shared" si="98"/>
        <v>103638726</v>
      </c>
    </row>
    <row r="3143" spans="2:4" x14ac:dyDescent="0.25">
      <c r="B3143" s="89">
        <v>3139</v>
      </c>
      <c r="C3143" s="39">
        <f t="shared" si="99"/>
        <v>157992929.59999999</v>
      </c>
      <c r="D3143" s="39">
        <f t="shared" si="98"/>
        <v>103671753</v>
      </c>
    </row>
    <row r="3144" spans="2:4" x14ac:dyDescent="0.25">
      <c r="B3144" s="89">
        <v>3140</v>
      </c>
      <c r="C3144" s="39">
        <f t="shared" si="99"/>
        <v>157992929.59999999</v>
      </c>
      <c r="D3144" s="39">
        <f t="shared" si="98"/>
        <v>103704780</v>
      </c>
    </row>
    <row r="3145" spans="2:4" x14ac:dyDescent="0.25">
      <c r="B3145" s="89">
        <v>3141</v>
      </c>
      <c r="C3145" s="39">
        <f t="shared" si="99"/>
        <v>157992929.59999999</v>
      </c>
      <c r="D3145" s="39">
        <f t="shared" si="98"/>
        <v>103737807</v>
      </c>
    </row>
    <row r="3146" spans="2:4" x14ac:dyDescent="0.25">
      <c r="B3146" s="89">
        <v>3142</v>
      </c>
      <c r="C3146" s="39">
        <f t="shared" si="99"/>
        <v>157992929.59999999</v>
      </c>
      <c r="D3146" s="39">
        <f t="shared" si="98"/>
        <v>103770834</v>
      </c>
    </row>
    <row r="3147" spans="2:4" x14ac:dyDescent="0.25">
      <c r="B3147" s="89">
        <v>3143</v>
      </c>
      <c r="C3147" s="39">
        <f t="shared" si="99"/>
        <v>157992929.59999999</v>
      </c>
      <c r="D3147" s="39">
        <f t="shared" si="98"/>
        <v>103803861</v>
      </c>
    </row>
    <row r="3148" spans="2:4" x14ac:dyDescent="0.25">
      <c r="B3148" s="89">
        <v>3144</v>
      </c>
      <c r="C3148" s="39">
        <f t="shared" si="99"/>
        <v>157992929.59999999</v>
      </c>
      <c r="D3148" s="39">
        <f t="shared" si="98"/>
        <v>103836888</v>
      </c>
    </row>
    <row r="3149" spans="2:4" x14ac:dyDescent="0.25">
      <c r="B3149" s="89">
        <v>3145</v>
      </c>
      <c r="C3149" s="39">
        <f t="shared" si="99"/>
        <v>157992929.59999999</v>
      </c>
      <c r="D3149" s="39">
        <f t="shared" si="98"/>
        <v>103869915</v>
      </c>
    </row>
    <row r="3150" spans="2:4" x14ac:dyDescent="0.25">
      <c r="B3150" s="89">
        <v>3146</v>
      </c>
      <c r="C3150" s="39">
        <f t="shared" si="99"/>
        <v>157992929.59999999</v>
      </c>
      <c r="D3150" s="39">
        <f t="shared" si="98"/>
        <v>103902942</v>
      </c>
    </row>
    <row r="3151" spans="2:4" x14ac:dyDescent="0.25">
      <c r="B3151" s="89">
        <v>3147</v>
      </c>
      <c r="C3151" s="39">
        <f t="shared" si="99"/>
        <v>157992929.59999999</v>
      </c>
      <c r="D3151" s="39">
        <f t="shared" si="98"/>
        <v>103935969</v>
      </c>
    </row>
    <row r="3152" spans="2:4" x14ac:dyDescent="0.25">
      <c r="B3152" s="89">
        <v>3148</v>
      </c>
      <c r="C3152" s="39">
        <f t="shared" si="99"/>
        <v>157992929.59999999</v>
      </c>
      <c r="D3152" s="39">
        <f t="shared" si="98"/>
        <v>103968996</v>
      </c>
    </row>
    <row r="3153" spans="2:4" x14ac:dyDescent="0.25">
      <c r="B3153" s="89">
        <v>3149</v>
      </c>
      <c r="C3153" s="39">
        <f t="shared" si="99"/>
        <v>157992929.59999999</v>
      </c>
      <c r="D3153" s="39">
        <f t="shared" si="98"/>
        <v>104002023</v>
      </c>
    </row>
    <row r="3154" spans="2:4" x14ac:dyDescent="0.25">
      <c r="B3154" s="89">
        <v>3150</v>
      </c>
      <c r="C3154" s="39">
        <f t="shared" si="99"/>
        <v>157992929.59999999</v>
      </c>
      <c r="D3154" s="39">
        <f t="shared" si="98"/>
        <v>104035050</v>
      </c>
    </row>
    <row r="3155" spans="2:4" x14ac:dyDescent="0.25">
      <c r="B3155" s="89">
        <v>3151</v>
      </c>
      <c r="C3155" s="39">
        <f t="shared" si="99"/>
        <v>157992929.59999999</v>
      </c>
      <c r="D3155" s="39">
        <f t="shared" si="98"/>
        <v>104068077</v>
      </c>
    </row>
    <row r="3156" spans="2:4" x14ac:dyDescent="0.25">
      <c r="B3156" s="89">
        <v>3152</v>
      </c>
      <c r="C3156" s="39">
        <f t="shared" si="99"/>
        <v>157992929.59999999</v>
      </c>
      <c r="D3156" s="39">
        <f t="shared" si="98"/>
        <v>104101104</v>
      </c>
    </row>
    <row r="3157" spans="2:4" x14ac:dyDescent="0.25">
      <c r="B3157" s="89">
        <v>3153</v>
      </c>
      <c r="C3157" s="39">
        <f t="shared" si="99"/>
        <v>157992929.59999999</v>
      </c>
      <c r="D3157" s="39">
        <f t="shared" si="98"/>
        <v>104134131</v>
      </c>
    </row>
    <row r="3158" spans="2:4" x14ac:dyDescent="0.25">
      <c r="B3158" s="89">
        <v>3154</v>
      </c>
      <c r="C3158" s="39">
        <f t="shared" si="99"/>
        <v>157992929.59999999</v>
      </c>
      <c r="D3158" s="39">
        <f t="shared" si="98"/>
        <v>104167158</v>
      </c>
    </row>
    <row r="3159" spans="2:4" x14ac:dyDescent="0.25">
      <c r="B3159" s="89">
        <v>3155</v>
      </c>
      <c r="C3159" s="39">
        <f t="shared" si="99"/>
        <v>157992929.59999999</v>
      </c>
      <c r="D3159" s="39">
        <f t="shared" si="98"/>
        <v>104200185</v>
      </c>
    </row>
    <row r="3160" spans="2:4" x14ac:dyDescent="0.25">
      <c r="B3160" s="89">
        <v>3156</v>
      </c>
      <c r="C3160" s="39">
        <f t="shared" si="99"/>
        <v>157992929.59999999</v>
      </c>
      <c r="D3160" s="39">
        <f t="shared" si="98"/>
        <v>104233212</v>
      </c>
    </row>
    <row r="3161" spans="2:4" x14ac:dyDescent="0.25">
      <c r="B3161" s="89">
        <v>3157</v>
      </c>
      <c r="C3161" s="39">
        <f t="shared" si="99"/>
        <v>157992929.59999999</v>
      </c>
      <c r="D3161" s="39">
        <f t="shared" si="98"/>
        <v>104266239</v>
      </c>
    </row>
    <row r="3162" spans="2:4" x14ac:dyDescent="0.25">
      <c r="B3162" s="89">
        <v>3158</v>
      </c>
      <c r="C3162" s="39">
        <f t="shared" si="99"/>
        <v>157992929.59999999</v>
      </c>
      <c r="D3162" s="39">
        <f t="shared" si="98"/>
        <v>104299266</v>
      </c>
    </row>
    <row r="3163" spans="2:4" x14ac:dyDescent="0.25">
      <c r="B3163" s="89">
        <v>3159</v>
      </c>
      <c r="C3163" s="39">
        <f t="shared" si="99"/>
        <v>157992929.59999999</v>
      </c>
      <c r="D3163" s="39">
        <f t="shared" si="98"/>
        <v>104332293</v>
      </c>
    </row>
    <row r="3164" spans="2:4" x14ac:dyDescent="0.25">
      <c r="B3164" s="89">
        <v>3160</v>
      </c>
      <c r="C3164" s="39">
        <f t="shared" si="99"/>
        <v>157992929.59999999</v>
      </c>
      <c r="D3164" s="39">
        <f t="shared" si="98"/>
        <v>104365320</v>
      </c>
    </row>
    <row r="3165" spans="2:4" x14ac:dyDescent="0.25">
      <c r="B3165" s="89">
        <v>3161</v>
      </c>
      <c r="C3165" s="39">
        <f t="shared" si="99"/>
        <v>157992929.59999999</v>
      </c>
      <c r="D3165" s="39">
        <f t="shared" si="98"/>
        <v>104398347</v>
      </c>
    </row>
    <row r="3166" spans="2:4" x14ac:dyDescent="0.25">
      <c r="B3166" s="89">
        <v>3162</v>
      </c>
      <c r="C3166" s="39">
        <f t="shared" si="99"/>
        <v>157992929.59999999</v>
      </c>
      <c r="D3166" s="39">
        <f t="shared" si="98"/>
        <v>104431374</v>
      </c>
    </row>
    <row r="3167" spans="2:4" x14ac:dyDescent="0.25">
      <c r="B3167" s="89">
        <v>3163</v>
      </c>
      <c r="C3167" s="39">
        <f t="shared" si="99"/>
        <v>157992929.59999999</v>
      </c>
      <c r="D3167" s="39">
        <f t="shared" si="98"/>
        <v>104464401</v>
      </c>
    </row>
    <row r="3168" spans="2:4" x14ac:dyDescent="0.25">
      <c r="B3168" s="89">
        <v>3164</v>
      </c>
      <c r="C3168" s="39">
        <f t="shared" si="99"/>
        <v>157992929.59999999</v>
      </c>
      <c r="D3168" s="39">
        <f t="shared" si="98"/>
        <v>104497428</v>
      </c>
    </row>
    <row r="3169" spans="2:4" x14ac:dyDescent="0.25">
      <c r="B3169" s="89">
        <v>3165</v>
      </c>
      <c r="C3169" s="39">
        <f t="shared" si="99"/>
        <v>157992929.59999999</v>
      </c>
      <c r="D3169" s="39">
        <f t="shared" si="98"/>
        <v>104530455</v>
      </c>
    </row>
    <row r="3170" spans="2:4" x14ac:dyDescent="0.25">
      <c r="B3170" s="89">
        <v>3166</v>
      </c>
      <c r="C3170" s="39">
        <f t="shared" si="99"/>
        <v>157992929.59999999</v>
      </c>
      <c r="D3170" s="39">
        <f t="shared" si="98"/>
        <v>104563482</v>
      </c>
    </row>
    <row r="3171" spans="2:4" x14ac:dyDescent="0.25">
      <c r="B3171" s="89">
        <v>3167</v>
      </c>
      <c r="C3171" s="39">
        <f t="shared" si="99"/>
        <v>157992929.59999999</v>
      </c>
      <c r="D3171" s="39">
        <f t="shared" si="98"/>
        <v>104596509</v>
      </c>
    </row>
    <row r="3172" spans="2:4" x14ac:dyDescent="0.25">
      <c r="B3172" s="89">
        <v>3168</v>
      </c>
      <c r="C3172" s="39">
        <f t="shared" si="99"/>
        <v>157992929.59999999</v>
      </c>
      <c r="D3172" s="39">
        <f t="shared" si="98"/>
        <v>104629536</v>
      </c>
    </row>
    <row r="3173" spans="2:4" x14ac:dyDescent="0.25">
      <c r="B3173" s="89">
        <v>3169</v>
      </c>
      <c r="C3173" s="39">
        <f t="shared" si="99"/>
        <v>157992929.59999999</v>
      </c>
      <c r="D3173" s="39">
        <f t="shared" si="98"/>
        <v>104662563</v>
      </c>
    </row>
    <row r="3174" spans="2:4" x14ac:dyDescent="0.25">
      <c r="B3174" s="89">
        <v>3170</v>
      </c>
      <c r="C3174" s="39">
        <f t="shared" si="99"/>
        <v>157992929.59999999</v>
      </c>
      <c r="D3174" s="39">
        <f t="shared" si="98"/>
        <v>104695590</v>
      </c>
    </row>
    <row r="3175" spans="2:4" x14ac:dyDescent="0.25">
      <c r="B3175" s="89">
        <v>3171</v>
      </c>
      <c r="C3175" s="39">
        <f t="shared" si="99"/>
        <v>157992929.59999999</v>
      </c>
      <c r="D3175" s="39">
        <f t="shared" si="98"/>
        <v>104728617</v>
      </c>
    </row>
    <row r="3176" spans="2:4" x14ac:dyDescent="0.25">
      <c r="B3176" s="89">
        <v>3172</v>
      </c>
      <c r="C3176" s="39">
        <f t="shared" si="99"/>
        <v>157992929.59999999</v>
      </c>
      <c r="D3176" s="39">
        <f t="shared" si="98"/>
        <v>104761644</v>
      </c>
    </row>
    <row r="3177" spans="2:4" x14ac:dyDescent="0.25">
      <c r="B3177" s="89">
        <v>3173</v>
      </c>
      <c r="C3177" s="39">
        <f t="shared" si="99"/>
        <v>157992929.59999999</v>
      </c>
      <c r="D3177" s="39">
        <f t="shared" si="98"/>
        <v>104794671</v>
      </c>
    </row>
    <row r="3178" spans="2:4" x14ac:dyDescent="0.25">
      <c r="B3178" s="89">
        <v>3174</v>
      </c>
      <c r="C3178" s="39">
        <f t="shared" si="99"/>
        <v>157992929.59999999</v>
      </c>
      <c r="D3178" s="39">
        <f t="shared" si="98"/>
        <v>104827698</v>
      </c>
    </row>
    <row r="3179" spans="2:4" x14ac:dyDescent="0.25">
      <c r="B3179" s="89">
        <v>3175</v>
      </c>
      <c r="C3179" s="39">
        <f t="shared" si="99"/>
        <v>157992929.59999999</v>
      </c>
      <c r="D3179" s="39">
        <f t="shared" si="98"/>
        <v>104860725</v>
      </c>
    </row>
    <row r="3180" spans="2:4" x14ac:dyDescent="0.25">
      <c r="B3180" s="89">
        <v>3176</v>
      </c>
      <c r="C3180" s="39">
        <f t="shared" si="99"/>
        <v>157992929.59999999</v>
      </c>
      <c r="D3180" s="39">
        <f t="shared" si="98"/>
        <v>104893752</v>
      </c>
    </row>
    <row r="3181" spans="2:4" x14ac:dyDescent="0.25">
      <c r="B3181" s="89">
        <v>3177</v>
      </c>
      <c r="C3181" s="39">
        <f t="shared" si="99"/>
        <v>157992929.59999999</v>
      </c>
      <c r="D3181" s="39">
        <f t="shared" si="98"/>
        <v>104926779</v>
      </c>
    </row>
    <row r="3182" spans="2:4" x14ac:dyDescent="0.25">
      <c r="B3182" s="89">
        <v>3178</v>
      </c>
      <c r="C3182" s="39">
        <f t="shared" si="99"/>
        <v>157992929.59999999</v>
      </c>
      <c r="D3182" s="39">
        <f t="shared" si="98"/>
        <v>104959806</v>
      </c>
    </row>
    <row r="3183" spans="2:4" x14ac:dyDescent="0.25">
      <c r="B3183" s="89">
        <v>3179</v>
      </c>
      <c r="C3183" s="39">
        <f t="shared" si="99"/>
        <v>157992929.59999999</v>
      </c>
      <c r="D3183" s="39">
        <f t="shared" si="98"/>
        <v>104992833</v>
      </c>
    </row>
    <row r="3184" spans="2:4" x14ac:dyDescent="0.25">
      <c r="B3184" s="89">
        <v>3180</v>
      </c>
      <c r="C3184" s="39">
        <f t="shared" si="99"/>
        <v>157992929.59999999</v>
      </c>
      <c r="D3184" s="39">
        <f t="shared" si="98"/>
        <v>105025860</v>
      </c>
    </row>
    <row r="3185" spans="2:4" x14ac:dyDescent="0.25">
      <c r="B3185" s="89">
        <v>3181</v>
      </c>
      <c r="C3185" s="39">
        <f t="shared" si="99"/>
        <v>157992929.59999999</v>
      </c>
      <c r="D3185" s="39">
        <f t="shared" ref="D3185:D3248" si="100">$D$2*B3185</f>
        <v>105058887</v>
      </c>
    </row>
    <row r="3186" spans="2:4" x14ac:dyDescent="0.25">
      <c r="B3186" s="89">
        <v>3182</v>
      </c>
      <c r="C3186" s="39">
        <f t="shared" si="99"/>
        <v>157992929.59999999</v>
      </c>
      <c r="D3186" s="39">
        <f t="shared" si="100"/>
        <v>105091914</v>
      </c>
    </row>
    <row r="3187" spans="2:4" x14ac:dyDescent="0.25">
      <c r="B3187" s="89">
        <v>3183</v>
      </c>
      <c r="C3187" s="39">
        <f t="shared" si="99"/>
        <v>157992929.59999999</v>
      </c>
      <c r="D3187" s="39">
        <f t="shared" si="100"/>
        <v>105124941</v>
      </c>
    </row>
    <row r="3188" spans="2:4" x14ac:dyDescent="0.25">
      <c r="B3188" s="89">
        <v>3184</v>
      </c>
      <c r="C3188" s="39">
        <f t="shared" si="99"/>
        <v>157992929.59999999</v>
      </c>
      <c r="D3188" s="39">
        <f t="shared" si="100"/>
        <v>105157968</v>
      </c>
    </row>
    <row r="3189" spans="2:4" x14ac:dyDescent="0.25">
      <c r="B3189" s="89">
        <v>3185</v>
      </c>
      <c r="C3189" s="39">
        <f t="shared" si="99"/>
        <v>157992929.59999999</v>
      </c>
      <c r="D3189" s="39">
        <f t="shared" si="100"/>
        <v>105190995</v>
      </c>
    </row>
    <row r="3190" spans="2:4" x14ac:dyDescent="0.25">
      <c r="B3190" s="89">
        <v>3186</v>
      </c>
      <c r="C3190" s="39">
        <f t="shared" si="99"/>
        <v>157992929.59999999</v>
      </c>
      <c r="D3190" s="39">
        <f t="shared" si="100"/>
        <v>105224022</v>
      </c>
    </row>
    <row r="3191" spans="2:4" x14ac:dyDescent="0.25">
      <c r="B3191" s="89">
        <v>3187</v>
      </c>
      <c r="C3191" s="39">
        <f t="shared" si="99"/>
        <v>157992929.59999999</v>
      </c>
      <c r="D3191" s="39">
        <f t="shared" si="100"/>
        <v>105257049</v>
      </c>
    </row>
    <row r="3192" spans="2:4" x14ac:dyDescent="0.25">
      <c r="B3192" s="89">
        <v>3188</v>
      </c>
      <c r="C3192" s="39">
        <f t="shared" si="99"/>
        <v>157992929.59999999</v>
      </c>
      <c r="D3192" s="39">
        <f t="shared" si="100"/>
        <v>105290076</v>
      </c>
    </row>
    <row r="3193" spans="2:4" x14ac:dyDescent="0.25">
      <c r="B3193" s="89">
        <v>3189</v>
      </c>
      <c r="C3193" s="39">
        <f t="shared" si="99"/>
        <v>157992929.59999999</v>
      </c>
      <c r="D3193" s="39">
        <f t="shared" si="100"/>
        <v>105323103</v>
      </c>
    </row>
    <row r="3194" spans="2:4" x14ac:dyDescent="0.25">
      <c r="B3194" s="89">
        <v>3190</v>
      </c>
      <c r="C3194" s="39">
        <f t="shared" si="99"/>
        <v>157992929.59999999</v>
      </c>
      <c r="D3194" s="39">
        <f t="shared" si="100"/>
        <v>105356130</v>
      </c>
    </row>
    <row r="3195" spans="2:4" x14ac:dyDescent="0.25">
      <c r="B3195" s="89">
        <v>3191</v>
      </c>
      <c r="C3195" s="39">
        <f t="shared" si="99"/>
        <v>157992929.59999999</v>
      </c>
      <c r="D3195" s="39">
        <f t="shared" si="100"/>
        <v>105389157</v>
      </c>
    </row>
    <row r="3196" spans="2:4" x14ac:dyDescent="0.25">
      <c r="B3196" s="89">
        <v>3192</v>
      </c>
      <c r="C3196" s="39">
        <f t="shared" si="99"/>
        <v>157992929.59999999</v>
      </c>
      <c r="D3196" s="39">
        <f t="shared" si="100"/>
        <v>105422184</v>
      </c>
    </row>
    <row r="3197" spans="2:4" x14ac:dyDescent="0.25">
      <c r="B3197" s="89">
        <v>3193</v>
      </c>
      <c r="C3197" s="39">
        <f t="shared" si="99"/>
        <v>157992929.59999999</v>
      </c>
      <c r="D3197" s="39">
        <f t="shared" si="100"/>
        <v>105455211</v>
      </c>
    </row>
    <row r="3198" spans="2:4" x14ac:dyDescent="0.25">
      <c r="B3198" s="89">
        <v>3194</v>
      </c>
      <c r="C3198" s="39">
        <f t="shared" si="99"/>
        <v>157992929.59999999</v>
      </c>
      <c r="D3198" s="39">
        <f t="shared" si="100"/>
        <v>105488238</v>
      </c>
    </row>
    <row r="3199" spans="2:4" x14ac:dyDescent="0.25">
      <c r="B3199" s="89">
        <v>3195</v>
      </c>
      <c r="C3199" s="39">
        <f t="shared" si="99"/>
        <v>157992929.59999999</v>
      </c>
      <c r="D3199" s="39">
        <f t="shared" si="100"/>
        <v>105521265</v>
      </c>
    </row>
    <row r="3200" spans="2:4" x14ac:dyDescent="0.25">
      <c r="B3200" s="89">
        <v>3196</v>
      </c>
      <c r="C3200" s="39">
        <f t="shared" si="99"/>
        <v>157992929.59999999</v>
      </c>
      <c r="D3200" s="39">
        <f t="shared" si="100"/>
        <v>105554292</v>
      </c>
    </row>
    <row r="3201" spans="2:4" x14ac:dyDescent="0.25">
      <c r="B3201" s="89">
        <v>3197</v>
      </c>
      <c r="C3201" s="39">
        <f t="shared" si="99"/>
        <v>157992929.59999999</v>
      </c>
      <c r="D3201" s="39">
        <f t="shared" si="100"/>
        <v>105587319</v>
      </c>
    </row>
    <row r="3202" spans="2:4" x14ac:dyDescent="0.25">
      <c r="B3202" s="89">
        <v>3198</v>
      </c>
      <c r="C3202" s="39">
        <f t="shared" si="99"/>
        <v>157992929.59999999</v>
      </c>
      <c r="D3202" s="39">
        <f t="shared" si="100"/>
        <v>105620346</v>
      </c>
    </row>
    <row r="3203" spans="2:4" x14ac:dyDescent="0.25">
      <c r="B3203" s="89">
        <v>3199</v>
      </c>
      <c r="C3203" s="39">
        <f t="shared" si="99"/>
        <v>157992929.59999999</v>
      </c>
      <c r="D3203" s="39">
        <f t="shared" si="100"/>
        <v>105653373</v>
      </c>
    </row>
    <row r="3204" spans="2:4" x14ac:dyDescent="0.25">
      <c r="B3204" s="89">
        <v>3200</v>
      </c>
      <c r="C3204" s="39">
        <f t="shared" si="99"/>
        <v>157992929.59999999</v>
      </c>
      <c r="D3204" s="39">
        <f t="shared" si="100"/>
        <v>105686400</v>
      </c>
    </row>
    <row r="3205" spans="2:4" x14ac:dyDescent="0.25">
      <c r="B3205" s="89">
        <v>3201</v>
      </c>
      <c r="C3205" s="39">
        <f t="shared" si="99"/>
        <v>157992929.59999999</v>
      </c>
      <c r="D3205" s="39">
        <f t="shared" si="100"/>
        <v>105719427</v>
      </c>
    </row>
    <row r="3206" spans="2:4" x14ac:dyDescent="0.25">
      <c r="B3206" s="89">
        <v>3202</v>
      </c>
      <c r="C3206" s="39">
        <f t="shared" ref="C3206:C3269" si="101">$C3205</f>
        <v>157992929.59999999</v>
      </c>
      <c r="D3206" s="39">
        <f t="shared" si="100"/>
        <v>105752454</v>
      </c>
    </row>
    <row r="3207" spans="2:4" x14ac:dyDescent="0.25">
      <c r="B3207" s="89">
        <v>3203</v>
      </c>
      <c r="C3207" s="39">
        <f t="shared" si="101"/>
        <v>157992929.59999999</v>
      </c>
      <c r="D3207" s="39">
        <f t="shared" si="100"/>
        <v>105785481</v>
      </c>
    </row>
    <row r="3208" spans="2:4" x14ac:dyDescent="0.25">
      <c r="B3208" s="89">
        <v>3204</v>
      </c>
      <c r="C3208" s="39">
        <f t="shared" si="101"/>
        <v>157992929.59999999</v>
      </c>
      <c r="D3208" s="39">
        <f t="shared" si="100"/>
        <v>105818508</v>
      </c>
    </row>
    <row r="3209" spans="2:4" x14ac:dyDescent="0.25">
      <c r="B3209" s="89">
        <v>3205</v>
      </c>
      <c r="C3209" s="39">
        <f t="shared" si="101"/>
        <v>157992929.59999999</v>
      </c>
      <c r="D3209" s="39">
        <f t="shared" si="100"/>
        <v>105851535</v>
      </c>
    </row>
    <row r="3210" spans="2:4" x14ac:dyDescent="0.25">
      <c r="B3210" s="89">
        <v>3206</v>
      </c>
      <c r="C3210" s="39">
        <f t="shared" si="101"/>
        <v>157992929.59999999</v>
      </c>
      <c r="D3210" s="39">
        <f t="shared" si="100"/>
        <v>105884562</v>
      </c>
    </row>
    <row r="3211" spans="2:4" x14ac:dyDescent="0.25">
      <c r="B3211" s="89">
        <v>3207</v>
      </c>
      <c r="C3211" s="39">
        <f t="shared" si="101"/>
        <v>157992929.59999999</v>
      </c>
      <c r="D3211" s="39">
        <f t="shared" si="100"/>
        <v>105917589</v>
      </c>
    </row>
    <row r="3212" spans="2:4" x14ac:dyDescent="0.25">
      <c r="B3212" s="89">
        <v>3208</v>
      </c>
      <c r="C3212" s="39">
        <f t="shared" si="101"/>
        <v>157992929.59999999</v>
      </c>
      <c r="D3212" s="39">
        <f t="shared" si="100"/>
        <v>105950616</v>
      </c>
    </row>
    <row r="3213" spans="2:4" x14ac:dyDescent="0.25">
      <c r="B3213" s="89">
        <v>3209</v>
      </c>
      <c r="C3213" s="39">
        <f t="shared" si="101"/>
        <v>157992929.59999999</v>
      </c>
      <c r="D3213" s="39">
        <f t="shared" si="100"/>
        <v>105983643</v>
      </c>
    </row>
    <row r="3214" spans="2:4" x14ac:dyDescent="0.25">
      <c r="B3214" s="89">
        <v>3210</v>
      </c>
      <c r="C3214" s="39">
        <f t="shared" si="101"/>
        <v>157992929.59999999</v>
      </c>
      <c r="D3214" s="39">
        <f t="shared" si="100"/>
        <v>106016670</v>
      </c>
    </row>
    <row r="3215" spans="2:4" x14ac:dyDescent="0.25">
      <c r="B3215" s="89">
        <v>3211</v>
      </c>
      <c r="C3215" s="39">
        <f t="shared" si="101"/>
        <v>157992929.59999999</v>
      </c>
      <c r="D3215" s="39">
        <f t="shared" si="100"/>
        <v>106049697</v>
      </c>
    </row>
    <row r="3216" spans="2:4" x14ac:dyDescent="0.25">
      <c r="B3216" s="89">
        <v>3212</v>
      </c>
      <c r="C3216" s="39">
        <f t="shared" si="101"/>
        <v>157992929.59999999</v>
      </c>
      <c r="D3216" s="39">
        <f t="shared" si="100"/>
        <v>106082724</v>
      </c>
    </row>
    <row r="3217" spans="2:4" x14ac:dyDescent="0.25">
      <c r="B3217" s="89">
        <v>3213</v>
      </c>
      <c r="C3217" s="39">
        <f t="shared" si="101"/>
        <v>157992929.59999999</v>
      </c>
      <c r="D3217" s="39">
        <f t="shared" si="100"/>
        <v>106115751</v>
      </c>
    </row>
    <row r="3218" spans="2:4" x14ac:dyDescent="0.25">
      <c r="B3218" s="89">
        <v>3214</v>
      </c>
      <c r="C3218" s="39">
        <f t="shared" si="101"/>
        <v>157992929.59999999</v>
      </c>
      <c r="D3218" s="39">
        <f t="shared" si="100"/>
        <v>106148778</v>
      </c>
    </row>
    <row r="3219" spans="2:4" x14ac:dyDescent="0.25">
      <c r="B3219" s="89">
        <v>3215</v>
      </c>
      <c r="C3219" s="39">
        <f t="shared" si="101"/>
        <v>157992929.59999999</v>
      </c>
      <c r="D3219" s="39">
        <f t="shared" si="100"/>
        <v>106181805</v>
      </c>
    </row>
    <row r="3220" spans="2:4" x14ac:dyDescent="0.25">
      <c r="B3220" s="89">
        <v>3216</v>
      </c>
      <c r="C3220" s="39">
        <f t="shared" si="101"/>
        <v>157992929.59999999</v>
      </c>
      <c r="D3220" s="39">
        <f t="shared" si="100"/>
        <v>106214832</v>
      </c>
    </row>
    <row r="3221" spans="2:4" x14ac:dyDescent="0.25">
      <c r="B3221" s="89">
        <v>3217</v>
      </c>
      <c r="C3221" s="39">
        <f t="shared" si="101"/>
        <v>157992929.59999999</v>
      </c>
      <c r="D3221" s="39">
        <f t="shared" si="100"/>
        <v>106247859</v>
      </c>
    </row>
    <row r="3222" spans="2:4" x14ac:dyDescent="0.25">
      <c r="B3222" s="89">
        <v>3218</v>
      </c>
      <c r="C3222" s="39">
        <f t="shared" si="101"/>
        <v>157992929.59999999</v>
      </c>
      <c r="D3222" s="39">
        <f t="shared" si="100"/>
        <v>106280886</v>
      </c>
    </row>
    <row r="3223" spans="2:4" x14ac:dyDescent="0.25">
      <c r="B3223" s="89">
        <v>3219</v>
      </c>
      <c r="C3223" s="39">
        <f t="shared" si="101"/>
        <v>157992929.59999999</v>
      </c>
      <c r="D3223" s="39">
        <f t="shared" si="100"/>
        <v>106313913</v>
      </c>
    </row>
    <row r="3224" spans="2:4" x14ac:dyDescent="0.25">
      <c r="B3224" s="89">
        <v>3220</v>
      </c>
      <c r="C3224" s="39">
        <f t="shared" si="101"/>
        <v>157992929.59999999</v>
      </c>
      <c r="D3224" s="39">
        <f t="shared" si="100"/>
        <v>106346940</v>
      </c>
    </row>
    <row r="3225" spans="2:4" x14ac:dyDescent="0.25">
      <c r="B3225" s="89">
        <v>3221</v>
      </c>
      <c r="C3225" s="39">
        <f t="shared" si="101"/>
        <v>157992929.59999999</v>
      </c>
      <c r="D3225" s="39">
        <f t="shared" si="100"/>
        <v>106379967</v>
      </c>
    </row>
    <row r="3226" spans="2:4" x14ac:dyDescent="0.25">
      <c r="B3226" s="89">
        <v>3222</v>
      </c>
      <c r="C3226" s="39">
        <f t="shared" si="101"/>
        <v>157992929.59999999</v>
      </c>
      <c r="D3226" s="39">
        <f t="shared" si="100"/>
        <v>106412994</v>
      </c>
    </row>
    <row r="3227" spans="2:4" x14ac:dyDescent="0.25">
      <c r="B3227" s="89">
        <v>3223</v>
      </c>
      <c r="C3227" s="39">
        <f t="shared" si="101"/>
        <v>157992929.59999999</v>
      </c>
      <c r="D3227" s="39">
        <f t="shared" si="100"/>
        <v>106446021</v>
      </c>
    </row>
    <row r="3228" spans="2:4" x14ac:dyDescent="0.25">
      <c r="B3228" s="89">
        <v>3224</v>
      </c>
      <c r="C3228" s="39">
        <f t="shared" si="101"/>
        <v>157992929.59999999</v>
      </c>
      <c r="D3228" s="39">
        <f t="shared" si="100"/>
        <v>106479048</v>
      </c>
    </row>
    <row r="3229" spans="2:4" x14ac:dyDescent="0.25">
      <c r="B3229" s="89">
        <v>3225</v>
      </c>
      <c r="C3229" s="39">
        <f t="shared" si="101"/>
        <v>157992929.59999999</v>
      </c>
      <c r="D3229" s="39">
        <f t="shared" si="100"/>
        <v>106512075</v>
      </c>
    </row>
    <row r="3230" spans="2:4" x14ac:dyDescent="0.25">
      <c r="B3230" s="89">
        <v>3226</v>
      </c>
      <c r="C3230" s="39">
        <f t="shared" si="101"/>
        <v>157992929.59999999</v>
      </c>
      <c r="D3230" s="39">
        <f t="shared" si="100"/>
        <v>106545102</v>
      </c>
    </row>
    <row r="3231" spans="2:4" x14ac:dyDescent="0.25">
      <c r="B3231" s="89">
        <v>3227</v>
      </c>
      <c r="C3231" s="39">
        <f t="shared" si="101"/>
        <v>157992929.59999999</v>
      </c>
      <c r="D3231" s="39">
        <f t="shared" si="100"/>
        <v>106578129</v>
      </c>
    </row>
    <row r="3232" spans="2:4" x14ac:dyDescent="0.25">
      <c r="B3232" s="89">
        <v>3228</v>
      </c>
      <c r="C3232" s="39">
        <f t="shared" si="101"/>
        <v>157992929.59999999</v>
      </c>
      <c r="D3232" s="39">
        <f t="shared" si="100"/>
        <v>106611156</v>
      </c>
    </row>
    <row r="3233" spans="2:4" x14ac:dyDescent="0.25">
      <c r="B3233" s="89">
        <v>3229</v>
      </c>
      <c r="C3233" s="39">
        <f t="shared" si="101"/>
        <v>157992929.59999999</v>
      </c>
      <c r="D3233" s="39">
        <f t="shared" si="100"/>
        <v>106644183</v>
      </c>
    </row>
    <row r="3234" spans="2:4" x14ac:dyDescent="0.25">
      <c r="B3234" s="89">
        <v>3230</v>
      </c>
      <c r="C3234" s="39">
        <f t="shared" si="101"/>
        <v>157992929.59999999</v>
      </c>
      <c r="D3234" s="39">
        <f t="shared" si="100"/>
        <v>106677210</v>
      </c>
    </row>
    <row r="3235" spans="2:4" x14ac:dyDescent="0.25">
      <c r="B3235" s="89">
        <v>3231</v>
      </c>
      <c r="C3235" s="39">
        <f t="shared" si="101"/>
        <v>157992929.59999999</v>
      </c>
      <c r="D3235" s="39">
        <f t="shared" si="100"/>
        <v>106710237</v>
      </c>
    </row>
    <row r="3236" spans="2:4" x14ac:dyDescent="0.25">
      <c r="B3236" s="89">
        <v>3232</v>
      </c>
      <c r="C3236" s="39">
        <f t="shared" si="101"/>
        <v>157992929.59999999</v>
      </c>
      <c r="D3236" s="39">
        <f t="shared" si="100"/>
        <v>106743264</v>
      </c>
    </row>
    <row r="3237" spans="2:4" x14ac:dyDescent="0.25">
      <c r="B3237" s="89">
        <v>3233</v>
      </c>
      <c r="C3237" s="39">
        <f t="shared" si="101"/>
        <v>157992929.59999999</v>
      </c>
      <c r="D3237" s="39">
        <f t="shared" si="100"/>
        <v>106776291</v>
      </c>
    </row>
    <row r="3238" spans="2:4" x14ac:dyDescent="0.25">
      <c r="B3238" s="89">
        <v>3234</v>
      </c>
      <c r="C3238" s="39">
        <f t="shared" si="101"/>
        <v>157992929.59999999</v>
      </c>
      <c r="D3238" s="39">
        <f t="shared" si="100"/>
        <v>106809318</v>
      </c>
    </row>
    <row r="3239" spans="2:4" x14ac:dyDescent="0.25">
      <c r="B3239" s="89">
        <v>3235</v>
      </c>
      <c r="C3239" s="39">
        <f t="shared" si="101"/>
        <v>157992929.59999999</v>
      </c>
      <c r="D3239" s="39">
        <f t="shared" si="100"/>
        <v>106842345</v>
      </c>
    </row>
    <row r="3240" spans="2:4" x14ac:dyDescent="0.25">
      <c r="B3240" s="89">
        <v>3236</v>
      </c>
      <c r="C3240" s="39">
        <f t="shared" si="101"/>
        <v>157992929.59999999</v>
      </c>
      <c r="D3240" s="39">
        <f t="shared" si="100"/>
        <v>106875372</v>
      </c>
    </row>
    <row r="3241" spans="2:4" x14ac:dyDescent="0.25">
      <c r="B3241" s="89">
        <v>3237</v>
      </c>
      <c r="C3241" s="39">
        <f t="shared" si="101"/>
        <v>157992929.59999999</v>
      </c>
      <c r="D3241" s="39">
        <f t="shared" si="100"/>
        <v>106908399</v>
      </c>
    </row>
    <row r="3242" spans="2:4" x14ac:dyDescent="0.25">
      <c r="B3242" s="89">
        <v>3238</v>
      </c>
      <c r="C3242" s="39">
        <f t="shared" si="101"/>
        <v>157992929.59999999</v>
      </c>
      <c r="D3242" s="39">
        <f t="shared" si="100"/>
        <v>106941426</v>
      </c>
    </row>
    <row r="3243" spans="2:4" x14ac:dyDescent="0.25">
      <c r="B3243" s="89">
        <v>3239</v>
      </c>
      <c r="C3243" s="39">
        <f t="shared" si="101"/>
        <v>157992929.59999999</v>
      </c>
      <c r="D3243" s="39">
        <f t="shared" si="100"/>
        <v>106974453</v>
      </c>
    </row>
    <row r="3244" spans="2:4" x14ac:dyDescent="0.25">
      <c r="B3244" s="89">
        <v>3240</v>
      </c>
      <c r="C3244" s="39">
        <f t="shared" si="101"/>
        <v>157992929.59999999</v>
      </c>
      <c r="D3244" s="39">
        <f t="shared" si="100"/>
        <v>107007480</v>
      </c>
    </row>
    <row r="3245" spans="2:4" x14ac:dyDescent="0.25">
      <c r="B3245" s="89">
        <v>3241</v>
      </c>
      <c r="C3245" s="39">
        <f t="shared" si="101"/>
        <v>157992929.59999999</v>
      </c>
      <c r="D3245" s="39">
        <f t="shared" si="100"/>
        <v>107040507</v>
      </c>
    </row>
    <row r="3246" spans="2:4" x14ac:dyDescent="0.25">
      <c r="B3246" s="89">
        <v>3242</v>
      </c>
      <c r="C3246" s="39">
        <f t="shared" si="101"/>
        <v>157992929.59999999</v>
      </c>
      <c r="D3246" s="39">
        <f t="shared" si="100"/>
        <v>107073534</v>
      </c>
    </row>
    <row r="3247" spans="2:4" x14ac:dyDescent="0.25">
      <c r="B3247" s="89">
        <v>3243</v>
      </c>
      <c r="C3247" s="39">
        <f t="shared" si="101"/>
        <v>157992929.59999999</v>
      </c>
      <c r="D3247" s="39">
        <f t="shared" si="100"/>
        <v>107106561</v>
      </c>
    </row>
    <row r="3248" spans="2:4" x14ac:dyDescent="0.25">
      <c r="B3248" s="89">
        <v>3244</v>
      </c>
      <c r="C3248" s="39">
        <f t="shared" si="101"/>
        <v>157992929.59999999</v>
      </c>
      <c r="D3248" s="39">
        <f t="shared" si="100"/>
        <v>107139588</v>
      </c>
    </row>
    <row r="3249" spans="2:4" x14ac:dyDescent="0.25">
      <c r="B3249" s="89">
        <v>3245</v>
      </c>
      <c r="C3249" s="39">
        <f t="shared" si="101"/>
        <v>157992929.59999999</v>
      </c>
      <c r="D3249" s="39">
        <f t="shared" ref="D3249:D3312" si="102">$D$2*B3249</f>
        <v>107172615</v>
      </c>
    </row>
    <row r="3250" spans="2:4" x14ac:dyDescent="0.25">
      <c r="B3250" s="89">
        <v>3246</v>
      </c>
      <c r="C3250" s="39">
        <f t="shared" si="101"/>
        <v>157992929.59999999</v>
      </c>
      <c r="D3250" s="39">
        <f t="shared" si="102"/>
        <v>107205642</v>
      </c>
    </row>
    <row r="3251" spans="2:4" x14ac:dyDescent="0.25">
      <c r="B3251" s="89">
        <v>3247</v>
      </c>
      <c r="C3251" s="39">
        <f t="shared" si="101"/>
        <v>157992929.59999999</v>
      </c>
      <c r="D3251" s="39">
        <f t="shared" si="102"/>
        <v>107238669</v>
      </c>
    </row>
    <row r="3252" spans="2:4" x14ac:dyDescent="0.25">
      <c r="B3252" s="89">
        <v>3248</v>
      </c>
      <c r="C3252" s="39">
        <f t="shared" si="101"/>
        <v>157992929.59999999</v>
      </c>
      <c r="D3252" s="39">
        <f t="shared" si="102"/>
        <v>107271696</v>
      </c>
    </row>
    <row r="3253" spans="2:4" x14ac:dyDescent="0.25">
      <c r="B3253" s="89">
        <v>3249</v>
      </c>
      <c r="C3253" s="39">
        <f t="shared" si="101"/>
        <v>157992929.59999999</v>
      </c>
      <c r="D3253" s="39">
        <f t="shared" si="102"/>
        <v>107304723</v>
      </c>
    </row>
    <row r="3254" spans="2:4" x14ac:dyDescent="0.25">
      <c r="B3254" s="89">
        <v>3250</v>
      </c>
      <c r="C3254" s="39">
        <f t="shared" si="101"/>
        <v>157992929.59999999</v>
      </c>
      <c r="D3254" s="39">
        <f t="shared" si="102"/>
        <v>107337750</v>
      </c>
    </row>
    <row r="3255" spans="2:4" x14ac:dyDescent="0.25">
      <c r="B3255" s="89">
        <v>3251</v>
      </c>
      <c r="C3255" s="39">
        <f t="shared" si="101"/>
        <v>157992929.59999999</v>
      </c>
      <c r="D3255" s="39">
        <f t="shared" si="102"/>
        <v>107370777</v>
      </c>
    </row>
    <row r="3256" spans="2:4" x14ac:dyDescent="0.25">
      <c r="B3256" s="89">
        <v>3252</v>
      </c>
      <c r="C3256" s="39">
        <f t="shared" si="101"/>
        <v>157992929.59999999</v>
      </c>
      <c r="D3256" s="39">
        <f t="shared" si="102"/>
        <v>107403804</v>
      </c>
    </row>
    <row r="3257" spans="2:4" x14ac:dyDescent="0.25">
      <c r="B3257" s="89">
        <v>3253</v>
      </c>
      <c r="C3257" s="39">
        <f t="shared" si="101"/>
        <v>157992929.59999999</v>
      </c>
      <c r="D3257" s="39">
        <f t="shared" si="102"/>
        <v>107436831</v>
      </c>
    </row>
    <row r="3258" spans="2:4" x14ac:dyDescent="0.25">
      <c r="B3258" s="89">
        <v>3254</v>
      </c>
      <c r="C3258" s="39">
        <f t="shared" si="101"/>
        <v>157992929.59999999</v>
      </c>
      <c r="D3258" s="39">
        <f t="shared" si="102"/>
        <v>107469858</v>
      </c>
    </row>
    <row r="3259" spans="2:4" x14ac:dyDescent="0.25">
      <c r="B3259" s="89">
        <v>3255</v>
      </c>
      <c r="C3259" s="39">
        <f t="shared" si="101"/>
        <v>157992929.59999999</v>
      </c>
      <c r="D3259" s="39">
        <f t="shared" si="102"/>
        <v>107502885</v>
      </c>
    </row>
    <row r="3260" spans="2:4" x14ac:dyDescent="0.25">
      <c r="B3260" s="89">
        <v>3256</v>
      </c>
      <c r="C3260" s="39">
        <f t="shared" si="101"/>
        <v>157992929.59999999</v>
      </c>
      <c r="D3260" s="39">
        <f t="shared" si="102"/>
        <v>107535912</v>
      </c>
    </row>
    <row r="3261" spans="2:4" x14ac:dyDescent="0.25">
      <c r="B3261" s="89">
        <v>3257</v>
      </c>
      <c r="C3261" s="39">
        <f t="shared" si="101"/>
        <v>157992929.59999999</v>
      </c>
      <c r="D3261" s="39">
        <f t="shared" si="102"/>
        <v>107568939</v>
      </c>
    </row>
    <row r="3262" spans="2:4" x14ac:dyDescent="0.25">
      <c r="B3262" s="89">
        <v>3258</v>
      </c>
      <c r="C3262" s="39">
        <f t="shared" si="101"/>
        <v>157992929.59999999</v>
      </c>
      <c r="D3262" s="39">
        <f t="shared" si="102"/>
        <v>107601966</v>
      </c>
    </row>
    <row r="3263" spans="2:4" x14ac:dyDescent="0.25">
      <c r="B3263" s="89">
        <v>3259</v>
      </c>
      <c r="C3263" s="39">
        <f t="shared" si="101"/>
        <v>157992929.59999999</v>
      </c>
      <c r="D3263" s="39">
        <f t="shared" si="102"/>
        <v>107634993</v>
      </c>
    </row>
    <row r="3264" spans="2:4" x14ac:dyDescent="0.25">
      <c r="B3264" s="89">
        <v>3260</v>
      </c>
      <c r="C3264" s="39">
        <f t="shared" si="101"/>
        <v>157992929.59999999</v>
      </c>
      <c r="D3264" s="39">
        <f t="shared" si="102"/>
        <v>107668020</v>
      </c>
    </row>
    <row r="3265" spans="2:4" x14ac:dyDescent="0.25">
      <c r="B3265" s="89">
        <v>3261</v>
      </c>
      <c r="C3265" s="39">
        <f t="shared" si="101"/>
        <v>157992929.59999999</v>
      </c>
      <c r="D3265" s="39">
        <f t="shared" si="102"/>
        <v>107701047</v>
      </c>
    </row>
    <row r="3266" spans="2:4" x14ac:dyDescent="0.25">
      <c r="B3266" s="89">
        <v>3262</v>
      </c>
      <c r="C3266" s="39">
        <f t="shared" si="101"/>
        <v>157992929.59999999</v>
      </c>
      <c r="D3266" s="39">
        <f t="shared" si="102"/>
        <v>107734074</v>
      </c>
    </row>
    <row r="3267" spans="2:4" x14ac:dyDescent="0.25">
      <c r="B3267" s="89">
        <v>3263</v>
      </c>
      <c r="C3267" s="39">
        <f t="shared" si="101"/>
        <v>157992929.59999999</v>
      </c>
      <c r="D3267" s="39">
        <f t="shared" si="102"/>
        <v>107767101</v>
      </c>
    </row>
    <row r="3268" spans="2:4" x14ac:dyDescent="0.25">
      <c r="B3268" s="89">
        <v>3264</v>
      </c>
      <c r="C3268" s="39">
        <f t="shared" si="101"/>
        <v>157992929.59999999</v>
      </c>
      <c r="D3268" s="39">
        <f t="shared" si="102"/>
        <v>107800128</v>
      </c>
    </row>
    <row r="3269" spans="2:4" x14ac:dyDescent="0.25">
      <c r="B3269" s="89">
        <v>3265</v>
      </c>
      <c r="C3269" s="39">
        <f t="shared" si="101"/>
        <v>157992929.59999999</v>
      </c>
      <c r="D3269" s="39">
        <f t="shared" si="102"/>
        <v>107833155</v>
      </c>
    </row>
    <row r="3270" spans="2:4" x14ac:dyDescent="0.25">
      <c r="B3270" s="89">
        <v>3266</v>
      </c>
      <c r="C3270" s="39">
        <f t="shared" ref="C3270:C3333" si="103">$C3269</f>
        <v>157992929.59999999</v>
      </c>
      <c r="D3270" s="39">
        <f t="shared" si="102"/>
        <v>107866182</v>
      </c>
    </row>
    <row r="3271" spans="2:4" x14ac:dyDescent="0.25">
      <c r="B3271" s="89">
        <v>3267</v>
      </c>
      <c r="C3271" s="39">
        <f t="shared" si="103"/>
        <v>157992929.59999999</v>
      </c>
      <c r="D3271" s="39">
        <f t="shared" si="102"/>
        <v>107899209</v>
      </c>
    </row>
    <row r="3272" spans="2:4" x14ac:dyDescent="0.25">
      <c r="B3272" s="89">
        <v>3268</v>
      </c>
      <c r="C3272" s="39">
        <f t="shared" si="103"/>
        <v>157992929.59999999</v>
      </c>
      <c r="D3272" s="39">
        <f t="shared" si="102"/>
        <v>107932236</v>
      </c>
    </row>
    <row r="3273" spans="2:4" x14ac:dyDescent="0.25">
      <c r="B3273" s="89">
        <v>3269</v>
      </c>
      <c r="C3273" s="39">
        <f t="shared" si="103"/>
        <v>157992929.59999999</v>
      </c>
      <c r="D3273" s="39">
        <f t="shared" si="102"/>
        <v>107965263</v>
      </c>
    </row>
    <row r="3274" spans="2:4" x14ac:dyDescent="0.25">
      <c r="B3274" s="89">
        <v>3270</v>
      </c>
      <c r="C3274" s="39">
        <f t="shared" si="103"/>
        <v>157992929.59999999</v>
      </c>
      <c r="D3274" s="39">
        <f t="shared" si="102"/>
        <v>107998290</v>
      </c>
    </row>
    <row r="3275" spans="2:4" x14ac:dyDescent="0.25">
      <c r="B3275" s="89">
        <v>3271</v>
      </c>
      <c r="C3275" s="39">
        <f t="shared" si="103"/>
        <v>157992929.59999999</v>
      </c>
      <c r="D3275" s="39">
        <f t="shared" si="102"/>
        <v>108031317</v>
      </c>
    </row>
    <row r="3276" spans="2:4" x14ac:dyDescent="0.25">
      <c r="B3276" s="89">
        <v>3272</v>
      </c>
      <c r="C3276" s="39">
        <f t="shared" si="103"/>
        <v>157992929.59999999</v>
      </c>
      <c r="D3276" s="39">
        <f t="shared" si="102"/>
        <v>108064344</v>
      </c>
    </row>
    <row r="3277" spans="2:4" x14ac:dyDescent="0.25">
      <c r="B3277" s="89">
        <v>3273</v>
      </c>
      <c r="C3277" s="39">
        <f t="shared" si="103"/>
        <v>157992929.59999999</v>
      </c>
      <c r="D3277" s="39">
        <f t="shared" si="102"/>
        <v>108097371</v>
      </c>
    </row>
    <row r="3278" spans="2:4" x14ac:dyDescent="0.25">
      <c r="B3278" s="89">
        <v>3274</v>
      </c>
      <c r="C3278" s="39">
        <f t="shared" si="103"/>
        <v>157992929.59999999</v>
      </c>
      <c r="D3278" s="39">
        <f t="shared" si="102"/>
        <v>108130398</v>
      </c>
    </row>
    <row r="3279" spans="2:4" x14ac:dyDescent="0.25">
      <c r="B3279" s="89">
        <v>3275</v>
      </c>
      <c r="C3279" s="39">
        <f t="shared" si="103"/>
        <v>157992929.59999999</v>
      </c>
      <c r="D3279" s="39">
        <f t="shared" si="102"/>
        <v>108163425</v>
      </c>
    </row>
    <row r="3280" spans="2:4" x14ac:dyDescent="0.25">
      <c r="B3280" s="89">
        <v>3276</v>
      </c>
      <c r="C3280" s="39">
        <f t="shared" si="103"/>
        <v>157992929.59999999</v>
      </c>
      <c r="D3280" s="39">
        <f t="shared" si="102"/>
        <v>108196452</v>
      </c>
    </row>
    <row r="3281" spans="2:4" x14ac:dyDescent="0.25">
      <c r="B3281" s="89">
        <v>3277</v>
      </c>
      <c r="C3281" s="39">
        <f t="shared" si="103"/>
        <v>157992929.59999999</v>
      </c>
      <c r="D3281" s="39">
        <f t="shared" si="102"/>
        <v>108229479</v>
      </c>
    </row>
    <row r="3282" spans="2:4" x14ac:dyDescent="0.25">
      <c r="B3282" s="89">
        <v>3278</v>
      </c>
      <c r="C3282" s="39">
        <f t="shared" si="103"/>
        <v>157992929.59999999</v>
      </c>
      <c r="D3282" s="39">
        <f t="shared" si="102"/>
        <v>108262506</v>
      </c>
    </row>
    <row r="3283" spans="2:4" x14ac:dyDescent="0.25">
      <c r="B3283" s="89">
        <v>3279</v>
      </c>
      <c r="C3283" s="39">
        <f t="shared" si="103"/>
        <v>157992929.59999999</v>
      </c>
      <c r="D3283" s="39">
        <f t="shared" si="102"/>
        <v>108295533</v>
      </c>
    </row>
    <row r="3284" spans="2:4" x14ac:dyDescent="0.25">
      <c r="B3284" s="89">
        <v>3280</v>
      </c>
      <c r="C3284" s="39">
        <f t="shared" si="103"/>
        <v>157992929.59999999</v>
      </c>
      <c r="D3284" s="39">
        <f t="shared" si="102"/>
        <v>108328560</v>
      </c>
    </row>
    <row r="3285" spans="2:4" x14ac:dyDescent="0.25">
      <c r="B3285" s="89">
        <v>3281</v>
      </c>
      <c r="C3285" s="39">
        <f t="shared" si="103"/>
        <v>157992929.59999999</v>
      </c>
      <c r="D3285" s="39">
        <f t="shared" si="102"/>
        <v>108361587</v>
      </c>
    </row>
    <row r="3286" spans="2:4" x14ac:dyDescent="0.25">
      <c r="B3286" s="89">
        <v>3282</v>
      </c>
      <c r="C3286" s="39">
        <f t="shared" si="103"/>
        <v>157992929.59999999</v>
      </c>
      <c r="D3286" s="39">
        <f t="shared" si="102"/>
        <v>108394614</v>
      </c>
    </row>
    <row r="3287" spans="2:4" x14ac:dyDescent="0.25">
      <c r="B3287" s="89">
        <v>3283</v>
      </c>
      <c r="C3287" s="39">
        <f t="shared" si="103"/>
        <v>157992929.59999999</v>
      </c>
      <c r="D3287" s="39">
        <f t="shared" si="102"/>
        <v>108427641</v>
      </c>
    </row>
    <row r="3288" spans="2:4" x14ac:dyDescent="0.25">
      <c r="B3288" s="89">
        <v>3284</v>
      </c>
      <c r="C3288" s="39">
        <f t="shared" si="103"/>
        <v>157992929.59999999</v>
      </c>
      <c r="D3288" s="39">
        <f t="shared" si="102"/>
        <v>108460668</v>
      </c>
    </row>
    <row r="3289" spans="2:4" x14ac:dyDescent="0.25">
      <c r="B3289" s="89">
        <v>3285</v>
      </c>
      <c r="C3289" s="39">
        <f t="shared" si="103"/>
        <v>157992929.59999999</v>
      </c>
      <c r="D3289" s="39">
        <f t="shared" si="102"/>
        <v>108493695</v>
      </c>
    </row>
    <row r="3290" spans="2:4" x14ac:dyDescent="0.25">
      <c r="B3290" s="89">
        <v>3286</v>
      </c>
      <c r="C3290" s="39">
        <f t="shared" si="103"/>
        <v>157992929.59999999</v>
      </c>
      <c r="D3290" s="39">
        <f t="shared" si="102"/>
        <v>108526722</v>
      </c>
    </row>
    <row r="3291" spans="2:4" x14ac:dyDescent="0.25">
      <c r="B3291" s="89">
        <v>3287</v>
      </c>
      <c r="C3291" s="39">
        <f t="shared" si="103"/>
        <v>157992929.59999999</v>
      </c>
      <c r="D3291" s="39">
        <f t="shared" si="102"/>
        <v>108559749</v>
      </c>
    </row>
    <row r="3292" spans="2:4" x14ac:dyDescent="0.25">
      <c r="B3292" s="89">
        <v>3288</v>
      </c>
      <c r="C3292" s="39">
        <f t="shared" si="103"/>
        <v>157992929.59999999</v>
      </c>
      <c r="D3292" s="39">
        <f t="shared" si="102"/>
        <v>108592776</v>
      </c>
    </row>
    <row r="3293" spans="2:4" x14ac:dyDescent="0.25">
      <c r="B3293" s="89">
        <v>3289</v>
      </c>
      <c r="C3293" s="39">
        <f t="shared" si="103"/>
        <v>157992929.59999999</v>
      </c>
      <c r="D3293" s="39">
        <f t="shared" si="102"/>
        <v>108625803</v>
      </c>
    </row>
    <row r="3294" spans="2:4" x14ac:dyDescent="0.25">
      <c r="B3294" s="89">
        <v>3290</v>
      </c>
      <c r="C3294" s="39">
        <f t="shared" si="103"/>
        <v>157992929.59999999</v>
      </c>
      <c r="D3294" s="39">
        <f t="shared" si="102"/>
        <v>108658830</v>
      </c>
    </row>
    <row r="3295" spans="2:4" x14ac:dyDescent="0.25">
      <c r="B3295" s="89">
        <v>3291</v>
      </c>
      <c r="C3295" s="39">
        <f t="shared" si="103"/>
        <v>157992929.59999999</v>
      </c>
      <c r="D3295" s="39">
        <f t="shared" si="102"/>
        <v>108691857</v>
      </c>
    </row>
    <row r="3296" spans="2:4" x14ac:dyDescent="0.25">
      <c r="B3296" s="89">
        <v>3292</v>
      </c>
      <c r="C3296" s="39">
        <f t="shared" si="103"/>
        <v>157992929.59999999</v>
      </c>
      <c r="D3296" s="39">
        <f t="shared" si="102"/>
        <v>108724884</v>
      </c>
    </row>
    <row r="3297" spans="2:4" x14ac:dyDescent="0.25">
      <c r="B3297" s="89">
        <v>3293</v>
      </c>
      <c r="C3297" s="39">
        <f t="shared" si="103"/>
        <v>157992929.59999999</v>
      </c>
      <c r="D3297" s="39">
        <f t="shared" si="102"/>
        <v>108757911</v>
      </c>
    </row>
    <row r="3298" spans="2:4" x14ac:dyDescent="0.25">
      <c r="B3298" s="89">
        <v>3294</v>
      </c>
      <c r="C3298" s="39">
        <f t="shared" si="103"/>
        <v>157992929.59999999</v>
      </c>
      <c r="D3298" s="39">
        <f t="shared" si="102"/>
        <v>108790938</v>
      </c>
    </row>
    <row r="3299" spans="2:4" x14ac:dyDescent="0.25">
      <c r="B3299" s="89">
        <v>3295</v>
      </c>
      <c r="C3299" s="39">
        <f t="shared" si="103"/>
        <v>157992929.59999999</v>
      </c>
      <c r="D3299" s="39">
        <f t="shared" si="102"/>
        <v>108823965</v>
      </c>
    </row>
    <row r="3300" spans="2:4" x14ac:dyDescent="0.25">
      <c r="B3300" s="89">
        <v>3296</v>
      </c>
      <c r="C3300" s="39">
        <f t="shared" si="103"/>
        <v>157992929.59999999</v>
      </c>
      <c r="D3300" s="39">
        <f t="shared" si="102"/>
        <v>108856992</v>
      </c>
    </row>
    <row r="3301" spans="2:4" x14ac:dyDescent="0.25">
      <c r="B3301" s="89">
        <v>3297</v>
      </c>
      <c r="C3301" s="39">
        <f t="shared" si="103"/>
        <v>157992929.59999999</v>
      </c>
      <c r="D3301" s="39">
        <f t="shared" si="102"/>
        <v>108890019</v>
      </c>
    </row>
    <row r="3302" spans="2:4" x14ac:dyDescent="0.25">
      <c r="B3302" s="89">
        <v>3298</v>
      </c>
      <c r="C3302" s="39">
        <f t="shared" si="103"/>
        <v>157992929.59999999</v>
      </c>
      <c r="D3302" s="39">
        <f t="shared" si="102"/>
        <v>108923046</v>
      </c>
    </row>
    <row r="3303" spans="2:4" x14ac:dyDescent="0.25">
      <c r="B3303" s="89">
        <v>3299</v>
      </c>
      <c r="C3303" s="39">
        <f t="shared" si="103"/>
        <v>157992929.59999999</v>
      </c>
      <c r="D3303" s="39">
        <f t="shared" si="102"/>
        <v>108956073</v>
      </c>
    </row>
    <row r="3304" spans="2:4" x14ac:dyDescent="0.25">
      <c r="B3304" s="89">
        <v>3300</v>
      </c>
      <c r="C3304" s="39">
        <f t="shared" si="103"/>
        <v>157992929.59999999</v>
      </c>
      <c r="D3304" s="39">
        <f t="shared" si="102"/>
        <v>108989100</v>
      </c>
    </row>
    <row r="3305" spans="2:4" x14ac:dyDescent="0.25">
      <c r="B3305" s="89">
        <v>3301</v>
      </c>
      <c r="C3305" s="39">
        <f t="shared" si="103"/>
        <v>157992929.59999999</v>
      </c>
      <c r="D3305" s="39">
        <f t="shared" si="102"/>
        <v>109022127</v>
      </c>
    </row>
    <row r="3306" spans="2:4" x14ac:dyDescent="0.25">
      <c r="B3306" s="89">
        <v>3302</v>
      </c>
      <c r="C3306" s="39">
        <f t="shared" si="103"/>
        <v>157992929.59999999</v>
      </c>
      <c r="D3306" s="39">
        <f t="shared" si="102"/>
        <v>109055154</v>
      </c>
    </row>
    <row r="3307" spans="2:4" x14ac:dyDescent="0.25">
      <c r="B3307" s="89">
        <v>3303</v>
      </c>
      <c r="C3307" s="39">
        <f t="shared" si="103"/>
        <v>157992929.59999999</v>
      </c>
      <c r="D3307" s="39">
        <f t="shared" si="102"/>
        <v>109088181</v>
      </c>
    </row>
    <row r="3308" spans="2:4" x14ac:dyDescent="0.25">
      <c r="B3308" s="89">
        <v>3304</v>
      </c>
      <c r="C3308" s="39">
        <f t="shared" si="103"/>
        <v>157992929.59999999</v>
      </c>
      <c r="D3308" s="39">
        <f t="shared" si="102"/>
        <v>109121208</v>
      </c>
    </row>
    <row r="3309" spans="2:4" x14ac:dyDescent="0.25">
      <c r="B3309" s="89">
        <v>3305</v>
      </c>
      <c r="C3309" s="39">
        <f t="shared" si="103"/>
        <v>157992929.59999999</v>
      </c>
      <c r="D3309" s="39">
        <f t="shared" si="102"/>
        <v>109154235</v>
      </c>
    </row>
    <row r="3310" spans="2:4" x14ac:dyDescent="0.25">
      <c r="B3310" s="89">
        <v>3306</v>
      </c>
      <c r="C3310" s="39">
        <f t="shared" si="103"/>
        <v>157992929.59999999</v>
      </c>
      <c r="D3310" s="39">
        <f t="shared" si="102"/>
        <v>109187262</v>
      </c>
    </row>
    <row r="3311" spans="2:4" x14ac:dyDescent="0.25">
      <c r="B3311" s="89">
        <v>3307</v>
      </c>
      <c r="C3311" s="39">
        <f t="shared" si="103"/>
        <v>157992929.59999999</v>
      </c>
      <c r="D3311" s="39">
        <f t="shared" si="102"/>
        <v>109220289</v>
      </c>
    </row>
    <row r="3312" spans="2:4" x14ac:dyDescent="0.25">
      <c r="B3312" s="89">
        <v>3308</v>
      </c>
      <c r="C3312" s="39">
        <f t="shared" si="103"/>
        <v>157992929.59999999</v>
      </c>
      <c r="D3312" s="39">
        <f t="shared" si="102"/>
        <v>109253316</v>
      </c>
    </row>
    <row r="3313" spans="2:4" x14ac:dyDescent="0.25">
      <c r="B3313" s="89">
        <v>3309</v>
      </c>
      <c r="C3313" s="39">
        <f t="shared" si="103"/>
        <v>157992929.59999999</v>
      </c>
      <c r="D3313" s="39">
        <f t="shared" ref="D3313:D3376" si="104">$D$2*B3313</f>
        <v>109286343</v>
      </c>
    </row>
    <row r="3314" spans="2:4" x14ac:dyDescent="0.25">
      <c r="B3314" s="89">
        <v>3310</v>
      </c>
      <c r="C3314" s="39">
        <f t="shared" si="103"/>
        <v>157992929.59999999</v>
      </c>
      <c r="D3314" s="39">
        <f t="shared" si="104"/>
        <v>109319370</v>
      </c>
    </row>
    <row r="3315" spans="2:4" x14ac:dyDescent="0.25">
      <c r="B3315" s="89">
        <v>3311</v>
      </c>
      <c r="C3315" s="39">
        <f t="shared" si="103"/>
        <v>157992929.59999999</v>
      </c>
      <c r="D3315" s="39">
        <f t="shared" si="104"/>
        <v>109352397</v>
      </c>
    </row>
    <row r="3316" spans="2:4" x14ac:dyDescent="0.25">
      <c r="B3316" s="89">
        <v>3312</v>
      </c>
      <c r="C3316" s="39">
        <f t="shared" si="103"/>
        <v>157992929.59999999</v>
      </c>
      <c r="D3316" s="39">
        <f t="shared" si="104"/>
        <v>109385424</v>
      </c>
    </row>
    <row r="3317" spans="2:4" x14ac:dyDescent="0.25">
      <c r="B3317" s="89">
        <v>3313</v>
      </c>
      <c r="C3317" s="39">
        <f t="shared" si="103"/>
        <v>157992929.59999999</v>
      </c>
      <c r="D3317" s="39">
        <f t="shared" si="104"/>
        <v>109418451</v>
      </c>
    </row>
    <row r="3318" spans="2:4" x14ac:dyDescent="0.25">
      <c r="B3318" s="89">
        <v>3314</v>
      </c>
      <c r="C3318" s="39">
        <f t="shared" si="103"/>
        <v>157992929.59999999</v>
      </c>
      <c r="D3318" s="39">
        <f t="shared" si="104"/>
        <v>109451478</v>
      </c>
    </row>
    <row r="3319" spans="2:4" x14ac:dyDescent="0.25">
      <c r="B3319" s="89">
        <v>3315</v>
      </c>
      <c r="C3319" s="39">
        <f t="shared" si="103"/>
        <v>157992929.59999999</v>
      </c>
      <c r="D3319" s="39">
        <f t="shared" si="104"/>
        <v>109484505</v>
      </c>
    </row>
    <row r="3320" spans="2:4" x14ac:dyDescent="0.25">
      <c r="B3320" s="89">
        <v>3316</v>
      </c>
      <c r="C3320" s="39">
        <f t="shared" si="103"/>
        <v>157992929.59999999</v>
      </c>
      <c r="D3320" s="39">
        <f t="shared" si="104"/>
        <v>109517532</v>
      </c>
    </row>
    <row r="3321" spans="2:4" x14ac:dyDescent="0.25">
      <c r="B3321" s="89">
        <v>3317</v>
      </c>
      <c r="C3321" s="39">
        <f t="shared" si="103"/>
        <v>157992929.59999999</v>
      </c>
      <c r="D3321" s="39">
        <f t="shared" si="104"/>
        <v>109550559</v>
      </c>
    </row>
    <row r="3322" spans="2:4" x14ac:dyDescent="0.25">
      <c r="B3322" s="89">
        <v>3318</v>
      </c>
      <c r="C3322" s="39">
        <f t="shared" si="103"/>
        <v>157992929.59999999</v>
      </c>
      <c r="D3322" s="39">
        <f t="shared" si="104"/>
        <v>109583586</v>
      </c>
    </row>
    <row r="3323" spans="2:4" x14ac:dyDescent="0.25">
      <c r="B3323" s="89">
        <v>3319</v>
      </c>
      <c r="C3323" s="39">
        <f t="shared" si="103"/>
        <v>157992929.59999999</v>
      </c>
      <c r="D3323" s="39">
        <f t="shared" si="104"/>
        <v>109616613</v>
      </c>
    </row>
    <row r="3324" spans="2:4" x14ac:dyDescent="0.25">
      <c r="B3324" s="89">
        <v>3320</v>
      </c>
      <c r="C3324" s="39">
        <f t="shared" si="103"/>
        <v>157992929.59999999</v>
      </c>
      <c r="D3324" s="39">
        <f t="shared" si="104"/>
        <v>109649640</v>
      </c>
    </row>
    <row r="3325" spans="2:4" x14ac:dyDescent="0.25">
      <c r="B3325" s="89">
        <v>3321</v>
      </c>
      <c r="C3325" s="39">
        <f t="shared" si="103"/>
        <v>157992929.59999999</v>
      </c>
      <c r="D3325" s="39">
        <f t="shared" si="104"/>
        <v>109682667</v>
      </c>
    </row>
    <row r="3326" spans="2:4" x14ac:dyDescent="0.25">
      <c r="B3326" s="89">
        <v>3322</v>
      </c>
      <c r="C3326" s="39">
        <f t="shared" si="103"/>
        <v>157992929.59999999</v>
      </c>
      <c r="D3326" s="39">
        <f t="shared" si="104"/>
        <v>109715694</v>
      </c>
    </row>
    <row r="3327" spans="2:4" x14ac:dyDescent="0.25">
      <c r="B3327" s="89">
        <v>3323</v>
      </c>
      <c r="C3327" s="39">
        <f t="shared" si="103"/>
        <v>157992929.59999999</v>
      </c>
      <c r="D3327" s="39">
        <f t="shared" si="104"/>
        <v>109748721</v>
      </c>
    </row>
    <row r="3328" spans="2:4" x14ac:dyDescent="0.25">
      <c r="B3328" s="89">
        <v>3324</v>
      </c>
      <c r="C3328" s="39">
        <f t="shared" si="103"/>
        <v>157992929.59999999</v>
      </c>
      <c r="D3328" s="39">
        <f t="shared" si="104"/>
        <v>109781748</v>
      </c>
    </row>
    <row r="3329" spans="2:4" x14ac:dyDescent="0.25">
      <c r="B3329" s="89">
        <v>3325</v>
      </c>
      <c r="C3329" s="39">
        <f t="shared" si="103"/>
        <v>157992929.59999999</v>
      </c>
      <c r="D3329" s="39">
        <f t="shared" si="104"/>
        <v>109814775</v>
      </c>
    </row>
    <row r="3330" spans="2:4" x14ac:dyDescent="0.25">
      <c r="B3330" s="89">
        <v>3326</v>
      </c>
      <c r="C3330" s="39">
        <f t="shared" si="103"/>
        <v>157992929.59999999</v>
      </c>
      <c r="D3330" s="39">
        <f t="shared" si="104"/>
        <v>109847802</v>
      </c>
    </row>
    <row r="3331" spans="2:4" x14ac:dyDescent="0.25">
      <c r="B3331" s="89">
        <v>3327</v>
      </c>
      <c r="C3331" s="39">
        <f t="shared" si="103"/>
        <v>157992929.59999999</v>
      </c>
      <c r="D3331" s="39">
        <f t="shared" si="104"/>
        <v>109880829</v>
      </c>
    </row>
    <row r="3332" spans="2:4" x14ac:dyDescent="0.25">
      <c r="B3332" s="89">
        <v>3328</v>
      </c>
      <c r="C3332" s="39">
        <f t="shared" si="103"/>
        <v>157992929.59999999</v>
      </c>
      <c r="D3332" s="39">
        <f t="shared" si="104"/>
        <v>109913856</v>
      </c>
    </row>
    <row r="3333" spans="2:4" x14ac:dyDescent="0.25">
      <c r="B3333" s="89">
        <v>3329</v>
      </c>
      <c r="C3333" s="39">
        <f t="shared" si="103"/>
        <v>157992929.59999999</v>
      </c>
      <c r="D3333" s="39">
        <f t="shared" si="104"/>
        <v>109946883</v>
      </c>
    </row>
    <row r="3334" spans="2:4" x14ac:dyDescent="0.25">
      <c r="B3334" s="89">
        <v>3330</v>
      </c>
      <c r="C3334" s="39">
        <f t="shared" ref="C3334:C3397" si="105">$C3333</f>
        <v>157992929.59999999</v>
      </c>
      <c r="D3334" s="39">
        <f t="shared" si="104"/>
        <v>109979910</v>
      </c>
    </row>
    <row r="3335" spans="2:4" x14ac:dyDescent="0.25">
      <c r="B3335" s="89">
        <v>3331</v>
      </c>
      <c r="C3335" s="39">
        <f t="shared" si="105"/>
        <v>157992929.59999999</v>
      </c>
      <c r="D3335" s="39">
        <f t="shared" si="104"/>
        <v>110012937</v>
      </c>
    </row>
    <row r="3336" spans="2:4" x14ac:dyDescent="0.25">
      <c r="B3336" s="89">
        <v>3332</v>
      </c>
      <c r="C3336" s="39">
        <f t="shared" si="105"/>
        <v>157992929.59999999</v>
      </c>
      <c r="D3336" s="39">
        <f t="shared" si="104"/>
        <v>110045964</v>
      </c>
    </row>
    <row r="3337" spans="2:4" x14ac:dyDescent="0.25">
      <c r="B3337" s="89">
        <v>3333</v>
      </c>
      <c r="C3337" s="39">
        <f t="shared" si="105"/>
        <v>157992929.59999999</v>
      </c>
      <c r="D3337" s="39">
        <f t="shared" si="104"/>
        <v>110078991</v>
      </c>
    </row>
    <row r="3338" spans="2:4" x14ac:dyDescent="0.25">
      <c r="B3338" s="89">
        <v>3334</v>
      </c>
      <c r="C3338" s="39">
        <f t="shared" si="105"/>
        <v>157992929.59999999</v>
      </c>
      <c r="D3338" s="39">
        <f t="shared" si="104"/>
        <v>110112018</v>
      </c>
    </row>
    <row r="3339" spans="2:4" x14ac:dyDescent="0.25">
      <c r="B3339" s="89">
        <v>3335</v>
      </c>
      <c r="C3339" s="39">
        <f t="shared" si="105"/>
        <v>157992929.59999999</v>
      </c>
      <c r="D3339" s="39">
        <f t="shared" si="104"/>
        <v>110145045</v>
      </c>
    </row>
    <row r="3340" spans="2:4" x14ac:dyDescent="0.25">
      <c r="B3340" s="89">
        <v>3336</v>
      </c>
      <c r="C3340" s="39">
        <f t="shared" si="105"/>
        <v>157992929.59999999</v>
      </c>
      <c r="D3340" s="39">
        <f t="shared" si="104"/>
        <v>110178072</v>
      </c>
    </row>
    <row r="3341" spans="2:4" x14ac:dyDescent="0.25">
      <c r="B3341" s="89">
        <v>3337</v>
      </c>
      <c r="C3341" s="39">
        <f t="shared" si="105"/>
        <v>157992929.59999999</v>
      </c>
      <c r="D3341" s="39">
        <f t="shared" si="104"/>
        <v>110211099</v>
      </c>
    </row>
    <row r="3342" spans="2:4" x14ac:dyDescent="0.25">
      <c r="B3342" s="89">
        <v>3338</v>
      </c>
      <c r="C3342" s="39">
        <f t="shared" si="105"/>
        <v>157992929.59999999</v>
      </c>
      <c r="D3342" s="39">
        <f t="shared" si="104"/>
        <v>110244126</v>
      </c>
    </row>
    <row r="3343" spans="2:4" x14ac:dyDescent="0.25">
      <c r="B3343" s="89">
        <v>3339</v>
      </c>
      <c r="C3343" s="39">
        <f t="shared" si="105"/>
        <v>157992929.59999999</v>
      </c>
      <c r="D3343" s="39">
        <f t="shared" si="104"/>
        <v>110277153</v>
      </c>
    </row>
    <row r="3344" spans="2:4" x14ac:dyDescent="0.25">
      <c r="B3344" s="89">
        <v>3340</v>
      </c>
      <c r="C3344" s="39">
        <f t="shared" si="105"/>
        <v>157992929.59999999</v>
      </c>
      <c r="D3344" s="39">
        <f t="shared" si="104"/>
        <v>110310180</v>
      </c>
    </row>
    <row r="3345" spans="2:4" x14ac:dyDescent="0.25">
      <c r="B3345" s="89">
        <v>3341</v>
      </c>
      <c r="C3345" s="39">
        <f t="shared" si="105"/>
        <v>157992929.59999999</v>
      </c>
      <c r="D3345" s="39">
        <f t="shared" si="104"/>
        <v>110343207</v>
      </c>
    </row>
    <row r="3346" spans="2:4" x14ac:dyDescent="0.25">
      <c r="B3346" s="89">
        <v>3342</v>
      </c>
      <c r="C3346" s="39">
        <f t="shared" si="105"/>
        <v>157992929.59999999</v>
      </c>
      <c r="D3346" s="39">
        <f t="shared" si="104"/>
        <v>110376234</v>
      </c>
    </row>
    <row r="3347" spans="2:4" x14ac:dyDescent="0.25">
      <c r="B3347" s="89">
        <v>3343</v>
      </c>
      <c r="C3347" s="39">
        <f t="shared" si="105"/>
        <v>157992929.59999999</v>
      </c>
      <c r="D3347" s="39">
        <f t="shared" si="104"/>
        <v>110409261</v>
      </c>
    </row>
    <row r="3348" spans="2:4" x14ac:dyDescent="0.25">
      <c r="B3348" s="89">
        <v>3344</v>
      </c>
      <c r="C3348" s="39">
        <f t="shared" si="105"/>
        <v>157992929.59999999</v>
      </c>
      <c r="D3348" s="39">
        <f t="shared" si="104"/>
        <v>110442288</v>
      </c>
    </row>
    <row r="3349" spans="2:4" x14ac:dyDescent="0.25">
      <c r="B3349" s="89">
        <v>3345</v>
      </c>
      <c r="C3349" s="39">
        <f t="shared" si="105"/>
        <v>157992929.59999999</v>
      </c>
      <c r="D3349" s="39">
        <f t="shared" si="104"/>
        <v>110475315</v>
      </c>
    </row>
    <row r="3350" spans="2:4" x14ac:dyDescent="0.25">
      <c r="B3350" s="89">
        <v>3346</v>
      </c>
      <c r="C3350" s="39">
        <f t="shared" si="105"/>
        <v>157992929.59999999</v>
      </c>
      <c r="D3350" s="39">
        <f t="shared" si="104"/>
        <v>110508342</v>
      </c>
    </row>
    <row r="3351" spans="2:4" x14ac:dyDescent="0.25">
      <c r="B3351" s="89">
        <v>3347</v>
      </c>
      <c r="C3351" s="39">
        <f t="shared" si="105"/>
        <v>157992929.59999999</v>
      </c>
      <c r="D3351" s="39">
        <f t="shared" si="104"/>
        <v>110541369</v>
      </c>
    </row>
    <row r="3352" spans="2:4" x14ac:dyDescent="0.25">
      <c r="B3352" s="89">
        <v>3348</v>
      </c>
      <c r="C3352" s="39">
        <f t="shared" si="105"/>
        <v>157992929.59999999</v>
      </c>
      <c r="D3352" s="39">
        <f t="shared" si="104"/>
        <v>110574396</v>
      </c>
    </row>
    <row r="3353" spans="2:4" x14ac:dyDescent="0.25">
      <c r="B3353" s="89">
        <v>3349</v>
      </c>
      <c r="C3353" s="39">
        <f t="shared" si="105"/>
        <v>157992929.59999999</v>
      </c>
      <c r="D3353" s="39">
        <f t="shared" si="104"/>
        <v>110607423</v>
      </c>
    </row>
    <row r="3354" spans="2:4" x14ac:dyDescent="0.25">
      <c r="B3354" s="89">
        <v>3350</v>
      </c>
      <c r="C3354" s="39">
        <f t="shared" si="105"/>
        <v>157992929.59999999</v>
      </c>
      <c r="D3354" s="39">
        <f t="shared" si="104"/>
        <v>110640450</v>
      </c>
    </row>
    <row r="3355" spans="2:4" x14ac:dyDescent="0.25">
      <c r="B3355" s="89">
        <v>3351</v>
      </c>
      <c r="C3355" s="39">
        <f t="shared" si="105"/>
        <v>157992929.59999999</v>
      </c>
      <c r="D3355" s="39">
        <f t="shared" si="104"/>
        <v>110673477</v>
      </c>
    </row>
    <row r="3356" spans="2:4" x14ac:dyDescent="0.25">
      <c r="B3356" s="89">
        <v>3352</v>
      </c>
      <c r="C3356" s="39">
        <f t="shared" si="105"/>
        <v>157992929.59999999</v>
      </c>
      <c r="D3356" s="39">
        <f t="shared" si="104"/>
        <v>110706504</v>
      </c>
    </row>
    <row r="3357" spans="2:4" x14ac:dyDescent="0.25">
      <c r="B3357" s="89">
        <v>3353</v>
      </c>
      <c r="C3357" s="39">
        <f t="shared" si="105"/>
        <v>157992929.59999999</v>
      </c>
      <c r="D3357" s="39">
        <f t="shared" si="104"/>
        <v>110739531</v>
      </c>
    </row>
    <row r="3358" spans="2:4" x14ac:dyDescent="0.25">
      <c r="B3358" s="89">
        <v>3354</v>
      </c>
      <c r="C3358" s="39">
        <f t="shared" si="105"/>
        <v>157992929.59999999</v>
      </c>
      <c r="D3358" s="39">
        <f t="shared" si="104"/>
        <v>110772558</v>
      </c>
    </row>
    <row r="3359" spans="2:4" x14ac:dyDescent="0.25">
      <c r="B3359" s="89">
        <v>3355</v>
      </c>
      <c r="C3359" s="39">
        <f t="shared" si="105"/>
        <v>157992929.59999999</v>
      </c>
      <c r="D3359" s="39">
        <f t="shared" si="104"/>
        <v>110805585</v>
      </c>
    </row>
    <row r="3360" spans="2:4" x14ac:dyDescent="0.25">
      <c r="B3360" s="89">
        <v>3356</v>
      </c>
      <c r="C3360" s="39">
        <f t="shared" si="105"/>
        <v>157992929.59999999</v>
      </c>
      <c r="D3360" s="39">
        <f t="shared" si="104"/>
        <v>110838612</v>
      </c>
    </row>
    <row r="3361" spans="2:4" x14ac:dyDescent="0.25">
      <c r="B3361" s="89">
        <v>3357</v>
      </c>
      <c r="C3361" s="39">
        <f t="shared" si="105"/>
        <v>157992929.59999999</v>
      </c>
      <c r="D3361" s="39">
        <f t="shared" si="104"/>
        <v>110871639</v>
      </c>
    </row>
    <row r="3362" spans="2:4" x14ac:dyDescent="0.25">
      <c r="B3362" s="89">
        <v>3358</v>
      </c>
      <c r="C3362" s="39">
        <f t="shared" si="105"/>
        <v>157992929.59999999</v>
      </c>
      <c r="D3362" s="39">
        <f t="shared" si="104"/>
        <v>110904666</v>
      </c>
    </row>
    <row r="3363" spans="2:4" x14ac:dyDescent="0.25">
      <c r="B3363" s="89">
        <v>3359</v>
      </c>
      <c r="C3363" s="39">
        <f t="shared" si="105"/>
        <v>157992929.59999999</v>
      </c>
      <c r="D3363" s="39">
        <f t="shared" si="104"/>
        <v>110937693</v>
      </c>
    </row>
    <row r="3364" spans="2:4" x14ac:dyDescent="0.25">
      <c r="B3364" s="89">
        <v>3360</v>
      </c>
      <c r="C3364" s="39">
        <f t="shared" si="105"/>
        <v>157992929.59999999</v>
      </c>
      <c r="D3364" s="39">
        <f t="shared" si="104"/>
        <v>110970720</v>
      </c>
    </row>
    <row r="3365" spans="2:4" x14ac:dyDescent="0.25">
      <c r="B3365" s="89">
        <v>3361</v>
      </c>
      <c r="C3365" s="39">
        <f t="shared" si="105"/>
        <v>157992929.59999999</v>
      </c>
      <c r="D3365" s="39">
        <f t="shared" si="104"/>
        <v>111003747</v>
      </c>
    </row>
    <row r="3366" spans="2:4" x14ac:dyDescent="0.25">
      <c r="B3366" s="89">
        <v>3362</v>
      </c>
      <c r="C3366" s="39">
        <f t="shared" si="105"/>
        <v>157992929.59999999</v>
      </c>
      <c r="D3366" s="39">
        <f t="shared" si="104"/>
        <v>111036774</v>
      </c>
    </row>
    <row r="3367" spans="2:4" x14ac:dyDescent="0.25">
      <c r="B3367" s="89">
        <v>3363</v>
      </c>
      <c r="C3367" s="39">
        <f t="shared" si="105"/>
        <v>157992929.59999999</v>
      </c>
      <c r="D3367" s="39">
        <f t="shared" si="104"/>
        <v>111069801</v>
      </c>
    </row>
    <row r="3368" spans="2:4" x14ac:dyDescent="0.25">
      <c r="B3368" s="89">
        <v>3364</v>
      </c>
      <c r="C3368" s="39">
        <f t="shared" si="105"/>
        <v>157992929.59999999</v>
      </c>
      <c r="D3368" s="39">
        <f t="shared" si="104"/>
        <v>111102828</v>
      </c>
    </row>
    <row r="3369" spans="2:4" x14ac:dyDescent="0.25">
      <c r="B3369" s="89">
        <v>3365</v>
      </c>
      <c r="C3369" s="39">
        <f t="shared" si="105"/>
        <v>157992929.59999999</v>
      </c>
      <c r="D3369" s="39">
        <f t="shared" si="104"/>
        <v>111135855</v>
      </c>
    </row>
    <row r="3370" spans="2:4" x14ac:dyDescent="0.25">
      <c r="B3370" s="89">
        <v>3366</v>
      </c>
      <c r="C3370" s="39">
        <f t="shared" si="105"/>
        <v>157992929.59999999</v>
      </c>
      <c r="D3370" s="39">
        <f t="shared" si="104"/>
        <v>111168882</v>
      </c>
    </row>
    <row r="3371" spans="2:4" x14ac:dyDescent="0.25">
      <c r="B3371" s="89">
        <v>3367</v>
      </c>
      <c r="C3371" s="39">
        <f t="shared" si="105"/>
        <v>157992929.59999999</v>
      </c>
      <c r="D3371" s="39">
        <f t="shared" si="104"/>
        <v>111201909</v>
      </c>
    </row>
    <row r="3372" spans="2:4" x14ac:dyDescent="0.25">
      <c r="B3372" s="89">
        <v>3368</v>
      </c>
      <c r="C3372" s="39">
        <f t="shared" si="105"/>
        <v>157992929.59999999</v>
      </c>
      <c r="D3372" s="39">
        <f t="shared" si="104"/>
        <v>111234936</v>
      </c>
    </row>
    <row r="3373" spans="2:4" x14ac:dyDescent="0.25">
      <c r="B3373" s="89">
        <v>3369</v>
      </c>
      <c r="C3373" s="39">
        <f t="shared" si="105"/>
        <v>157992929.59999999</v>
      </c>
      <c r="D3373" s="39">
        <f t="shared" si="104"/>
        <v>111267963</v>
      </c>
    </row>
    <row r="3374" spans="2:4" x14ac:dyDescent="0.25">
      <c r="B3374" s="89">
        <v>3370</v>
      </c>
      <c r="C3374" s="39">
        <f t="shared" si="105"/>
        <v>157992929.59999999</v>
      </c>
      <c r="D3374" s="39">
        <f t="shared" si="104"/>
        <v>111300990</v>
      </c>
    </row>
    <row r="3375" spans="2:4" x14ac:dyDescent="0.25">
      <c r="B3375" s="89">
        <v>3371</v>
      </c>
      <c r="C3375" s="39">
        <f t="shared" si="105"/>
        <v>157992929.59999999</v>
      </c>
      <c r="D3375" s="39">
        <f t="shared" si="104"/>
        <v>111334017</v>
      </c>
    </row>
    <row r="3376" spans="2:4" x14ac:dyDescent="0.25">
      <c r="B3376" s="89">
        <v>3372</v>
      </c>
      <c r="C3376" s="39">
        <f t="shared" si="105"/>
        <v>157992929.59999999</v>
      </c>
      <c r="D3376" s="39">
        <f t="shared" si="104"/>
        <v>111367044</v>
      </c>
    </row>
    <row r="3377" spans="2:4" x14ac:dyDescent="0.25">
      <c r="B3377" s="89">
        <v>3373</v>
      </c>
      <c r="C3377" s="39">
        <f t="shared" si="105"/>
        <v>157992929.59999999</v>
      </c>
      <c r="D3377" s="39">
        <f t="shared" ref="D3377:D3440" si="106">$D$2*B3377</f>
        <v>111400071</v>
      </c>
    </row>
    <row r="3378" spans="2:4" x14ac:dyDescent="0.25">
      <c r="B3378" s="89">
        <v>3374</v>
      </c>
      <c r="C3378" s="39">
        <f t="shared" si="105"/>
        <v>157992929.59999999</v>
      </c>
      <c r="D3378" s="39">
        <f t="shared" si="106"/>
        <v>111433098</v>
      </c>
    </row>
    <row r="3379" spans="2:4" x14ac:dyDescent="0.25">
      <c r="B3379" s="89">
        <v>3375</v>
      </c>
      <c r="C3379" s="39">
        <f t="shared" si="105"/>
        <v>157992929.59999999</v>
      </c>
      <c r="D3379" s="39">
        <f t="shared" si="106"/>
        <v>111466125</v>
      </c>
    </row>
    <row r="3380" spans="2:4" x14ac:dyDescent="0.25">
      <c r="B3380" s="89">
        <v>3376</v>
      </c>
      <c r="C3380" s="39">
        <f t="shared" si="105"/>
        <v>157992929.59999999</v>
      </c>
      <c r="D3380" s="39">
        <f t="shared" si="106"/>
        <v>111499152</v>
      </c>
    </row>
    <row r="3381" spans="2:4" x14ac:dyDescent="0.25">
      <c r="B3381" s="89">
        <v>3377</v>
      </c>
      <c r="C3381" s="39">
        <f t="shared" si="105"/>
        <v>157992929.59999999</v>
      </c>
      <c r="D3381" s="39">
        <f t="shared" si="106"/>
        <v>111532179</v>
      </c>
    </row>
    <row r="3382" spans="2:4" x14ac:dyDescent="0.25">
      <c r="B3382" s="89">
        <v>3378</v>
      </c>
      <c r="C3382" s="39">
        <f t="shared" si="105"/>
        <v>157992929.59999999</v>
      </c>
      <c r="D3382" s="39">
        <f t="shared" si="106"/>
        <v>111565206</v>
      </c>
    </row>
    <row r="3383" spans="2:4" x14ac:dyDescent="0.25">
      <c r="B3383" s="89">
        <v>3379</v>
      </c>
      <c r="C3383" s="39">
        <f t="shared" si="105"/>
        <v>157992929.59999999</v>
      </c>
      <c r="D3383" s="39">
        <f t="shared" si="106"/>
        <v>111598233</v>
      </c>
    </row>
    <row r="3384" spans="2:4" x14ac:dyDescent="0.25">
      <c r="B3384" s="89">
        <v>3380</v>
      </c>
      <c r="C3384" s="39">
        <f t="shared" si="105"/>
        <v>157992929.59999999</v>
      </c>
      <c r="D3384" s="39">
        <f t="shared" si="106"/>
        <v>111631260</v>
      </c>
    </row>
    <row r="3385" spans="2:4" x14ac:dyDescent="0.25">
      <c r="B3385" s="89">
        <v>3381</v>
      </c>
      <c r="C3385" s="39">
        <f t="shared" si="105"/>
        <v>157992929.59999999</v>
      </c>
      <c r="D3385" s="39">
        <f t="shared" si="106"/>
        <v>111664287</v>
      </c>
    </row>
    <row r="3386" spans="2:4" x14ac:dyDescent="0.25">
      <c r="B3386" s="89">
        <v>3382</v>
      </c>
      <c r="C3386" s="39">
        <f t="shared" si="105"/>
        <v>157992929.59999999</v>
      </c>
      <c r="D3386" s="39">
        <f t="shared" si="106"/>
        <v>111697314</v>
      </c>
    </row>
    <row r="3387" spans="2:4" x14ac:dyDescent="0.25">
      <c r="B3387" s="89">
        <v>3383</v>
      </c>
      <c r="C3387" s="39">
        <f t="shared" si="105"/>
        <v>157992929.59999999</v>
      </c>
      <c r="D3387" s="39">
        <f t="shared" si="106"/>
        <v>111730341</v>
      </c>
    </row>
    <row r="3388" spans="2:4" x14ac:dyDescent="0.25">
      <c r="B3388" s="89">
        <v>3384</v>
      </c>
      <c r="C3388" s="39">
        <f t="shared" si="105"/>
        <v>157992929.59999999</v>
      </c>
      <c r="D3388" s="39">
        <f t="shared" si="106"/>
        <v>111763368</v>
      </c>
    </row>
    <row r="3389" spans="2:4" x14ac:dyDescent="0.25">
      <c r="B3389" s="89">
        <v>3385</v>
      </c>
      <c r="C3389" s="39">
        <f t="shared" si="105"/>
        <v>157992929.59999999</v>
      </c>
      <c r="D3389" s="39">
        <f t="shared" si="106"/>
        <v>111796395</v>
      </c>
    </row>
    <row r="3390" spans="2:4" x14ac:dyDescent="0.25">
      <c r="B3390" s="89">
        <v>3386</v>
      </c>
      <c r="C3390" s="39">
        <f t="shared" si="105"/>
        <v>157992929.59999999</v>
      </c>
      <c r="D3390" s="39">
        <f t="shared" si="106"/>
        <v>111829422</v>
      </c>
    </row>
    <row r="3391" spans="2:4" x14ac:dyDescent="0.25">
      <c r="B3391" s="89">
        <v>3387</v>
      </c>
      <c r="C3391" s="39">
        <f t="shared" si="105"/>
        <v>157992929.59999999</v>
      </c>
      <c r="D3391" s="39">
        <f t="shared" si="106"/>
        <v>111862449</v>
      </c>
    </row>
    <row r="3392" spans="2:4" x14ac:dyDescent="0.25">
      <c r="B3392" s="89">
        <v>3388</v>
      </c>
      <c r="C3392" s="39">
        <f t="shared" si="105"/>
        <v>157992929.59999999</v>
      </c>
      <c r="D3392" s="39">
        <f t="shared" si="106"/>
        <v>111895476</v>
      </c>
    </row>
    <row r="3393" spans="2:4" x14ac:dyDescent="0.25">
      <c r="B3393" s="89">
        <v>3389</v>
      </c>
      <c r="C3393" s="39">
        <f t="shared" si="105"/>
        <v>157992929.59999999</v>
      </c>
      <c r="D3393" s="39">
        <f t="shared" si="106"/>
        <v>111928503</v>
      </c>
    </row>
    <row r="3394" spans="2:4" x14ac:dyDescent="0.25">
      <c r="B3394" s="89">
        <v>3390</v>
      </c>
      <c r="C3394" s="39">
        <f t="shared" si="105"/>
        <v>157992929.59999999</v>
      </c>
      <c r="D3394" s="39">
        <f t="shared" si="106"/>
        <v>111961530</v>
      </c>
    </row>
    <row r="3395" spans="2:4" x14ac:dyDescent="0.25">
      <c r="B3395" s="89">
        <v>3391</v>
      </c>
      <c r="C3395" s="39">
        <f t="shared" si="105"/>
        <v>157992929.59999999</v>
      </c>
      <c r="D3395" s="39">
        <f t="shared" si="106"/>
        <v>111994557</v>
      </c>
    </row>
    <row r="3396" spans="2:4" x14ac:dyDescent="0.25">
      <c r="B3396" s="89">
        <v>3392</v>
      </c>
      <c r="C3396" s="39">
        <f t="shared" si="105"/>
        <v>157992929.59999999</v>
      </c>
      <c r="D3396" s="39">
        <f t="shared" si="106"/>
        <v>112027584</v>
      </c>
    </row>
    <row r="3397" spans="2:4" x14ac:dyDescent="0.25">
      <c r="B3397" s="89">
        <v>3393</v>
      </c>
      <c r="C3397" s="39">
        <f t="shared" si="105"/>
        <v>157992929.59999999</v>
      </c>
      <c r="D3397" s="39">
        <f t="shared" si="106"/>
        <v>112060611</v>
      </c>
    </row>
    <row r="3398" spans="2:4" x14ac:dyDescent="0.25">
      <c r="B3398" s="89">
        <v>3394</v>
      </c>
      <c r="C3398" s="39">
        <f t="shared" ref="C3398:C3461" si="107">$C3397</f>
        <v>157992929.59999999</v>
      </c>
      <c r="D3398" s="39">
        <f t="shared" si="106"/>
        <v>112093638</v>
      </c>
    </row>
    <row r="3399" spans="2:4" x14ac:dyDescent="0.25">
      <c r="B3399" s="89">
        <v>3395</v>
      </c>
      <c r="C3399" s="39">
        <f t="shared" si="107"/>
        <v>157992929.59999999</v>
      </c>
      <c r="D3399" s="39">
        <f t="shared" si="106"/>
        <v>112126665</v>
      </c>
    </row>
    <row r="3400" spans="2:4" x14ac:dyDescent="0.25">
      <c r="B3400" s="89">
        <v>3396</v>
      </c>
      <c r="C3400" s="39">
        <f t="shared" si="107"/>
        <v>157992929.59999999</v>
      </c>
      <c r="D3400" s="39">
        <f t="shared" si="106"/>
        <v>112159692</v>
      </c>
    </row>
    <row r="3401" spans="2:4" x14ac:dyDescent="0.25">
      <c r="B3401" s="89">
        <v>3397</v>
      </c>
      <c r="C3401" s="39">
        <f t="shared" si="107"/>
        <v>157992929.59999999</v>
      </c>
      <c r="D3401" s="39">
        <f t="shared" si="106"/>
        <v>112192719</v>
      </c>
    </row>
    <row r="3402" spans="2:4" x14ac:dyDescent="0.25">
      <c r="B3402" s="89">
        <v>3398</v>
      </c>
      <c r="C3402" s="39">
        <f t="shared" si="107"/>
        <v>157992929.59999999</v>
      </c>
      <c r="D3402" s="39">
        <f t="shared" si="106"/>
        <v>112225746</v>
      </c>
    </row>
    <row r="3403" spans="2:4" x14ac:dyDescent="0.25">
      <c r="B3403" s="89">
        <v>3399</v>
      </c>
      <c r="C3403" s="39">
        <f t="shared" si="107"/>
        <v>157992929.59999999</v>
      </c>
      <c r="D3403" s="39">
        <f t="shared" si="106"/>
        <v>112258773</v>
      </c>
    </row>
    <row r="3404" spans="2:4" x14ac:dyDescent="0.25">
      <c r="B3404" s="89">
        <v>3400</v>
      </c>
      <c r="C3404" s="39">
        <f t="shared" si="107"/>
        <v>157992929.59999999</v>
      </c>
      <c r="D3404" s="39">
        <f t="shared" si="106"/>
        <v>112291800</v>
      </c>
    </row>
    <row r="3405" spans="2:4" x14ac:dyDescent="0.25">
      <c r="B3405" s="89">
        <v>3401</v>
      </c>
      <c r="C3405" s="39">
        <f t="shared" si="107"/>
        <v>157992929.59999999</v>
      </c>
      <c r="D3405" s="39">
        <f t="shared" si="106"/>
        <v>112324827</v>
      </c>
    </row>
    <row r="3406" spans="2:4" x14ac:dyDescent="0.25">
      <c r="B3406" s="89">
        <v>3402</v>
      </c>
      <c r="C3406" s="39">
        <f t="shared" si="107"/>
        <v>157992929.59999999</v>
      </c>
      <c r="D3406" s="39">
        <f t="shared" si="106"/>
        <v>112357854</v>
      </c>
    </row>
    <row r="3407" spans="2:4" x14ac:dyDescent="0.25">
      <c r="B3407" s="89">
        <v>3403</v>
      </c>
      <c r="C3407" s="39">
        <f t="shared" si="107"/>
        <v>157992929.59999999</v>
      </c>
      <c r="D3407" s="39">
        <f t="shared" si="106"/>
        <v>112390881</v>
      </c>
    </row>
    <row r="3408" spans="2:4" x14ac:dyDescent="0.25">
      <c r="B3408" s="89">
        <v>3404</v>
      </c>
      <c r="C3408" s="39">
        <f t="shared" si="107"/>
        <v>157992929.59999999</v>
      </c>
      <c r="D3408" s="39">
        <f t="shared" si="106"/>
        <v>112423908</v>
      </c>
    </row>
    <row r="3409" spans="2:4" x14ac:dyDescent="0.25">
      <c r="B3409" s="89">
        <v>3405</v>
      </c>
      <c r="C3409" s="39">
        <f t="shared" si="107"/>
        <v>157992929.59999999</v>
      </c>
      <c r="D3409" s="39">
        <f t="shared" si="106"/>
        <v>112456935</v>
      </c>
    </row>
    <row r="3410" spans="2:4" x14ac:dyDescent="0.25">
      <c r="B3410" s="89">
        <v>3406</v>
      </c>
      <c r="C3410" s="39">
        <f t="shared" si="107"/>
        <v>157992929.59999999</v>
      </c>
      <c r="D3410" s="39">
        <f t="shared" si="106"/>
        <v>112489962</v>
      </c>
    </row>
    <row r="3411" spans="2:4" x14ac:dyDescent="0.25">
      <c r="B3411" s="89">
        <v>3407</v>
      </c>
      <c r="C3411" s="39">
        <f t="shared" si="107"/>
        <v>157992929.59999999</v>
      </c>
      <c r="D3411" s="39">
        <f t="shared" si="106"/>
        <v>112522989</v>
      </c>
    </row>
    <row r="3412" spans="2:4" x14ac:dyDescent="0.25">
      <c r="B3412" s="89">
        <v>3408</v>
      </c>
      <c r="C3412" s="39">
        <f t="shared" si="107"/>
        <v>157992929.59999999</v>
      </c>
      <c r="D3412" s="39">
        <f t="shared" si="106"/>
        <v>112556016</v>
      </c>
    </row>
    <row r="3413" spans="2:4" x14ac:dyDescent="0.25">
      <c r="B3413" s="89">
        <v>3409</v>
      </c>
      <c r="C3413" s="39">
        <f t="shared" si="107"/>
        <v>157992929.59999999</v>
      </c>
      <c r="D3413" s="39">
        <f t="shared" si="106"/>
        <v>112589043</v>
      </c>
    </row>
    <row r="3414" spans="2:4" x14ac:dyDescent="0.25">
      <c r="B3414" s="89">
        <v>3410</v>
      </c>
      <c r="C3414" s="39">
        <f t="shared" si="107"/>
        <v>157992929.59999999</v>
      </c>
      <c r="D3414" s="39">
        <f t="shared" si="106"/>
        <v>112622070</v>
      </c>
    </row>
    <row r="3415" spans="2:4" x14ac:dyDescent="0.25">
      <c r="B3415" s="89">
        <v>3411</v>
      </c>
      <c r="C3415" s="39">
        <f t="shared" si="107"/>
        <v>157992929.59999999</v>
      </c>
      <c r="D3415" s="39">
        <f t="shared" si="106"/>
        <v>112655097</v>
      </c>
    </row>
    <row r="3416" spans="2:4" x14ac:dyDescent="0.25">
      <c r="B3416" s="89">
        <v>3412</v>
      </c>
      <c r="C3416" s="39">
        <f t="shared" si="107"/>
        <v>157992929.59999999</v>
      </c>
      <c r="D3416" s="39">
        <f t="shared" si="106"/>
        <v>112688124</v>
      </c>
    </row>
    <row r="3417" spans="2:4" x14ac:dyDescent="0.25">
      <c r="B3417" s="89">
        <v>3413</v>
      </c>
      <c r="C3417" s="39">
        <f t="shared" si="107"/>
        <v>157992929.59999999</v>
      </c>
      <c r="D3417" s="39">
        <f t="shared" si="106"/>
        <v>112721151</v>
      </c>
    </row>
    <row r="3418" spans="2:4" x14ac:dyDescent="0.25">
      <c r="B3418" s="89">
        <v>3414</v>
      </c>
      <c r="C3418" s="39">
        <f t="shared" si="107"/>
        <v>157992929.59999999</v>
      </c>
      <c r="D3418" s="39">
        <f t="shared" si="106"/>
        <v>112754178</v>
      </c>
    </row>
    <row r="3419" spans="2:4" x14ac:dyDescent="0.25">
      <c r="B3419" s="89">
        <v>3415</v>
      </c>
      <c r="C3419" s="39">
        <f t="shared" si="107"/>
        <v>157992929.59999999</v>
      </c>
      <c r="D3419" s="39">
        <f t="shared" si="106"/>
        <v>112787205</v>
      </c>
    </row>
    <row r="3420" spans="2:4" x14ac:dyDescent="0.25">
      <c r="B3420" s="89">
        <v>3416</v>
      </c>
      <c r="C3420" s="39">
        <f t="shared" si="107"/>
        <v>157992929.59999999</v>
      </c>
      <c r="D3420" s="39">
        <f t="shared" si="106"/>
        <v>112820232</v>
      </c>
    </row>
    <row r="3421" spans="2:4" x14ac:dyDescent="0.25">
      <c r="B3421" s="89">
        <v>3417</v>
      </c>
      <c r="C3421" s="39">
        <f t="shared" si="107"/>
        <v>157992929.59999999</v>
      </c>
      <c r="D3421" s="39">
        <f t="shared" si="106"/>
        <v>112853259</v>
      </c>
    </row>
    <row r="3422" spans="2:4" x14ac:dyDescent="0.25">
      <c r="B3422" s="89">
        <v>3418</v>
      </c>
      <c r="C3422" s="39">
        <f t="shared" si="107"/>
        <v>157992929.59999999</v>
      </c>
      <c r="D3422" s="39">
        <f t="shared" si="106"/>
        <v>112886286</v>
      </c>
    </row>
    <row r="3423" spans="2:4" x14ac:dyDescent="0.25">
      <c r="B3423" s="89">
        <v>3419</v>
      </c>
      <c r="C3423" s="39">
        <f t="shared" si="107"/>
        <v>157992929.59999999</v>
      </c>
      <c r="D3423" s="39">
        <f t="shared" si="106"/>
        <v>112919313</v>
      </c>
    </row>
    <row r="3424" spans="2:4" x14ac:dyDescent="0.25">
      <c r="B3424" s="89">
        <v>3420</v>
      </c>
      <c r="C3424" s="39">
        <f t="shared" si="107"/>
        <v>157992929.59999999</v>
      </c>
      <c r="D3424" s="39">
        <f t="shared" si="106"/>
        <v>112952340</v>
      </c>
    </row>
    <row r="3425" spans="2:4" x14ac:dyDescent="0.25">
      <c r="B3425" s="89">
        <v>3421</v>
      </c>
      <c r="C3425" s="39">
        <f t="shared" si="107"/>
        <v>157992929.59999999</v>
      </c>
      <c r="D3425" s="39">
        <f t="shared" si="106"/>
        <v>112985367</v>
      </c>
    </row>
    <row r="3426" spans="2:4" x14ac:dyDescent="0.25">
      <c r="B3426" s="89">
        <v>3422</v>
      </c>
      <c r="C3426" s="39">
        <f t="shared" si="107"/>
        <v>157992929.59999999</v>
      </c>
      <c r="D3426" s="39">
        <f t="shared" si="106"/>
        <v>113018394</v>
      </c>
    </row>
    <row r="3427" spans="2:4" x14ac:dyDescent="0.25">
      <c r="B3427" s="89">
        <v>3423</v>
      </c>
      <c r="C3427" s="39">
        <f t="shared" si="107"/>
        <v>157992929.59999999</v>
      </c>
      <c r="D3427" s="39">
        <f t="shared" si="106"/>
        <v>113051421</v>
      </c>
    </row>
    <row r="3428" spans="2:4" x14ac:dyDescent="0.25">
      <c r="B3428" s="89">
        <v>3424</v>
      </c>
      <c r="C3428" s="39">
        <f t="shared" si="107"/>
        <v>157992929.59999999</v>
      </c>
      <c r="D3428" s="39">
        <f t="shared" si="106"/>
        <v>113084448</v>
      </c>
    </row>
    <row r="3429" spans="2:4" x14ac:dyDescent="0.25">
      <c r="B3429" s="89">
        <v>3425</v>
      </c>
      <c r="C3429" s="39">
        <f t="shared" si="107"/>
        <v>157992929.59999999</v>
      </c>
      <c r="D3429" s="39">
        <f t="shared" si="106"/>
        <v>113117475</v>
      </c>
    </row>
    <row r="3430" spans="2:4" x14ac:dyDescent="0.25">
      <c r="B3430" s="89">
        <v>3426</v>
      </c>
      <c r="C3430" s="39">
        <f t="shared" si="107"/>
        <v>157992929.59999999</v>
      </c>
      <c r="D3430" s="39">
        <f t="shared" si="106"/>
        <v>113150502</v>
      </c>
    </row>
    <row r="3431" spans="2:4" x14ac:dyDescent="0.25">
      <c r="B3431" s="89">
        <v>3427</v>
      </c>
      <c r="C3431" s="39">
        <f t="shared" si="107"/>
        <v>157992929.59999999</v>
      </c>
      <c r="D3431" s="39">
        <f t="shared" si="106"/>
        <v>113183529</v>
      </c>
    </row>
    <row r="3432" spans="2:4" x14ac:dyDescent="0.25">
      <c r="B3432" s="89">
        <v>3428</v>
      </c>
      <c r="C3432" s="39">
        <f t="shared" si="107"/>
        <v>157992929.59999999</v>
      </c>
      <c r="D3432" s="39">
        <f t="shared" si="106"/>
        <v>113216556</v>
      </c>
    </row>
    <row r="3433" spans="2:4" x14ac:dyDescent="0.25">
      <c r="B3433" s="89">
        <v>3429</v>
      </c>
      <c r="C3433" s="39">
        <f t="shared" si="107"/>
        <v>157992929.59999999</v>
      </c>
      <c r="D3433" s="39">
        <f t="shared" si="106"/>
        <v>113249583</v>
      </c>
    </row>
    <row r="3434" spans="2:4" x14ac:dyDescent="0.25">
      <c r="B3434" s="89">
        <v>3430</v>
      </c>
      <c r="C3434" s="39">
        <f t="shared" si="107"/>
        <v>157992929.59999999</v>
      </c>
      <c r="D3434" s="39">
        <f t="shared" si="106"/>
        <v>113282610</v>
      </c>
    </row>
    <row r="3435" spans="2:4" x14ac:dyDescent="0.25">
      <c r="B3435" s="89">
        <v>3431</v>
      </c>
      <c r="C3435" s="39">
        <f t="shared" si="107"/>
        <v>157992929.59999999</v>
      </c>
      <c r="D3435" s="39">
        <f t="shared" si="106"/>
        <v>113315637</v>
      </c>
    </row>
    <row r="3436" spans="2:4" x14ac:dyDescent="0.25">
      <c r="B3436" s="89">
        <v>3432</v>
      </c>
      <c r="C3436" s="39">
        <f t="shared" si="107"/>
        <v>157992929.59999999</v>
      </c>
      <c r="D3436" s="39">
        <f t="shared" si="106"/>
        <v>113348664</v>
      </c>
    </row>
    <row r="3437" spans="2:4" x14ac:dyDescent="0.25">
      <c r="B3437" s="89">
        <v>3433</v>
      </c>
      <c r="C3437" s="39">
        <f t="shared" si="107"/>
        <v>157992929.59999999</v>
      </c>
      <c r="D3437" s="39">
        <f t="shared" si="106"/>
        <v>113381691</v>
      </c>
    </row>
    <row r="3438" spans="2:4" x14ac:dyDescent="0.25">
      <c r="B3438" s="89">
        <v>3434</v>
      </c>
      <c r="C3438" s="39">
        <f t="shared" si="107"/>
        <v>157992929.59999999</v>
      </c>
      <c r="D3438" s="39">
        <f t="shared" si="106"/>
        <v>113414718</v>
      </c>
    </row>
    <row r="3439" spans="2:4" x14ac:dyDescent="0.25">
      <c r="B3439" s="89">
        <v>3435</v>
      </c>
      <c r="C3439" s="39">
        <f t="shared" si="107"/>
        <v>157992929.59999999</v>
      </c>
      <c r="D3439" s="39">
        <f t="shared" si="106"/>
        <v>113447745</v>
      </c>
    </row>
    <row r="3440" spans="2:4" x14ac:dyDescent="0.25">
      <c r="B3440" s="89">
        <v>3436</v>
      </c>
      <c r="C3440" s="39">
        <f t="shared" si="107"/>
        <v>157992929.59999999</v>
      </c>
      <c r="D3440" s="39">
        <f t="shared" si="106"/>
        <v>113480772</v>
      </c>
    </row>
    <row r="3441" spans="2:4" x14ac:dyDescent="0.25">
      <c r="B3441" s="89">
        <v>3437</v>
      </c>
      <c r="C3441" s="39">
        <f t="shared" si="107"/>
        <v>157992929.59999999</v>
      </c>
      <c r="D3441" s="39">
        <f t="shared" ref="D3441:D3504" si="108">$D$2*B3441</f>
        <v>113513799</v>
      </c>
    </row>
    <row r="3442" spans="2:4" x14ac:dyDescent="0.25">
      <c r="B3442" s="89">
        <v>3438</v>
      </c>
      <c r="C3442" s="39">
        <f t="shared" si="107"/>
        <v>157992929.59999999</v>
      </c>
      <c r="D3442" s="39">
        <f t="shared" si="108"/>
        <v>113546826</v>
      </c>
    </row>
    <row r="3443" spans="2:4" x14ac:dyDescent="0.25">
      <c r="B3443" s="89">
        <v>3439</v>
      </c>
      <c r="C3443" s="39">
        <f t="shared" si="107"/>
        <v>157992929.59999999</v>
      </c>
      <c r="D3443" s="39">
        <f t="shared" si="108"/>
        <v>113579853</v>
      </c>
    </row>
    <row r="3444" spans="2:4" x14ac:dyDescent="0.25">
      <c r="B3444" s="89">
        <v>3440</v>
      </c>
      <c r="C3444" s="39">
        <f t="shared" si="107"/>
        <v>157992929.59999999</v>
      </c>
      <c r="D3444" s="39">
        <f t="shared" si="108"/>
        <v>113612880</v>
      </c>
    </row>
    <row r="3445" spans="2:4" x14ac:dyDescent="0.25">
      <c r="B3445" s="89">
        <v>3441</v>
      </c>
      <c r="C3445" s="39">
        <f t="shared" si="107"/>
        <v>157992929.59999999</v>
      </c>
      <c r="D3445" s="39">
        <f t="shared" si="108"/>
        <v>113645907</v>
      </c>
    </row>
    <row r="3446" spans="2:4" x14ac:dyDescent="0.25">
      <c r="B3446" s="89">
        <v>3442</v>
      </c>
      <c r="C3446" s="39">
        <f t="shared" si="107"/>
        <v>157992929.59999999</v>
      </c>
      <c r="D3446" s="39">
        <f t="shared" si="108"/>
        <v>113678934</v>
      </c>
    </row>
    <row r="3447" spans="2:4" x14ac:dyDescent="0.25">
      <c r="B3447" s="89">
        <v>3443</v>
      </c>
      <c r="C3447" s="39">
        <f t="shared" si="107"/>
        <v>157992929.59999999</v>
      </c>
      <c r="D3447" s="39">
        <f t="shared" si="108"/>
        <v>113711961</v>
      </c>
    </row>
    <row r="3448" spans="2:4" x14ac:dyDescent="0.25">
      <c r="B3448" s="89">
        <v>3444</v>
      </c>
      <c r="C3448" s="39">
        <f t="shared" si="107"/>
        <v>157992929.59999999</v>
      </c>
      <c r="D3448" s="39">
        <f t="shared" si="108"/>
        <v>113744988</v>
      </c>
    </row>
    <row r="3449" spans="2:4" x14ac:dyDescent="0.25">
      <c r="B3449" s="89">
        <v>3445</v>
      </c>
      <c r="C3449" s="39">
        <f t="shared" si="107"/>
        <v>157992929.59999999</v>
      </c>
      <c r="D3449" s="39">
        <f t="shared" si="108"/>
        <v>113778015</v>
      </c>
    </row>
    <row r="3450" spans="2:4" x14ac:dyDescent="0.25">
      <c r="B3450" s="89">
        <v>3446</v>
      </c>
      <c r="C3450" s="39">
        <f t="shared" si="107"/>
        <v>157992929.59999999</v>
      </c>
      <c r="D3450" s="39">
        <f t="shared" si="108"/>
        <v>113811042</v>
      </c>
    </row>
    <row r="3451" spans="2:4" x14ac:dyDescent="0.25">
      <c r="B3451" s="89">
        <v>3447</v>
      </c>
      <c r="C3451" s="39">
        <f t="shared" si="107"/>
        <v>157992929.59999999</v>
      </c>
      <c r="D3451" s="39">
        <f t="shared" si="108"/>
        <v>113844069</v>
      </c>
    </row>
    <row r="3452" spans="2:4" x14ac:dyDescent="0.25">
      <c r="B3452" s="89">
        <v>3448</v>
      </c>
      <c r="C3452" s="39">
        <f t="shared" si="107"/>
        <v>157992929.59999999</v>
      </c>
      <c r="D3452" s="39">
        <f t="shared" si="108"/>
        <v>113877096</v>
      </c>
    </row>
    <row r="3453" spans="2:4" x14ac:dyDescent="0.25">
      <c r="B3453" s="89">
        <v>3449</v>
      </c>
      <c r="C3453" s="39">
        <f t="shared" si="107"/>
        <v>157992929.59999999</v>
      </c>
      <c r="D3453" s="39">
        <f t="shared" si="108"/>
        <v>113910123</v>
      </c>
    </row>
    <row r="3454" spans="2:4" x14ac:dyDescent="0.25">
      <c r="B3454" s="89">
        <v>3450</v>
      </c>
      <c r="C3454" s="39">
        <f t="shared" si="107"/>
        <v>157992929.59999999</v>
      </c>
      <c r="D3454" s="39">
        <f t="shared" si="108"/>
        <v>113943150</v>
      </c>
    </row>
    <row r="3455" spans="2:4" x14ac:dyDescent="0.25">
      <c r="B3455" s="89">
        <v>3451</v>
      </c>
      <c r="C3455" s="39">
        <f t="shared" si="107"/>
        <v>157992929.59999999</v>
      </c>
      <c r="D3455" s="39">
        <f t="shared" si="108"/>
        <v>113976177</v>
      </c>
    </row>
    <row r="3456" spans="2:4" x14ac:dyDescent="0.25">
      <c r="B3456" s="89">
        <v>3452</v>
      </c>
      <c r="C3456" s="39">
        <f t="shared" si="107"/>
        <v>157992929.59999999</v>
      </c>
      <c r="D3456" s="39">
        <f t="shared" si="108"/>
        <v>114009204</v>
      </c>
    </row>
    <row r="3457" spans="2:4" x14ac:dyDescent="0.25">
      <c r="B3457" s="89">
        <v>3453</v>
      </c>
      <c r="C3457" s="39">
        <f t="shared" si="107"/>
        <v>157992929.59999999</v>
      </c>
      <c r="D3457" s="39">
        <f t="shared" si="108"/>
        <v>114042231</v>
      </c>
    </row>
    <row r="3458" spans="2:4" x14ac:dyDescent="0.25">
      <c r="B3458" s="89">
        <v>3454</v>
      </c>
      <c r="C3458" s="39">
        <f t="shared" si="107"/>
        <v>157992929.59999999</v>
      </c>
      <c r="D3458" s="39">
        <f t="shared" si="108"/>
        <v>114075258</v>
      </c>
    </row>
    <row r="3459" spans="2:4" x14ac:dyDescent="0.25">
      <c r="B3459" s="89">
        <v>3455</v>
      </c>
      <c r="C3459" s="39">
        <f t="shared" si="107"/>
        <v>157992929.59999999</v>
      </c>
      <c r="D3459" s="39">
        <f t="shared" si="108"/>
        <v>114108285</v>
      </c>
    </row>
    <row r="3460" spans="2:4" x14ac:dyDescent="0.25">
      <c r="B3460" s="89">
        <v>3456</v>
      </c>
      <c r="C3460" s="39">
        <f t="shared" si="107"/>
        <v>157992929.59999999</v>
      </c>
      <c r="D3460" s="39">
        <f t="shared" si="108"/>
        <v>114141312</v>
      </c>
    </row>
    <row r="3461" spans="2:4" x14ac:dyDescent="0.25">
      <c r="B3461" s="89">
        <v>3457</v>
      </c>
      <c r="C3461" s="39">
        <f t="shared" si="107"/>
        <v>157992929.59999999</v>
      </c>
      <c r="D3461" s="39">
        <f t="shared" si="108"/>
        <v>114174339</v>
      </c>
    </row>
    <row r="3462" spans="2:4" x14ac:dyDescent="0.25">
      <c r="B3462" s="89">
        <v>3458</v>
      </c>
      <c r="C3462" s="39">
        <f t="shared" ref="C3462:C3525" si="109">$C3461</f>
        <v>157992929.59999999</v>
      </c>
      <c r="D3462" s="39">
        <f t="shared" si="108"/>
        <v>114207366</v>
      </c>
    </row>
    <row r="3463" spans="2:4" x14ac:dyDescent="0.25">
      <c r="B3463" s="89">
        <v>3459</v>
      </c>
      <c r="C3463" s="39">
        <f t="shared" si="109"/>
        <v>157992929.59999999</v>
      </c>
      <c r="D3463" s="39">
        <f t="shared" si="108"/>
        <v>114240393</v>
      </c>
    </row>
    <row r="3464" spans="2:4" x14ac:dyDescent="0.25">
      <c r="B3464" s="89">
        <v>3460</v>
      </c>
      <c r="C3464" s="39">
        <f t="shared" si="109"/>
        <v>157992929.59999999</v>
      </c>
      <c r="D3464" s="39">
        <f t="shared" si="108"/>
        <v>114273420</v>
      </c>
    </row>
    <row r="3465" spans="2:4" x14ac:dyDescent="0.25">
      <c r="B3465" s="89">
        <v>3461</v>
      </c>
      <c r="C3465" s="39">
        <f t="shared" si="109"/>
        <v>157992929.59999999</v>
      </c>
      <c r="D3465" s="39">
        <f t="shared" si="108"/>
        <v>114306447</v>
      </c>
    </row>
    <row r="3466" spans="2:4" x14ac:dyDescent="0.25">
      <c r="B3466" s="89">
        <v>3462</v>
      </c>
      <c r="C3466" s="39">
        <f t="shared" si="109"/>
        <v>157992929.59999999</v>
      </c>
      <c r="D3466" s="39">
        <f t="shared" si="108"/>
        <v>114339474</v>
      </c>
    </row>
    <row r="3467" spans="2:4" x14ac:dyDescent="0.25">
      <c r="B3467" s="89">
        <v>3463</v>
      </c>
      <c r="C3467" s="39">
        <f t="shared" si="109"/>
        <v>157992929.59999999</v>
      </c>
      <c r="D3467" s="39">
        <f t="shared" si="108"/>
        <v>114372501</v>
      </c>
    </row>
    <row r="3468" spans="2:4" x14ac:dyDescent="0.25">
      <c r="B3468" s="89">
        <v>3464</v>
      </c>
      <c r="C3468" s="39">
        <f t="shared" si="109"/>
        <v>157992929.59999999</v>
      </c>
      <c r="D3468" s="39">
        <f t="shared" si="108"/>
        <v>114405528</v>
      </c>
    </row>
    <row r="3469" spans="2:4" x14ac:dyDescent="0.25">
      <c r="B3469" s="89">
        <v>3465</v>
      </c>
      <c r="C3469" s="39">
        <f t="shared" si="109"/>
        <v>157992929.59999999</v>
      </c>
      <c r="D3469" s="39">
        <f t="shared" si="108"/>
        <v>114438555</v>
      </c>
    </row>
    <row r="3470" spans="2:4" x14ac:dyDescent="0.25">
      <c r="B3470" s="89">
        <v>3466</v>
      </c>
      <c r="C3470" s="39">
        <f t="shared" si="109"/>
        <v>157992929.59999999</v>
      </c>
      <c r="D3470" s="39">
        <f t="shared" si="108"/>
        <v>114471582</v>
      </c>
    </row>
    <row r="3471" spans="2:4" x14ac:dyDescent="0.25">
      <c r="B3471" s="89">
        <v>3467</v>
      </c>
      <c r="C3471" s="39">
        <f t="shared" si="109"/>
        <v>157992929.59999999</v>
      </c>
      <c r="D3471" s="39">
        <f t="shared" si="108"/>
        <v>114504609</v>
      </c>
    </row>
    <row r="3472" spans="2:4" x14ac:dyDescent="0.25">
      <c r="B3472" s="89">
        <v>3468</v>
      </c>
      <c r="C3472" s="39">
        <f t="shared" si="109"/>
        <v>157992929.59999999</v>
      </c>
      <c r="D3472" s="39">
        <f t="shared" si="108"/>
        <v>114537636</v>
      </c>
    </row>
    <row r="3473" spans="2:4" x14ac:dyDescent="0.25">
      <c r="B3473" s="89">
        <v>3469</v>
      </c>
      <c r="C3473" s="39">
        <f t="shared" si="109"/>
        <v>157992929.59999999</v>
      </c>
      <c r="D3473" s="39">
        <f t="shared" si="108"/>
        <v>114570663</v>
      </c>
    </row>
    <row r="3474" spans="2:4" x14ac:dyDescent="0.25">
      <c r="B3474" s="89">
        <v>3470</v>
      </c>
      <c r="C3474" s="39">
        <f t="shared" si="109"/>
        <v>157992929.59999999</v>
      </c>
      <c r="D3474" s="39">
        <f t="shared" si="108"/>
        <v>114603690</v>
      </c>
    </row>
    <row r="3475" spans="2:4" x14ac:dyDescent="0.25">
      <c r="B3475" s="89">
        <v>3471</v>
      </c>
      <c r="C3475" s="39">
        <f t="shared" si="109"/>
        <v>157992929.59999999</v>
      </c>
      <c r="D3475" s="39">
        <f t="shared" si="108"/>
        <v>114636717</v>
      </c>
    </row>
    <row r="3476" spans="2:4" x14ac:dyDescent="0.25">
      <c r="B3476" s="89">
        <v>3472</v>
      </c>
      <c r="C3476" s="39">
        <f t="shared" si="109"/>
        <v>157992929.59999999</v>
      </c>
      <c r="D3476" s="39">
        <f t="shared" si="108"/>
        <v>114669744</v>
      </c>
    </row>
    <row r="3477" spans="2:4" x14ac:dyDescent="0.25">
      <c r="B3477" s="89">
        <v>3473</v>
      </c>
      <c r="C3477" s="39">
        <f t="shared" si="109"/>
        <v>157992929.59999999</v>
      </c>
      <c r="D3477" s="39">
        <f t="shared" si="108"/>
        <v>114702771</v>
      </c>
    </row>
    <row r="3478" spans="2:4" x14ac:dyDescent="0.25">
      <c r="B3478" s="89">
        <v>3474</v>
      </c>
      <c r="C3478" s="39">
        <f t="shared" si="109"/>
        <v>157992929.59999999</v>
      </c>
      <c r="D3478" s="39">
        <f t="shared" si="108"/>
        <v>114735798</v>
      </c>
    </row>
    <row r="3479" spans="2:4" x14ac:dyDescent="0.25">
      <c r="B3479" s="89">
        <v>3475</v>
      </c>
      <c r="C3479" s="39">
        <f t="shared" si="109"/>
        <v>157992929.59999999</v>
      </c>
      <c r="D3479" s="39">
        <f t="shared" si="108"/>
        <v>114768825</v>
      </c>
    </row>
    <row r="3480" spans="2:4" x14ac:dyDescent="0.25">
      <c r="B3480" s="89">
        <v>3476</v>
      </c>
      <c r="C3480" s="39">
        <f t="shared" si="109"/>
        <v>157992929.59999999</v>
      </c>
      <c r="D3480" s="39">
        <f t="shared" si="108"/>
        <v>114801852</v>
      </c>
    </row>
    <row r="3481" spans="2:4" x14ac:dyDescent="0.25">
      <c r="B3481" s="89">
        <v>3477</v>
      </c>
      <c r="C3481" s="39">
        <f t="shared" si="109"/>
        <v>157992929.59999999</v>
      </c>
      <c r="D3481" s="39">
        <f t="shared" si="108"/>
        <v>114834879</v>
      </c>
    </row>
    <row r="3482" spans="2:4" x14ac:dyDescent="0.25">
      <c r="B3482" s="89">
        <v>3478</v>
      </c>
      <c r="C3482" s="39">
        <f t="shared" si="109"/>
        <v>157992929.59999999</v>
      </c>
      <c r="D3482" s="39">
        <f t="shared" si="108"/>
        <v>114867906</v>
      </c>
    </row>
    <row r="3483" spans="2:4" x14ac:dyDescent="0.25">
      <c r="B3483" s="89">
        <v>3479</v>
      </c>
      <c r="C3483" s="39">
        <f t="shared" si="109"/>
        <v>157992929.59999999</v>
      </c>
      <c r="D3483" s="39">
        <f t="shared" si="108"/>
        <v>114900933</v>
      </c>
    </row>
    <row r="3484" spans="2:4" x14ac:dyDescent="0.25">
      <c r="B3484" s="89">
        <v>3480</v>
      </c>
      <c r="C3484" s="39">
        <f t="shared" si="109"/>
        <v>157992929.59999999</v>
      </c>
      <c r="D3484" s="39">
        <f t="shared" si="108"/>
        <v>114933960</v>
      </c>
    </row>
    <row r="3485" spans="2:4" x14ac:dyDescent="0.25">
      <c r="B3485" s="89">
        <v>3481</v>
      </c>
      <c r="C3485" s="39">
        <f t="shared" si="109"/>
        <v>157992929.59999999</v>
      </c>
      <c r="D3485" s="39">
        <f t="shared" si="108"/>
        <v>114966987</v>
      </c>
    </row>
    <row r="3486" spans="2:4" x14ac:dyDescent="0.25">
      <c r="B3486" s="89">
        <v>3482</v>
      </c>
      <c r="C3486" s="39">
        <f t="shared" si="109"/>
        <v>157992929.59999999</v>
      </c>
      <c r="D3486" s="39">
        <f t="shared" si="108"/>
        <v>115000014</v>
      </c>
    </row>
    <row r="3487" spans="2:4" x14ac:dyDescent="0.25">
      <c r="B3487" s="89">
        <v>3483</v>
      </c>
      <c r="C3487" s="39">
        <f t="shared" si="109"/>
        <v>157992929.59999999</v>
      </c>
      <c r="D3487" s="39">
        <f t="shared" si="108"/>
        <v>115033041</v>
      </c>
    </row>
    <row r="3488" spans="2:4" x14ac:dyDescent="0.25">
      <c r="B3488" s="89">
        <v>3484</v>
      </c>
      <c r="C3488" s="39">
        <f t="shared" si="109"/>
        <v>157992929.59999999</v>
      </c>
      <c r="D3488" s="39">
        <f t="shared" si="108"/>
        <v>115066068</v>
      </c>
    </row>
    <row r="3489" spans="2:4" x14ac:dyDescent="0.25">
      <c r="B3489" s="89">
        <v>3485</v>
      </c>
      <c r="C3489" s="39">
        <f t="shared" si="109"/>
        <v>157992929.59999999</v>
      </c>
      <c r="D3489" s="39">
        <f t="shared" si="108"/>
        <v>115099095</v>
      </c>
    </row>
    <row r="3490" spans="2:4" x14ac:dyDescent="0.25">
      <c r="B3490" s="89">
        <v>3486</v>
      </c>
      <c r="C3490" s="39">
        <f t="shared" si="109"/>
        <v>157992929.59999999</v>
      </c>
      <c r="D3490" s="39">
        <f t="shared" si="108"/>
        <v>115132122</v>
      </c>
    </row>
    <row r="3491" spans="2:4" x14ac:dyDescent="0.25">
      <c r="B3491" s="89">
        <v>3487</v>
      </c>
      <c r="C3491" s="39">
        <f t="shared" si="109"/>
        <v>157992929.59999999</v>
      </c>
      <c r="D3491" s="39">
        <f t="shared" si="108"/>
        <v>115165149</v>
      </c>
    </row>
    <row r="3492" spans="2:4" x14ac:dyDescent="0.25">
      <c r="B3492" s="89">
        <v>3488</v>
      </c>
      <c r="C3492" s="39">
        <f t="shared" si="109"/>
        <v>157992929.59999999</v>
      </c>
      <c r="D3492" s="39">
        <f t="shared" si="108"/>
        <v>115198176</v>
      </c>
    </row>
    <row r="3493" spans="2:4" x14ac:dyDescent="0.25">
      <c r="B3493" s="89">
        <v>3489</v>
      </c>
      <c r="C3493" s="39">
        <f t="shared" si="109"/>
        <v>157992929.59999999</v>
      </c>
      <c r="D3493" s="39">
        <f t="shared" si="108"/>
        <v>115231203</v>
      </c>
    </row>
    <row r="3494" spans="2:4" x14ac:dyDescent="0.25">
      <c r="B3494" s="89">
        <v>3490</v>
      </c>
      <c r="C3494" s="39">
        <f t="shared" si="109"/>
        <v>157992929.59999999</v>
      </c>
      <c r="D3494" s="39">
        <f t="shared" si="108"/>
        <v>115264230</v>
      </c>
    </row>
    <row r="3495" spans="2:4" x14ac:dyDescent="0.25">
      <c r="B3495" s="89">
        <v>3491</v>
      </c>
      <c r="C3495" s="39">
        <f t="shared" si="109"/>
        <v>157992929.59999999</v>
      </c>
      <c r="D3495" s="39">
        <f t="shared" si="108"/>
        <v>115297257</v>
      </c>
    </row>
    <row r="3496" spans="2:4" x14ac:dyDescent="0.25">
      <c r="B3496" s="89">
        <v>3492</v>
      </c>
      <c r="C3496" s="39">
        <f t="shared" si="109"/>
        <v>157992929.59999999</v>
      </c>
      <c r="D3496" s="39">
        <f t="shared" si="108"/>
        <v>115330284</v>
      </c>
    </row>
    <row r="3497" spans="2:4" x14ac:dyDescent="0.25">
      <c r="B3497" s="89">
        <v>3493</v>
      </c>
      <c r="C3497" s="39">
        <f t="shared" si="109"/>
        <v>157992929.59999999</v>
      </c>
      <c r="D3497" s="39">
        <f t="shared" si="108"/>
        <v>115363311</v>
      </c>
    </row>
    <row r="3498" spans="2:4" x14ac:dyDescent="0.25">
      <c r="B3498" s="89">
        <v>3494</v>
      </c>
      <c r="C3498" s="39">
        <f t="shared" si="109"/>
        <v>157992929.59999999</v>
      </c>
      <c r="D3498" s="39">
        <f t="shared" si="108"/>
        <v>115396338</v>
      </c>
    </row>
    <row r="3499" spans="2:4" x14ac:dyDescent="0.25">
      <c r="B3499" s="89">
        <v>3495</v>
      </c>
      <c r="C3499" s="39">
        <f t="shared" si="109"/>
        <v>157992929.59999999</v>
      </c>
      <c r="D3499" s="39">
        <f t="shared" si="108"/>
        <v>115429365</v>
      </c>
    </row>
    <row r="3500" spans="2:4" x14ac:dyDescent="0.25">
      <c r="B3500" s="89">
        <v>3496</v>
      </c>
      <c r="C3500" s="39">
        <f t="shared" si="109"/>
        <v>157992929.59999999</v>
      </c>
      <c r="D3500" s="39">
        <f t="shared" si="108"/>
        <v>115462392</v>
      </c>
    </row>
    <row r="3501" spans="2:4" x14ac:dyDescent="0.25">
      <c r="B3501" s="89">
        <v>3497</v>
      </c>
      <c r="C3501" s="39">
        <f t="shared" si="109"/>
        <v>157992929.59999999</v>
      </c>
      <c r="D3501" s="39">
        <f t="shared" si="108"/>
        <v>115495419</v>
      </c>
    </row>
    <row r="3502" spans="2:4" x14ac:dyDescent="0.25">
      <c r="B3502" s="89">
        <v>3498</v>
      </c>
      <c r="C3502" s="39">
        <f t="shared" si="109"/>
        <v>157992929.59999999</v>
      </c>
      <c r="D3502" s="39">
        <f t="shared" si="108"/>
        <v>115528446</v>
      </c>
    </row>
    <row r="3503" spans="2:4" x14ac:dyDescent="0.25">
      <c r="B3503" s="89">
        <v>3499</v>
      </c>
      <c r="C3503" s="39">
        <f t="shared" si="109"/>
        <v>157992929.59999999</v>
      </c>
      <c r="D3503" s="39">
        <f t="shared" si="108"/>
        <v>115561473</v>
      </c>
    </row>
    <row r="3504" spans="2:4" x14ac:dyDescent="0.25">
      <c r="B3504" s="89">
        <v>3500</v>
      </c>
      <c r="C3504" s="39">
        <f t="shared" si="109"/>
        <v>157992929.59999999</v>
      </c>
      <c r="D3504" s="39">
        <f t="shared" si="108"/>
        <v>115594500</v>
      </c>
    </row>
    <row r="3505" spans="2:4" x14ac:dyDescent="0.25">
      <c r="B3505" s="89">
        <v>3501</v>
      </c>
      <c r="C3505" s="39">
        <f t="shared" si="109"/>
        <v>157992929.59999999</v>
      </c>
      <c r="D3505" s="39">
        <f t="shared" ref="D3505:D3568" si="110">$D$2*B3505</f>
        <v>115627527</v>
      </c>
    </row>
    <row r="3506" spans="2:4" x14ac:dyDescent="0.25">
      <c r="B3506" s="89">
        <v>3502</v>
      </c>
      <c r="C3506" s="39">
        <f t="shared" si="109"/>
        <v>157992929.59999999</v>
      </c>
      <c r="D3506" s="39">
        <f t="shared" si="110"/>
        <v>115660554</v>
      </c>
    </row>
    <row r="3507" spans="2:4" x14ac:dyDescent="0.25">
      <c r="B3507" s="89">
        <v>3503</v>
      </c>
      <c r="C3507" s="39">
        <f t="shared" si="109"/>
        <v>157992929.59999999</v>
      </c>
      <c r="D3507" s="39">
        <f t="shared" si="110"/>
        <v>115693581</v>
      </c>
    </row>
    <row r="3508" spans="2:4" x14ac:dyDescent="0.25">
      <c r="B3508" s="89">
        <v>3504</v>
      </c>
      <c r="C3508" s="39">
        <f t="shared" si="109"/>
        <v>157992929.59999999</v>
      </c>
      <c r="D3508" s="39">
        <f t="shared" si="110"/>
        <v>115726608</v>
      </c>
    </row>
    <row r="3509" spans="2:4" x14ac:dyDescent="0.25">
      <c r="B3509" s="89">
        <v>3505</v>
      </c>
      <c r="C3509" s="39">
        <f t="shared" si="109"/>
        <v>157992929.59999999</v>
      </c>
      <c r="D3509" s="39">
        <f t="shared" si="110"/>
        <v>115759635</v>
      </c>
    </row>
    <row r="3510" spans="2:4" x14ac:dyDescent="0.25">
      <c r="B3510" s="89">
        <v>3506</v>
      </c>
      <c r="C3510" s="39">
        <f t="shared" si="109"/>
        <v>157992929.59999999</v>
      </c>
      <c r="D3510" s="39">
        <f t="shared" si="110"/>
        <v>115792662</v>
      </c>
    </row>
    <row r="3511" spans="2:4" x14ac:dyDescent="0.25">
      <c r="B3511" s="89">
        <v>3507</v>
      </c>
      <c r="C3511" s="39">
        <f t="shared" si="109"/>
        <v>157992929.59999999</v>
      </c>
      <c r="D3511" s="39">
        <f t="shared" si="110"/>
        <v>115825689</v>
      </c>
    </row>
    <row r="3512" spans="2:4" x14ac:dyDescent="0.25">
      <c r="B3512" s="89">
        <v>3508</v>
      </c>
      <c r="C3512" s="39">
        <f t="shared" si="109"/>
        <v>157992929.59999999</v>
      </c>
      <c r="D3512" s="39">
        <f t="shared" si="110"/>
        <v>115858716</v>
      </c>
    </row>
    <row r="3513" spans="2:4" x14ac:dyDescent="0.25">
      <c r="B3513" s="89">
        <v>3509</v>
      </c>
      <c r="C3513" s="39">
        <f t="shared" si="109"/>
        <v>157992929.59999999</v>
      </c>
      <c r="D3513" s="39">
        <f t="shared" si="110"/>
        <v>115891743</v>
      </c>
    </row>
    <row r="3514" spans="2:4" x14ac:dyDescent="0.25">
      <c r="B3514" s="89">
        <v>3510</v>
      </c>
      <c r="C3514" s="39">
        <f t="shared" si="109"/>
        <v>157992929.59999999</v>
      </c>
      <c r="D3514" s="39">
        <f t="shared" si="110"/>
        <v>115924770</v>
      </c>
    </row>
    <row r="3515" spans="2:4" x14ac:dyDescent="0.25">
      <c r="B3515" s="89">
        <v>3511</v>
      </c>
      <c r="C3515" s="39">
        <f t="shared" si="109"/>
        <v>157992929.59999999</v>
      </c>
      <c r="D3515" s="39">
        <f t="shared" si="110"/>
        <v>115957797</v>
      </c>
    </row>
    <row r="3516" spans="2:4" x14ac:dyDescent="0.25">
      <c r="B3516" s="89">
        <v>3512</v>
      </c>
      <c r="C3516" s="39">
        <f t="shared" si="109"/>
        <v>157992929.59999999</v>
      </c>
      <c r="D3516" s="39">
        <f t="shared" si="110"/>
        <v>115990824</v>
      </c>
    </row>
    <row r="3517" spans="2:4" x14ac:dyDescent="0.25">
      <c r="B3517" s="89">
        <v>3513</v>
      </c>
      <c r="C3517" s="39">
        <f t="shared" si="109"/>
        <v>157992929.59999999</v>
      </c>
      <c r="D3517" s="39">
        <f t="shared" si="110"/>
        <v>116023851</v>
      </c>
    </row>
    <row r="3518" spans="2:4" x14ac:dyDescent="0.25">
      <c r="B3518" s="89">
        <v>3514</v>
      </c>
      <c r="C3518" s="39">
        <f t="shared" si="109"/>
        <v>157992929.59999999</v>
      </c>
      <c r="D3518" s="39">
        <f t="shared" si="110"/>
        <v>116056878</v>
      </c>
    </row>
    <row r="3519" spans="2:4" x14ac:dyDescent="0.25">
      <c r="B3519" s="89">
        <v>3515</v>
      </c>
      <c r="C3519" s="39">
        <f t="shared" si="109"/>
        <v>157992929.59999999</v>
      </c>
      <c r="D3519" s="39">
        <f t="shared" si="110"/>
        <v>116089905</v>
      </c>
    </row>
    <row r="3520" spans="2:4" x14ac:dyDescent="0.25">
      <c r="B3520" s="89">
        <v>3516</v>
      </c>
      <c r="C3520" s="39">
        <f t="shared" si="109"/>
        <v>157992929.59999999</v>
      </c>
      <c r="D3520" s="39">
        <f t="shared" si="110"/>
        <v>116122932</v>
      </c>
    </row>
    <row r="3521" spans="2:4" x14ac:dyDescent="0.25">
      <c r="B3521" s="89">
        <v>3517</v>
      </c>
      <c r="C3521" s="39">
        <f t="shared" si="109"/>
        <v>157992929.59999999</v>
      </c>
      <c r="D3521" s="39">
        <f t="shared" si="110"/>
        <v>116155959</v>
      </c>
    </row>
    <row r="3522" spans="2:4" x14ac:dyDescent="0.25">
      <c r="B3522" s="89">
        <v>3518</v>
      </c>
      <c r="C3522" s="39">
        <f t="shared" si="109"/>
        <v>157992929.59999999</v>
      </c>
      <c r="D3522" s="39">
        <f t="shared" si="110"/>
        <v>116188986</v>
      </c>
    </row>
    <row r="3523" spans="2:4" x14ac:dyDescent="0.25">
      <c r="B3523" s="89">
        <v>3519</v>
      </c>
      <c r="C3523" s="39">
        <f t="shared" si="109"/>
        <v>157992929.59999999</v>
      </c>
      <c r="D3523" s="39">
        <f t="shared" si="110"/>
        <v>116222013</v>
      </c>
    </row>
    <row r="3524" spans="2:4" x14ac:dyDescent="0.25">
      <c r="B3524" s="89">
        <v>3520</v>
      </c>
      <c r="C3524" s="39">
        <f t="shared" si="109"/>
        <v>157992929.59999999</v>
      </c>
      <c r="D3524" s="39">
        <f t="shared" si="110"/>
        <v>116255040</v>
      </c>
    </row>
    <row r="3525" spans="2:4" x14ac:dyDescent="0.25">
      <c r="B3525" s="89">
        <v>3521</v>
      </c>
      <c r="C3525" s="39">
        <f t="shared" si="109"/>
        <v>157992929.59999999</v>
      </c>
      <c r="D3525" s="39">
        <f t="shared" si="110"/>
        <v>116288067</v>
      </c>
    </row>
    <row r="3526" spans="2:4" x14ac:dyDescent="0.25">
      <c r="B3526" s="89">
        <v>3522</v>
      </c>
      <c r="C3526" s="39">
        <f t="shared" ref="C3526:C3589" si="111">$C3525</f>
        <v>157992929.59999999</v>
      </c>
      <c r="D3526" s="39">
        <f t="shared" si="110"/>
        <v>116321094</v>
      </c>
    </row>
    <row r="3527" spans="2:4" x14ac:dyDescent="0.25">
      <c r="B3527" s="89">
        <v>3523</v>
      </c>
      <c r="C3527" s="39">
        <f t="shared" si="111"/>
        <v>157992929.59999999</v>
      </c>
      <c r="D3527" s="39">
        <f t="shared" si="110"/>
        <v>116354121</v>
      </c>
    </row>
    <row r="3528" spans="2:4" x14ac:dyDescent="0.25">
      <c r="B3528" s="89">
        <v>3524</v>
      </c>
      <c r="C3528" s="39">
        <f t="shared" si="111"/>
        <v>157992929.59999999</v>
      </c>
      <c r="D3528" s="39">
        <f t="shared" si="110"/>
        <v>116387148</v>
      </c>
    </row>
    <row r="3529" spans="2:4" x14ac:dyDescent="0.25">
      <c r="B3529" s="89">
        <v>3525</v>
      </c>
      <c r="C3529" s="39">
        <f t="shared" si="111"/>
        <v>157992929.59999999</v>
      </c>
      <c r="D3529" s="39">
        <f t="shared" si="110"/>
        <v>116420175</v>
      </c>
    </row>
    <row r="3530" spans="2:4" x14ac:dyDescent="0.25">
      <c r="B3530" s="89">
        <v>3526</v>
      </c>
      <c r="C3530" s="39">
        <f t="shared" si="111"/>
        <v>157992929.59999999</v>
      </c>
      <c r="D3530" s="39">
        <f t="shared" si="110"/>
        <v>116453202</v>
      </c>
    </row>
    <row r="3531" spans="2:4" x14ac:dyDescent="0.25">
      <c r="B3531" s="89">
        <v>3527</v>
      </c>
      <c r="C3531" s="39">
        <f t="shared" si="111"/>
        <v>157992929.59999999</v>
      </c>
      <c r="D3531" s="39">
        <f t="shared" si="110"/>
        <v>116486229</v>
      </c>
    </row>
    <row r="3532" spans="2:4" x14ac:dyDescent="0.25">
      <c r="B3532" s="89">
        <v>3528</v>
      </c>
      <c r="C3532" s="39">
        <f t="shared" si="111"/>
        <v>157992929.59999999</v>
      </c>
      <c r="D3532" s="39">
        <f t="shared" si="110"/>
        <v>116519256</v>
      </c>
    </row>
    <row r="3533" spans="2:4" x14ac:dyDescent="0.25">
      <c r="B3533" s="89">
        <v>3529</v>
      </c>
      <c r="C3533" s="39">
        <f t="shared" si="111"/>
        <v>157992929.59999999</v>
      </c>
      <c r="D3533" s="39">
        <f t="shared" si="110"/>
        <v>116552283</v>
      </c>
    </row>
    <row r="3534" spans="2:4" x14ac:dyDescent="0.25">
      <c r="B3534" s="89">
        <v>3530</v>
      </c>
      <c r="C3534" s="39">
        <f t="shared" si="111"/>
        <v>157992929.59999999</v>
      </c>
      <c r="D3534" s="39">
        <f t="shared" si="110"/>
        <v>116585310</v>
      </c>
    </row>
    <row r="3535" spans="2:4" x14ac:dyDescent="0.25">
      <c r="B3535" s="89">
        <v>3531</v>
      </c>
      <c r="C3535" s="39">
        <f t="shared" si="111"/>
        <v>157992929.59999999</v>
      </c>
      <c r="D3535" s="39">
        <f t="shared" si="110"/>
        <v>116618337</v>
      </c>
    </row>
    <row r="3536" spans="2:4" x14ac:dyDescent="0.25">
      <c r="B3536" s="89">
        <v>3532</v>
      </c>
      <c r="C3536" s="39">
        <f t="shared" si="111"/>
        <v>157992929.59999999</v>
      </c>
      <c r="D3536" s="39">
        <f t="shared" si="110"/>
        <v>116651364</v>
      </c>
    </row>
    <row r="3537" spans="2:4" x14ac:dyDescent="0.25">
      <c r="B3537" s="89">
        <v>3533</v>
      </c>
      <c r="C3537" s="39">
        <f t="shared" si="111"/>
        <v>157992929.59999999</v>
      </c>
      <c r="D3537" s="39">
        <f t="shared" si="110"/>
        <v>116684391</v>
      </c>
    </row>
    <row r="3538" spans="2:4" x14ac:dyDescent="0.25">
      <c r="B3538" s="89">
        <v>3534</v>
      </c>
      <c r="C3538" s="39">
        <f t="shared" si="111"/>
        <v>157992929.59999999</v>
      </c>
      <c r="D3538" s="39">
        <f t="shared" si="110"/>
        <v>116717418</v>
      </c>
    </row>
    <row r="3539" spans="2:4" x14ac:dyDescent="0.25">
      <c r="B3539" s="89">
        <v>3535</v>
      </c>
      <c r="C3539" s="39">
        <f t="shared" si="111"/>
        <v>157992929.59999999</v>
      </c>
      <c r="D3539" s="39">
        <f t="shared" si="110"/>
        <v>116750445</v>
      </c>
    </row>
    <row r="3540" spans="2:4" x14ac:dyDescent="0.25">
      <c r="B3540" s="89">
        <v>3536</v>
      </c>
      <c r="C3540" s="39">
        <f t="shared" si="111"/>
        <v>157992929.59999999</v>
      </c>
      <c r="D3540" s="39">
        <f t="shared" si="110"/>
        <v>116783472</v>
      </c>
    </row>
    <row r="3541" spans="2:4" x14ac:dyDescent="0.25">
      <c r="B3541" s="89">
        <v>3537</v>
      </c>
      <c r="C3541" s="39">
        <f t="shared" si="111"/>
        <v>157992929.59999999</v>
      </c>
      <c r="D3541" s="39">
        <f t="shared" si="110"/>
        <v>116816499</v>
      </c>
    </row>
    <row r="3542" spans="2:4" x14ac:dyDescent="0.25">
      <c r="B3542" s="89">
        <v>3538</v>
      </c>
      <c r="C3542" s="39">
        <f t="shared" si="111"/>
        <v>157992929.59999999</v>
      </c>
      <c r="D3542" s="39">
        <f t="shared" si="110"/>
        <v>116849526</v>
      </c>
    </row>
    <row r="3543" spans="2:4" x14ac:dyDescent="0.25">
      <c r="B3543" s="89">
        <v>3539</v>
      </c>
      <c r="C3543" s="39">
        <f t="shared" si="111"/>
        <v>157992929.59999999</v>
      </c>
      <c r="D3543" s="39">
        <f t="shared" si="110"/>
        <v>116882553</v>
      </c>
    </row>
    <row r="3544" spans="2:4" x14ac:dyDescent="0.25">
      <c r="B3544" s="89">
        <v>3540</v>
      </c>
      <c r="C3544" s="39">
        <f t="shared" si="111"/>
        <v>157992929.59999999</v>
      </c>
      <c r="D3544" s="39">
        <f t="shared" si="110"/>
        <v>116915580</v>
      </c>
    </row>
    <row r="3545" spans="2:4" x14ac:dyDescent="0.25">
      <c r="B3545" s="89">
        <v>3541</v>
      </c>
      <c r="C3545" s="39">
        <f t="shared" si="111"/>
        <v>157992929.59999999</v>
      </c>
      <c r="D3545" s="39">
        <f t="shared" si="110"/>
        <v>116948607</v>
      </c>
    </row>
    <row r="3546" spans="2:4" x14ac:dyDescent="0.25">
      <c r="B3546" s="89">
        <v>3542</v>
      </c>
      <c r="C3546" s="39">
        <f t="shared" si="111"/>
        <v>157992929.59999999</v>
      </c>
      <c r="D3546" s="39">
        <f t="shared" si="110"/>
        <v>116981634</v>
      </c>
    </row>
    <row r="3547" spans="2:4" x14ac:dyDescent="0.25">
      <c r="B3547" s="89">
        <v>3543</v>
      </c>
      <c r="C3547" s="39">
        <f t="shared" si="111"/>
        <v>157992929.59999999</v>
      </c>
      <c r="D3547" s="39">
        <f t="shared" si="110"/>
        <v>117014661</v>
      </c>
    </row>
    <row r="3548" spans="2:4" x14ac:dyDescent="0.25">
      <c r="B3548" s="89">
        <v>3544</v>
      </c>
      <c r="C3548" s="39">
        <f t="shared" si="111"/>
        <v>157992929.59999999</v>
      </c>
      <c r="D3548" s="39">
        <f t="shared" si="110"/>
        <v>117047688</v>
      </c>
    </row>
    <row r="3549" spans="2:4" x14ac:dyDescent="0.25">
      <c r="B3549" s="89">
        <v>3545</v>
      </c>
      <c r="C3549" s="39">
        <f t="shared" si="111"/>
        <v>157992929.59999999</v>
      </c>
      <c r="D3549" s="39">
        <f t="shared" si="110"/>
        <v>117080715</v>
      </c>
    </row>
    <row r="3550" spans="2:4" x14ac:dyDescent="0.25">
      <c r="B3550" s="89">
        <v>3546</v>
      </c>
      <c r="C3550" s="39">
        <f t="shared" si="111"/>
        <v>157992929.59999999</v>
      </c>
      <c r="D3550" s="39">
        <f t="shared" si="110"/>
        <v>117113742</v>
      </c>
    </row>
    <row r="3551" spans="2:4" x14ac:dyDescent="0.25">
      <c r="B3551" s="89">
        <v>3547</v>
      </c>
      <c r="C3551" s="39">
        <f t="shared" si="111"/>
        <v>157992929.59999999</v>
      </c>
      <c r="D3551" s="39">
        <f t="shared" si="110"/>
        <v>117146769</v>
      </c>
    </row>
    <row r="3552" spans="2:4" x14ac:dyDescent="0.25">
      <c r="B3552" s="89">
        <v>3548</v>
      </c>
      <c r="C3552" s="39">
        <f t="shared" si="111"/>
        <v>157992929.59999999</v>
      </c>
      <c r="D3552" s="39">
        <f t="shared" si="110"/>
        <v>117179796</v>
      </c>
    </row>
    <row r="3553" spans="2:4" x14ac:dyDescent="0.25">
      <c r="B3553" s="89">
        <v>3549</v>
      </c>
      <c r="C3553" s="39">
        <f t="shared" si="111"/>
        <v>157992929.59999999</v>
      </c>
      <c r="D3553" s="39">
        <f t="shared" si="110"/>
        <v>117212823</v>
      </c>
    </row>
    <row r="3554" spans="2:4" x14ac:dyDescent="0.25">
      <c r="B3554" s="89">
        <v>3550</v>
      </c>
      <c r="C3554" s="39">
        <f t="shared" si="111"/>
        <v>157992929.59999999</v>
      </c>
      <c r="D3554" s="39">
        <f t="shared" si="110"/>
        <v>117245850</v>
      </c>
    </row>
    <row r="3555" spans="2:4" x14ac:dyDescent="0.25">
      <c r="B3555" s="89">
        <v>3551</v>
      </c>
      <c r="C3555" s="39">
        <f t="shared" si="111"/>
        <v>157992929.59999999</v>
      </c>
      <c r="D3555" s="39">
        <f t="shared" si="110"/>
        <v>117278877</v>
      </c>
    </row>
    <row r="3556" spans="2:4" x14ac:dyDescent="0.25">
      <c r="B3556" s="89">
        <v>3552</v>
      </c>
      <c r="C3556" s="39">
        <f t="shared" si="111"/>
        <v>157992929.59999999</v>
      </c>
      <c r="D3556" s="39">
        <f t="shared" si="110"/>
        <v>117311904</v>
      </c>
    </row>
    <row r="3557" spans="2:4" x14ac:dyDescent="0.25">
      <c r="B3557" s="89">
        <v>3553</v>
      </c>
      <c r="C3557" s="39">
        <f t="shared" si="111"/>
        <v>157992929.59999999</v>
      </c>
      <c r="D3557" s="39">
        <f t="shared" si="110"/>
        <v>117344931</v>
      </c>
    </row>
    <row r="3558" spans="2:4" x14ac:dyDescent="0.25">
      <c r="B3558" s="89">
        <v>3554</v>
      </c>
      <c r="C3558" s="39">
        <f t="shared" si="111"/>
        <v>157992929.59999999</v>
      </c>
      <c r="D3558" s="39">
        <f t="shared" si="110"/>
        <v>117377958</v>
      </c>
    </row>
    <row r="3559" spans="2:4" x14ac:dyDescent="0.25">
      <c r="B3559" s="89">
        <v>3555</v>
      </c>
      <c r="C3559" s="39">
        <f t="shared" si="111"/>
        <v>157992929.59999999</v>
      </c>
      <c r="D3559" s="39">
        <f t="shared" si="110"/>
        <v>117410985</v>
      </c>
    </row>
    <row r="3560" spans="2:4" x14ac:dyDescent="0.25">
      <c r="B3560" s="89">
        <v>3556</v>
      </c>
      <c r="C3560" s="39">
        <f t="shared" si="111"/>
        <v>157992929.59999999</v>
      </c>
      <c r="D3560" s="39">
        <f t="shared" si="110"/>
        <v>117444012</v>
      </c>
    </row>
    <row r="3561" spans="2:4" x14ac:dyDescent="0.25">
      <c r="B3561" s="89">
        <v>3557</v>
      </c>
      <c r="C3561" s="39">
        <f t="shared" si="111"/>
        <v>157992929.59999999</v>
      </c>
      <c r="D3561" s="39">
        <f t="shared" si="110"/>
        <v>117477039</v>
      </c>
    </row>
    <row r="3562" spans="2:4" x14ac:dyDescent="0.25">
      <c r="B3562" s="89">
        <v>3558</v>
      </c>
      <c r="C3562" s="39">
        <f t="shared" si="111"/>
        <v>157992929.59999999</v>
      </c>
      <c r="D3562" s="39">
        <f t="shared" si="110"/>
        <v>117510066</v>
      </c>
    </row>
    <row r="3563" spans="2:4" x14ac:dyDescent="0.25">
      <c r="B3563" s="89">
        <v>3559</v>
      </c>
      <c r="C3563" s="39">
        <f t="shared" si="111"/>
        <v>157992929.59999999</v>
      </c>
      <c r="D3563" s="39">
        <f t="shared" si="110"/>
        <v>117543093</v>
      </c>
    </row>
    <row r="3564" spans="2:4" x14ac:dyDescent="0.25">
      <c r="B3564" s="89">
        <v>3560</v>
      </c>
      <c r="C3564" s="39">
        <f t="shared" si="111"/>
        <v>157992929.59999999</v>
      </c>
      <c r="D3564" s="39">
        <f t="shared" si="110"/>
        <v>117576120</v>
      </c>
    </row>
    <row r="3565" spans="2:4" x14ac:dyDescent="0.25">
      <c r="B3565" s="89">
        <v>3561</v>
      </c>
      <c r="C3565" s="39">
        <f t="shared" si="111"/>
        <v>157992929.59999999</v>
      </c>
      <c r="D3565" s="39">
        <f t="shared" si="110"/>
        <v>117609147</v>
      </c>
    </row>
    <row r="3566" spans="2:4" x14ac:dyDescent="0.25">
      <c r="B3566" s="89">
        <v>3562</v>
      </c>
      <c r="C3566" s="39">
        <f t="shared" si="111"/>
        <v>157992929.59999999</v>
      </c>
      <c r="D3566" s="39">
        <f t="shared" si="110"/>
        <v>117642174</v>
      </c>
    </row>
    <row r="3567" spans="2:4" x14ac:dyDescent="0.25">
      <c r="B3567" s="89">
        <v>3563</v>
      </c>
      <c r="C3567" s="39">
        <f t="shared" si="111"/>
        <v>157992929.59999999</v>
      </c>
      <c r="D3567" s="39">
        <f t="shared" si="110"/>
        <v>117675201</v>
      </c>
    </row>
    <row r="3568" spans="2:4" x14ac:dyDescent="0.25">
      <c r="B3568" s="89">
        <v>3564</v>
      </c>
      <c r="C3568" s="39">
        <f t="shared" si="111"/>
        <v>157992929.59999999</v>
      </c>
      <c r="D3568" s="39">
        <f t="shared" si="110"/>
        <v>117708228</v>
      </c>
    </row>
    <row r="3569" spans="2:4" x14ac:dyDescent="0.25">
      <c r="B3569" s="89">
        <v>3565</v>
      </c>
      <c r="C3569" s="39">
        <f t="shared" si="111"/>
        <v>157992929.59999999</v>
      </c>
      <c r="D3569" s="39">
        <f t="shared" ref="D3569:D3632" si="112">$D$2*B3569</f>
        <v>117741255</v>
      </c>
    </row>
    <row r="3570" spans="2:4" x14ac:dyDescent="0.25">
      <c r="B3570" s="89">
        <v>3566</v>
      </c>
      <c r="C3570" s="39">
        <f t="shared" si="111"/>
        <v>157992929.59999999</v>
      </c>
      <c r="D3570" s="39">
        <f t="shared" si="112"/>
        <v>117774282</v>
      </c>
    </row>
    <row r="3571" spans="2:4" x14ac:dyDescent="0.25">
      <c r="B3571" s="89">
        <v>3567</v>
      </c>
      <c r="C3571" s="39">
        <f t="shared" si="111"/>
        <v>157992929.59999999</v>
      </c>
      <c r="D3571" s="39">
        <f t="shared" si="112"/>
        <v>117807309</v>
      </c>
    </row>
    <row r="3572" spans="2:4" x14ac:dyDescent="0.25">
      <c r="B3572" s="89">
        <v>3568</v>
      </c>
      <c r="C3572" s="39">
        <f t="shared" si="111"/>
        <v>157992929.59999999</v>
      </c>
      <c r="D3572" s="39">
        <f t="shared" si="112"/>
        <v>117840336</v>
      </c>
    </row>
    <row r="3573" spans="2:4" x14ac:dyDescent="0.25">
      <c r="B3573" s="89">
        <v>3569</v>
      </c>
      <c r="C3573" s="39">
        <f t="shared" si="111"/>
        <v>157992929.59999999</v>
      </c>
      <c r="D3573" s="39">
        <f t="shared" si="112"/>
        <v>117873363</v>
      </c>
    </row>
    <row r="3574" spans="2:4" x14ac:dyDescent="0.25">
      <c r="B3574" s="89">
        <v>3570</v>
      </c>
      <c r="C3574" s="39">
        <f t="shared" si="111"/>
        <v>157992929.59999999</v>
      </c>
      <c r="D3574" s="39">
        <f t="shared" si="112"/>
        <v>117906390</v>
      </c>
    </row>
    <row r="3575" spans="2:4" x14ac:dyDescent="0.25">
      <c r="B3575" s="89">
        <v>3571</v>
      </c>
      <c r="C3575" s="39">
        <f t="shared" si="111"/>
        <v>157992929.59999999</v>
      </c>
      <c r="D3575" s="39">
        <f t="shared" si="112"/>
        <v>117939417</v>
      </c>
    </row>
    <row r="3576" spans="2:4" x14ac:dyDescent="0.25">
      <c r="B3576" s="89">
        <v>3572</v>
      </c>
      <c r="C3576" s="39">
        <f t="shared" si="111"/>
        <v>157992929.59999999</v>
      </c>
      <c r="D3576" s="39">
        <f t="shared" si="112"/>
        <v>117972444</v>
      </c>
    </row>
    <row r="3577" spans="2:4" x14ac:dyDescent="0.25">
      <c r="B3577" s="89">
        <v>3573</v>
      </c>
      <c r="C3577" s="39">
        <f t="shared" si="111"/>
        <v>157992929.59999999</v>
      </c>
      <c r="D3577" s="39">
        <f t="shared" si="112"/>
        <v>118005471</v>
      </c>
    </row>
    <row r="3578" spans="2:4" x14ac:dyDescent="0.25">
      <c r="B3578" s="89">
        <v>3574</v>
      </c>
      <c r="C3578" s="39">
        <f t="shared" si="111"/>
        <v>157992929.59999999</v>
      </c>
      <c r="D3578" s="39">
        <f t="shared" si="112"/>
        <v>118038498</v>
      </c>
    </row>
    <row r="3579" spans="2:4" x14ac:dyDescent="0.25">
      <c r="B3579" s="89">
        <v>3575</v>
      </c>
      <c r="C3579" s="39">
        <f t="shared" si="111"/>
        <v>157992929.59999999</v>
      </c>
      <c r="D3579" s="39">
        <f t="shared" si="112"/>
        <v>118071525</v>
      </c>
    </row>
    <row r="3580" spans="2:4" x14ac:dyDescent="0.25">
      <c r="B3580" s="89">
        <v>3576</v>
      </c>
      <c r="C3580" s="39">
        <f t="shared" si="111"/>
        <v>157992929.59999999</v>
      </c>
      <c r="D3580" s="39">
        <f t="shared" si="112"/>
        <v>118104552</v>
      </c>
    </row>
    <row r="3581" spans="2:4" x14ac:dyDescent="0.25">
      <c r="B3581" s="89">
        <v>3577</v>
      </c>
      <c r="C3581" s="39">
        <f t="shared" si="111"/>
        <v>157992929.59999999</v>
      </c>
      <c r="D3581" s="39">
        <f t="shared" si="112"/>
        <v>118137579</v>
      </c>
    </row>
    <row r="3582" spans="2:4" x14ac:dyDescent="0.25">
      <c r="B3582" s="89">
        <v>3578</v>
      </c>
      <c r="C3582" s="39">
        <f t="shared" si="111"/>
        <v>157992929.59999999</v>
      </c>
      <c r="D3582" s="39">
        <f t="shared" si="112"/>
        <v>118170606</v>
      </c>
    </row>
    <row r="3583" spans="2:4" x14ac:dyDescent="0.25">
      <c r="B3583" s="89">
        <v>3579</v>
      </c>
      <c r="C3583" s="39">
        <f t="shared" si="111"/>
        <v>157992929.59999999</v>
      </c>
      <c r="D3583" s="39">
        <f t="shared" si="112"/>
        <v>118203633</v>
      </c>
    </row>
    <row r="3584" spans="2:4" x14ac:dyDescent="0.25">
      <c r="B3584" s="89">
        <v>3580</v>
      </c>
      <c r="C3584" s="39">
        <f t="shared" si="111"/>
        <v>157992929.59999999</v>
      </c>
      <c r="D3584" s="39">
        <f t="shared" si="112"/>
        <v>118236660</v>
      </c>
    </row>
    <row r="3585" spans="2:4" x14ac:dyDescent="0.25">
      <c r="B3585" s="89">
        <v>3581</v>
      </c>
      <c r="C3585" s="39">
        <f t="shared" si="111"/>
        <v>157992929.59999999</v>
      </c>
      <c r="D3585" s="39">
        <f t="shared" si="112"/>
        <v>118269687</v>
      </c>
    </row>
    <row r="3586" spans="2:4" x14ac:dyDescent="0.25">
      <c r="B3586" s="89">
        <v>3582</v>
      </c>
      <c r="C3586" s="39">
        <f t="shared" si="111"/>
        <v>157992929.59999999</v>
      </c>
      <c r="D3586" s="39">
        <f t="shared" si="112"/>
        <v>118302714</v>
      </c>
    </row>
    <row r="3587" spans="2:4" x14ac:dyDescent="0.25">
      <c r="B3587" s="89">
        <v>3583</v>
      </c>
      <c r="C3587" s="39">
        <f t="shared" si="111"/>
        <v>157992929.59999999</v>
      </c>
      <c r="D3587" s="39">
        <f t="shared" si="112"/>
        <v>118335741</v>
      </c>
    </row>
    <row r="3588" spans="2:4" x14ac:dyDescent="0.25">
      <c r="B3588" s="89">
        <v>3584</v>
      </c>
      <c r="C3588" s="39">
        <f t="shared" si="111"/>
        <v>157992929.59999999</v>
      </c>
      <c r="D3588" s="39">
        <f t="shared" si="112"/>
        <v>118368768</v>
      </c>
    </row>
    <row r="3589" spans="2:4" x14ac:dyDescent="0.25">
      <c r="B3589" s="89">
        <v>3585</v>
      </c>
      <c r="C3589" s="39">
        <f t="shared" si="111"/>
        <v>157992929.59999999</v>
      </c>
      <c r="D3589" s="39">
        <f t="shared" si="112"/>
        <v>118401795</v>
      </c>
    </row>
    <row r="3590" spans="2:4" x14ac:dyDescent="0.25">
      <c r="B3590" s="89">
        <v>3586</v>
      </c>
      <c r="C3590" s="39">
        <f t="shared" ref="C3590:C3653" si="113">$C3589</f>
        <v>157992929.59999999</v>
      </c>
      <c r="D3590" s="39">
        <f t="shared" si="112"/>
        <v>118434822</v>
      </c>
    </row>
    <row r="3591" spans="2:4" x14ac:dyDescent="0.25">
      <c r="B3591" s="89">
        <v>3587</v>
      </c>
      <c r="C3591" s="39">
        <f t="shared" si="113"/>
        <v>157992929.59999999</v>
      </c>
      <c r="D3591" s="39">
        <f t="shared" si="112"/>
        <v>118467849</v>
      </c>
    </row>
    <row r="3592" spans="2:4" x14ac:dyDescent="0.25">
      <c r="B3592" s="89">
        <v>3588</v>
      </c>
      <c r="C3592" s="39">
        <f t="shared" si="113"/>
        <v>157992929.59999999</v>
      </c>
      <c r="D3592" s="39">
        <f t="shared" si="112"/>
        <v>118500876</v>
      </c>
    </row>
    <row r="3593" spans="2:4" x14ac:dyDescent="0.25">
      <c r="B3593" s="89">
        <v>3589</v>
      </c>
      <c r="C3593" s="39">
        <f t="shared" si="113"/>
        <v>157992929.59999999</v>
      </c>
      <c r="D3593" s="39">
        <f t="shared" si="112"/>
        <v>118533903</v>
      </c>
    </row>
    <row r="3594" spans="2:4" x14ac:dyDescent="0.25">
      <c r="B3594" s="89">
        <v>3590</v>
      </c>
      <c r="C3594" s="39">
        <f t="shared" si="113"/>
        <v>157992929.59999999</v>
      </c>
      <c r="D3594" s="39">
        <f t="shared" si="112"/>
        <v>118566930</v>
      </c>
    </row>
    <row r="3595" spans="2:4" x14ac:dyDescent="0.25">
      <c r="B3595" s="89">
        <v>3591</v>
      </c>
      <c r="C3595" s="39">
        <f t="shared" si="113"/>
        <v>157992929.59999999</v>
      </c>
      <c r="D3595" s="39">
        <f t="shared" si="112"/>
        <v>118599957</v>
      </c>
    </row>
    <row r="3596" spans="2:4" x14ac:dyDescent="0.25">
      <c r="B3596" s="89">
        <v>3592</v>
      </c>
      <c r="C3596" s="39">
        <f t="shared" si="113"/>
        <v>157992929.59999999</v>
      </c>
      <c r="D3596" s="39">
        <f t="shared" si="112"/>
        <v>118632984</v>
      </c>
    </row>
    <row r="3597" spans="2:4" x14ac:dyDescent="0.25">
      <c r="B3597" s="89">
        <v>3593</v>
      </c>
      <c r="C3597" s="39">
        <f t="shared" si="113"/>
        <v>157992929.59999999</v>
      </c>
      <c r="D3597" s="39">
        <f t="shared" si="112"/>
        <v>118666011</v>
      </c>
    </row>
    <row r="3598" spans="2:4" x14ac:dyDescent="0.25">
      <c r="B3598" s="89">
        <v>3594</v>
      </c>
      <c r="C3598" s="39">
        <f t="shared" si="113"/>
        <v>157992929.59999999</v>
      </c>
      <c r="D3598" s="39">
        <f t="shared" si="112"/>
        <v>118699038</v>
      </c>
    </row>
    <row r="3599" spans="2:4" x14ac:dyDescent="0.25">
      <c r="B3599" s="89">
        <v>3595</v>
      </c>
      <c r="C3599" s="39">
        <f t="shared" si="113"/>
        <v>157992929.59999999</v>
      </c>
      <c r="D3599" s="39">
        <f t="shared" si="112"/>
        <v>118732065</v>
      </c>
    </row>
    <row r="3600" spans="2:4" x14ac:dyDescent="0.25">
      <c r="B3600" s="89">
        <v>3596</v>
      </c>
      <c r="C3600" s="39">
        <f t="shared" si="113"/>
        <v>157992929.59999999</v>
      </c>
      <c r="D3600" s="39">
        <f t="shared" si="112"/>
        <v>118765092</v>
      </c>
    </row>
    <row r="3601" spans="2:4" x14ac:dyDescent="0.25">
      <c r="B3601" s="89">
        <v>3597</v>
      </c>
      <c r="C3601" s="39">
        <f t="shared" si="113"/>
        <v>157992929.59999999</v>
      </c>
      <c r="D3601" s="39">
        <f t="shared" si="112"/>
        <v>118798119</v>
      </c>
    </row>
    <row r="3602" spans="2:4" x14ac:dyDescent="0.25">
      <c r="B3602" s="89">
        <v>3598</v>
      </c>
      <c r="C3602" s="39">
        <f t="shared" si="113"/>
        <v>157992929.59999999</v>
      </c>
      <c r="D3602" s="39">
        <f t="shared" si="112"/>
        <v>118831146</v>
      </c>
    </row>
    <row r="3603" spans="2:4" x14ac:dyDescent="0.25">
      <c r="B3603" s="89">
        <v>3599</v>
      </c>
      <c r="C3603" s="39">
        <f t="shared" si="113"/>
        <v>157992929.59999999</v>
      </c>
      <c r="D3603" s="39">
        <f t="shared" si="112"/>
        <v>118864173</v>
      </c>
    </row>
    <row r="3604" spans="2:4" x14ac:dyDescent="0.25">
      <c r="B3604" s="89">
        <v>3600</v>
      </c>
      <c r="C3604" s="39">
        <f t="shared" si="113"/>
        <v>157992929.59999999</v>
      </c>
      <c r="D3604" s="39">
        <f t="shared" si="112"/>
        <v>118897200</v>
      </c>
    </row>
    <row r="3605" spans="2:4" x14ac:dyDescent="0.25">
      <c r="B3605" s="89">
        <v>3601</v>
      </c>
      <c r="C3605" s="39">
        <f t="shared" si="113"/>
        <v>157992929.59999999</v>
      </c>
      <c r="D3605" s="39">
        <f t="shared" si="112"/>
        <v>118930227</v>
      </c>
    </row>
    <row r="3606" spans="2:4" x14ac:dyDescent="0.25">
      <c r="B3606" s="89">
        <v>3602</v>
      </c>
      <c r="C3606" s="39">
        <f t="shared" si="113"/>
        <v>157992929.59999999</v>
      </c>
      <c r="D3606" s="39">
        <f t="shared" si="112"/>
        <v>118963254</v>
      </c>
    </row>
    <row r="3607" spans="2:4" x14ac:dyDescent="0.25">
      <c r="B3607" s="89">
        <v>3603</v>
      </c>
      <c r="C3607" s="39">
        <f t="shared" si="113"/>
        <v>157992929.59999999</v>
      </c>
      <c r="D3607" s="39">
        <f t="shared" si="112"/>
        <v>118996281</v>
      </c>
    </row>
    <row r="3608" spans="2:4" x14ac:dyDescent="0.25">
      <c r="B3608" s="89">
        <v>3604</v>
      </c>
      <c r="C3608" s="39">
        <f t="shared" si="113"/>
        <v>157992929.59999999</v>
      </c>
      <c r="D3608" s="39">
        <f t="shared" si="112"/>
        <v>119029308</v>
      </c>
    </row>
    <row r="3609" spans="2:4" x14ac:dyDescent="0.25">
      <c r="B3609" s="89">
        <v>3605</v>
      </c>
      <c r="C3609" s="39">
        <f t="shared" si="113"/>
        <v>157992929.59999999</v>
      </c>
      <c r="D3609" s="39">
        <f t="shared" si="112"/>
        <v>119062335</v>
      </c>
    </row>
    <row r="3610" spans="2:4" x14ac:dyDescent="0.25">
      <c r="B3610" s="89">
        <v>3606</v>
      </c>
      <c r="C3610" s="39">
        <f t="shared" si="113"/>
        <v>157992929.59999999</v>
      </c>
      <c r="D3610" s="39">
        <f t="shared" si="112"/>
        <v>119095362</v>
      </c>
    </row>
    <row r="3611" spans="2:4" x14ac:dyDescent="0.25">
      <c r="B3611" s="89">
        <v>3607</v>
      </c>
      <c r="C3611" s="39">
        <f t="shared" si="113"/>
        <v>157992929.59999999</v>
      </c>
      <c r="D3611" s="39">
        <f t="shared" si="112"/>
        <v>119128389</v>
      </c>
    </row>
    <row r="3612" spans="2:4" x14ac:dyDescent="0.25">
      <c r="B3612" s="89">
        <v>3608</v>
      </c>
      <c r="C3612" s="39">
        <f t="shared" si="113"/>
        <v>157992929.59999999</v>
      </c>
      <c r="D3612" s="39">
        <f t="shared" si="112"/>
        <v>119161416</v>
      </c>
    </row>
    <row r="3613" spans="2:4" x14ac:dyDescent="0.25">
      <c r="B3613" s="89">
        <v>3609</v>
      </c>
      <c r="C3613" s="39">
        <f t="shared" si="113"/>
        <v>157992929.59999999</v>
      </c>
      <c r="D3613" s="39">
        <f t="shared" si="112"/>
        <v>119194443</v>
      </c>
    </row>
    <row r="3614" spans="2:4" x14ac:dyDescent="0.25">
      <c r="B3614" s="89">
        <v>3610</v>
      </c>
      <c r="C3614" s="39">
        <f t="shared" si="113"/>
        <v>157992929.59999999</v>
      </c>
      <c r="D3614" s="39">
        <f t="shared" si="112"/>
        <v>119227470</v>
      </c>
    </row>
    <row r="3615" spans="2:4" x14ac:dyDescent="0.25">
      <c r="B3615" s="89">
        <v>3611</v>
      </c>
      <c r="C3615" s="39">
        <f t="shared" si="113"/>
        <v>157992929.59999999</v>
      </c>
      <c r="D3615" s="39">
        <f t="shared" si="112"/>
        <v>119260497</v>
      </c>
    </row>
    <row r="3616" spans="2:4" x14ac:dyDescent="0.25">
      <c r="B3616" s="89">
        <v>3612</v>
      </c>
      <c r="C3616" s="39">
        <f t="shared" si="113"/>
        <v>157992929.59999999</v>
      </c>
      <c r="D3616" s="39">
        <f t="shared" si="112"/>
        <v>119293524</v>
      </c>
    </row>
    <row r="3617" spans="2:4" x14ac:dyDescent="0.25">
      <c r="B3617" s="89">
        <v>3613</v>
      </c>
      <c r="C3617" s="39">
        <f t="shared" si="113"/>
        <v>157992929.59999999</v>
      </c>
      <c r="D3617" s="39">
        <f t="shared" si="112"/>
        <v>119326551</v>
      </c>
    </row>
    <row r="3618" spans="2:4" x14ac:dyDescent="0.25">
      <c r="B3618" s="89">
        <v>3614</v>
      </c>
      <c r="C3618" s="39">
        <f t="shared" si="113"/>
        <v>157992929.59999999</v>
      </c>
      <c r="D3618" s="39">
        <f t="shared" si="112"/>
        <v>119359578</v>
      </c>
    </row>
    <row r="3619" spans="2:4" x14ac:dyDescent="0.25">
      <c r="B3619" s="89">
        <v>3615</v>
      </c>
      <c r="C3619" s="39">
        <f t="shared" si="113"/>
        <v>157992929.59999999</v>
      </c>
      <c r="D3619" s="39">
        <f t="shared" si="112"/>
        <v>119392605</v>
      </c>
    </row>
    <row r="3620" spans="2:4" x14ac:dyDescent="0.25">
      <c r="B3620" s="89">
        <v>3616</v>
      </c>
      <c r="C3620" s="39">
        <f t="shared" si="113"/>
        <v>157992929.59999999</v>
      </c>
      <c r="D3620" s="39">
        <f t="shared" si="112"/>
        <v>119425632</v>
      </c>
    </row>
    <row r="3621" spans="2:4" x14ac:dyDescent="0.25">
      <c r="B3621" s="89">
        <v>3617</v>
      </c>
      <c r="C3621" s="39">
        <f t="shared" si="113"/>
        <v>157992929.59999999</v>
      </c>
      <c r="D3621" s="39">
        <f t="shared" si="112"/>
        <v>119458659</v>
      </c>
    </row>
    <row r="3622" spans="2:4" x14ac:dyDescent="0.25">
      <c r="B3622" s="89">
        <v>3618</v>
      </c>
      <c r="C3622" s="39">
        <f t="shared" si="113"/>
        <v>157992929.59999999</v>
      </c>
      <c r="D3622" s="39">
        <f t="shared" si="112"/>
        <v>119491686</v>
      </c>
    </row>
    <row r="3623" spans="2:4" x14ac:dyDescent="0.25">
      <c r="B3623" s="89">
        <v>3619</v>
      </c>
      <c r="C3623" s="39">
        <f t="shared" si="113"/>
        <v>157992929.59999999</v>
      </c>
      <c r="D3623" s="39">
        <f t="shared" si="112"/>
        <v>119524713</v>
      </c>
    </row>
    <row r="3624" spans="2:4" x14ac:dyDescent="0.25">
      <c r="B3624" s="89">
        <v>3620</v>
      </c>
      <c r="C3624" s="39">
        <f t="shared" si="113"/>
        <v>157992929.59999999</v>
      </c>
      <c r="D3624" s="39">
        <f t="shared" si="112"/>
        <v>119557740</v>
      </c>
    </row>
    <row r="3625" spans="2:4" x14ac:dyDescent="0.25">
      <c r="B3625" s="89">
        <v>3621</v>
      </c>
      <c r="C3625" s="39">
        <f t="shared" si="113"/>
        <v>157992929.59999999</v>
      </c>
      <c r="D3625" s="39">
        <f t="shared" si="112"/>
        <v>119590767</v>
      </c>
    </row>
    <row r="3626" spans="2:4" x14ac:dyDescent="0.25">
      <c r="B3626" s="89">
        <v>3622</v>
      </c>
      <c r="C3626" s="39">
        <f t="shared" si="113"/>
        <v>157992929.59999999</v>
      </c>
      <c r="D3626" s="39">
        <f t="shared" si="112"/>
        <v>119623794</v>
      </c>
    </row>
    <row r="3627" spans="2:4" x14ac:dyDescent="0.25">
      <c r="B3627" s="89">
        <v>3623</v>
      </c>
      <c r="C3627" s="39">
        <f t="shared" si="113"/>
        <v>157992929.59999999</v>
      </c>
      <c r="D3627" s="39">
        <f t="shared" si="112"/>
        <v>119656821</v>
      </c>
    </row>
    <row r="3628" spans="2:4" x14ac:dyDescent="0.25">
      <c r="B3628" s="89">
        <v>3624</v>
      </c>
      <c r="C3628" s="39">
        <f t="shared" si="113"/>
        <v>157992929.59999999</v>
      </c>
      <c r="D3628" s="39">
        <f t="shared" si="112"/>
        <v>119689848</v>
      </c>
    </row>
    <row r="3629" spans="2:4" x14ac:dyDescent="0.25">
      <c r="B3629" s="89">
        <v>3625</v>
      </c>
      <c r="C3629" s="39">
        <f t="shared" si="113"/>
        <v>157992929.59999999</v>
      </c>
      <c r="D3629" s="39">
        <f t="shared" si="112"/>
        <v>119722875</v>
      </c>
    </row>
    <row r="3630" spans="2:4" x14ac:dyDescent="0.25">
      <c r="B3630" s="89">
        <v>3626</v>
      </c>
      <c r="C3630" s="39">
        <f t="shared" si="113"/>
        <v>157992929.59999999</v>
      </c>
      <c r="D3630" s="39">
        <f t="shared" si="112"/>
        <v>119755902</v>
      </c>
    </row>
    <row r="3631" spans="2:4" x14ac:dyDescent="0.25">
      <c r="B3631" s="89">
        <v>3627</v>
      </c>
      <c r="C3631" s="39">
        <f t="shared" si="113"/>
        <v>157992929.59999999</v>
      </c>
      <c r="D3631" s="39">
        <f t="shared" si="112"/>
        <v>119788929</v>
      </c>
    </row>
    <row r="3632" spans="2:4" x14ac:dyDescent="0.25">
      <c r="B3632" s="89">
        <v>3628</v>
      </c>
      <c r="C3632" s="39">
        <f t="shared" si="113"/>
        <v>157992929.59999999</v>
      </c>
      <c r="D3632" s="39">
        <f t="shared" si="112"/>
        <v>119821956</v>
      </c>
    </row>
    <row r="3633" spans="2:4" x14ac:dyDescent="0.25">
      <c r="B3633" s="89">
        <v>3629</v>
      </c>
      <c r="C3633" s="39">
        <f t="shared" si="113"/>
        <v>157992929.59999999</v>
      </c>
      <c r="D3633" s="39">
        <f t="shared" ref="D3633:D3696" si="114">$D$2*B3633</f>
        <v>119854983</v>
      </c>
    </row>
    <row r="3634" spans="2:4" x14ac:dyDescent="0.25">
      <c r="B3634" s="89">
        <v>3630</v>
      </c>
      <c r="C3634" s="39">
        <f t="shared" si="113"/>
        <v>157992929.59999999</v>
      </c>
      <c r="D3634" s="39">
        <f t="shared" si="114"/>
        <v>119888010</v>
      </c>
    </row>
    <row r="3635" spans="2:4" x14ac:dyDescent="0.25">
      <c r="B3635" s="89">
        <v>3631</v>
      </c>
      <c r="C3635" s="39">
        <f t="shared" si="113"/>
        <v>157992929.59999999</v>
      </c>
      <c r="D3635" s="39">
        <f t="shared" si="114"/>
        <v>119921037</v>
      </c>
    </row>
    <row r="3636" spans="2:4" x14ac:dyDescent="0.25">
      <c r="B3636" s="89">
        <v>3632</v>
      </c>
      <c r="C3636" s="39">
        <f t="shared" si="113"/>
        <v>157992929.59999999</v>
      </c>
      <c r="D3636" s="39">
        <f t="shared" si="114"/>
        <v>119954064</v>
      </c>
    </row>
    <row r="3637" spans="2:4" x14ac:dyDescent="0.25">
      <c r="B3637" s="89">
        <v>3633</v>
      </c>
      <c r="C3637" s="39">
        <f t="shared" si="113"/>
        <v>157992929.59999999</v>
      </c>
      <c r="D3637" s="39">
        <f t="shared" si="114"/>
        <v>119987091</v>
      </c>
    </row>
    <row r="3638" spans="2:4" x14ac:dyDescent="0.25">
      <c r="B3638" s="89">
        <v>3634</v>
      </c>
      <c r="C3638" s="39">
        <f t="shared" si="113"/>
        <v>157992929.59999999</v>
      </c>
      <c r="D3638" s="39">
        <f t="shared" si="114"/>
        <v>120020118</v>
      </c>
    </row>
    <row r="3639" spans="2:4" x14ac:dyDescent="0.25">
      <c r="B3639" s="89">
        <v>3635</v>
      </c>
      <c r="C3639" s="39">
        <f t="shared" si="113"/>
        <v>157992929.59999999</v>
      </c>
      <c r="D3639" s="39">
        <f t="shared" si="114"/>
        <v>120053145</v>
      </c>
    </row>
    <row r="3640" spans="2:4" x14ac:dyDescent="0.25">
      <c r="B3640" s="89">
        <v>3636</v>
      </c>
      <c r="C3640" s="39">
        <f t="shared" si="113"/>
        <v>157992929.59999999</v>
      </c>
      <c r="D3640" s="39">
        <f t="shared" si="114"/>
        <v>120086172</v>
      </c>
    </row>
    <row r="3641" spans="2:4" x14ac:dyDescent="0.25">
      <c r="B3641" s="89">
        <v>3637</v>
      </c>
      <c r="C3641" s="39">
        <f t="shared" si="113"/>
        <v>157992929.59999999</v>
      </c>
      <c r="D3641" s="39">
        <f t="shared" si="114"/>
        <v>120119199</v>
      </c>
    </row>
    <row r="3642" spans="2:4" x14ac:dyDescent="0.25">
      <c r="B3642" s="89">
        <v>3638</v>
      </c>
      <c r="C3642" s="39">
        <f t="shared" si="113"/>
        <v>157992929.59999999</v>
      </c>
      <c r="D3642" s="39">
        <f t="shared" si="114"/>
        <v>120152226</v>
      </c>
    </row>
    <row r="3643" spans="2:4" x14ac:dyDescent="0.25">
      <c r="B3643" s="89">
        <v>3639</v>
      </c>
      <c r="C3643" s="39">
        <f t="shared" si="113"/>
        <v>157992929.59999999</v>
      </c>
      <c r="D3643" s="39">
        <f t="shared" si="114"/>
        <v>120185253</v>
      </c>
    </row>
    <row r="3644" spans="2:4" x14ac:dyDescent="0.25">
      <c r="B3644" s="89">
        <v>3640</v>
      </c>
      <c r="C3644" s="39">
        <f t="shared" si="113"/>
        <v>157992929.59999999</v>
      </c>
      <c r="D3644" s="39">
        <f t="shared" si="114"/>
        <v>120218280</v>
      </c>
    </row>
    <row r="3645" spans="2:4" x14ac:dyDescent="0.25">
      <c r="B3645" s="89">
        <v>3641</v>
      </c>
      <c r="C3645" s="39">
        <f t="shared" si="113"/>
        <v>157992929.59999999</v>
      </c>
      <c r="D3645" s="39">
        <f t="shared" si="114"/>
        <v>120251307</v>
      </c>
    </row>
    <row r="3646" spans="2:4" x14ac:dyDescent="0.25">
      <c r="B3646" s="89">
        <v>3642</v>
      </c>
      <c r="C3646" s="39">
        <f t="shared" si="113"/>
        <v>157992929.59999999</v>
      </c>
      <c r="D3646" s="39">
        <f t="shared" si="114"/>
        <v>120284334</v>
      </c>
    </row>
    <row r="3647" spans="2:4" x14ac:dyDescent="0.25">
      <c r="B3647" s="89">
        <v>3643</v>
      </c>
      <c r="C3647" s="39">
        <f t="shared" si="113"/>
        <v>157992929.59999999</v>
      </c>
      <c r="D3647" s="39">
        <f t="shared" si="114"/>
        <v>120317361</v>
      </c>
    </row>
    <row r="3648" spans="2:4" x14ac:dyDescent="0.25">
      <c r="B3648" s="89">
        <v>3644</v>
      </c>
      <c r="C3648" s="39">
        <f t="shared" si="113"/>
        <v>157992929.59999999</v>
      </c>
      <c r="D3648" s="39">
        <f t="shared" si="114"/>
        <v>120350388</v>
      </c>
    </row>
    <row r="3649" spans="2:4" x14ac:dyDescent="0.25">
      <c r="B3649" s="89">
        <v>3645</v>
      </c>
      <c r="C3649" s="39">
        <f t="shared" si="113"/>
        <v>157992929.59999999</v>
      </c>
      <c r="D3649" s="39">
        <f t="shared" si="114"/>
        <v>120383415</v>
      </c>
    </row>
    <row r="3650" spans="2:4" x14ac:dyDescent="0.25">
      <c r="B3650" s="89">
        <v>3646</v>
      </c>
      <c r="C3650" s="39">
        <f t="shared" si="113"/>
        <v>157992929.59999999</v>
      </c>
      <c r="D3650" s="39">
        <f t="shared" si="114"/>
        <v>120416442</v>
      </c>
    </row>
    <row r="3651" spans="2:4" x14ac:dyDescent="0.25">
      <c r="B3651" s="89">
        <v>3647</v>
      </c>
      <c r="C3651" s="39">
        <f t="shared" si="113"/>
        <v>157992929.59999999</v>
      </c>
      <c r="D3651" s="39">
        <f t="shared" si="114"/>
        <v>120449469</v>
      </c>
    </row>
    <row r="3652" spans="2:4" x14ac:dyDescent="0.25">
      <c r="B3652" s="89">
        <v>3648</v>
      </c>
      <c r="C3652" s="39">
        <f t="shared" si="113"/>
        <v>157992929.59999999</v>
      </c>
      <c r="D3652" s="39">
        <f t="shared" si="114"/>
        <v>120482496</v>
      </c>
    </row>
    <row r="3653" spans="2:4" x14ac:dyDescent="0.25">
      <c r="B3653" s="89">
        <v>3649</v>
      </c>
      <c r="C3653" s="39">
        <f t="shared" si="113"/>
        <v>157992929.59999999</v>
      </c>
      <c r="D3653" s="39">
        <f t="shared" si="114"/>
        <v>120515523</v>
      </c>
    </row>
    <row r="3654" spans="2:4" x14ac:dyDescent="0.25">
      <c r="B3654" s="89">
        <v>3650</v>
      </c>
      <c r="C3654" s="39">
        <f t="shared" ref="C3654:C3717" si="115">$C3653</f>
        <v>157992929.59999999</v>
      </c>
      <c r="D3654" s="39">
        <f t="shared" si="114"/>
        <v>120548550</v>
      </c>
    </row>
    <row r="3655" spans="2:4" x14ac:dyDescent="0.25">
      <c r="B3655" s="89">
        <v>3651</v>
      </c>
      <c r="C3655" s="39">
        <f t="shared" si="115"/>
        <v>157992929.59999999</v>
      </c>
      <c r="D3655" s="39">
        <f t="shared" si="114"/>
        <v>120581577</v>
      </c>
    </row>
    <row r="3656" spans="2:4" x14ac:dyDescent="0.25">
      <c r="B3656" s="89">
        <v>3652</v>
      </c>
      <c r="C3656" s="39">
        <f t="shared" si="115"/>
        <v>157992929.59999999</v>
      </c>
      <c r="D3656" s="39">
        <f t="shared" si="114"/>
        <v>120614604</v>
      </c>
    </row>
    <row r="3657" spans="2:4" x14ac:dyDescent="0.25">
      <c r="B3657" s="89">
        <v>3653</v>
      </c>
      <c r="C3657" s="39">
        <f t="shared" si="115"/>
        <v>157992929.59999999</v>
      </c>
      <c r="D3657" s="39">
        <f t="shared" si="114"/>
        <v>120647631</v>
      </c>
    </row>
    <row r="3658" spans="2:4" x14ac:dyDescent="0.25">
      <c r="B3658" s="89">
        <v>3654</v>
      </c>
      <c r="C3658" s="39">
        <f t="shared" si="115"/>
        <v>157992929.59999999</v>
      </c>
      <c r="D3658" s="39">
        <f t="shared" si="114"/>
        <v>120680658</v>
      </c>
    </row>
    <row r="3659" spans="2:4" x14ac:dyDescent="0.25">
      <c r="B3659" s="89">
        <v>3655</v>
      </c>
      <c r="C3659" s="39">
        <f t="shared" si="115"/>
        <v>157992929.59999999</v>
      </c>
      <c r="D3659" s="39">
        <f t="shared" si="114"/>
        <v>120713685</v>
      </c>
    </row>
    <row r="3660" spans="2:4" x14ac:dyDescent="0.25">
      <c r="B3660" s="89">
        <v>3656</v>
      </c>
      <c r="C3660" s="39">
        <f t="shared" si="115"/>
        <v>157992929.59999999</v>
      </c>
      <c r="D3660" s="39">
        <f t="shared" si="114"/>
        <v>120746712</v>
      </c>
    </row>
    <row r="3661" spans="2:4" x14ac:dyDescent="0.25">
      <c r="B3661" s="89">
        <v>3657</v>
      </c>
      <c r="C3661" s="39">
        <f t="shared" si="115"/>
        <v>157992929.59999999</v>
      </c>
      <c r="D3661" s="39">
        <f t="shared" si="114"/>
        <v>120779739</v>
      </c>
    </row>
    <row r="3662" spans="2:4" x14ac:dyDescent="0.25">
      <c r="B3662" s="89">
        <v>3658</v>
      </c>
      <c r="C3662" s="39">
        <f t="shared" si="115"/>
        <v>157992929.59999999</v>
      </c>
      <c r="D3662" s="39">
        <f t="shared" si="114"/>
        <v>120812766</v>
      </c>
    </row>
    <row r="3663" spans="2:4" x14ac:dyDescent="0.25">
      <c r="B3663" s="89">
        <v>3659</v>
      </c>
      <c r="C3663" s="39">
        <f t="shared" si="115"/>
        <v>157992929.59999999</v>
      </c>
      <c r="D3663" s="39">
        <f t="shared" si="114"/>
        <v>120845793</v>
      </c>
    </row>
    <row r="3664" spans="2:4" x14ac:dyDescent="0.25">
      <c r="B3664" s="89">
        <v>3660</v>
      </c>
      <c r="C3664" s="39">
        <f t="shared" si="115"/>
        <v>157992929.59999999</v>
      </c>
      <c r="D3664" s="39">
        <f t="shared" si="114"/>
        <v>120878820</v>
      </c>
    </row>
    <row r="3665" spans="2:4" x14ac:dyDescent="0.25">
      <c r="B3665" s="89">
        <v>3661</v>
      </c>
      <c r="C3665" s="39">
        <f t="shared" si="115"/>
        <v>157992929.59999999</v>
      </c>
      <c r="D3665" s="39">
        <f t="shared" si="114"/>
        <v>120911847</v>
      </c>
    </row>
    <row r="3666" spans="2:4" x14ac:dyDescent="0.25">
      <c r="B3666" s="89">
        <v>3662</v>
      </c>
      <c r="C3666" s="39">
        <f t="shared" si="115"/>
        <v>157992929.59999999</v>
      </c>
      <c r="D3666" s="39">
        <f t="shared" si="114"/>
        <v>120944874</v>
      </c>
    </row>
    <row r="3667" spans="2:4" x14ac:dyDescent="0.25">
      <c r="B3667" s="89">
        <v>3663</v>
      </c>
      <c r="C3667" s="39">
        <f t="shared" si="115"/>
        <v>157992929.59999999</v>
      </c>
      <c r="D3667" s="39">
        <f t="shared" si="114"/>
        <v>120977901</v>
      </c>
    </row>
    <row r="3668" spans="2:4" x14ac:dyDescent="0.25">
      <c r="B3668" s="89">
        <v>3664</v>
      </c>
      <c r="C3668" s="39">
        <f t="shared" si="115"/>
        <v>157992929.59999999</v>
      </c>
      <c r="D3668" s="39">
        <f t="shared" si="114"/>
        <v>121010928</v>
      </c>
    </row>
    <row r="3669" spans="2:4" x14ac:dyDescent="0.25">
      <c r="B3669" s="89">
        <v>3665</v>
      </c>
      <c r="C3669" s="39">
        <f t="shared" si="115"/>
        <v>157992929.59999999</v>
      </c>
      <c r="D3669" s="39">
        <f t="shared" si="114"/>
        <v>121043955</v>
      </c>
    </row>
    <row r="3670" spans="2:4" x14ac:dyDescent="0.25">
      <c r="B3670" s="89">
        <v>3666</v>
      </c>
      <c r="C3670" s="39">
        <f t="shared" si="115"/>
        <v>157992929.59999999</v>
      </c>
      <c r="D3670" s="39">
        <f t="shared" si="114"/>
        <v>121076982</v>
      </c>
    </row>
    <row r="3671" spans="2:4" x14ac:dyDescent="0.25">
      <c r="B3671" s="89">
        <v>3667</v>
      </c>
      <c r="C3671" s="39">
        <f t="shared" si="115"/>
        <v>157992929.59999999</v>
      </c>
      <c r="D3671" s="39">
        <f t="shared" si="114"/>
        <v>121110009</v>
      </c>
    </row>
    <row r="3672" spans="2:4" x14ac:dyDescent="0.25">
      <c r="B3672" s="89">
        <v>3668</v>
      </c>
      <c r="C3672" s="39">
        <f t="shared" si="115"/>
        <v>157992929.59999999</v>
      </c>
      <c r="D3672" s="39">
        <f t="shared" si="114"/>
        <v>121143036</v>
      </c>
    </row>
    <row r="3673" spans="2:4" x14ac:dyDescent="0.25">
      <c r="B3673" s="89">
        <v>3669</v>
      </c>
      <c r="C3673" s="39">
        <f t="shared" si="115"/>
        <v>157992929.59999999</v>
      </c>
      <c r="D3673" s="39">
        <f t="shared" si="114"/>
        <v>121176063</v>
      </c>
    </row>
    <row r="3674" spans="2:4" x14ac:dyDescent="0.25">
      <c r="B3674" s="89">
        <v>3670</v>
      </c>
      <c r="C3674" s="39">
        <f t="shared" si="115"/>
        <v>157992929.59999999</v>
      </c>
      <c r="D3674" s="39">
        <f t="shared" si="114"/>
        <v>121209090</v>
      </c>
    </row>
    <row r="3675" spans="2:4" x14ac:dyDescent="0.25">
      <c r="B3675" s="89">
        <v>3671</v>
      </c>
      <c r="C3675" s="39">
        <f t="shared" si="115"/>
        <v>157992929.59999999</v>
      </c>
      <c r="D3675" s="39">
        <f t="shared" si="114"/>
        <v>121242117</v>
      </c>
    </row>
    <row r="3676" spans="2:4" x14ac:dyDescent="0.25">
      <c r="B3676" s="89">
        <v>3672</v>
      </c>
      <c r="C3676" s="39">
        <f t="shared" si="115"/>
        <v>157992929.59999999</v>
      </c>
      <c r="D3676" s="39">
        <f t="shared" si="114"/>
        <v>121275144</v>
      </c>
    </row>
    <row r="3677" spans="2:4" x14ac:dyDescent="0.25">
      <c r="B3677" s="89">
        <v>3673</v>
      </c>
      <c r="C3677" s="39">
        <f t="shared" si="115"/>
        <v>157992929.59999999</v>
      </c>
      <c r="D3677" s="39">
        <f t="shared" si="114"/>
        <v>121308171</v>
      </c>
    </row>
    <row r="3678" spans="2:4" x14ac:dyDescent="0.25">
      <c r="B3678" s="89">
        <v>3674</v>
      </c>
      <c r="C3678" s="39">
        <f t="shared" si="115"/>
        <v>157992929.59999999</v>
      </c>
      <c r="D3678" s="39">
        <f t="shared" si="114"/>
        <v>121341198</v>
      </c>
    </row>
    <row r="3679" spans="2:4" x14ac:dyDescent="0.25">
      <c r="B3679" s="89">
        <v>3675</v>
      </c>
      <c r="C3679" s="39">
        <f t="shared" si="115"/>
        <v>157992929.59999999</v>
      </c>
      <c r="D3679" s="39">
        <f t="shared" si="114"/>
        <v>121374225</v>
      </c>
    </row>
    <row r="3680" spans="2:4" x14ac:dyDescent="0.25">
      <c r="B3680" s="89">
        <v>3676</v>
      </c>
      <c r="C3680" s="39">
        <f t="shared" si="115"/>
        <v>157992929.59999999</v>
      </c>
      <c r="D3680" s="39">
        <f t="shared" si="114"/>
        <v>121407252</v>
      </c>
    </row>
    <row r="3681" spans="2:4" x14ac:dyDescent="0.25">
      <c r="B3681" s="89">
        <v>3677</v>
      </c>
      <c r="C3681" s="39">
        <f t="shared" si="115"/>
        <v>157992929.59999999</v>
      </c>
      <c r="D3681" s="39">
        <f t="shared" si="114"/>
        <v>121440279</v>
      </c>
    </row>
    <row r="3682" spans="2:4" x14ac:dyDescent="0.25">
      <c r="B3682" s="89">
        <v>3678</v>
      </c>
      <c r="C3682" s="39">
        <f t="shared" si="115"/>
        <v>157992929.59999999</v>
      </c>
      <c r="D3682" s="39">
        <f t="shared" si="114"/>
        <v>121473306</v>
      </c>
    </row>
    <row r="3683" spans="2:4" x14ac:dyDescent="0.25">
      <c r="B3683" s="89">
        <v>3679</v>
      </c>
      <c r="C3683" s="39">
        <f t="shared" si="115"/>
        <v>157992929.59999999</v>
      </c>
      <c r="D3683" s="39">
        <f t="shared" si="114"/>
        <v>121506333</v>
      </c>
    </row>
    <row r="3684" spans="2:4" x14ac:dyDescent="0.25">
      <c r="B3684" s="89">
        <v>3680</v>
      </c>
      <c r="C3684" s="39">
        <f t="shared" si="115"/>
        <v>157992929.59999999</v>
      </c>
      <c r="D3684" s="39">
        <f t="shared" si="114"/>
        <v>121539360</v>
      </c>
    </row>
    <row r="3685" spans="2:4" x14ac:dyDescent="0.25">
      <c r="B3685" s="89">
        <v>3681</v>
      </c>
      <c r="C3685" s="39">
        <f t="shared" si="115"/>
        <v>157992929.59999999</v>
      </c>
      <c r="D3685" s="39">
        <f t="shared" si="114"/>
        <v>121572387</v>
      </c>
    </row>
    <row r="3686" spans="2:4" x14ac:dyDescent="0.25">
      <c r="B3686" s="89">
        <v>3682</v>
      </c>
      <c r="C3686" s="39">
        <f t="shared" si="115"/>
        <v>157992929.59999999</v>
      </c>
      <c r="D3686" s="39">
        <f t="shared" si="114"/>
        <v>121605414</v>
      </c>
    </row>
    <row r="3687" spans="2:4" x14ac:dyDescent="0.25">
      <c r="B3687" s="89">
        <v>3683</v>
      </c>
      <c r="C3687" s="39">
        <f t="shared" si="115"/>
        <v>157992929.59999999</v>
      </c>
      <c r="D3687" s="39">
        <f t="shared" si="114"/>
        <v>121638441</v>
      </c>
    </row>
    <row r="3688" spans="2:4" x14ac:dyDescent="0.25">
      <c r="B3688" s="89">
        <v>3684</v>
      </c>
      <c r="C3688" s="39">
        <f t="shared" si="115"/>
        <v>157992929.59999999</v>
      </c>
      <c r="D3688" s="39">
        <f t="shared" si="114"/>
        <v>121671468</v>
      </c>
    </row>
    <row r="3689" spans="2:4" x14ac:dyDescent="0.25">
      <c r="B3689" s="89">
        <v>3685</v>
      </c>
      <c r="C3689" s="39">
        <f t="shared" si="115"/>
        <v>157992929.59999999</v>
      </c>
      <c r="D3689" s="39">
        <f t="shared" si="114"/>
        <v>121704495</v>
      </c>
    </row>
    <row r="3690" spans="2:4" x14ac:dyDescent="0.25">
      <c r="B3690" s="89">
        <v>3686</v>
      </c>
      <c r="C3690" s="39">
        <f t="shared" si="115"/>
        <v>157992929.59999999</v>
      </c>
      <c r="D3690" s="39">
        <f t="shared" si="114"/>
        <v>121737522</v>
      </c>
    </row>
    <row r="3691" spans="2:4" x14ac:dyDescent="0.25">
      <c r="B3691" s="89">
        <v>3687</v>
      </c>
      <c r="C3691" s="39">
        <f t="shared" si="115"/>
        <v>157992929.59999999</v>
      </c>
      <c r="D3691" s="39">
        <f t="shared" si="114"/>
        <v>121770549</v>
      </c>
    </row>
    <row r="3692" spans="2:4" x14ac:dyDescent="0.25">
      <c r="B3692" s="89">
        <v>3688</v>
      </c>
      <c r="C3692" s="39">
        <f t="shared" si="115"/>
        <v>157992929.59999999</v>
      </c>
      <c r="D3692" s="39">
        <f t="shared" si="114"/>
        <v>121803576</v>
      </c>
    </row>
    <row r="3693" spans="2:4" x14ac:dyDescent="0.25">
      <c r="B3693" s="89">
        <v>3689</v>
      </c>
      <c r="C3693" s="39">
        <f t="shared" si="115"/>
        <v>157992929.59999999</v>
      </c>
      <c r="D3693" s="39">
        <f t="shared" si="114"/>
        <v>121836603</v>
      </c>
    </row>
    <row r="3694" spans="2:4" x14ac:dyDescent="0.25">
      <c r="B3694" s="89">
        <v>3690</v>
      </c>
      <c r="C3694" s="39">
        <f t="shared" si="115"/>
        <v>157992929.59999999</v>
      </c>
      <c r="D3694" s="39">
        <f t="shared" si="114"/>
        <v>121869630</v>
      </c>
    </row>
    <row r="3695" spans="2:4" x14ac:dyDescent="0.25">
      <c r="B3695" s="89">
        <v>3691</v>
      </c>
      <c r="C3695" s="39">
        <f t="shared" si="115"/>
        <v>157992929.59999999</v>
      </c>
      <c r="D3695" s="39">
        <f t="shared" si="114"/>
        <v>121902657</v>
      </c>
    </row>
    <row r="3696" spans="2:4" x14ac:dyDescent="0.25">
      <c r="B3696" s="89">
        <v>3692</v>
      </c>
      <c r="C3696" s="39">
        <f t="shared" si="115"/>
        <v>157992929.59999999</v>
      </c>
      <c r="D3696" s="39">
        <f t="shared" si="114"/>
        <v>121935684</v>
      </c>
    </row>
    <row r="3697" spans="2:4" x14ac:dyDescent="0.25">
      <c r="B3697" s="89">
        <v>3693</v>
      </c>
      <c r="C3697" s="39">
        <f t="shared" si="115"/>
        <v>157992929.59999999</v>
      </c>
      <c r="D3697" s="39">
        <f t="shared" ref="D3697:D3760" si="116">$D$2*B3697</f>
        <v>121968711</v>
      </c>
    </row>
    <row r="3698" spans="2:4" x14ac:dyDescent="0.25">
      <c r="B3698" s="89">
        <v>3694</v>
      </c>
      <c r="C3698" s="39">
        <f t="shared" si="115"/>
        <v>157992929.59999999</v>
      </c>
      <c r="D3698" s="39">
        <f t="shared" si="116"/>
        <v>122001738</v>
      </c>
    </row>
    <row r="3699" spans="2:4" x14ac:dyDescent="0.25">
      <c r="B3699" s="89">
        <v>3695</v>
      </c>
      <c r="C3699" s="39">
        <f t="shared" si="115"/>
        <v>157992929.59999999</v>
      </c>
      <c r="D3699" s="39">
        <f t="shared" si="116"/>
        <v>122034765</v>
      </c>
    </row>
    <row r="3700" spans="2:4" x14ac:dyDescent="0.25">
      <c r="B3700" s="89">
        <v>3696</v>
      </c>
      <c r="C3700" s="39">
        <f t="shared" si="115"/>
        <v>157992929.59999999</v>
      </c>
      <c r="D3700" s="39">
        <f t="shared" si="116"/>
        <v>122067792</v>
      </c>
    </row>
    <row r="3701" spans="2:4" x14ac:dyDescent="0.25">
      <c r="B3701" s="89">
        <v>3697</v>
      </c>
      <c r="C3701" s="39">
        <f t="shared" si="115"/>
        <v>157992929.59999999</v>
      </c>
      <c r="D3701" s="39">
        <f t="shared" si="116"/>
        <v>122100819</v>
      </c>
    </row>
    <row r="3702" spans="2:4" x14ac:dyDescent="0.25">
      <c r="B3702" s="89">
        <v>3698</v>
      </c>
      <c r="C3702" s="39">
        <f t="shared" si="115"/>
        <v>157992929.59999999</v>
      </c>
      <c r="D3702" s="39">
        <f t="shared" si="116"/>
        <v>122133846</v>
      </c>
    </row>
    <row r="3703" spans="2:4" x14ac:dyDescent="0.25">
      <c r="B3703" s="89">
        <v>3699</v>
      </c>
      <c r="C3703" s="39">
        <f t="shared" si="115"/>
        <v>157992929.59999999</v>
      </c>
      <c r="D3703" s="39">
        <f t="shared" si="116"/>
        <v>122166873</v>
      </c>
    </row>
    <row r="3704" spans="2:4" x14ac:dyDescent="0.25">
      <c r="B3704" s="89">
        <v>3700</v>
      </c>
      <c r="C3704" s="39">
        <f t="shared" si="115"/>
        <v>157992929.59999999</v>
      </c>
      <c r="D3704" s="39">
        <f t="shared" si="116"/>
        <v>122199900</v>
      </c>
    </row>
    <row r="3705" spans="2:4" x14ac:dyDescent="0.25">
      <c r="B3705" s="89">
        <v>3701</v>
      </c>
      <c r="C3705" s="39">
        <f t="shared" si="115"/>
        <v>157992929.59999999</v>
      </c>
      <c r="D3705" s="39">
        <f t="shared" si="116"/>
        <v>122232927</v>
      </c>
    </row>
    <row r="3706" spans="2:4" x14ac:dyDescent="0.25">
      <c r="B3706" s="89">
        <v>3702</v>
      </c>
      <c r="C3706" s="39">
        <f t="shared" si="115"/>
        <v>157992929.59999999</v>
      </c>
      <c r="D3706" s="39">
        <f t="shared" si="116"/>
        <v>122265954</v>
      </c>
    </row>
    <row r="3707" spans="2:4" x14ac:dyDescent="0.25">
      <c r="B3707" s="89">
        <v>3703</v>
      </c>
      <c r="C3707" s="39">
        <f t="shared" si="115"/>
        <v>157992929.59999999</v>
      </c>
      <c r="D3707" s="39">
        <f t="shared" si="116"/>
        <v>122298981</v>
      </c>
    </row>
    <row r="3708" spans="2:4" x14ac:dyDescent="0.25">
      <c r="B3708" s="89">
        <v>3704</v>
      </c>
      <c r="C3708" s="39">
        <f t="shared" si="115"/>
        <v>157992929.59999999</v>
      </c>
      <c r="D3708" s="39">
        <f t="shared" si="116"/>
        <v>122332008</v>
      </c>
    </row>
    <row r="3709" spans="2:4" x14ac:dyDescent="0.25">
      <c r="B3709" s="89">
        <v>3705</v>
      </c>
      <c r="C3709" s="39">
        <f t="shared" si="115"/>
        <v>157992929.59999999</v>
      </c>
      <c r="D3709" s="39">
        <f t="shared" si="116"/>
        <v>122365035</v>
      </c>
    </row>
    <row r="3710" spans="2:4" x14ac:dyDescent="0.25">
      <c r="B3710" s="89">
        <v>3706</v>
      </c>
      <c r="C3710" s="39">
        <f t="shared" si="115"/>
        <v>157992929.59999999</v>
      </c>
      <c r="D3710" s="39">
        <f t="shared" si="116"/>
        <v>122398062</v>
      </c>
    </row>
    <row r="3711" spans="2:4" x14ac:dyDescent="0.25">
      <c r="B3711" s="89">
        <v>3707</v>
      </c>
      <c r="C3711" s="39">
        <f t="shared" si="115"/>
        <v>157992929.59999999</v>
      </c>
      <c r="D3711" s="39">
        <f t="shared" si="116"/>
        <v>122431089</v>
      </c>
    </row>
    <row r="3712" spans="2:4" x14ac:dyDescent="0.25">
      <c r="B3712" s="89">
        <v>3708</v>
      </c>
      <c r="C3712" s="39">
        <f t="shared" si="115"/>
        <v>157992929.59999999</v>
      </c>
      <c r="D3712" s="39">
        <f t="shared" si="116"/>
        <v>122464116</v>
      </c>
    </row>
    <row r="3713" spans="2:4" x14ac:dyDescent="0.25">
      <c r="B3713" s="89">
        <v>3709</v>
      </c>
      <c r="C3713" s="39">
        <f t="shared" si="115"/>
        <v>157992929.59999999</v>
      </c>
      <c r="D3713" s="39">
        <f t="shared" si="116"/>
        <v>122497143</v>
      </c>
    </row>
    <row r="3714" spans="2:4" x14ac:dyDescent="0.25">
      <c r="B3714" s="89">
        <v>3710</v>
      </c>
      <c r="C3714" s="39">
        <f t="shared" si="115"/>
        <v>157992929.59999999</v>
      </c>
      <c r="D3714" s="39">
        <f t="shared" si="116"/>
        <v>122530170</v>
      </c>
    </row>
    <row r="3715" spans="2:4" x14ac:dyDescent="0.25">
      <c r="B3715" s="89">
        <v>3711</v>
      </c>
      <c r="C3715" s="39">
        <f t="shared" si="115"/>
        <v>157992929.59999999</v>
      </c>
      <c r="D3715" s="39">
        <f t="shared" si="116"/>
        <v>122563197</v>
      </c>
    </row>
    <row r="3716" spans="2:4" x14ac:dyDescent="0.25">
      <c r="B3716" s="89">
        <v>3712</v>
      </c>
      <c r="C3716" s="39">
        <f t="shared" si="115"/>
        <v>157992929.59999999</v>
      </c>
      <c r="D3716" s="39">
        <f t="shared" si="116"/>
        <v>122596224</v>
      </c>
    </row>
    <row r="3717" spans="2:4" x14ac:dyDescent="0.25">
      <c r="B3717" s="89">
        <v>3713</v>
      </c>
      <c r="C3717" s="39">
        <f t="shared" si="115"/>
        <v>157992929.59999999</v>
      </c>
      <c r="D3717" s="39">
        <f t="shared" si="116"/>
        <v>122629251</v>
      </c>
    </row>
    <row r="3718" spans="2:4" x14ac:dyDescent="0.25">
      <c r="B3718" s="89">
        <v>3714</v>
      </c>
      <c r="C3718" s="39">
        <f t="shared" ref="C3718:C3781" si="117">$C3717</f>
        <v>157992929.59999999</v>
      </c>
      <c r="D3718" s="39">
        <f t="shared" si="116"/>
        <v>122662278</v>
      </c>
    </row>
    <row r="3719" spans="2:4" x14ac:dyDescent="0.25">
      <c r="B3719" s="89">
        <v>3715</v>
      </c>
      <c r="C3719" s="39">
        <f t="shared" si="117"/>
        <v>157992929.59999999</v>
      </c>
      <c r="D3719" s="39">
        <f t="shared" si="116"/>
        <v>122695305</v>
      </c>
    </row>
    <row r="3720" spans="2:4" x14ac:dyDescent="0.25">
      <c r="B3720" s="89">
        <v>3716</v>
      </c>
      <c r="C3720" s="39">
        <f t="shared" si="117"/>
        <v>157992929.59999999</v>
      </c>
      <c r="D3720" s="39">
        <f t="shared" si="116"/>
        <v>122728332</v>
      </c>
    </row>
    <row r="3721" spans="2:4" x14ac:dyDescent="0.25">
      <c r="B3721" s="89">
        <v>3717</v>
      </c>
      <c r="C3721" s="39">
        <f t="shared" si="117"/>
        <v>157992929.59999999</v>
      </c>
      <c r="D3721" s="39">
        <f t="shared" si="116"/>
        <v>122761359</v>
      </c>
    </row>
    <row r="3722" spans="2:4" x14ac:dyDescent="0.25">
      <c r="B3722" s="89">
        <v>3718</v>
      </c>
      <c r="C3722" s="39">
        <f t="shared" si="117"/>
        <v>157992929.59999999</v>
      </c>
      <c r="D3722" s="39">
        <f t="shared" si="116"/>
        <v>122794386</v>
      </c>
    </row>
    <row r="3723" spans="2:4" x14ac:dyDescent="0.25">
      <c r="B3723" s="89">
        <v>3719</v>
      </c>
      <c r="C3723" s="39">
        <f t="shared" si="117"/>
        <v>157992929.59999999</v>
      </c>
      <c r="D3723" s="39">
        <f t="shared" si="116"/>
        <v>122827413</v>
      </c>
    </row>
    <row r="3724" spans="2:4" x14ac:dyDescent="0.25">
      <c r="B3724" s="89">
        <v>3720</v>
      </c>
      <c r="C3724" s="39">
        <f t="shared" si="117"/>
        <v>157992929.59999999</v>
      </c>
      <c r="D3724" s="39">
        <f t="shared" si="116"/>
        <v>122860440</v>
      </c>
    </row>
    <row r="3725" spans="2:4" x14ac:dyDescent="0.25">
      <c r="B3725" s="89">
        <v>3721</v>
      </c>
      <c r="C3725" s="39">
        <f t="shared" si="117"/>
        <v>157992929.59999999</v>
      </c>
      <c r="D3725" s="39">
        <f t="shared" si="116"/>
        <v>122893467</v>
      </c>
    </row>
    <row r="3726" spans="2:4" x14ac:dyDescent="0.25">
      <c r="B3726" s="89">
        <v>3722</v>
      </c>
      <c r="C3726" s="39">
        <f t="shared" si="117"/>
        <v>157992929.59999999</v>
      </c>
      <c r="D3726" s="39">
        <f t="shared" si="116"/>
        <v>122926494</v>
      </c>
    </row>
    <row r="3727" spans="2:4" x14ac:dyDescent="0.25">
      <c r="B3727" s="89">
        <v>3723</v>
      </c>
      <c r="C3727" s="39">
        <f t="shared" si="117"/>
        <v>157992929.59999999</v>
      </c>
      <c r="D3727" s="39">
        <f t="shared" si="116"/>
        <v>122959521</v>
      </c>
    </row>
    <row r="3728" spans="2:4" x14ac:dyDescent="0.25">
      <c r="B3728" s="89">
        <v>3724</v>
      </c>
      <c r="C3728" s="39">
        <f t="shared" si="117"/>
        <v>157992929.59999999</v>
      </c>
      <c r="D3728" s="39">
        <f t="shared" si="116"/>
        <v>122992548</v>
      </c>
    </row>
    <row r="3729" spans="2:4" x14ac:dyDescent="0.25">
      <c r="B3729" s="89">
        <v>3725</v>
      </c>
      <c r="C3729" s="39">
        <f t="shared" si="117"/>
        <v>157992929.59999999</v>
      </c>
      <c r="D3729" s="39">
        <f t="shared" si="116"/>
        <v>123025575</v>
      </c>
    </row>
    <row r="3730" spans="2:4" x14ac:dyDescent="0.25">
      <c r="B3730" s="89">
        <v>3726</v>
      </c>
      <c r="C3730" s="39">
        <f t="shared" si="117"/>
        <v>157992929.59999999</v>
      </c>
      <c r="D3730" s="39">
        <f t="shared" si="116"/>
        <v>123058602</v>
      </c>
    </row>
    <row r="3731" spans="2:4" x14ac:dyDescent="0.25">
      <c r="B3731" s="89">
        <v>3727</v>
      </c>
      <c r="C3731" s="39">
        <f t="shared" si="117"/>
        <v>157992929.59999999</v>
      </c>
      <c r="D3731" s="39">
        <f t="shared" si="116"/>
        <v>123091629</v>
      </c>
    </row>
    <row r="3732" spans="2:4" x14ac:dyDescent="0.25">
      <c r="B3732" s="89">
        <v>3728</v>
      </c>
      <c r="C3732" s="39">
        <f t="shared" si="117"/>
        <v>157992929.59999999</v>
      </c>
      <c r="D3732" s="39">
        <f t="shared" si="116"/>
        <v>123124656</v>
      </c>
    </row>
    <row r="3733" spans="2:4" x14ac:dyDescent="0.25">
      <c r="B3733" s="89">
        <v>3729</v>
      </c>
      <c r="C3733" s="39">
        <f t="shared" si="117"/>
        <v>157992929.59999999</v>
      </c>
      <c r="D3733" s="39">
        <f t="shared" si="116"/>
        <v>123157683</v>
      </c>
    </row>
    <row r="3734" spans="2:4" x14ac:dyDescent="0.25">
      <c r="B3734" s="89">
        <v>3730</v>
      </c>
      <c r="C3734" s="39">
        <f t="shared" si="117"/>
        <v>157992929.59999999</v>
      </c>
      <c r="D3734" s="39">
        <f t="shared" si="116"/>
        <v>123190710</v>
      </c>
    </row>
    <row r="3735" spans="2:4" x14ac:dyDescent="0.25">
      <c r="B3735" s="89">
        <v>3731</v>
      </c>
      <c r="C3735" s="39">
        <f t="shared" si="117"/>
        <v>157992929.59999999</v>
      </c>
      <c r="D3735" s="39">
        <f t="shared" si="116"/>
        <v>123223737</v>
      </c>
    </row>
    <row r="3736" spans="2:4" x14ac:dyDescent="0.25">
      <c r="B3736" s="89">
        <v>3732</v>
      </c>
      <c r="C3736" s="39">
        <f t="shared" si="117"/>
        <v>157992929.59999999</v>
      </c>
      <c r="D3736" s="39">
        <f t="shared" si="116"/>
        <v>123256764</v>
      </c>
    </row>
    <row r="3737" spans="2:4" x14ac:dyDescent="0.25">
      <c r="B3737" s="89">
        <v>3733</v>
      </c>
      <c r="C3737" s="39">
        <f t="shared" si="117"/>
        <v>157992929.59999999</v>
      </c>
      <c r="D3737" s="39">
        <f t="shared" si="116"/>
        <v>123289791</v>
      </c>
    </row>
    <row r="3738" spans="2:4" x14ac:dyDescent="0.25">
      <c r="B3738" s="89">
        <v>3734</v>
      </c>
      <c r="C3738" s="39">
        <f t="shared" si="117"/>
        <v>157992929.59999999</v>
      </c>
      <c r="D3738" s="39">
        <f t="shared" si="116"/>
        <v>123322818</v>
      </c>
    </row>
    <row r="3739" spans="2:4" x14ac:dyDescent="0.25">
      <c r="B3739" s="89">
        <v>3735</v>
      </c>
      <c r="C3739" s="39">
        <f t="shared" si="117"/>
        <v>157992929.59999999</v>
      </c>
      <c r="D3739" s="39">
        <f t="shared" si="116"/>
        <v>123355845</v>
      </c>
    </row>
    <row r="3740" spans="2:4" x14ac:dyDescent="0.25">
      <c r="B3740" s="89">
        <v>3736</v>
      </c>
      <c r="C3740" s="39">
        <f t="shared" si="117"/>
        <v>157992929.59999999</v>
      </c>
      <c r="D3740" s="39">
        <f t="shared" si="116"/>
        <v>123388872</v>
      </c>
    </row>
    <row r="3741" spans="2:4" x14ac:dyDescent="0.25">
      <c r="B3741" s="89">
        <v>3737</v>
      </c>
      <c r="C3741" s="39">
        <f t="shared" si="117"/>
        <v>157992929.59999999</v>
      </c>
      <c r="D3741" s="39">
        <f t="shared" si="116"/>
        <v>123421899</v>
      </c>
    </row>
    <row r="3742" spans="2:4" x14ac:dyDescent="0.25">
      <c r="B3742" s="89">
        <v>3738</v>
      </c>
      <c r="C3742" s="39">
        <f t="shared" si="117"/>
        <v>157992929.59999999</v>
      </c>
      <c r="D3742" s="39">
        <f t="shared" si="116"/>
        <v>123454926</v>
      </c>
    </row>
    <row r="3743" spans="2:4" x14ac:dyDescent="0.25">
      <c r="B3743" s="89">
        <v>3739</v>
      </c>
      <c r="C3743" s="39">
        <f t="shared" si="117"/>
        <v>157992929.59999999</v>
      </c>
      <c r="D3743" s="39">
        <f t="shared" si="116"/>
        <v>123487953</v>
      </c>
    </row>
    <row r="3744" spans="2:4" x14ac:dyDescent="0.25">
      <c r="B3744" s="89">
        <v>3740</v>
      </c>
      <c r="C3744" s="39">
        <f t="shared" si="117"/>
        <v>157992929.59999999</v>
      </c>
      <c r="D3744" s="39">
        <f t="shared" si="116"/>
        <v>123520980</v>
      </c>
    </row>
    <row r="3745" spans="2:4" x14ac:dyDescent="0.25">
      <c r="B3745" s="89">
        <v>3741</v>
      </c>
      <c r="C3745" s="39">
        <f t="shared" si="117"/>
        <v>157992929.59999999</v>
      </c>
      <c r="D3745" s="39">
        <f t="shared" si="116"/>
        <v>123554007</v>
      </c>
    </row>
    <row r="3746" spans="2:4" x14ac:dyDescent="0.25">
      <c r="B3746" s="89">
        <v>3742</v>
      </c>
      <c r="C3746" s="39">
        <f t="shared" si="117"/>
        <v>157992929.59999999</v>
      </c>
      <c r="D3746" s="39">
        <f t="shared" si="116"/>
        <v>123587034</v>
      </c>
    </row>
    <row r="3747" spans="2:4" x14ac:dyDescent="0.25">
      <c r="B3747" s="89">
        <v>3743</v>
      </c>
      <c r="C3747" s="39">
        <f t="shared" si="117"/>
        <v>157992929.59999999</v>
      </c>
      <c r="D3747" s="39">
        <f t="shared" si="116"/>
        <v>123620061</v>
      </c>
    </row>
    <row r="3748" spans="2:4" x14ac:dyDescent="0.25">
      <c r="B3748" s="89">
        <v>3744</v>
      </c>
      <c r="C3748" s="39">
        <f t="shared" si="117"/>
        <v>157992929.59999999</v>
      </c>
      <c r="D3748" s="39">
        <f t="shared" si="116"/>
        <v>123653088</v>
      </c>
    </row>
    <row r="3749" spans="2:4" x14ac:dyDescent="0.25">
      <c r="B3749" s="89">
        <v>3745</v>
      </c>
      <c r="C3749" s="39">
        <f t="shared" si="117"/>
        <v>157992929.59999999</v>
      </c>
      <c r="D3749" s="39">
        <f t="shared" si="116"/>
        <v>123686115</v>
      </c>
    </row>
    <row r="3750" spans="2:4" x14ac:dyDescent="0.25">
      <c r="B3750" s="89">
        <v>3746</v>
      </c>
      <c r="C3750" s="39">
        <f t="shared" si="117"/>
        <v>157992929.59999999</v>
      </c>
      <c r="D3750" s="39">
        <f t="shared" si="116"/>
        <v>123719142</v>
      </c>
    </row>
    <row r="3751" spans="2:4" x14ac:dyDescent="0.25">
      <c r="B3751" s="89">
        <v>3747</v>
      </c>
      <c r="C3751" s="39">
        <f t="shared" si="117"/>
        <v>157992929.59999999</v>
      </c>
      <c r="D3751" s="39">
        <f t="shared" si="116"/>
        <v>123752169</v>
      </c>
    </row>
    <row r="3752" spans="2:4" x14ac:dyDescent="0.25">
      <c r="B3752" s="89">
        <v>3748</v>
      </c>
      <c r="C3752" s="39">
        <f t="shared" si="117"/>
        <v>157992929.59999999</v>
      </c>
      <c r="D3752" s="39">
        <f t="shared" si="116"/>
        <v>123785196</v>
      </c>
    </row>
    <row r="3753" spans="2:4" x14ac:dyDescent="0.25">
      <c r="B3753" s="89">
        <v>3749</v>
      </c>
      <c r="C3753" s="39">
        <f t="shared" si="117"/>
        <v>157992929.59999999</v>
      </c>
      <c r="D3753" s="39">
        <f t="shared" si="116"/>
        <v>123818223</v>
      </c>
    </row>
    <row r="3754" spans="2:4" x14ac:dyDescent="0.25">
      <c r="B3754" s="89">
        <v>3750</v>
      </c>
      <c r="C3754" s="39">
        <f t="shared" si="117"/>
        <v>157992929.59999999</v>
      </c>
      <c r="D3754" s="39">
        <f t="shared" si="116"/>
        <v>123851250</v>
      </c>
    </row>
    <row r="3755" spans="2:4" x14ac:dyDescent="0.25">
      <c r="B3755" s="89">
        <v>3751</v>
      </c>
      <c r="C3755" s="39">
        <f t="shared" si="117"/>
        <v>157992929.59999999</v>
      </c>
      <c r="D3755" s="39">
        <f t="shared" si="116"/>
        <v>123884277</v>
      </c>
    </row>
    <row r="3756" spans="2:4" x14ac:dyDescent="0.25">
      <c r="B3756" s="89">
        <v>3752</v>
      </c>
      <c r="C3756" s="39">
        <f t="shared" si="117"/>
        <v>157992929.59999999</v>
      </c>
      <c r="D3756" s="39">
        <f t="shared" si="116"/>
        <v>123917304</v>
      </c>
    </row>
    <row r="3757" spans="2:4" x14ac:dyDescent="0.25">
      <c r="B3757" s="89">
        <v>3753</v>
      </c>
      <c r="C3757" s="39">
        <f t="shared" si="117"/>
        <v>157992929.59999999</v>
      </c>
      <c r="D3757" s="39">
        <f t="shared" si="116"/>
        <v>123950331</v>
      </c>
    </row>
    <row r="3758" spans="2:4" x14ac:dyDescent="0.25">
      <c r="B3758" s="89">
        <v>3754</v>
      </c>
      <c r="C3758" s="39">
        <f t="shared" si="117"/>
        <v>157992929.59999999</v>
      </c>
      <c r="D3758" s="39">
        <f t="shared" si="116"/>
        <v>123983358</v>
      </c>
    </row>
    <row r="3759" spans="2:4" x14ac:dyDescent="0.25">
      <c r="B3759" s="89">
        <v>3755</v>
      </c>
      <c r="C3759" s="39">
        <f t="shared" si="117"/>
        <v>157992929.59999999</v>
      </c>
      <c r="D3759" s="39">
        <f t="shared" si="116"/>
        <v>124016385</v>
      </c>
    </row>
    <row r="3760" spans="2:4" x14ac:dyDescent="0.25">
      <c r="B3760" s="89">
        <v>3756</v>
      </c>
      <c r="C3760" s="39">
        <f t="shared" si="117"/>
        <v>157992929.59999999</v>
      </c>
      <c r="D3760" s="39">
        <f t="shared" si="116"/>
        <v>124049412</v>
      </c>
    </row>
    <row r="3761" spans="2:4" x14ac:dyDescent="0.25">
      <c r="B3761" s="89">
        <v>3757</v>
      </c>
      <c r="C3761" s="39">
        <f t="shared" si="117"/>
        <v>157992929.59999999</v>
      </c>
      <c r="D3761" s="39">
        <f t="shared" ref="D3761:D3824" si="118">$D$2*B3761</f>
        <v>124082439</v>
      </c>
    </row>
    <row r="3762" spans="2:4" x14ac:dyDescent="0.25">
      <c r="B3762" s="89">
        <v>3758</v>
      </c>
      <c r="C3762" s="39">
        <f t="shared" si="117"/>
        <v>157992929.59999999</v>
      </c>
      <c r="D3762" s="39">
        <f t="shared" si="118"/>
        <v>124115466</v>
      </c>
    </row>
    <row r="3763" spans="2:4" x14ac:dyDescent="0.25">
      <c r="B3763" s="89">
        <v>3759</v>
      </c>
      <c r="C3763" s="39">
        <f t="shared" si="117"/>
        <v>157992929.59999999</v>
      </c>
      <c r="D3763" s="39">
        <f t="shared" si="118"/>
        <v>124148493</v>
      </c>
    </row>
    <row r="3764" spans="2:4" x14ac:dyDescent="0.25">
      <c r="B3764" s="89">
        <v>3760</v>
      </c>
      <c r="C3764" s="39">
        <f t="shared" si="117"/>
        <v>157992929.59999999</v>
      </c>
      <c r="D3764" s="39">
        <f t="shared" si="118"/>
        <v>124181520</v>
      </c>
    </row>
    <row r="3765" spans="2:4" x14ac:dyDescent="0.25">
      <c r="B3765" s="89">
        <v>3761</v>
      </c>
      <c r="C3765" s="39">
        <f t="shared" si="117"/>
        <v>157992929.59999999</v>
      </c>
      <c r="D3765" s="39">
        <f t="shared" si="118"/>
        <v>124214547</v>
      </c>
    </row>
    <row r="3766" spans="2:4" x14ac:dyDescent="0.25">
      <c r="B3766" s="89">
        <v>3762</v>
      </c>
      <c r="C3766" s="39">
        <f t="shared" si="117"/>
        <v>157992929.59999999</v>
      </c>
      <c r="D3766" s="39">
        <f t="shared" si="118"/>
        <v>124247574</v>
      </c>
    </row>
    <row r="3767" spans="2:4" x14ac:dyDescent="0.25">
      <c r="B3767" s="89">
        <v>3763</v>
      </c>
      <c r="C3767" s="39">
        <f t="shared" si="117"/>
        <v>157992929.59999999</v>
      </c>
      <c r="D3767" s="39">
        <f t="shared" si="118"/>
        <v>124280601</v>
      </c>
    </row>
    <row r="3768" spans="2:4" x14ac:dyDescent="0.25">
      <c r="B3768" s="89">
        <v>3764</v>
      </c>
      <c r="C3768" s="39">
        <f t="shared" si="117"/>
        <v>157992929.59999999</v>
      </c>
      <c r="D3768" s="39">
        <f t="shared" si="118"/>
        <v>124313628</v>
      </c>
    </row>
    <row r="3769" spans="2:4" x14ac:dyDescent="0.25">
      <c r="B3769" s="89">
        <v>3765</v>
      </c>
      <c r="C3769" s="39">
        <f t="shared" si="117"/>
        <v>157992929.59999999</v>
      </c>
      <c r="D3769" s="39">
        <f t="shared" si="118"/>
        <v>124346655</v>
      </c>
    </row>
    <row r="3770" spans="2:4" x14ac:dyDescent="0.25">
      <c r="B3770" s="89">
        <v>3766</v>
      </c>
      <c r="C3770" s="39">
        <f t="shared" si="117"/>
        <v>157992929.59999999</v>
      </c>
      <c r="D3770" s="39">
        <f t="shared" si="118"/>
        <v>124379682</v>
      </c>
    </row>
    <row r="3771" spans="2:4" x14ac:dyDescent="0.25">
      <c r="B3771" s="89">
        <v>3767</v>
      </c>
      <c r="C3771" s="39">
        <f t="shared" si="117"/>
        <v>157992929.59999999</v>
      </c>
      <c r="D3771" s="39">
        <f t="shared" si="118"/>
        <v>124412709</v>
      </c>
    </row>
    <row r="3772" spans="2:4" x14ac:dyDescent="0.25">
      <c r="B3772" s="89">
        <v>3768</v>
      </c>
      <c r="C3772" s="39">
        <f t="shared" si="117"/>
        <v>157992929.59999999</v>
      </c>
      <c r="D3772" s="39">
        <f t="shared" si="118"/>
        <v>124445736</v>
      </c>
    </row>
    <row r="3773" spans="2:4" x14ac:dyDescent="0.25">
      <c r="B3773" s="89">
        <v>3769</v>
      </c>
      <c r="C3773" s="39">
        <f t="shared" si="117"/>
        <v>157992929.59999999</v>
      </c>
      <c r="D3773" s="39">
        <f t="shared" si="118"/>
        <v>124478763</v>
      </c>
    </row>
    <row r="3774" spans="2:4" x14ac:dyDescent="0.25">
      <c r="B3774" s="89">
        <v>3770</v>
      </c>
      <c r="C3774" s="39">
        <f t="shared" si="117"/>
        <v>157992929.59999999</v>
      </c>
      <c r="D3774" s="39">
        <f t="shared" si="118"/>
        <v>124511790</v>
      </c>
    </row>
    <row r="3775" spans="2:4" x14ac:dyDescent="0.25">
      <c r="B3775" s="89">
        <v>3771</v>
      </c>
      <c r="C3775" s="39">
        <f t="shared" si="117"/>
        <v>157992929.59999999</v>
      </c>
      <c r="D3775" s="39">
        <f t="shared" si="118"/>
        <v>124544817</v>
      </c>
    </row>
    <row r="3776" spans="2:4" x14ac:dyDescent="0.25">
      <c r="B3776" s="89">
        <v>3772</v>
      </c>
      <c r="C3776" s="39">
        <f t="shared" si="117"/>
        <v>157992929.59999999</v>
      </c>
      <c r="D3776" s="39">
        <f t="shared" si="118"/>
        <v>124577844</v>
      </c>
    </row>
    <row r="3777" spans="2:4" x14ac:dyDescent="0.25">
      <c r="B3777" s="89">
        <v>3773</v>
      </c>
      <c r="C3777" s="39">
        <f t="shared" si="117"/>
        <v>157992929.59999999</v>
      </c>
      <c r="D3777" s="39">
        <f t="shared" si="118"/>
        <v>124610871</v>
      </c>
    </row>
    <row r="3778" spans="2:4" x14ac:dyDescent="0.25">
      <c r="B3778" s="89">
        <v>3774</v>
      </c>
      <c r="C3778" s="39">
        <f t="shared" si="117"/>
        <v>157992929.59999999</v>
      </c>
      <c r="D3778" s="39">
        <f t="shared" si="118"/>
        <v>124643898</v>
      </c>
    </row>
    <row r="3779" spans="2:4" x14ac:dyDescent="0.25">
      <c r="B3779" s="89">
        <v>3775</v>
      </c>
      <c r="C3779" s="39">
        <f t="shared" si="117"/>
        <v>157992929.59999999</v>
      </c>
      <c r="D3779" s="39">
        <f t="shared" si="118"/>
        <v>124676925</v>
      </c>
    </row>
    <row r="3780" spans="2:4" x14ac:dyDescent="0.25">
      <c r="B3780" s="89">
        <v>3776</v>
      </c>
      <c r="C3780" s="39">
        <f t="shared" si="117"/>
        <v>157992929.59999999</v>
      </c>
      <c r="D3780" s="39">
        <f t="shared" si="118"/>
        <v>124709952</v>
      </c>
    </row>
    <row r="3781" spans="2:4" x14ac:dyDescent="0.25">
      <c r="B3781" s="89">
        <v>3777</v>
      </c>
      <c r="C3781" s="39">
        <f t="shared" si="117"/>
        <v>157992929.59999999</v>
      </c>
      <c r="D3781" s="39">
        <f t="shared" si="118"/>
        <v>124742979</v>
      </c>
    </row>
    <row r="3782" spans="2:4" x14ac:dyDescent="0.25">
      <c r="B3782" s="89">
        <v>3778</v>
      </c>
      <c r="C3782" s="39">
        <f t="shared" ref="C3782:C3845" si="119">$C3781</f>
        <v>157992929.59999999</v>
      </c>
      <c r="D3782" s="39">
        <f t="shared" si="118"/>
        <v>124776006</v>
      </c>
    </row>
    <row r="3783" spans="2:4" x14ac:dyDescent="0.25">
      <c r="B3783" s="89">
        <v>3779</v>
      </c>
      <c r="C3783" s="39">
        <f t="shared" si="119"/>
        <v>157992929.59999999</v>
      </c>
      <c r="D3783" s="39">
        <f t="shared" si="118"/>
        <v>124809033</v>
      </c>
    </row>
    <row r="3784" spans="2:4" x14ac:dyDescent="0.25">
      <c r="B3784" s="89">
        <v>3780</v>
      </c>
      <c r="C3784" s="39">
        <f t="shared" si="119"/>
        <v>157992929.59999999</v>
      </c>
      <c r="D3784" s="39">
        <f t="shared" si="118"/>
        <v>124842060</v>
      </c>
    </row>
    <row r="3785" spans="2:4" x14ac:dyDescent="0.25">
      <c r="B3785" s="89">
        <v>3781</v>
      </c>
      <c r="C3785" s="39">
        <f t="shared" si="119"/>
        <v>157992929.59999999</v>
      </c>
      <c r="D3785" s="39">
        <f t="shared" si="118"/>
        <v>124875087</v>
      </c>
    </row>
    <row r="3786" spans="2:4" x14ac:dyDescent="0.25">
      <c r="B3786" s="89">
        <v>3782</v>
      </c>
      <c r="C3786" s="39">
        <f t="shared" si="119"/>
        <v>157992929.59999999</v>
      </c>
      <c r="D3786" s="39">
        <f t="shared" si="118"/>
        <v>124908114</v>
      </c>
    </row>
    <row r="3787" spans="2:4" x14ac:dyDescent="0.25">
      <c r="B3787" s="89">
        <v>3783</v>
      </c>
      <c r="C3787" s="39">
        <f t="shared" si="119"/>
        <v>157992929.59999999</v>
      </c>
      <c r="D3787" s="39">
        <f t="shared" si="118"/>
        <v>124941141</v>
      </c>
    </row>
    <row r="3788" spans="2:4" x14ac:dyDescent="0.25">
      <c r="B3788" s="89">
        <v>3784</v>
      </c>
      <c r="C3788" s="39">
        <f t="shared" si="119"/>
        <v>157992929.59999999</v>
      </c>
      <c r="D3788" s="39">
        <f t="shared" si="118"/>
        <v>124974168</v>
      </c>
    </row>
    <row r="3789" spans="2:4" x14ac:dyDescent="0.25">
      <c r="B3789" s="89">
        <v>3785</v>
      </c>
      <c r="C3789" s="39">
        <f t="shared" si="119"/>
        <v>157992929.59999999</v>
      </c>
      <c r="D3789" s="39">
        <f t="shared" si="118"/>
        <v>125007195</v>
      </c>
    </row>
    <row r="3790" spans="2:4" x14ac:dyDescent="0.25">
      <c r="B3790" s="89">
        <v>3786</v>
      </c>
      <c r="C3790" s="39">
        <f t="shared" si="119"/>
        <v>157992929.59999999</v>
      </c>
      <c r="D3790" s="39">
        <f t="shared" si="118"/>
        <v>125040222</v>
      </c>
    </row>
    <row r="3791" spans="2:4" x14ac:dyDescent="0.25">
      <c r="B3791" s="89">
        <v>3787</v>
      </c>
      <c r="C3791" s="39">
        <f t="shared" si="119"/>
        <v>157992929.59999999</v>
      </c>
      <c r="D3791" s="39">
        <f t="shared" si="118"/>
        <v>125073249</v>
      </c>
    </row>
    <row r="3792" spans="2:4" x14ac:dyDescent="0.25">
      <c r="B3792" s="89">
        <v>3788</v>
      </c>
      <c r="C3792" s="39">
        <f t="shared" si="119"/>
        <v>157992929.59999999</v>
      </c>
      <c r="D3792" s="39">
        <f t="shared" si="118"/>
        <v>125106276</v>
      </c>
    </row>
    <row r="3793" spans="2:4" x14ac:dyDescent="0.25">
      <c r="B3793" s="89">
        <v>3789</v>
      </c>
      <c r="C3793" s="39">
        <f t="shared" si="119"/>
        <v>157992929.59999999</v>
      </c>
      <c r="D3793" s="39">
        <f t="shared" si="118"/>
        <v>125139303</v>
      </c>
    </row>
    <row r="3794" spans="2:4" x14ac:dyDescent="0.25">
      <c r="B3794" s="89">
        <v>3790</v>
      </c>
      <c r="C3794" s="39">
        <f t="shared" si="119"/>
        <v>157992929.59999999</v>
      </c>
      <c r="D3794" s="39">
        <f t="shared" si="118"/>
        <v>125172330</v>
      </c>
    </row>
    <row r="3795" spans="2:4" x14ac:dyDescent="0.25">
      <c r="B3795" s="89">
        <v>3791</v>
      </c>
      <c r="C3795" s="39">
        <f t="shared" si="119"/>
        <v>157992929.59999999</v>
      </c>
      <c r="D3795" s="39">
        <f t="shared" si="118"/>
        <v>125205357</v>
      </c>
    </row>
    <row r="3796" spans="2:4" x14ac:dyDescent="0.25">
      <c r="B3796" s="89">
        <v>3792</v>
      </c>
      <c r="C3796" s="39">
        <f t="shared" si="119"/>
        <v>157992929.59999999</v>
      </c>
      <c r="D3796" s="39">
        <f t="shared" si="118"/>
        <v>125238384</v>
      </c>
    </row>
    <row r="3797" spans="2:4" x14ac:dyDescent="0.25">
      <c r="B3797" s="89">
        <v>3793</v>
      </c>
      <c r="C3797" s="39">
        <f t="shared" si="119"/>
        <v>157992929.59999999</v>
      </c>
      <c r="D3797" s="39">
        <f t="shared" si="118"/>
        <v>125271411</v>
      </c>
    </row>
    <row r="3798" spans="2:4" x14ac:dyDescent="0.25">
      <c r="B3798" s="89">
        <v>3794</v>
      </c>
      <c r="C3798" s="39">
        <f t="shared" si="119"/>
        <v>157992929.59999999</v>
      </c>
      <c r="D3798" s="39">
        <f t="shared" si="118"/>
        <v>125304438</v>
      </c>
    </row>
    <row r="3799" spans="2:4" x14ac:dyDescent="0.25">
      <c r="B3799" s="89">
        <v>3795</v>
      </c>
      <c r="C3799" s="39">
        <f t="shared" si="119"/>
        <v>157992929.59999999</v>
      </c>
      <c r="D3799" s="39">
        <f t="shared" si="118"/>
        <v>125337465</v>
      </c>
    </row>
    <row r="3800" spans="2:4" x14ac:dyDescent="0.25">
      <c r="B3800" s="89">
        <v>3796</v>
      </c>
      <c r="C3800" s="39">
        <f t="shared" si="119"/>
        <v>157992929.59999999</v>
      </c>
      <c r="D3800" s="39">
        <f t="shared" si="118"/>
        <v>125370492</v>
      </c>
    </row>
    <row r="3801" spans="2:4" x14ac:dyDescent="0.25">
      <c r="B3801" s="89">
        <v>3797</v>
      </c>
      <c r="C3801" s="39">
        <f t="shared" si="119"/>
        <v>157992929.59999999</v>
      </c>
      <c r="D3801" s="39">
        <f t="shared" si="118"/>
        <v>125403519</v>
      </c>
    </row>
    <row r="3802" spans="2:4" x14ac:dyDescent="0.25">
      <c r="B3802" s="89">
        <v>3798</v>
      </c>
      <c r="C3802" s="39">
        <f t="shared" si="119"/>
        <v>157992929.59999999</v>
      </c>
      <c r="D3802" s="39">
        <f t="shared" si="118"/>
        <v>125436546</v>
      </c>
    </row>
    <row r="3803" spans="2:4" x14ac:dyDescent="0.25">
      <c r="B3803" s="89">
        <v>3799</v>
      </c>
      <c r="C3803" s="39">
        <f t="shared" si="119"/>
        <v>157992929.59999999</v>
      </c>
      <c r="D3803" s="39">
        <f t="shared" si="118"/>
        <v>125469573</v>
      </c>
    </row>
    <row r="3804" spans="2:4" x14ac:dyDescent="0.25">
      <c r="B3804" s="89">
        <v>3800</v>
      </c>
      <c r="C3804" s="39">
        <f t="shared" si="119"/>
        <v>157992929.59999999</v>
      </c>
      <c r="D3804" s="39">
        <f t="shared" si="118"/>
        <v>125502600</v>
      </c>
    </row>
    <row r="3805" spans="2:4" x14ac:dyDescent="0.25">
      <c r="B3805" s="89">
        <v>3801</v>
      </c>
      <c r="C3805" s="39">
        <f t="shared" si="119"/>
        <v>157992929.59999999</v>
      </c>
      <c r="D3805" s="39">
        <f t="shared" si="118"/>
        <v>125535627</v>
      </c>
    </row>
    <row r="3806" spans="2:4" x14ac:dyDescent="0.25">
      <c r="B3806" s="89">
        <v>3802</v>
      </c>
      <c r="C3806" s="39">
        <f t="shared" si="119"/>
        <v>157992929.59999999</v>
      </c>
      <c r="D3806" s="39">
        <f t="shared" si="118"/>
        <v>125568654</v>
      </c>
    </row>
    <row r="3807" spans="2:4" x14ac:dyDescent="0.25">
      <c r="B3807" s="89">
        <v>3803</v>
      </c>
      <c r="C3807" s="39">
        <f t="shared" si="119"/>
        <v>157992929.59999999</v>
      </c>
      <c r="D3807" s="39">
        <f t="shared" si="118"/>
        <v>125601681</v>
      </c>
    </row>
    <row r="3808" spans="2:4" x14ac:dyDescent="0.25">
      <c r="B3808" s="89">
        <v>3804</v>
      </c>
      <c r="C3808" s="39">
        <f t="shared" si="119"/>
        <v>157992929.59999999</v>
      </c>
      <c r="D3808" s="39">
        <f t="shared" si="118"/>
        <v>125634708</v>
      </c>
    </row>
    <row r="3809" spans="2:4" x14ac:dyDescent="0.25">
      <c r="B3809" s="89">
        <v>3805</v>
      </c>
      <c r="C3809" s="39">
        <f t="shared" si="119"/>
        <v>157992929.59999999</v>
      </c>
      <c r="D3809" s="39">
        <f t="shared" si="118"/>
        <v>125667735</v>
      </c>
    </row>
    <row r="3810" spans="2:4" x14ac:dyDescent="0.25">
      <c r="B3810" s="89">
        <v>3806</v>
      </c>
      <c r="C3810" s="39">
        <f t="shared" si="119"/>
        <v>157992929.59999999</v>
      </c>
      <c r="D3810" s="39">
        <f t="shared" si="118"/>
        <v>125700762</v>
      </c>
    </row>
    <row r="3811" spans="2:4" x14ac:dyDescent="0.25">
      <c r="B3811" s="89">
        <v>3807</v>
      </c>
      <c r="C3811" s="39">
        <f t="shared" si="119"/>
        <v>157992929.59999999</v>
      </c>
      <c r="D3811" s="39">
        <f t="shared" si="118"/>
        <v>125733789</v>
      </c>
    </row>
    <row r="3812" spans="2:4" x14ac:dyDescent="0.25">
      <c r="B3812" s="89">
        <v>3808</v>
      </c>
      <c r="C3812" s="39">
        <f t="shared" si="119"/>
        <v>157992929.59999999</v>
      </c>
      <c r="D3812" s="39">
        <f t="shared" si="118"/>
        <v>125766816</v>
      </c>
    </row>
    <row r="3813" spans="2:4" x14ac:dyDescent="0.25">
      <c r="B3813" s="89">
        <v>3809</v>
      </c>
      <c r="C3813" s="39">
        <f t="shared" si="119"/>
        <v>157992929.59999999</v>
      </c>
      <c r="D3813" s="39">
        <f t="shared" si="118"/>
        <v>125799843</v>
      </c>
    </row>
    <row r="3814" spans="2:4" x14ac:dyDescent="0.25">
      <c r="B3814" s="89">
        <v>3810</v>
      </c>
      <c r="C3814" s="39">
        <f t="shared" si="119"/>
        <v>157992929.59999999</v>
      </c>
      <c r="D3814" s="39">
        <f t="shared" si="118"/>
        <v>125832870</v>
      </c>
    </row>
    <row r="3815" spans="2:4" x14ac:dyDescent="0.25">
      <c r="B3815" s="89">
        <v>3811</v>
      </c>
      <c r="C3815" s="39">
        <f t="shared" si="119"/>
        <v>157992929.59999999</v>
      </c>
      <c r="D3815" s="39">
        <f t="shared" si="118"/>
        <v>125865897</v>
      </c>
    </row>
    <row r="3816" spans="2:4" x14ac:dyDescent="0.25">
      <c r="B3816" s="89">
        <v>3812</v>
      </c>
      <c r="C3816" s="39">
        <f t="shared" si="119"/>
        <v>157992929.59999999</v>
      </c>
      <c r="D3816" s="39">
        <f t="shared" si="118"/>
        <v>125898924</v>
      </c>
    </row>
    <row r="3817" spans="2:4" x14ac:dyDescent="0.25">
      <c r="B3817" s="89">
        <v>3813</v>
      </c>
      <c r="C3817" s="39">
        <f t="shared" si="119"/>
        <v>157992929.59999999</v>
      </c>
      <c r="D3817" s="39">
        <f t="shared" si="118"/>
        <v>125931951</v>
      </c>
    </row>
    <row r="3818" spans="2:4" x14ac:dyDescent="0.25">
      <c r="B3818" s="89">
        <v>3814</v>
      </c>
      <c r="C3818" s="39">
        <f t="shared" si="119"/>
        <v>157992929.59999999</v>
      </c>
      <c r="D3818" s="39">
        <f t="shared" si="118"/>
        <v>125964978</v>
      </c>
    </row>
    <row r="3819" spans="2:4" x14ac:dyDescent="0.25">
      <c r="B3819" s="89">
        <v>3815</v>
      </c>
      <c r="C3819" s="39">
        <f t="shared" si="119"/>
        <v>157992929.59999999</v>
      </c>
      <c r="D3819" s="39">
        <f t="shared" si="118"/>
        <v>125998005</v>
      </c>
    </row>
    <row r="3820" spans="2:4" x14ac:dyDescent="0.25">
      <c r="B3820" s="89">
        <v>3816</v>
      </c>
      <c r="C3820" s="39">
        <f t="shared" si="119"/>
        <v>157992929.59999999</v>
      </c>
      <c r="D3820" s="39">
        <f t="shared" si="118"/>
        <v>126031032</v>
      </c>
    </row>
    <row r="3821" spans="2:4" x14ac:dyDescent="0.25">
      <c r="B3821" s="89">
        <v>3817</v>
      </c>
      <c r="C3821" s="39">
        <f t="shared" si="119"/>
        <v>157992929.59999999</v>
      </c>
      <c r="D3821" s="39">
        <f t="shared" si="118"/>
        <v>126064059</v>
      </c>
    </row>
    <row r="3822" spans="2:4" x14ac:dyDescent="0.25">
      <c r="B3822" s="89">
        <v>3818</v>
      </c>
      <c r="C3822" s="39">
        <f t="shared" si="119"/>
        <v>157992929.59999999</v>
      </c>
      <c r="D3822" s="39">
        <f t="shared" si="118"/>
        <v>126097086</v>
      </c>
    </row>
    <row r="3823" spans="2:4" x14ac:dyDescent="0.25">
      <c r="B3823" s="89">
        <v>3819</v>
      </c>
      <c r="C3823" s="39">
        <f t="shared" si="119"/>
        <v>157992929.59999999</v>
      </c>
      <c r="D3823" s="39">
        <f t="shared" si="118"/>
        <v>126130113</v>
      </c>
    </row>
    <row r="3824" spans="2:4" x14ac:dyDescent="0.25">
      <c r="B3824" s="89">
        <v>3820</v>
      </c>
      <c r="C3824" s="39">
        <f t="shared" si="119"/>
        <v>157992929.59999999</v>
      </c>
      <c r="D3824" s="39">
        <f t="shared" si="118"/>
        <v>126163140</v>
      </c>
    </row>
    <row r="3825" spans="2:4" x14ac:dyDescent="0.25">
      <c r="B3825" s="89">
        <v>3821</v>
      </c>
      <c r="C3825" s="39">
        <f t="shared" si="119"/>
        <v>157992929.59999999</v>
      </c>
      <c r="D3825" s="39">
        <f t="shared" ref="D3825:D3888" si="120">$D$2*B3825</f>
        <v>126196167</v>
      </c>
    </row>
    <row r="3826" spans="2:4" x14ac:dyDescent="0.25">
      <c r="B3826" s="89">
        <v>3822</v>
      </c>
      <c r="C3826" s="39">
        <f t="shared" si="119"/>
        <v>157992929.59999999</v>
      </c>
      <c r="D3826" s="39">
        <f t="shared" si="120"/>
        <v>126229194</v>
      </c>
    </row>
    <row r="3827" spans="2:4" x14ac:dyDescent="0.25">
      <c r="B3827" s="89">
        <v>3823</v>
      </c>
      <c r="C3827" s="39">
        <f t="shared" si="119"/>
        <v>157992929.59999999</v>
      </c>
      <c r="D3827" s="39">
        <f t="shared" si="120"/>
        <v>126262221</v>
      </c>
    </row>
    <row r="3828" spans="2:4" x14ac:dyDescent="0.25">
      <c r="B3828" s="89">
        <v>3824</v>
      </c>
      <c r="C3828" s="39">
        <f t="shared" si="119"/>
        <v>157992929.59999999</v>
      </c>
      <c r="D3828" s="39">
        <f t="shared" si="120"/>
        <v>126295248</v>
      </c>
    </row>
    <row r="3829" spans="2:4" x14ac:dyDescent="0.25">
      <c r="B3829" s="89">
        <v>3825</v>
      </c>
      <c r="C3829" s="39">
        <f t="shared" si="119"/>
        <v>157992929.59999999</v>
      </c>
      <c r="D3829" s="39">
        <f t="shared" si="120"/>
        <v>126328275</v>
      </c>
    </row>
    <row r="3830" spans="2:4" x14ac:dyDescent="0.25">
      <c r="B3830" s="89">
        <v>3826</v>
      </c>
      <c r="C3830" s="39">
        <f t="shared" si="119"/>
        <v>157992929.59999999</v>
      </c>
      <c r="D3830" s="39">
        <f t="shared" si="120"/>
        <v>126361302</v>
      </c>
    </row>
    <row r="3831" spans="2:4" x14ac:dyDescent="0.25">
      <c r="B3831" s="89">
        <v>3827</v>
      </c>
      <c r="C3831" s="39">
        <f t="shared" si="119"/>
        <v>157992929.59999999</v>
      </c>
      <c r="D3831" s="39">
        <f t="shared" si="120"/>
        <v>126394329</v>
      </c>
    </row>
    <row r="3832" spans="2:4" x14ac:dyDescent="0.25">
      <c r="B3832" s="89">
        <v>3828</v>
      </c>
      <c r="C3832" s="39">
        <f t="shared" si="119"/>
        <v>157992929.59999999</v>
      </c>
      <c r="D3832" s="39">
        <f t="shared" si="120"/>
        <v>126427356</v>
      </c>
    </row>
    <row r="3833" spans="2:4" x14ac:dyDescent="0.25">
      <c r="B3833" s="89">
        <v>3829</v>
      </c>
      <c r="C3833" s="39">
        <f t="shared" si="119"/>
        <v>157992929.59999999</v>
      </c>
      <c r="D3833" s="39">
        <f t="shared" si="120"/>
        <v>126460383</v>
      </c>
    </row>
    <row r="3834" spans="2:4" x14ac:dyDescent="0.25">
      <c r="B3834" s="89">
        <v>3830</v>
      </c>
      <c r="C3834" s="39">
        <f t="shared" si="119"/>
        <v>157992929.59999999</v>
      </c>
      <c r="D3834" s="39">
        <f t="shared" si="120"/>
        <v>126493410</v>
      </c>
    </row>
    <row r="3835" spans="2:4" x14ac:dyDescent="0.25">
      <c r="B3835" s="89">
        <v>3831</v>
      </c>
      <c r="C3835" s="39">
        <f t="shared" si="119"/>
        <v>157992929.59999999</v>
      </c>
      <c r="D3835" s="39">
        <f t="shared" si="120"/>
        <v>126526437</v>
      </c>
    </row>
    <row r="3836" spans="2:4" x14ac:dyDescent="0.25">
      <c r="B3836" s="89">
        <v>3832</v>
      </c>
      <c r="C3836" s="39">
        <f t="shared" si="119"/>
        <v>157992929.59999999</v>
      </c>
      <c r="D3836" s="39">
        <f t="shared" si="120"/>
        <v>126559464</v>
      </c>
    </row>
    <row r="3837" spans="2:4" x14ac:dyDescent="0.25">
      <c r="B3837" s="89">
        <v>3833</v>
      </c>
      <c r="C3837" s="39">
        <f t="shared" si="119"/>
        <v>157992929.59999999</v>
      </c>
      <c r="D3837" s="39">
        <f t="shared" si="120"/>
        <v>126592491</v>
      </c>
    </row>
    <row r="3838" spans="2:4" x14ac:dyDescent="0.25">
      <c r="B3838" s="89">
        <v>3834</v>
      </c>
      <c r="C3838" s="39">
        <f t="shared" si="119"/>
        <v>157992929.59999999</v>
      </c>
      <c r="D3838" s="39">
        <f t="shared" si="120"/>
        <v>126625518</v>
      </c>
    </row>
    <row r="3839" spans="2:4" x14ac:dyDescent="0.25">
      <c r="B3839" s="89">
        <v>3835</v>
      </c>
      <c r="C3839" s="39">
        <f t="shared" si="119"/>
        <v>157992929.59999999</v>
      </c>
      <c r="D3839" s="39">
        <f t="shared" si="120"/>
        <v>126658545</v>
      </c>
    </row>
    <row r="3840" spans="2:4" x14ac:dyDescent="0.25">
      <c r="B3840" s="89">
        <v>3836</v>
      </c>
      <c r="C3840" s="39">
        <f t="shared" si="119"/>
        <v>157992929.59999999</v>
      </c>
      <c r="D3840" s="39">
        <f t="shared" si="120"/>
        <v>126691572</v>
      </c>
    </row>
    <row r="3841" spans="2:4" x14ac:dyDescent="0.25">
      <c r="B3841" s="89">
        <v>3837</v>
      </c>
      <c r="C3841" s="39">
        <f t="shared" si="119"/>
        <v>157992929.59999999</v>
      </c>
      <c r="D3841" s="39">
        <f t="shared" si="120"/>
        <v>126724599</v>
      </c>
    </row>
    <row r="3842" spans="2:4" x14ac:dyDescent="0.25">
      <c r="B3842" s="89">
        <v>3838</v>
      </c>
      <c r="C3842" s="39">
        <f t="shared" si="119"/>
        <v>157992929.59999999</v>
      </c>
      <c r="D3842" s="39">
        <f t="shared" si="120"/>
        <v>126757626</v>
      </c>
    </row>
    <row r="3843" spans="2:4" x14ac:dyDescent="0.25">
      <c r="B3843" s="89">
        <v>3839</v>
      </c>
      <c r="C3843" s="39">
        <f t="shared" si="119"/>
        <v>157992929.59999999</v>
      </c>
      <c r="D3843" s="39">
        <f t="shared" si="120"/>
        <v>126790653</v>
      </c>
    </row>
    <row r="3844" spans="2:4" x14ac:dyDescent="0.25">
      <c r="B3844" s="89">
        <v>3840</v>
      </c>
      <c r="C3844" s="39">
        <f t="shared" si="119"/>
        <v>157992929.59999999</v>
      </c>
      <c r="D3844" s="39">
        <f t="shared" si="120"/>
        <v>126823680</v>
      </c>
    </row>
    <row r="3845" spans="2:4" x14ac:dyDescent="0.25">
      <c r="B3845" s="89">
        <v>3841</v>
      </c>
      <c r="C3845" s="39">
        <f t="shared" si="119"/>
        <v>157992929.59999999</v>
      </c>
      <c r="D3845" s="39">
        <f t="shared" si="120"/>
        <v>126856707</v>
      </c>
    </row>
    <row r="3846" spans="2:4" x14ac:dyDescent="0.25">
      <c r="B3846" s="89">
        <v>3842</v>
      </c>
      <c r="C3846" s="39">
        <f t="shared" ref="C3846:C3909" si="121">$C3845</f>
        <v>157992929.59999999</v>
      </c>
      <c r="D3846" s="39">
        <f t="shared" si="120"/>
        <v>126889734</v>
      </c>
    </row>
    <row r="3847" spans="2:4" x14ac:dyDescent="0.25">
      <c r="B3847" s="89">
        <v>3843</v>
      </c>
      <c r="C3847" s="39">
        <f t="shared" si="121"/>
        <v>157992929.59999999</v>
      </c>
      <c r="D3847" s="39">
        <f t="shared" si="120"/>
        <v>126922761</v>
      </c>
    </row>
    <row r="3848" spans="2:4" x14ac:dyDescent="0.25">
      <c r="B3848" s="89">
        <v>3844</v>
      </c>
      <c r="C3848" s="39">
        <f t="shared" si="121"/>
        <v>157992929.59999999</v>
      </c>
      <c r="D3848" s="39">
        <f t="shared" si="120"/>
        <v>126955788</v>
      </c>
    </row>
    <row r="3849" spans="2:4" x14ac:dyDescent="0.25">
      <c r="B3849" s="89">
        <v>3845</v>
      </c>
      <c r="C3849" s="39">
        <f t="shared" si="121"/>
        <v>157992929.59999999</v>
      </c>
      <c r="D3849" s="39">
        <f t="shared" si="120"/>
        <v>126988815</v>
      </c>
    </row>
    <row r="3850" spans="2:4" x14ac:dyDescent="0.25">
      <c r="B3850" s="89">
        <v>3846</v>
      </c>
      <c r="C3850" s="39">
        <f t="shared" si="121"/>
        <v>157992929.59999999</v>
      </c>
      <c r="D3850" s="39">
        <f t="shared" si="120"/>
        <v>127021842</v>
      </c>
    </row>
    <row r="3851" spans="2:4" x14ac:dyDescent="0.25">
      <c r="B3851" s="89">
        <v>3847</v>
      </c>
      <c r="C3851" s="39">
        <f t="shared" si="121"/>
        <v>157992929.59999999</v>
      </c>
      <c r="D3851" s="39">
        <f t="shared" si="120"/>
        <v>127054869</v>
      </c>
    </row>
    <row r="3852" spans="2:4" x14ac:dyDescent="0.25">
      <c r="B3852" s="89">
        <v>3848</v>
      </c>
      <c r="C3852" s="39">
        <f t="shared" si="121"/>
        <v>157992929.59999999</v>
      </c>
      <c r="D3852" s="39">
        <f t="shared" si="120"/>
        <v>127087896</v>
      </c>
    </row>
    <row r="3853" spans="2:4" x14ac:dyDescent="0.25">
      <c r="B3853" s="89">
        <v>3849</v>
      </c>
      <c r="C3853" s="39">
        <f t="shared" si="121"/>
        <v>157992929.59999999</v>
      </c>
      <c r="D3853" s="39">
        <f t="shared" si="120"/>
        <v>127120923</v>
      </c>
    </row>
    <row r="3854" spans="2:4" x14ac:dyDescent="0.25">
      <c r="B3854" s="89">
        <v>3850</v>
      </c>
      <c r="C3854" s="39">
        <f t="shared" si="121"/>
        <v>157992929.59999999</v>
      </c>
      <c r="D3854" s="39">
        <f t="shared" si="120"/>
        <v>127153950</v>
      </c>
    </row>
    <row r="3855" spans="2:4" x14ac:dyDescent="0.25">
      <c r="B3855" s="89">
        <v>3851</v>
      </c>
      <c r="C3855" s="39">
        <f t="shared" si="121"/>
        <v>157992929.59999999</v>
      </c>
      <c r="D3855" s="39">
        <f t="shared" si="120"/>
        <v>127186977</v>
      </c>
    </row>
    <row r="3856" spans="2:4" x14ac:dyDescent="0.25">
      <c r="B3856" s="89">
        <v>3852</v>
      </c>
      <c r="C3856" s="39">
        <f t="shared" si="121"/>
        <v>157992929.59999999</v>
      </c>
      <c r="D3856" s="39">
        <f t="shared" si="120"/>
        <v>127220004</v>
      </c>
    </row>
    <row r="3857" spans="2:4" x14ac:dyDescent="0.25">
      <c r="B3857" s="89">
        <v>3853</v>
      </c>
      <c r="C3857" s="39">
        <f t="shared" si="121"/>
        <v>157992929.59999999</v>
      </c>
      <c r="D3857" s="39">
        <f t="shared" si="120"/>
        <v>127253031</v>
      </c>
    </row>
    <row r="3858" spans="2:4" x14ac:dyDescent="0.25">
      <c r="B3858" s="89">
        <v>3854</v>
      </c>
      <c r="C3858" s="39">
        <f t="shared" si="121"/>
        <v>157992929.59999999</v>
      </c>
      <c r="D3858" s="39">
        <f t="shared" si="120"/>
        <v>127286058</v>
      </c>
    </row>
    <row r="3859" spans="2:4" x14ac:dyDescent="0.25">
      <c r="B3859" s="89">
        <v>3855</v>
      </c>
      <c r="C3859" s="39">
        <f t="shared" si="121"/>
        <v>157992929.59999999</v>
      </c>
      <c r="D3859" s="39">
        <f t="shared" si="120"/>
        <v>127319085</v>
      </c>
    </row>
    <row r="3860" spans="2:4" x14ac:dyDescent="0.25">
      <c r="B3860" s="89">
        <v>3856</v>
      </c>
      <c r="C3860" s="39">
        <f t="shared" si="121"/>
        <v>157992929.59999999</v>
      </c>
      <c r="D3860" s="39">
        <f t="shared" si="120"/>
        <v>127352112</v>
      </c>
    </row>
    <row r="3861" spans="2:4" x14ac:dyDescent="0.25">
      <c r="B3861" s="89">
        <v>3857</v>
      </c>
      <c r="C3861" s="39">
        <f t="shared" si="121"/>
        <v>157992929.59999999</v>
      </c>
      <c r="D3861" s="39">
        <f t="shared" si="120"/>
        <v>127385139</v>
      </c>
    </row>
    <row r="3862" spans="2:4" x14ac:dyDescent="0.25">
      <c r="B3862" s="89">
        <v>3858</v>
      </c>
      <c r="C3862" s="39">
        <f t="shared" si="121"/>
        <v>157992929.59999999</v>
      </c>
      <c r="D3862" s="39">
        <f t="shared" si="120"/>
        <v>127418166</v>
      </c>
    </row>
    <row r="3863" spans="2:4" x14ac:dyDescent="0.25">
      <c r="B3863" s="89">
        <v>3859</v>
      </c>
      <c r="C3863" s="39">
        <f t="shared" si="121"/>
        <v>157992929.59999999</v>
      </c>
      <c r="D3863" s="39">
        <f t="shared" si="120"/>
        <v>127451193</v>
      </c>
    </row>
    <row r="3864" spans="2:4" x14ac:dyDescent="0.25">
      <c r="B3864" s="89">
        <v>3860</v>
      </c>
      <c r="C3864" s="39">
        <f t="shared" si="121"/>
        <v>157992929.59999999</v>
      </c>
      <c r="D3864" s="39">
        <f t="shared" si="120"/>
        <v>127484220</v>
      </c>
    </row>
    <row r="3865" spans="2:4" x14ac:dyDescent="0.25">
      <c r="B3865" s="89">
        <v>3861</v>
      </c>
      <c r="C3865" s="39">
        <f t="shared" si="121"/>
        <v>157992929.59999999</v>
      </c>
      <c r="D3865" s="39">
        <f t="shared" si="120"/>
        <v>127517247</v>
      </c>
    </row>
    <row r="3866" spans="2:4" x14ac:dyDescent="0.25">
      <c r="B3866" s="89">
        <v>3862</v>
      </c>
      <c r="C3866" s="39">
        <f t="shared" si="121"/>
        <v>157992929.59999999</v>
      </c>
      <c r="D3866" s="39">
        <f t="shared" si="120"/>
        <v>127550274</v>
      </c>
    </row>
    <row r="3867" spans="2:4" x14ac:dyDescent="0.25">
      <c r="B3867" s="89">
        <v>3863</v>
      </c>
      <c r="C3867" s="39">
        <f t="shared" si="121"/>
        <v>157992929.59999999</v>
      </c>
      <c r="D3867" s="39">
        <f t="shared" si="120"/>
        <v>127583301</v>
      </c>
    </row>
    <row r="3868" spans="2:4" x14ac:dyDescent="0.25">
      <c r="B3868" s="89">
        <v>3864</v>
      </c>
      <c r="C3868" s="39">
        <f t="shared" si="121"/>
        <v>157992929.59999999</v>
      </c>
      <c r="D3868" s="39">
        <f t="shared" si="120"/>
        <v>127616328</v>
      </c>
    </row>
    <row r="3869" spans="2:4" x14ac:dyDescent="0.25">
      <c r="B3869" s="89">
        <v>3865</v>
      </c>
      <c r="C3869" s="39">
        <f t="shared" si="121"/>
        <v>157992929.59999999</v>
      </c>
      <c r="D3869" s="39">
        <f t="shared" si="120"/>
        <v>127649355</v>
      </c>
    </row>
    <row r="3870" spans="2:4" x14ac:dyDescent="0.25">
      <c r="B3870" s="89">
        <v>3866</v>
      </c>
      <c r="C3870" s="39">
        <f t="shared" si="121"/>
        <v>157992929.59999999</v>
      </c>
      <c r="D3870" s="39">
        <f t="shared" si="120"/>
        <v>127682382</v>
      </c>
    </row>
    <row r="3871" spans="2:4" x14ac:dyDescent="0.25">
      <c r="B3871" s="89">
        <v>3867</v>
      </c>
      <c r="C3871" s="39">
        <f t="shared" si="121"/>
        <v>157992929.59999999</v>
      </c>
      <c r="D3871" s="39">
        <f t="shared" si="120"/>
        <v>127715409</v>
      </c>
    </row>
    <row r="3872" spans="2:4" x14ac:dyDescent="0.25">
      <c r="B3872" s="89">
        <v>3868</v>
      </c>
      <c r="C3872" s="39">
        <f t="shared" si="121"/>
        <v>157992929.59999999</v>
      </c>
      <c r="D3872" s="39">
        <f t="shared" si="120"/>
        <v>127748436</v>
      </c>
    </row>
    <row r="3873" spans="2:4" x14ac:dyDescent="0.25">
      <c r="B3873" s="89">
        <v>3869</v>
      </c>
      <c r="C3873" s="39">
        <f t="shared" si="121"/>
        <v>157992929.59999999</v>
      </c>
      <c r="D3873" s="39">
        <f t="shared" si="120"/>
        <v>127781463</v>
      </c>
    </row>
    <row r="3874" spans="2:4" x14ac:dyDescent="0.25">
      <c r="B3874" s="89">
        <v>3870</v>
      </c>
      <c r="C3874" s="39">
        <f t="shared" si="121"/>
        <v>157992929.59999999</v>
      </c>
      <c r="D3874" s="39">
        <f t="shared" si="120"/>
        <v>127814490</v>
      </c>
    </row>
    <row r="3875" spans="2:4" x14ac:dyDescent="0.25">
      <c r="B3875" s="89">
        <v>3871</v>
      </c>
      <c r="C3875" s="39">
        <f t="shared" si="121"/>
        <v>157992929.59999999</v>
      </c>
      <c r="D3875" s="39">
        <f t="shared" si="120"/>
        <v>127847517</v>
      </c>
    </row>
    <row r="3876" spans="2:4" x14ac:dyDescent="0.25">
      <c r="B3876" s="89">
        <v>3872</v>
      </c>
      <c r="C3876" s="39">
        <f t="shared" si="121"/>
        <v>157992929.59999999</v>
      </c>
      <c r="D3876" s="39">
        <f t="shared" si="120"/>
        <v>127880544</v>
      </c>
    </row>
    <row r="3877" spans="2:4" x14ac:dyDescent="0.25">
      <c r="B3877" s="89">
        <v>3873</v>
      </c>
      <c r="C3877" s="39">
        <f t="shared" si="121"/>
        <v>157992929.59999999</v>
      </c>
      <c r="D3877" s="39">
        <f t="shared" si="120"/>
        <v>127913571</v>
      </c>
    </row>
    <row r="3878" spans="2:4" x14ac:dyDescent="0.25">
      <c r="B3878" s="89">
        <v>3874</v>
      </c>
      <c r="C3878" s="39">
        <f t="shared" si="121"/>
        <v>157992929.59999999</v>
      </c>
      <c r="D3878" s="39">
        <f t="shared" si="120"/>
        <v>127946598</v>
      </c>
    </row>
    <row r="3879" spans="2:4" x14ac:dyDescent="0.25">
      <c r="B3879" s="89">
        <v>3875</v>
      </c>
      <c r="C3879" s="39">
        <f t="shared" si="121"/>
        <v>157992929.59999999</v>
      </c>
      <c r="D3879" s="39">
        <f t="shared" si="120"/>
        <v>127979625</v>
      </c>
    </row>
    <row r="3880" spans="2:4" x14ac:dyDescent="0.25">
      <c r="B3880" s="89">
        <v>3876</v>
      </c>
      <c r="C3880" s="39">
        <f t="shared" si="121"/>
        <v>157992929.59999999</v>
      </c>
      <c r="D3880" s="39">
        <f t="shared" si="120"/>
        <v>128012652</v>
      </c>
    </row>
    <row r="3881" spans="2:4" x14ac:dyDescent="0.25">
      <c r="B3881" s="89">
        <v>3877</v>
      </c>
      <c r="C3881" s="39">
        <f t="shared" si="121"/>
        <v>157992929.59999999</v>
      </c>
      <c r="D3881" s="39">
        <f t="shared" si="120"/>
        <v>128045679</v>
      </c>
    </row>
    <row r="3882" spans="2:4" x14ac:dyDescent="0.25">
      <c r="B3882" s="89">
        <v>3878</v>
      </c>
      <c r="C3882" s="39">
        <f t="shared" si="121"/>
        <v>157992929.59999999</v>
      </c>
      <c r="D3882" s="39">
        <f t="shared" si="120"/>
        <v>128078706</v>
      </c>
    </row>
    <row r="3883" spans="2:4" x14ac:dyDescent="0.25">
      <c r="B3883" s="89">
        <v>3879</v>
      </c>
      <c r="C3883" s="39">
        <f t="shared" si="121"/>
        <v>157992929.59999999</v>
      </c>
      <c r="D3883" s="39">
        <f t="shared" si="120"/>
        <v>128111733</v>
      </c>
    </row>
    <row r="3884" spans="2:4" x14ac:dyDescent="0.25">
      <c r="B3884" s="89">
        <v>3880</v>
      </c>
      <c r="C3884" s="39">
        <f t="shared" si="121"/>
        <v>157992929.59999999</v>
      </c>
      <c r="D3884" s="39">
        <f t="shared" si="120"/>
        <v>128144760</v>
      </c>
    </row>
    <row r="3885" spans="2:4" x14ac:dyDescent="0.25">
      <c r="B3885" s="89">
        <v>3881</v>
      </c>
      <c r="C3885" s="39">
        <f t="shared" si="121"/>
        <v>157992929.59999999</v>
      </c>
      <c r="D3885" s="39">
        <f t="shared" si="120"/>
        <v>128177787</v>
      </c>
    </row>
    <row r="3886" spans="2:4" x14ac:dyDescent="0.25">
      <c r="B3886" s="89">
        <v>3882</v>
      </c>
      <c r="C3886" s="39">
        <f t="shared" si="121"/>
        <v>157992929.59999999</v>
      </c>
      <c r="D3886" s="39">
        <f t="shared" si="120"/>
        <v>128210814</v>
      </c>
    </row>
    <row r="3887" spans="2:4" x14ac:dyDescent="0.25">
      <c r="B3887" s="89">
        <v>3883</v>
      </c>
      <c r="C3887" s="39">
        <f t="shared" si="121"/>
        <v>157992929.59999999</v>
      </c>
      <c r="D3887" s="39">
        <f t="shared" si="120"/>
        <v>128243841</v>
      </c>
    </row>
    <row r="3888" spans="2:4" x14ac:dyDescent="0.25">
      <c r="B3888" s="89">
        <v>3884</v>
      </c>
      <c r="C3888" s="39">
        <f t="shared" si="121"/>
        <v>157992929.59999999</v>
      </c>
      <c r="D3888" s="39">
        <f t="shared" si="120"/>
        <v>128276868</v>
      </c>
    </row>
    <row r="3889" spans="2:4" x14ac:dyDescent="0.25">
      <c r="B3889" s="89">
        <v>3885</v>
      </c>
      <c r="C3889" s="39">
        <f t="shared" si="121"/>
        <v>157992929.59999999</v>
      </c>
      <c r="D3889" s="39">
        <f t="shared" ref="D3889:D3952" si="122">$D$2*B3889</f>
        <v>128309895</v>
      </c>
    </row>
    <row r="3890" spans="2:4" x14ac:dyDescent="0.25">
      <c r="B3890" s="89">
        <v>3886</v>
      </c>
      <c r="C3890" s="39">
        <f t="shared" si="121"/>
        <v>157992929.59999999</v>
      </c>
      <c r="D3890" s="39">
        <f t="shared" si="122"/>
        <v>128342922</v>
      </c>
    </row>
    <row r="3891" spans="2:4" x14ac:dyDescent="0.25">
      <c r="B3891" s="89">
        <v>3887</v>
      </c>
      <c r="C3891" s="39">
        <f t="shared" si="121"/>
        <v>157992929.59999999</v>
      </c>
      <c r="D3891" s="39">
        <f t="shared" si="122"/>
        <v>128375949</v>
      </c>
    </row>
    <row r="3892" spans="2:4" x14ac:dyDescent="0.25">
      <c r="B3892" s="89">
        <v>3888</v>
      </c>
      <c r="C3892" s="39">
        <f t="shared" si="121"/>
        <v>157992929.59999999</v>
      </c>
      <c r="D3892" s="39">
        <f t="shared" si="122"/>
        <v>128408976</v>
      </c>
    </row>
    <row r="3893" spans="2:4" x14ac:dyDescent="0.25">
      <c r="B3893" s="89">
        <v>3889</v>
      </c>
      <c r="C3893" s="39">
        <f t="shared" si="121"/>
        <v>157992929.59999999</v>
      </c>
      <c r="D3893" s="39">
        <f t="shared" si="122"/>
        <v>128442003</v>
      </c>
    </row>
    <row r="3894" spans="2:4" x14ac:dyDescent="0.25">
      <c r="B3894" s="89">
        <v>3890</v>
      </c>
      <c r="C3894" s="39">
        <f t="shared" si="121"/>
        <v>157992929.59999999</v>
      </c>
      <c r="D3894" s="39">
        <f t="shared" si="122"/>
        <v>128475030</v>
      </c>
    </row>
    <row r="3895" spans="2:4" x14ac:dyDescent="0.25">
      <c r="B3895" s="89">
        <v>3891</v>
      </c>
      <c r="C3895" s="39">
        <f t="shared" si="121"/>
        <v>157992929.59999999</v>
      </c>
      <c r="D3895" s="39">
        <f t="shared" si="122"/>
        <v>128508057</v>
      </c>
    </row>
    <row r="3896" spans="2:4" x14ac:dyDescent="0.25">
      <c r="B3896" s="89">
        <v>3892</v>
      </c>
      <c r="C3896" s="39">
        <f t="shared" si="121"/>
        <v>157992929.59999999</v>
      </c>
      <c r="D3896" s="39">
        <f t="shared" si="122"/>
        <v>128541084</v>
      </c>
    </row>
    <row r="3897" spans="2:4" x14ac:dyDescent="0.25">
      <c r="B3897" s="89">
        <v>3893</v>
      </c>
      <c r="C3897" s="39">
        <f t="shared" si="121"/>
        <v>157992929.59999999</v>
      </c>
      <c r="D3897" s="39">
        <f t="shared" si="122"/>
        <v>128574111</v>
      </c>
    </row>
    <row r="3898" spans="2:4" x14ac:dyDescent="0.25">
      <c r="B3898" s="89">
        <v>3894</v>
      </c>
      <c r="C3898" s="39">
        <f t="shared" si="121"/>
        <v>157992929.59999999</v>
      </c>
      <c r="D3898" s="39">
        <f t="shared" si="122"/>
        <v>128607138</v>
      </c>
    </row>
    <row r="3899" spans="2:4" x14ac:dyDescent="0.25">
      <c r="B3899" s="89">
        <v>3895</v>
      </c>
      <c r="C3899" s="39">
        <f t="shared" si="121"/>
        <v>157992929.59999999</v>
      </c>
      <c r="D3899" s="39">
        <f t="shared" si="122"/>
        <v>128640165</v>
      </c>
    </row>
    <row r="3900" spans="2:4" x14ac:dyDescent="0.25">
      <c r="B3900" s="89">
        <v>3896</v>
      </c>
      <c r="C3900" s="39">
        <f t="shared" si="121"/>
        <v>157992929.59999999</v>
      </c>
      <c r="D3900" s="39">
        <f t="shared" si="122"/>
        <v>128673192</v>
      </c>
    </row>
    <row r="3901" spans="2:4" x14ac:dyDescent="0.25">
      <c r="B3901" s="89">
        <v>3897</v>
      </c>
      <c r="C3901" s="39">
        <f t="shared" si="121"/>
        <v>157992929.59999999</v>
      </c>
      <c r="D3901" s="39">
        <f t="shared" si="122"/>
        <v>128706219</v>
      </c>
    </row>
    <row r="3902" spans="2:4" x14ac:dyDescent="0.25">
      <c r="B3902" s="89">
        <v>3898</v>
      </c>
      <c r="C3902" s="39">
        <f t="shared" si="121"/>
        <v>157992929.59999999</v>
      </c>
      <c r="D3902" s="39">
        <f t="shared" si="122"/>
        <v>128739246</v>
      </c>
    </row>
    <row r="3903" spans="2:4" x14ac:dyDescent="0.25">
      <c r="B3903" s="89">
        <v>3899</v>
      </c>
      <c r="C3903" s="39">
        <f t="shared" si="121"/>
        <v>157992929.59999999</v>
      </c>
      <c r="D3903" s="39">
        <f t="shared" si="122"/>
        <v>128772273</v>
      </c>
    </row>
    <row r="3904" spans="2:4" x14ac:dyDescent="0.25">
      <c r="B3904" s="89">
        <v>3900</v>
      </c>
      <c r="C3904" s="39">
        <f t="shared" si="121"/>
        <v>157992929.59999999</v>
      </c>
      <c r="D3904" s="39">
        <f t="shared" si="122"/>
        <v>128805300</v>
      </c>
    </row>
    <row r="3905" spans="2:4" x14ac:dyDescent="0.25">
      <c r="B3905" s="89">
        <v>3901</v>
      </c>
      <c r="C3905" s="39">
        <f t="shared" si="121"/>
        <v>157992929.59999999</v>
      </c>
      <c r="D3905" s="39">
        <f t="shared" si="122"/>
        <v>128838327</v>
      </c>
    </row>
    <row r="3906" spans="2:4" x14ac:dyDescent="0.25">
      <c r="B3906" s="89">
        <v>3902</v>
      </c>
      <c r="C3906" s="39">
        <f t="shared" si="121"/>
        <v>157992929.59999999</v>
      </c>
      <c r="D3906" s="39">
        <f t="shared" si="122"/>
        <v>128871354</v>
      </c>
    </row>
    <row r="3907" spans="2:4" x14ac:dyDescent="0.25">
      <c r="B3907" s="89">
        <v>3903</v>
      </c>
      <c r="C3907" s="39">
        <f t="shared" si="121"/>
        <v>157992929.59999999</v>
      </c>
      <c r="D3907" s="39">
        <f t="shared" si="122"/>
        <v>128904381</v>
      </c>
    </row>
    <row r="3908" spans="2:4" x14ac:dyDescent="0.25">
      <c r="B3908" s="89">
        <v>3904</v>
      </c>
      <c r="C3908" s="39">
        <f t="shared" si="121"/>
        <v>157992929.59999999</v>
      </c>
      <c r="D3908" s="39">
        <f t="shared" si="122"/>
        <v>128937408</v>
      </c>
    </row>
    <row r="3909" spans="2:4" x14ac:dyDescent="0.25">
      <c r="B3909" s="89">
        <v>3905</v>
      </c>
      <c r="C3909" s="39">
        <f t="shared" si="121"/>
        <v>157992929.59999999</v>
      </c>
      <c r="D3909" s="39">
        <f t="shared" si="122"/>
        <v>128970435</v>
      </c>
    </row>
    <row r="3910" spans="2:4" x14ac:dyDescent="0.25">
      <c r="B3910" s="89">
        <v>3906</v>
      </c>
      <c r="C3910" s="39">
        <f t="shared" ref="C3910:C3973" si="123">$C3909</f>
        <v>157992929.59999999</v>
      </c>
      <c r="D3910" s="39">
        <f t="shared" si="122"/>
        <v>129003462</v>
      </c>
    </row>
    <row r="3911" spans="2:4" x14ac:dyDescent="0.25">
      <c r="B3911" s="89">
        <v>3907</v>
      </c>
      <c r="C3911" s="39">
        <f t="shared" si="123"/>
        <v>157992929.59999999</v>
      </c>
      <c r="D3911" s="39">
        <f t="shared" si="122"/>
        <v>129036489</v>
      </c>
    </row>
    <row r="3912" spans="2:4" x14ac:dyDescent="0.25">
      <c r="B3912" s="89">
        <v>3908</v>
      </c>
      <c r="C3912" s="39">
        <f t="shared" si="123"/>
        <v>157992929.59999999</v>
      </c>
      <c r="D3912" s="39">
        <f t="shared" si="122"/>
        <v>129069516</v>
      </c>
    </row>
    <row r="3913" spans="2:4" x14ac:dyDescent="0.25">
      <c r="B3913" s="89">
        <v>3909</v>
      </c>
      <c r="C3913" s="39">
        <f t="shared" si="123"/>
        <v>157992929.59999999</v>
      </c>
      <c r="D3913" s="39">
        <f t="shared" si="122"/>
        <v>129102543</v>
      </c>
    </row>
    <row r="3914" spans="2:4" x14ac:dyDescent="0.25">
      <c r="B3914" s="89">
        <v>3910</v>
      </c>
      <c r="C3914" s="39">
        <f t="shared" si="123"/>
        <v>157992929.59999999</v>
      </c>
      <c r="D3914" s="39">
        <f t="shared" si="122"/>
        <v>129135570</v>
      </c>
    </row>
    <row r="3915" spans="2:4" x14ac:dyDescent="0.25">
      <c r="B3915" s="89">
        <v>3911</v>
      </c>
      <c r="C3915" s="39">
        <f t="shared" si="123"/>
        <v>157992929.59999999</v>
      </c>
      <c r="D3915" s="39">
        <f t="shared" si="122"/>
        <v>129168597</v>
      </c>
    </row>
    <row r="3916" spans="2:4" x14ac:dyDescent="0.25">
      <c r="B3916" s="89">
        <v>3912</v>
      </c>
      <c r="C3916" s="39">
        <f t="shared" si="123"/>
        <v>157992929.59999999</v>
      </c>
      <c r="D3916" s="39">
        <f t="shared" si="122"/>
        <v>129201624</v>
      </c>
    </row>
    <row r="3917" spans="2:4" x14ac:dyDescent="0.25">
      <c r="B3917" s="89">
        <v>3913</v>
      </c>
      <c r="C3917" s="39">
        <f t="shared" si="123"/>
        <v>157992929.59999999</v>
      </c>
      <c r="D3917" s="39">
        <f t="shared" si="122"/>
        <v>129234651</v>
      </c>
    </row>
    <row r="3918" spans="2:4" x14ac:dyDescent="0.25">
      <c r="B3918" s="89">
        <v>3914</v>
      </c>
      <c r="C3918" s="39">
        <f t="shared" si="123"/>
        <v>157992929.59999999</v>
      </c>
      <c r="D3918" s="39">
        <f t="shared" si="122"/>
        <v>129267678</v>
      </c>
    </row>
    <row r="3919" spans="2:4" x14ac:dyDescent="0.25">
      <c r="B3919" s="89">
        <v>3915</v>
      </c>
      <c r="C3919" s="39">
        <f t="shared" si="123"/>
        <v>157992929.59999999</v>
      </c>
      <c r="D3919" s="39">
        <f t="shared" si="122"/>
        <v>129300705</v>
      </c>
    </row>
    <row r="3920" spans="2:4" x14ac:dyDescent="0.25">
      <c r="B3920" s="89">
        <v>3916</v>
      </c>
      <c r="C3920" s="39">
        <f t="shared" si="123"/>
        <v>157992929.59999999</v>
      </c>
      <c r="D3920" s="39">
        <f t="shared" si="122"/>
        <v>129333732</v>
      </c>
    </row>
    <row r="3921" spans="2:4" x14ac:dyDescent="0.25">
      <c r="B3921" s="89">
        <v>3917</v>
      </c>
      <c r="C3921" s="39">
        <f t="shared" si="123"/>
        <v>157992929.59999999</v>
      </c>
      <c r="D3921" s="39">
        <f t="shared" si="122"/>
        <v>129366759</v>
      </c>
    </row>
    <row r="3922" spans="2:4" x14ac:dyDescent="0.25">
      <c r="B3922" s="89">
        <v>3918</v>
      </c>
      <c r="C3922" s="39">
        <f t="shared" si="123"/>
        <v>157992929.59999999</v>
      </c>
      <c r="D3922" s="39">
        <f t="shared" si="122"/>
        <v>129399786</v>
      </c>
    </row>
    <row r="3923" spans="2:4" x14ac:dyDescent="0.25">
      <c r="B3923" s="89">
        <v>3919</v>
      </c>
      <c r="C3923" s="39">
        <f t="shared" si="123"/>
        <v>157992929.59999999</v>
      </c>
      <c r="D3923" s="39">
        <f t="shared" si="122"/>
        <v>129432813</v>
      </c>
    </row>
    <row r="3924" spans="2:4" x14ac:dyDescent="0.25">
      <c r="B3924" s="89">
        <v>3920</v>
      </c>
      <c r="C3924" s="39">
        <f t="shared" si="123"/>
        <v>157992929.59999999</v>
      </c>
      <c r="D3924" s="39">
        <f t="shared" si="122"/>
        <v>129465840</v>
      </c>
    </row>
    <row r="3925" spans="2:4" x14ac:dyDescent="0.25">
      <c r="B3925" s="89">
        <v>3921</v>
      </c>
      <c r="C3925" s="39">
        <f t="shared" si="123"/>
        <v>157992929.59999999</v>
      </c>
      <c r="D3925" s="39">
        <f t="shared" si="122"/>
        <v>129498867</v>
      </c>
    </row>
    <row r="3926" spans="2:4" x14ac:dyDescent="0.25">
      <c r="B3926" s="89">
        <v>3922</v>
      </c>
      <c r="C3926" s="39">
        <f t="shared" si="123"/>
        <v>157992929.59999999</v>
      </c>
      <c r="D3926" s="39">
        <f t="shared" si="122"/>
        <v>129531894</v>
      </c>
    </row>
    <row r="3927" spans="2:4" x14ac:dyDescent="0.25">
      <c r="B3927" s="89">
        <v>3923</v>
      </c>
      <c r="C3927" s="39">
        <f t="shared" si="123"/>
        <v>157992929.59999999</v>
      </c>
      <c r="D3927" s="39">
        <f t="shared" si="122"/>
        <v>129564921</v>
      </c>
    </row>
    <row r="3928" spans="2:4" x14ac:dyDescent="0.25">
      <c r="B3928" s="89">
        <v>3924</v>
      </c>
      <c r="C3928" s="39">
        <f t="shared" si="123"/>
        <v>157992929.59999999</v>
      </c>
      <c r="D3928" s="39">
        <f t="shared" si="122"/>
        <v>129597948</v>
      </c>
    </row>
    <row r="3929" spans="2:4" x14ac:dyDescent="0.25">
      <c r="B3929" s="89">
        <v>3925</v>
      </c>
      <c r="C3929" s="39">
        <f t="shared" si="123"/>
        <v>157992929.59999999</v>
      </c>
      <c r="D3929" s="39">
        <f t="shared" si="122"/>
        <v>129630975</v>
      </c>
    </row>
    <row r="3930" spans="2:4" x14ac:dyDescent="0.25">
      <c r="B3930" s="89">
        <v>3926</v>
      </c>
      <c r="C3930" s="39">
        <f t="shared" si="123"/>
        <v>157992929.59999999</v>
      </c>
      <c r="D3930" s="39">
        <f t="shared" si="122"/>
        <v>129664002</v>
      </c>
    </row>
    <row r="3931" spans="2:4" x14ac:dyDescent="0.25">
      <c r="B3931" s="89">
        <v>3927</v>
      </c>
      <c r="C3931" s="39">
        <f t="shared" si="123"/>
        <v>157992929.59999999</v>
      </c>
      <c r="D3931" s="39">
        <f t="shared" si="122"/>
        <v>129697029</v>
      </c>
    </row>
    <row r="3932" spans="2:4" x14ac:dyDescent="0.25">
      <c r="B3932" s="89">
        <v>3928</v>
      </c>
      <c r="C3932" s="39">
        <f t="shared" si="123"/>
        <v>157992929.59999999</v>
      </c>
      <c r="D3932" s="39">
        <f t="shared" si="122"/>
        <v>129730056</v>
      </c>
    </row>
    <row r="3933" spans="2:4" x14ac:dyDescent="0.25">
      <c r="B3933" s="89">
        <v>3929</v>
      </c>
      <c r="C3933" s="39">
        <f t="shared" si="123"/>
        <v>157992929.59999999</v>
      </c>
      <c r="D3933" s="39">
        <f t="shared" si="122"/>
        <v>129763083</v>
      </c>
    </row>
    <row r="3934" spans="2:4" x14ac:dyDescent="0.25">
      <c r="B3934" s="89">
        <v>3930</v>
      </c>
      <c r="C3934" s="39">
        <f t="shared" si="123"/>
        <v>157992929.59999999</v>
      </c>
      <c r="D3934" s="39">
        <f t="shared" si="122"/>
        <v>129796110</v>
      </c>
    </row>
    <row r="3935" spans="2:4" x14ac:dyDescent="0.25">
      <c r="B3935" s="89">
        <v>3931</v>
      </c>
      <c r="C3935" s="39">
        <f t="shared" si="123"/>
        <v>157992929.59999999</v>
      </c>
      <c r="D3935" s="39">
        <f t="shared" si="122"/>
        <v>129829137</v>
      </c>
    </row>
    <row r="3936" spans="2:4" x14ac:dyDescent="0.25">
      <c r="B3936" s="89">
        <v>3932</v>
      </c>
      <c r="C3936" s="39">
        <f t="shared" si="123"/>
        <v>157992929.59999999</v>
      </c>
      <c r="D3936" s="39">
        <f t="shared" si="122"/>
        <v>129862164</v>
      </c>
    </row>
    <row r="3937" spans="2:4" x14ac:dyDescent="0.25">
      <c r="B3937" s="89">
        <v>3933</v>
      </c>
      <c r="C3937" s="39">
        <f t="shared" si="123"/>
        <v>157992929.59999999</v>
      </c>
      <c r="D3937" s="39">
        <f t="shared" si="122"/>
        <v>129895191</v>
      </c>
    </row>
    <row r="3938" spans="2:4" x14ac:dyDescent="0.25">
      <c r="B3938" s="89">
        <v>3934</v>
      </c>
      <c r="C3938" s="39">
        <f t="shared" si="123"/>
        <v>157992929.59999999</v>
      </c>
      <c r="D3938" s="39">
        <f t="shared" si="122"/>
        <v>129928218</v>
      </c>
    </row>
    <row r="3939" spans="2:4" x14ac:dyDescent="0.25">
      <c r="B3939" s="89">
        <v>3935</v>
      </c>
      <c r="C3939" s="39">
        <f t="shared" si="123"/>
        <v>157992929.59999999</v>
      </c>
      <c r="D3939" s="39">
        <f t="shared" si="122"/>
        <v>129961245</v>
      </c>
    </row>
    <row r="3940" spans="2:4" x14ac:dyDescent="0.25">
      <c r="B3940" s="89">
        <v>3936</v>
      </c>
      <c r="C3940" s="39">
        <f t="shared" si="123"/>
        <v>157992929.59999999</v>
      </c>
      <c r="D3940" s="39">
        <f t="shared" si="122"/>
        <v>129994272</v>
      </c>
    </row>
    <row r="3941" spans="2:4" x14ac:dyDescent="0.25">
      <c r="B3941" s="89">
        <v>3937</v>
      </c>
      <c r="C3941" s="39">
        <f t="shared" si="123"/>
        <v>157992929.59999999</v>
      </c>
      <c r="D3941" s="39">
        <f t="shared" si="122"/>
        <v>130027299</v>
      </c>
    </row>
    <row r="3942" spans="2:4" x14ac:dyDescent="0.25">
      <c r="B3942" s="89">
        <v>3938</v>
      </c>
      <c r="C3942" s="39">
        <f t="shared" si="123"/>
        <v>157992929.59999999</v>
      </c>
      <c r="D3942" s="39">
        <f t="shared" si="122"/>
        <v>130060326</v>
      </c>
    </row>
    <row r="3943" spans="2:4" x14ac:dyDescent="0.25">
      <c r="B3943" s="89">
        <v>3939</v>
      </c>
      <c r="C3943" s="39">
        <f t="shared" si="123"/>
        <v>157992929.59999999</v>
      </c>
      <c r="D3943" s="39">
        <f t="shared" si="122"/>
        <v>130093353</v>
      </c>
    </row>
    <row r="3944" spans="2:4" x14ac:dyDescent="0.25">
      <c r="B3944" s="89">
        <v>3940</v>
      </c>
      <c r="C3944" s="39">
        <f t="shared" si="123"/>
        <v>157992929.59999999</v>
      </c>
      <c r="D3944" s="39">
        <f t="shared" si="122"/>
        <v>130126380</v>
      </c>
    </row>
    <row r="3945" spans="2:4" x14ac:dyDescent="0.25">
      <c r="B3945" s="89">
        <v>3941</v>
      </c>
      <c r="C3945" s="39">
        <f t="shared" si="123"/>
        <v>157992929.59999999</v>
      </c>
      <c r="D3945" s="39">
        <f t="shared" si="122"/>
        <v>130159407</v>
      </c>
    </row>
    <row r="3946" spans="2:4" x14ac:dyDescent="0.25">
      <c r="B3946" s="89">
        <v>3942</v>
      </c>
      <c r="C3946" s="39">
        <f t="shared" si="123"/>
        <v>157992929.59999999</v>
      </c>
      <c r="D3946" s="39">
        <f t="shared" si="122"/>
        <v>130192434</v>
      </c>
    </row>
    <row r="3947" spans="2:4" x14ac:dyDescent="0.25">
      <c r="B3947" s="89">
        <v>3943</v>
      </c>
      <c r="C3947" s="39">
        <f t="shared" si="123"/>
        <v>157992929.59999999</v>
      </c>
      <c r="D3947" s="39">
        <f t="shared" si="122"/>
        <v>130225461</v>
      </c>
    </row>
    <row r="3948" spans="2:4" x14ac:dyDescent="0.25">
      <c r="B3948" s="89">
        <v>3944</v>
      </c>
      <c r="C3948" s="39">
        <f t="shared" si="123"/>
        <v>157992929.59999999</v>
      </c>
      <c r="D3948" s="39">
        <f t="shared" si="122"/>
        <v>130258488</v>
      </c>
    </row>
    <row r="3949" spans="2:4" x14ac:dyDescent="0.25">
      <c r="B3949" s="89">
        <v>3945</v>
      </c>
      <c r="C3949" s="39">
        <f t="shared" si="123"/>
        <v>157992929.59999999</v>
      </c>
      <c r="D3949" s="39">
        <f t="shared" si="122"/>
        <v>130291515</v>
      </c>
    </row>
    <row r="3950" spans="2:4" x14ac:dyDescent="0.25">
      <c r="B3950" s="89">
        <v>3946</v>
      </c>
      <c r="C3950" s="39">
        <f t="shared" si="123"/>
        <v>157992929.59999999</v>
      </c>
      <c r="D3950" s="39">
        <f t="shared" si="122"/>
        <v>130324542</v>
      </c>
    </row>
    <row r="3951" spans="2:4" x14ac:dyDescent="0.25">
      <c r="B3951" s="89">
        <v>3947</v>
      </c>
      <c r="C3951" s="39">
        <f t="shared" si="123"/>
        <v>157992929.59999999</v>
      </c>
      <c r="D3951" s="39">
        <f t="shared" si="122"/>
        <v>130357569</v>
      </c>
    </row>
    <row r="3952" spans="2:4" x14ac:dyDescent="0.25">
      <c r="B3952" s="89">
        <v>3948</v>
      </c>
      <c r="C3952" s="39">
        <f t="shared" si="123"/>
        <v>157992929.59999999</v>
      </c>
      <c r="D3952" s="39">
        <f t="shared" si="122"/>
        <v>130390596</v>
      </c>
    </row>
    <row r="3953" spans="2:4" x14ac:dyDescent="0.25">
      <c r="B3953" s="89">
        <v>3949</v>
      </c>
      <c r="C3953" s="39">
        <f t="shared" si="123"/>
        <v>157992929.59999999</v>
      </c>
      <c r="D3953" s="39">
        <f t="shared" ref="D3953:D4016" si="124">$D$2*B3953</f>
        <v>130423623</v>
      </c>
    </row>
    <row r="3954" spans="2:4" x14ac:dyDescent="0.25">
      <c r="B3954" s="89">
        <v>3950</v>
      </c>
      <c r="C3954" s="39">
        <f t="shared" si="123"/>
        <v>157992929.59999999</v>
      </c>
      <c r="D3954" s="39">
        <f t="shared" si="124"/>
        <v>130456650</v>
      </c>
    </row>
    <row r="3955" spans="2:4" x14ac:dyDescent="0.25">
      <c r="B3955" s="89">
        <v>3951</v>
      </c>
      <c r="C3955" s="39">
        <f t="shared" si="123"/>
        <v>157992929.59999999</v>
      </c>
      <c r="D3955" s="39">
        <f t="shared" si="124"/>
        <v>130489677</v>
      </c>
    </row>
    <row r="3956" spans="2:4" x14ac:dyDescent="0.25">
      <c r="B3956" s="89">
        <v>3952</v>
      </c>
      <c r="C3956" s="39">
        <f t="shared" si="123"/>
        <v>157992929.59999999</v>
      </c>
      <c r="D3956" s="39">
        <f t="shared" si="124"/>
        <v>130522704</v>
      </c>
    </row>
    <row r="3957" spans="2:4" x14ac:dyDescent="0.25">
      <c r="B3957" s="89">
        <v>3953</v>
      </c>
      <c r="C3957" s="39">
        <f t="shared" si="123"/>
        <v>157992929.59999999</v>
      </c>
      <c r="D3957" s="39">
        <f t="shared" si="124"/>
        <v>130555731</v>
      </c>
    </row>
    <row r="3958" spans="2:4" x14ac:dyDescent="0.25">
      <c r="B3958" s="89">
        <v>3954</v>
      </c>
      <c r="C3958" s="39">
        <f t="shared" si="123"/>
        <v>157992929.59999999</v>
      </c>
      <c r="D3958" s="39">
        <f t="shared" si="124"/>
        <v>130588758</v>
      </c>
    </row>
    <row r="3959" spans="2:4" x14ac:dyDescent="0.25">
      <c r="B3959" s="89">
        <v>3955</v>
      </c>
      <c r="C3959" s="39">
        <f t="shared" si="123"/>
        <v>157992929.59999999</v>
      </c>
      <c r="D3959" s="39">
        <f t="shared" si="124"/>
        <v>130621785</v>
      </c>
    </row>
    <row r="3960" spans="2:4" x14ac:dyDescent="0.25">
      <c r="B3960" s="89">
        <v>3956</v>
      </c>
      <c r="C3960" s="39">
        <f t="shared" si="123"/>
        <v>157992929.59999999</v>
      </c>
      <c r="D3960" s="39">
        <f t="shared" si="124"/>
        <v>130654812</v>
      </c>
    </row>
    <row r="3961" spans="2:4" x14ac:dyDescent="0.25">
      <c r="B3961" s="89">
        <v>3957</v>
      </c>
      <c r="C3961" s="39">
        <f t="shared" si="123"/>
        <v>157992929.59999999</v>
      </c>
      <c r="D3961" s="39">
        <f t="shared" si="124"/>
        <v>130687839</v>
      </c>
    </row>
    <row r="3962" spans="2:4" x14ac:dyDescent="0.25">
      <c r="B3962" s="89">
        <v>3958</v>
      </c>
      <c r="C3962" s="39">
        <f t="shared" si="123"/>
        <v>157992929.59999999</v>
      </c>
      <c r="D3962" s="39">
        <f t="shared" si="124"/>
        <v>130720866</v>
      </c>
    </row>
    <row r="3963" spans="2:4" x14ac:dyDescent="0.25">
      <c r="B3963" s="89">
        <v>3959</v>
      </c>
      <c r="C3963" s="39">
        <f t="shared" si="123"/>
        <v>157992929.59999999</v>
      </c>
      <c r="D3963" s="39">
        <f t="shared" si="124"/>
        <v>130753893</v>
      </c>
    </row>
    <row r="3964" spans="2:4" x14ac:dyDescent="0.25">
      <c r="B3964" s="89">
        <v>3960</v>
      </c>
      <c r="C3964" s="39">
        <f t="shared" si="123"/>
        <v>157992929.59999999</v>
      </c>
      <c r="D3964" s="39">
        <f t="shared" si="124"/>
        <v>130786920</v>
      </c>
    </row>
    <row r="3965" spans="2:4" x14ac:dyDescent="0.25">
      <c r="B3965" s="89">
        <v>3961</v>
      </c>
      <c r="C3965" s="39">
        <f t="shared" si="123"/>
        <v>157992929.59999999</v>
      </c>
      <c r="D3965" s="39">
        <f t="shared" si="124"/>
        <v>130819947</v>
      </c>
    </row>
    <row r="3966" spans="2:4" x14ac:dyDescent="0.25">
      <c r="B3966" s="89">
        <v>3962</v>
      </c>
      <c r="C3966" s="39">
        <f t="shared" si="123"/>
        <v>157992929.59999999</v>
      </c>
      <c r="D3966" s="39">
        <f t="shared" si="124"/>
        <v>130852974</v>
      </c>
    </row>
    <row r="3967" spans="2:4" x14ac:dyDescent="0.25">
      <c r="B3967" s="89">
        <v>3963</v>
      </c>
      <c r="C3967" s="39">
        <f t="shared" si="123"/>
        <v>157992929.59999999</v>
      </c>
      <c r="D3967" s="39">
        <f t="shared" si="124"/>
        <v>130886001</v>
      </c>
    </row>
    <row r="3968" spans="2:4" x14ac:dyDescent="0.25">
      <c r="B3968" s="89">
        <v>3964</v>
      </c>
      <c r="C3968" s="39">
        <f t="shared" si="123"/>
        <v>157992929.59999999</v>
      </c>
      <c r="D3968" s="39">
        <f t="shared" si="124"/>
        <v>130919028</v>
      </c>
    </row>
    <row r="3969" spans="2:4" x14ac:dyDescent="0.25">
      <c r="B3969" s="89">
        <v>3965</v>
      </c>
      <c r="C3969" s="39">
        <f t="shared" si="123"/>
        <v>157992929.59999999</v>
      </c>
      <c r="D3969" s="39">
        <f t="shared" si="124"/>
        <v>130952055</v>
      </c>
    </row>
    <row r="3970" spans="2:4" x14ac:dyDescent="0.25">
      <c r="B3970" s="89">
        <v>3966</v>
      </c>
      <c r="C3970" s="39">
        <f t="shared" si="123"/>
        <v>157992929.59999999</v>
      </c>
      <c r="D3970" s="39">
        <f t="shared" si="124"/>
        <v>130985082</v>
      </c>
    </row>
    <row r="3971" spans="2:4" x14ac:dyDescent="0.25">
      <c r="B3971" s="89">
        <v>3967</v>
      </c>
      <c r="C3971" s="39">
        <f t="shared" si="123"/>
        <v>157992929.59999999</v>
      </c>
      <c r="D3971" s="39">
        <f t="shared" si="124"/>
        <v>131018109</v>
      </c>
    </row>
    <row r="3972" spans="2:4" x14ac:dyDescent="0.25">
      <c r="B3972" s="89">
        <v>3968</v>
      </c>
      <c r="C3972" s="39">
        <f t="shared" si="123"/>
        <v>157992929.59999999</v>
      </c>
      <c r="D3972" s="39">
        <f t="shared" si="124"/>
        <v>131051136</v>
      </c>
    </row>
    <row r="3973" spans="2:4" x14ac:dyDescent="0.25">
      <c r="B3973" s="89">
        <v>3969</v>
      </c>
      <c r="C3973" s="39">
        <f t="shared" si="123"/>
        <v>157992929.59999999</v>
      </c>
      <c r="D3973" s="39">
        <f t="shared" si="124"/>
        <v>131084163</v>
      </c>
    </row>
    <row r="3974" spans="2:4" x14ac:dyDescent="0.25">
      <c r="B3974" s="89">
        <v>3970</v>
      </c>
      <c r="C3974" s="39">
        <f t="shared" ref="C3974:C4037" si="125">$C3973</f>
        <v>157992929.59999999</v>
      </c>
      <c r="D3974" s="39">
        <f t="shared" si="124"/>
        <v>131117190</v>
      </c>
    </row>
    <row r="3975" spans="2:4" x14ac:dyDescent="0.25">
      <c r="B3975" s="89">
        <v>3971</v>
      </c>
      <c r="C3975" s="39">
        <f t="shared" si="125"/>
        <v>157992929.59999999</v>
      </c>
      <c r="D3975" s="39">
        <f t="shared" si="124"/>
        <v>131150217</v>
      </c>
    </row>
    <row r="3976" spans="2:4" x14ac:dyDescent="0.25">
      <c r="B3976" s="89">
        <v>3972</v>
      </c>
      <c r="C3976" s="39">
        <f t="shared" si="125"/>
        <v>157992929.59999999</v>
      </c>
      <c r="D3976" s="39">
        <f t="shared" si="124"/>
        <v>131183244</v>
      </c>
    </row>
    <row r="3977" spans="2:4" x14ac:dyDescent="0.25">
      <c r="B3977" s="89">
        <v>3973</v>
      </c>
      <c r="C3977" s="39">
        <f t="shared" si="125"/>
        <v>157992929.59999999</v>
      </c>
      <c r="D3977" s="39">
        <f t="shared" si="124"/>
        <v>131216271</v>
      </c>
    </row>
    <row r="3978" spans="2:4" x14ac:dyDescent="0.25">
      <c r="B3978" s="89">
        <v>3974</v>
      </c>
      <c r="C3978" s="39">
        <f t="shared" si="125"/>
        <v>157992929.59999999</v>
      </c>
      <c r="D3978" s="39">
        <f t="shared" si="124"/>
        <v>131249298</v>
      </c>
    </row>
    <row r="3979" spans="2:4" x14ac:dyDescent="0.25">
      <c r="B3979" s="89">
        <v>3975</v>
      </c>
      <c r="C3979" s="39">
        <f t="shared" si="125"/>
        <v>157992929.59999999</v>
      </c>
      <c r="D3979" s="39">
        <f t="shared" si="124"/>
        <v>131282325</v>
      </c>
    </row>
    <row r="3980" spans="2:4" x14ac:dyDescent="0.25">
      <c r="B3980" s="89">
        <v>3976</v>
      </c>
      <c r="C3980" s="39">
        <f t="shared" si="125"/>
        <v>157992929.59999999</v>
      </c>
      <c r="D3980" s="39">
        <f t="shared" si="124"/>
        <v>131315352</v>
      </c>
    </row>
    <row r="3981" spans="2:4" x14ac:dyDescent="0.25">
      <c r="B3981" s="89">
        <v>3977</v>
      </c>
      <c r="C3981" s="39">
        <f t="shared" si="125"/>
        <v>157992929.59999999</v>
      </c>
      <c r="D3981" s="39">
        <f t="shared" si="124"/>
        <v>131348379</v>
      </c>
    </row>
    <row r="3982" spans="2:4" x14ac:dyDescent="0.25">
      <c r="B3982" s="89">
        <v>3978</v>
      </c>
      <c r="C3982" s="39">
        <f t="shared" si="125"/>
        <v>157992929.59999999</v>
      </c>
      <c r="D3982" s="39">
        <f t="shared" si="124"/>
        <v>131381406</v>
      </c>
    </row>
    <row r="3983" spans="2:4" x14ac:dyDescent="0.25">
      <c r="B3983" s="89">
        <v>3979</v>
      </c>
      <c r="C3983" s="39">
        <f t="shared" si="125"/>
        <v>157992929.59999999</v>
      </c>
      <c r="D3983" s="39">
        <f t="shared" si="124"/>
        <v>131414433</v>
      </c>
    </row>
    <row r="3984" spans="2:4" x14ac:dyDescent="0.25">
      <c r="B3984" s="89">
        <v>3980</v>
      </c>
      <c r="C3984" s="39">
        <f t="shared" si="125"/>
        <v>157992929.59999999</v>
      </c>
      <c r="D3984" s="39">
        <f t="shared" si="124"/>
        <v>131447460</v>
      </c>
    </row>
    <row r="3985" spans="2:4" x14ac:dyDescent="0.25">
      <c r="B3985" s="89">
        <v>3981</v>
      </c>
      <c r="C3985" s="39">
        <f t="shared" si="125"/>
        <v>157992929.59999999</v>
      </c>
      <c r="D3985" s="39">
        <f t="shared" si="124"/>
        <v>131480487</v>
      </c>
    </row>
    <row r="3986" spans="2:4" x14ac:dyDescent="0.25">
      <c r="B3986" s="89">
        <v>3982</v>
      </c>
      <c r="C3986" s="39">
        <f t="shared" si="125"/>
        <v>157992929.59999999</v>
      </c>
      <c r="D3986" s="39">
        <f t="shared" si="124"/>
        <v>131513514</v>
      </c>
    </row>
    <row r="3987" spans="2:4" x14ac:dyDescent="0.25">
      <c r="B3987" s="89">
        <v>3983</v>
      </c>
      <c r="C3987" s="39">
        <f t="shared" si="125"/>
        <v>157992929.59999999</v>
      </c>
      <c r="D3987" s="39">
        <f t="shared" si="124"/>
        <v>131546541</v>
      </c>
    </row>
    <row r="3988" spans="2:4" x14ac:dyDescent="0.25">
      <c r="B3988" s="89">
        <v>3984</v>
      </c>
      <c r="C3988" s="39">
        <f t="shared" si="125"/>
        <v>157992929.59999999</v>
      </c>
      <c r="D3988" s="39">
        <f t="shared" si="124"/>
        <v>131579568</v>
      </c>
    </row>
    <row r="3989" spans="2:4" x14ac:dyDescent="0.25">
      <c r="B3989" s="89">
        <v>3985</v>
      </c>
      <c r="C3989" s="39">
        <f t="shared" si="125"/>
        <v>157992929.59999999</v>
      </c>
      <c r="D3989" s="39">
        <f t="shared" si="124"/>
        <v>131612595</v>
      </c>
    </row>
    <row r="3990" spans="2:4" x14ac:dyDescent="0.25">
      <c r="B3990" s="89">
        <v>3986</v>
      </c>
      <c r="C3990" s="39">
        <f t="shared" si="125"/>
        <v>157992929.59999999</v>
      </c>
      <c r="D3990" s="39">
        <f t="shared" si="124"/>
        <v>131645622</v>
      </c>
    </row>
    <row r="3991" spans="2:4" x14ac:dyDescent="0.25">
      <c r="B3991" s="89">
        <v>3987</v>
      </c>
      <c r="C3991" s="39">
        <f t="shared" si="125"/>
        <v>157992929.59999999</v>
      </c>
      <c r="D3991" s="39">
        <f t="shared" si="124"/>
        <v>131678649</v>
      </c>
    </row>
    <row r="3992" spans="2:4" x14ac:dyDescent="0.25">
      <c r="B3992" s="89">
        <v>3988</v>
      </c>
      <c r="C3992" s="39">
        <f t="shared" si="125"/>
        <v>157992929.59999999</v>
      </c>
      <c r="D3992" s="39">
        <f t="shared" si="124"/>
        <v>131711676</v>
      </c>
    </row>
    <row r="3993" spans="2:4" x14ac:dyDescent="0.25">
      <c r="B3993" s="89">
        <v>3989</v>
      </c>
      <c r="C3993" s="39">
        <f t="shared" si="125"/>
        <v>157992929.59999999</v>
      </c>
      <c r="D3993" s="39">
        <f t="shared" si="124"/>
        <v>131744703</v>
      </c>
    </row>
    <row r="3994" spans="2:4" x14ac:dyDescent="0.25">
      <c r="B3994" s="89">
        <v>3990</v>
      </c>
      <c r="C3994" s="39">
        <f t="shared" si="125"/>
        <v>157992929.59999999</v>
      </c>
      <c r="D3994" s="39">
        <f t="shared" si="124"/>
        <v>131777730</v>
      </c>
    </row>
    <row r="3995" spans="2:4" x14ac:dyDescent="0.25">
      <c r="B3995" s="89">
        <v>3991</v>
      </c>
      <c r="C3995" s="39">
        <f t="shared" si="125"/>
        <v>157992929.59999999</v>
      </c>
      <c r="D3995" s="39">
        <f t="shared" si="124"/>
        <v>131810757</v>
      </c>
    </row>
    <row r="3996" spans="2:4" x14ac:dyDescent="0.25">
      <c r="B3996" s="89">
        <v>3992</v>
      </c>
      <c r="C3996" s="39">
        <f t="shared" si="125"/>
        <v>157992929.59999999</v>
      </c>
      <c r="D3996" s="39">
        <f t="shared" si="124"/>
        <v>131843784</v>
      </c>
    </row>
    <row r="3997" spans="2:4" x14ac:dyDescent="0.25">
      <c r="B3997" s="89">
        <v>3993</v>
      </c>
      <c r="C3997" s="39">
        <f t="shared" si="125"/>
        <v>157992929.59999999</v>
      </c>
      <c r="D3997" s="39">
        <f t="shared" si="124"/>
        <v>131876811</v>
      </c>
    </row>
    <row r="3998" spans="2:4" x14ac:dyDescent="0.25">
      <c r="B3998" s="89">
        <v>3994</v>
      </c>
      <c r="C3998" s="39">
        <f t="shared" si="125"/>
        <v>157992929.59999999</v>
      </c>
      <c r="D3998" s="39">
        <f t="shared" si="124"/>
        <v>131909838</v>
      </c>
    </row>
    <row r="3999" spans="2:4" x14ac:dyDescent="0.25">
      <c r="B3999" s="89">
        <v>3995</v>
      </c>
      <c r="C3999" s="39">
        <f t="shared" si="125"/>
        <v>157992929.59999999</v>
      </c>
      <c r="D3999" s="39">
        <f t="shared" si="124"/>
        <v>131942865</v>
      </c>
    </row>
    <row r="4000" spans="2:4" x14ac:dyDescent="0.25">
      <c r="B4000" s="89">
        <v>3996</v>
      </c>
      <c r="C4000" s="39">
        <f t="shared" si="125"/>
        <v>157992929.59999999</v>
      </c>
      <c r="D4000" s="39">
        <f t="shared" si="124"/>
        <v>131975892</v>
      </c>
    </row>
    <row r="4001" spans="2:4" x14ac:dyDescent="0.25">
      <c r="B4001" s="89">
        <v>3997</v>
      </c>
      <c r="C4001" s="39">
        <f t="shared" si="125"/>
        <v>157992929.59999999</v>
      </c>
      <c r="D4001" s="39">
        <f t="shared" si="124"/>
        <v>132008919</v>
      </c>
    </row>
    <row r="4002" spans="2:4" x14ac:dyDescent="0.25">
      <c r="B4002" s="89">
        <v>3998</v>
      </c>
      <c r="C4002" s="39">
        <f t="shared" si="125"/>
        <v>157992929.59999999</v>
      </c>
      <c r="D4002" s="39">
        <f t="shared" si="124"/>
        <v>132041946</v>
      </c>
    </row>
    <row r="4003" spans="2:4" x14ac:dyDescent="0.25">
      <c r="B4003" s="89">
        <v>3999</v>
      </c>
      <c r="C4003" s="39">
        <f t="shared" si="125"/>
        <v>157992929.59999999</v>
      </c>
      <c r="D4003" s="39">
        <f t="shared" si="124"/>
        <v>132074973</v>
      </c>
    </row>
    <row r="4004" spans="2:4" x14ac:dyDescent="0.25">
      <c r="B4004" s="89">
        <v>4000</v>
      </c>
      <c r="C4004" s="39">
        <f t="shared" si="125"/>
        <v>157992929.59999999</v>
      </c>
      <c r="D4004" s="39">
        <f t="shared" si="124"/>
        <v>132108000</v>
      </c>
    </row>
    <row r="4005" spans="2:4" x14ac:dyDescent="0.25">
      <c r="B4005" s="89">
        <v>4001</v>
      </c>
      <c r="C4005" s="39">
        <f t="shared" si="125"/>
        <v>157992929.59999999</v>
      </c>
      <c r="D4005" s="39">
        <f t="shared" si="124"/>
        <v>132141027</v>
      </c>
    </row>
    <row r="4006" spans="2:4" x14ac:dyDescent="0.25">
      <c r="B4006" s="89">
        <v>4002</v>
      </c>
      <c r="C4006" s="39">
        <f t="shared" si="125"/>
        <v>157992929.59999999</v>
      </c>
      <c r="D4006" s="39">
        <f t="shared" si="124"/>
        <v>132174054</v>
      </c>
    </row>
    <row r="4007" spans="2:4" x14ac:dyDescent="0.25">
      <c r="B4007" s="89">
        <v>4003</v>
      </c>
      <c r="C4007" s="39">
        <f t="shared" si="125"/>
        <v>157992929.59999999</v>
      </c>
      <c r="D4007" s="39">
        <f t="shared" si="124"/>
        <v>132207081</v>
      </c>
    </row>
    <row r="4008" spans="2:4" x14ac:dyDescent="0.25">
      <c r="B4008" s="89">
        <v>4004</v>
      </c>
      <c r="C4008" s="39">
        <f t="shared" si="125"/>
        <v>157992929.59999999</v>
      </c>
      <c r="D4008" s="39">
        <f t="shared" si="124"/>
        <v>132240108</v>
      </c>
    </row>
    <row r="4009" spans="2:4" x14ac:dyDescent="0.25">
      <c r="B4009" s="89">
        <v>4005</v>
      </c>
      <c r="C4009" s="39">
        <f t="shared" si="125"/>
        <v>157992929.59999999</v>
      </c>
      <c r="D4009" s="39">
        <f t="shared" si="124"/>
        <v>132273135</v>
      </c>
    </row>
    <row r="4010" spans="2:4" x14ac:dyDescent="0.25">
      <c r="B4010" s="89">
        <v>4006</v>
      </c>
      <c r="C4010" s="39">
        <f t="shared" si="125"/>
        <v>157992929.59999999</v>
      </c>
      <c r="D4010" s="39">
        <f t="shared" si="124"/>
        <v>132306162</v>
      </c>
    </row>
    <row r="4011" spans="2:4" x14ac:dyDescent="0.25">
      <c r="B4011" s="89">
        <v>4007</v>
      </c>
      <c r="C4011" s="39">
        <f t="shared" si="125"/>
        <v>157992929.59999999</v>
      </c>
      <c r="D4011" s="39">
        <f t="shared" si="124"/>
        <v>132339189</v>
      </c>
    </row>
    <row r="4012" spans="2:4" x14ac:dyDescent="0.25">
      <c r="B4012" s="89">
        <v>4008</v>
      </c>
      <c r="C4012" s="39">
        <f t="shared" si="125"/>
        <v>157992929.59999999</v>
      </c>
      <c r="D4012" s="39">
        <f t="shared" si="124"/>
        <v>132372216</v>
      </c>
    </row>
    <row r="4013" spans="2:4" x14ac:dyDescent="0.25">
      <c r="B4013" s="89">
        <v>4009</v>
      </c>
      <c r="C4013" s="39">
        <f t="shared" si="125"/>
        <v>157992929.59999999</v>
      </c>
      <c r="D4013" s="39">
        <f t="shared" si="124"/>
        <v>132405243</v>
      </c>
    </row>
    <row r="4014" spans="2:4" x14ac:dyDescent="0.25">
      <c r="B4014" s="89">
        <v>4010</v>
      </c>
      <c r="C4014" s="39">
        <f t="shared" si="125"/>
        <v>157992929.59999999</v>
      </c>
      <c r="D4014" s="39">
        <f t="shared" si="124"/>
        <v>132438270</v>
      </c>
    </row>
    <row r="4015" spans="2:4" x14ac:dyDescent="0.25">
      <c r="B4015" s="89">
        <v>4011</v>
      </c>
      <c r="C4015" s="39">
        <f t="shared" si="125"/>
        <v>157992929.59999999</v>
      </c>
      <c r="D4015" s="39">
        <f t="shared" si="124"/>
        <v>132471297</v>
      </c>
    </row>
    <row r="4016" spans="2:4" x14ac:dyDescent="0.25">
      <c r="B4016" s="89">
        <v>4012</v>
      </c>
      <c r="C4016" s="39">
        <f t="shared" si="125"/>
        <v>157992929.59999999</v>
      </c>
      <c r="D4016" s="39">
        <f t="shared" si="124"/>
        <v>132504324</v>
      </c>
    </row>
    <row r="4017" spans="2:4" x14ac:dyDescent="0.25">
      <c r="B4017" s="89">
        <v>4013</v>
      </c>
      <c r="C4017" s="39">
        <f t="shared" si="125"/>
        <v>157992929.59999999</v>
      </c>
      <c r="D4017" s="39">
        <f t="shared" ref="D4017:D4080" si="126">$D$2*B4017</f>
        <v>132537351</v>
      </c>
    </row>
    <row r="4018" spans="2:4" x14ac:dyDescent="0.25">
      <c r="B4018" s="89">
        <v>4014</v>
      </c>
      <c r="C4018" s="39">
        <f t="shared" si="125"/>
        <v>157992929.59999999</v>
      </c>
      <c r="D4018" s="39">
        <f t="shared" si="126"/>
        <v>132570378</v>
      </c>
    </row>
    <row r="4019" spans="2:4" x14ac:dyDescent="0.25">
      <c r="B4019" s="89">
        <v>4015</v>
      </c>
      <c r="C4019" s="39">
        <f t="shared" si="125"/>
        <v>157992929.59999999</v>
      </c>
      <c r="D4019" s="39">
        <f t="shared" si="126"/>
        <v>132603405</v>
      </c>
    </row>
    <row r="4020" spans="2:4" x14ac:dyDescent="0.25">
      <c r="B4020" s="89">
        <v>4016</v>
      </c>
      <c r="C4020" s="39">
        <f t="shared" si="125"/>
        <v>157992929.59999999</v>
      </c>
      <c r="D4020" s="39">
        <f t="shared" si="126"/>
        <v>132636432</v>
      </c>
    </row>
    <row r="4021" spans="2:4" x14ac:dyDescent="0.25">
      <c r="B4021" s="89">
        <v>4017</v>
      </c>
      <c r="C4021" s="39">
        <f t="shared" si="125"/>
        <v>157992929.59999999</v>
      </c>
      <c r="D4021" s="39">
        <f t="shared" si="126"/>
        <v>132669459</v>
      </c>
    </row>
    <row r="4022" spans="2:4" x14ac:dyDescent="0.25">
      <c r="B4022" s="89">
        <v>4018</v>
      </c>
      <c r="C4022" s="39">
        <f t="shared" si="125"/>
        <v>157992929.59999999</v>
      </c>
      <c r="D4022" s="39">
        <f t="shared" si="126"/>
        <v>132702486</v>
      </c>
    </row>
    <row r="4023" spans="2:4" x14ac:dyDescent="0.25">
      <c r="B4023" s="89">
        <v>4019</v>
      </c>
      <c r="C4023" s="39">
        <f t="shared" si="125"/>
        <v>157992929.59999999</v>
      </c>
      <c r="D4023" s="39">
        <f t="shared" si="126"/>
        <v>132735513</v>
      </c>
    </row>
    <row r="4024" spans="2:4" x14ac:dyDescent="0.25">
      <c r="B4024" s="89">
        <v>4020</v>
      </c>
      <c r="C4024" s="39">
        <f t="shared" si="125"/>
        <v>157992929.59999999</v>
      </c>
      <c r="D4024" s="39">
        <f t="shared" si="126"/>
        <v>132768540</v>
      </c>
    </row>
    <row r="4025" spans="2:4" x14ac:dyDescent="0.25">
      <c r="B4025" s="89">
        <v>4021</v>
      </c>
      <c r="C4025" s="39">
        <f t="shared" si="125"/>
        <v>157992929.59999999</v>
      </c>
      <c r="D4025" s="39">
        <f t="shared" si="126"/>
        <v>132801567</v>
      </c>
    </row>
    <row r="4026" spans="2:4" x14ac:dyDescent="0.25">
      <c r="B4026" s="89">
        <v>4022</v>
      </c>
      <c r="C4026" s="39">
        <f t="shared" si="125"/>
        <v>157992929.59999999</v>
      </c>
      <c r="D4026" s="39">
        <f t="shared" si="126"/>
        <v>132834594</v>
      </c>
    </row>
    <row r="4027" spans="2:4" x14ac:dyDescent="0.25">
      <c r="B4027" s="89">
        <v>4023</v>
      </c>
      <c r="C4027" s="39">
        <f t="shared" si="125"/>
        <v>157992929.59999999</v>
      </c>
      <c r="D4027" s="39">
        <f t="shared" si="126"/>
        <v>132867621</v>
      </c>
    </row>
    <row r="4028" spans="2:4" x14ac:dyDescent="0.25">
      <c r="B4028" s="89">
        <v>4024</v>
      </c>
      <c r="C4028" s="39">
        <f t="shared" si="125"/>
        <v>157992929.59999999</v>
      </c>
      <c r="D4028" s="39">
        <f t="shared" si="126"/>
        <v>132900648</v>
      </c>
    </row>
    <row r="4029" spans="2:4" x14ac:dyDescent="0.25">
      <c r="B4029" s="89">
        <v>4025</v>
      </c>
      <c r="C4029" s="39">
        <f t="shared" si="125"/>
        <v>157992929.59999999</v>
      </c>
      <c r="D4029" s="39">
        <f t="shared" si="126"/>
        <v>132933675</v>
      </c>
    </row>
    <row r="4030" spans="2:4" x14ac:dyDescent="0.25">
      <c r="B4030" s="89">
        <v>4026</v>
      </c>
      <c r="C4030" s="39">
        <f t="shared" si="125"/>
        <v>157992929.59999999</v>
      </c>
      <c r="D4030" s="39">
        <f t="shared" si="126"/>
        <v>132966702</v>
      </c>
    </row>
    <row r="4031" spans="2:4" x14ac:dyDescent="0.25">
      <c r="B4031" s="89">
        <v>4027</v>
      </c>
      <c r="C4031" s="39">
        <f t="shared" si="125"/>
        <v>157992929.59999999</v>
      </c>
      <c r="D4031" s="39">
        <f t="shared" si="126"/>
        <v>132999729</v>
      </c>
    </row>
    <row r="4032" spans="2:4" x14ac:dyDescent="0.25">
      <c r="B4032" s="89">
        <v>4028</v>
      </c>
      <c r="C4032" s="39">
        <f t="shared" si="125"/>
        <v>157992929.59999999</v>
      </c>
      <c r="D4032" s="39">
        <f t="shared" si="126"/>
        <v>133032756</v>
      </c>
    </row>
    <row r="4033" spans="2:4" x14ac:dyDescent="0.25">
      <c r="B4033" s="89">
        <v>4029</v>
      </c>
      <c r="C4033" s="39">
        <f t="shared" si="125"/>
        <v>157992929.59999999</v>
      </c>
      <c r="D4033" s="39">
        <f t="shared" si="126"/>
        <v>133065783</v>
      </c>
    </row>
    <row r="4034" spans="2:4" x14ac:dyDescent="0.25">
      <c r="B4034" s="89">
        <v>4030</v>
      </c>
      <c r="C4034" s="39">
        <f t="shared" si="125"/>
        <v>157992929.59999999</v>
      </c>
      <c r="D4034" s="39">
        <f t="shared" si="126"/>
        <v>133098810</v>
      </c>
    </row>
    <row r="4035" spans="2:4" x14ac:dyDescent="0.25">
      <c r="B4035" s="89">
        <v>4031</v>
      </c>
      <c r="C4035" s="39">
        <f t="shared" si="125"/>
        <v>157992929.59999999</v>
      </c>
      <c r="D4035" s="39">
        <f t="shared" si="126"/>
        <v>133131837</v>
      </c>
    </row>
    <row r="4036" spans="2:4" x14ac:dyDescent="0.25">
      <c r="B4036" s="89">
        <v>4032</v>
      </c>
      <c r="C4036" s="39">
        <f t="shared" si="125"/>
        <v>157992929.59999999</v>
      </c>
      <c r="D4036" s="39">
        <f t="shared" si="126"/>
        <v>133164864</v>
      </c>
    </row>
    <row r="4037" spans="2:4" x14ac:dyDescent="0.25">
      <c r="B4037" s="89">
        <v>4033</v>
      </c>
      <c r="C4037" s="39">
        <f t="shared" si="125"/>
        <v>157992929.59999999</v>
      </c>
      <c r="D4037" s="39">
        <f t="shared" si="126"/>
        <v>133197891</v>
      </c>
    </row>
    <row r="4038" spans="2:4" x14ac:dyDescent="0.25">
      <c r="B4038" s="89">
        <v>4034</v>
      </c>
      <c r="C4038" s="39">
        <f t="shared" ref="C4038:C4101" si="127">$C4037</f>
        <v>157992929.59999999</v>
      </c>
      <c r="D4038" s="39">
        <f t="shared" si="126"/>
        <v>133230918</v>
      </c>
    </row>
    <row r="4039" spans="2:4" x14ac:dyDescent="0.25">
      <c r="B4039" s="89">
        <v>4035</v>
      </c>
      <c r="C4039" s="39">
        <f t="shared" si="127"/>
        <v>157992929.59999999</v>
      </c>
      <c r="D4039" s="39">
        <f t="shared" si="126"/>
        <v>133263945</v>
      </c>
    </row>
    <row r="4040" spans="2:4" x14ac:dyDescent="0.25">
      <c r="B4040" s="89">
        <v>4036</v>
      </c>
      <c r="C4040" s="39">
        <f t="shared" si="127"/>
        <v>157992929.59999999</v>
      </c>
      <c r="D4040" s="39">
        <f t="shared" si="126"/>
        <v>133296972</v>
      </c>
    </row>
    <row r="4041" spans="2:4" x14ac:dyDescent="0.25">
      <c r="B4041" s="89">
        <v>4037</v>
      </c>
      <c r="C4041" s="39">
        <f t="shared" si="127"/>
        <v>157992929.59999999</v>
      </c>
      <c r="D4041" s="39">
        <f t="shared" si="126"/>
        <v>133329999</v>
      </c>
    </row>
    <row r="4042" spans="2:4" x14ac:dyDescent="0.25">
      <c r="B4042" s="89">
        <v>4038</v>
      </c>
      <c r="C4042" s="39">
        <f t="shared" si="127"/>
        <v>157992929.59999999</v>
      </c>
      <c r="D4042" s="39">
        <f t="shared" si="126"/>
        <v>133363026</v>
      </c>
    </row>
    <row r="4043" spans="2:4" x14ac:dyDescent="0.25">
      <c r="B4043" s="89">
        <v>4039</v>
      </c>
      <c r="C4043" s="39">
        <f t="shared" si="127"/>
        <v>157992929.59999999</v>
      </c>
      <c r="D4043" s="39">
        <f t="shared" si="126"/>
        <v>133396053</v>
      </c>
    </row>
    <row r="4044" spans="2:4" x14ac:dyDescent="0.25">
      <c r="B4044" s="89">
        <v>4040</v>
      </c>
      <c r="C4044" s="39">
        <f t="shared" si="127"/>
        <v>157992929.59999999</v>
      </c>
      <c r="D4044" s="39">
        <f t="shared" si="126"/>
        <v>133429080</v>
      </c>
    </row>
    <row r="4045" spans="2:4" x14ac:dyDescent="0.25">
      <c r="B4045" s="89">
        <v>4041</v>
      </c>
      <c r="C4045" s="39">
        <f t="shared" si="127"/>
        <v>157992929.59999999</v>
      </c>
      <c r="D4045" s="39">
        <f t="shared" si="126"/>
        <v>133462107</v>
      </c>
    </row>
    <row r="4046" spans="2:4" x14ac:dyDescent="0.25">
      <c r="B4046" s="89">
        <v>4042</v>
      </c>
      <c r="C4046" s="39">
        <f t="shared" si="127"/>
        <v>157992929.59999999</v>
      </c>
      <c r="D4046" s="39">
        <f t="shared" si="126"/>
        <v>133495134</v>
      </c>
    </row>
    <row r="4047" spans="2:4" x14ac:dyDescent="0.25">
      <c r="B4047" s="89">
        <v>4043</v>
      </c>
      <c r="C4047" s="39">
        <f t="shared" si="127"/>
        <v>157992929.59999999</v>
      </c>
      <c r="D4047" s="39">
        <f t="shared" si="126"/>
        <v>133528161</v>
      </c>
    </row>
    <row r="4048" spans="2:4" x14ac:dyDescent="0.25">
      <c r="B4048" s="89">
        <v>4044</v>
      </c>
      <c r="C4048" s="39">
        <f t="shared" si="127"/>
        <v>157992929.59999999</v>
      </c>
      <c r="D4048" s="39">
        <f t="shared" si="126"/>
        <v>133561188</v>
      </c>
    </row>
    <row r="4049" spans="2:4" x14ac:dyDescent="0.25">
      <c r="B4049" s="89">
        <v>4045</v>
      </c>
      <c r="C4049" s="39">
        <f t="shared" si="127"/>
        <v>157992929.59999999</v>
      </c>
      <c r="D4049" s="39">
        <f t="shared" si="126"/>
        <v>133594215</v>
      </c>
    </row>
    <row r="4050" spans="2:4" x14ac:dyDescent="0.25">
      <c r="B4050" s="89">
        <v>4046</v>
      </c>
      <c r="C4050" s="39">
        <f t="shared" si="127"/>
        <v>157992929.59999999</v>
      </c>
      <c r="D4050" s="39">
        <f t="shared" si="126"/>
        <v>133627242</v>
      </c>
    </row>
    <row r="4051" spans="2:4" x14ac:dyDescent="0.25">
      <c r="B4051" s="89">
        <v>4047</v>
      </c>
      <c r="C4051" s="39">
        <f t="shared" si="127"/>
        <v>157992929.59999999</v>
      </c>
      <c r="D4051" s="39">
        <f t="shared" si="126"/>
        <v>133660269</v>
      </c>
    </row>
    <row r="4052" spans="2:4" x14ac:dyDescent="0.25">
      <c r="B4052" s="89">
        <v>4048</v>
      </c>
      <c r="C4052" s="39">
        <f t="shared" si="127"/>
        <v>157992929.59999999</v>
      </c>
      <c r="D4052" s="39">
        <f t="shared" si="126"/>
        <v>133693296</v>
      </c>
    </row>
    <row r="4053" spans="2:4" x14ac:dyDescent="0.25">
      <c r="B4053" s="89">
        <v>4049</v>
      </c>
      <c r="C4053" s="39">
        <f t="shared" si="127"/>
        <v>157992929.59999999</v>
      </c>
      <c r="D4053" s="39">
        <f t="shared" si="126"/>
        <v>133726323</v>
      </c>
    </row>
    <row r="4054" spans="2:4" x14ac:dyDescent="0.25">
      <c r="B4054" s="89">
        <v>4050</v>
      </c>
      <c r="C4054" s="39">
        <f t="shared" si="127"/>
        <v>157992929.59999999</v>
      </c>
      <c r="D4054" s="39">
        <f t="shared" si="126"/>
        <v>133759350</v>
      </c>
    </row>
    <row r="4055" spans="2:4" x14ac:dyDescent="0.25">
      <c r="B4055" s="89">
        <v>4051</v>
      </c>
      <c r="C4055" s="39">
        <f t="shared" si="127"/>
        <v>157992929.59999999</v>
      </c>
      <c r="D4055" s="39">
        <f t="shared" si="126"/>
        <v>133792377</v>
      </c>
    </row>
    <row r="4056" spans="2:4" x14ac:dyDescent="0.25">
      <c r="B4056" s="89">
        <v>4052</v>
      </c>
      <c r="C4056" s="39">
        <f t="shared" si="127"/>
        <v>157992929.59999999</v>
      </c>
      <c r="D4056" s="39">
        <f t="shared" si="126"/>
        <v>133825404</v>
      </c>
    </row>
    <row r="4057" spans="2:4" x14ac:dyDescent="0.25">
      <c r="B4057" s="89">
        <v>4053</v>
      </c>
      <c r="C4057" s="39">
        <f t="shared" si="127"/>
        <v>157992929.59999999</v>
      </c>
      <c r="D4057" s="39">
        <f t="shared" si="126"/>
        <v>133858431</v>
      </c>
    </row>
    <row r="4058" spans="2:4" x14ac:dyDescent="0.25">
      <c r="B4058" s="89">
        <v>4054</v>
      </c>
      <c r="C4058" s="39">
        <f t="shared" si="127"/>
        <v>157992929.59999999</v>
      </c>
      <c r="D4058" s="39">
        <f t="shared" si="126"/>
        <v>133891458</v>
      </c>
    </row>
    <row r="4059" spans="2:4" x14ac:dyDescent="0.25">
      <c r="B4059" s="89">
        <v>4055</v>
      </c>
      <c r="C4059" s="39">
        <f t="shared" si="127"/>
        <v>157992929.59999999</v>
      </c>
      <c r="D4059" s="39">
        <f t="shared" si="126"/>
        <v>133924485</v>
      </c>
    </row>
    <row r="4060" spans="2:4" x14ac:dyDescent="0.25">
      <c r="B4060" s="89">
        <v>4056</v>
      </c>
      <c r="C4060" s="39">
        <f t="shared" si="127"/>
        <v>157992929.59999999</v>
      </c>
      <c r="D4060" s="39">
        <f t="shared" si="126"/>
        <v>133957512</v>
      </c>
    </row>
    <row r="4061" spans="2:4" x14ac:dyDescent="0.25">
      <c r="B4061" s="89">
        <v>4057</v>
      </c>
      <c r="C4061" s="39">
        <f t="shared" si="127"/>
        <v>157992929.59999999</v>
      </c>
      <c r="D4061" s="39">
        <f t="shared" si="126"/>
        <v>133990539</v>
      </c>
    </row>
    <row r="4062" spans="2:4" x14ac:dyDescent="0.25">
      <c r="B4062" s="89">
        <v>4058</v>
      </c>
      <c r="C4062" s="39">
        <f t="shared" si="127"/>
        <v>157992929.59999999</v>
      </c>
      <c r="D4062" s="39">
        <f t="shared" si="126"/>
        <v>134023566</v>
      </c>
    </row>
    <row r="4063" spans="2:4" x14ac:dyDescent="0.25">
      <c r="B4063" s="89">
        <v>4059</v>
      </c>
      <c r="C4063" s="39">
        <f t="shared" si="127"/>
        <v>157992929.59999999</v>
      </c>
      <c r="D4063" s="39">
        <f t="shared" si="126"/>
        <v>134056593</v>
      </c>
    </row>
    <row r="4064" spans="2:4" x14ac:dyDescent="0.25">
      <c r="B4064" s="89">
        <v>4060</v>
      </c>
      <c r="C4064" s="39">
        <f t="shared" si="127"/>
        <v>157992929.59999999</v>
      </c>
      <c r="D4064" s="39">
        <f t="shared" si="126"/>
        <v>134089620</v>
      </c>
    </row>
    <row r="4065" spans="2:4" x14ac:dyDescent="0.25">
      <c r="B4065" s="89">
        <v>4061</v>
      </c>
      <c r="C4065" s="39">
        <f t="shared" si="127"/>
        <v>157992929.59999999</v>
      </c>
      <c r="D4065" s="39">
        <f t="shared" si="126"/>
        <v>134122647</v>
      </c>
    </row>
    <row r="4066" spans="2:4" x14ac:dyDescent="0.25">
      <c r="B4066" s="89">
        <v>4062</v>
      </c>
      <c r="C4066" s="39">
        <f t="shared" si="127"/>
        <v>157992929.59999999</v>
      </c>
      <c r="D4066" s="39">
        <f t="shared" si="126"/>
        <v>134155674</v>
      </c>
    </row>
    <row r="4067" spans="2:4" x14ac:dyDescent="0.25">
      <c r="B4067" s="89">
        <v>4063</v>
      </c>
      <c r="C4067" s="39">
        <f t="shared" si="127"/>
        <v>157992929.59999999</v>
      </c>
      <c r="D4067" s="39">
        <f t="shared" si="126"/>
        <v>134188701</v>
      </c>
    </row>
    <row r="4068" spans="2:4" x14ac:dyDescent="0.25">
      <c r="B4068" s="89">
        <v>4064</v>
      </c>
      <c r="C4068" s="39">
        <f t="shared" si="127"/>
        <v>157992929.59999999</v>
      </c>
      <c r="D4068" s="39">
        <f t="shared" si="126"/>
        <v>134221728</v>
      </c>
    </row>
    <row r="4069" spans="2:4" x14ac:dyDescent="0.25">
      <c r="B4069" s="89">
        <v>4065</v>
      </c>
      <c r="C4069" s="39">
        <f t="shared" si="127"/>
        <v>157992929.59999999</v>
      </c>
      <c r="D4069" s="39">
        <f t="shared" si="126"/>
        <v>134254755</v>
      </c>
    </row>
    <row r="4070" spans="2:4" x14ac:dyDescent="0.25">
      <c r="B4070" s="89">
        <v>4066</v>
      </c>
      <c r="C4070" s="39">
        <f t="shared" si="127"/>
        <v>157992929.59999999</v>
      </c>
      <c r="D4070" s="39">
        <f t="shared" si="126"/>
        <v>134287782</v>
      </c>
    </row>
    <row r="4071" spans="2:4" x14ac:dyDescent="0.25">
      <c r="B4071" s="89">
        <v>4067</v>
      </c>
      <c r="C4071" s="39">
        <f t="shared" si="127"/>
        <v>157992929.59999999</v>
      </c>
      <c r="D4071" s="39">
        <f t="shared" si="126"/>
        <v>134320809</v>
      </c>
    </row>
    <row r="4072" spans="2:4" x14ac:dyDescent="0.25">
      <c r="B4072" s="89">
        <v>4068</v>
      </c>
      <c r="C4072" s="39">
        <f t="shared" si="127"/>
        <v>157992929.59999999</v>
      </c>
      <c r="D4072" s="39">
        <f t="shared" si="126"/>
        <v>134353836</v>
      </c>
    </row>
    <row r="4073" spans="2:4" x14ac:dyDescent="0.25">
      <c r="B4073" s="89">
        <v>4069</v>
      </c>
      <c r="C4073" s="39">
        <f t="shared" si="127"/>
        <v>157992929.59999999</v>
      </c>
      <c r="D4073" s="39">
        <f t="shared" si="126"/>
        <v>134386863</v>
      </c>
    </row>
    <row r="4074" spans="2:4" x14ac:dyDescent="0.25">
      <c r="B4074" s="89">
        <v>4070</v>
      </c>
      <c r="C4074" s="39">
        <f t="shared" si="127"/>
        <v>157992929.59999999</v>
      </c>
      <c r="D4074" s="39">
        <f t="shared" si="126"/>
        <v>134419890</v>
      </c>
    </row>
    <row r="4075" spans="2:4" x14ac:dyDescent="0.25">
      <c r="B4075" s="89">
        <v>4071</v>
      </c>
      <c r="C4075" s="39">
        <f t="shared" si="127"/>
        <v>157992929.59999999</v>
      </c>
      <c r="D4075" s="39">
        <f t="shared" si="126"/>
        <v>134452917</v>
      </c>
    </row>
    <row r="4076" spans="2:4" x14ac:dyDescent="0.25">
      <c r="B4076" s="89">
        <v>4072</v>
      </c>
      <c r="C4076" s="39">
        <f t="shared" si="127"/>
        <v>157992929.59999999</v>
      </c>
      <c r="D4076" s="39">
        <f t="shared" si="126"/>
        <v>134485944</v>
      </c>
    </row>
    <row r="4077" spans="2:4" x14ac:dyDescent="0.25">
      <c r="B4077" s="89">
        <v>4073</v>
      </c>
      <c r="C4077" s="39">
        <f t="shared" si="127"/>
        <v>157992929.59999999</v>
      </c>
      <c r="D4077" s="39">
        <f t="shared" si="126"/>
        <v>134518971</v>
      </c>
    </row>
    <row r="4078" spans="2:4" x14ac:dyDescent="0.25">
      <c r="B4078" s="89">
        <v>4074</v>
      </c>
      <c r="C4078" s="39">
        <f t="shared" si="127"/>
        <v>157992929.59999999</v>
      </c>
      <c r="D4078" s="39">
        <f t="shared" si="126"/>
        <v>134551998</v>
      </c>
    </row>
    <row r="4079" spans="2:4" x14ac:dyDescent="0.25">
      <c r="B4079" s="89">
        <v>4075</v>
      </c>
      <c r="C4079" s="39">
        <f t="shared" si="127"/>
        <v>157992929.59999999</v>
      </c>
      <c r="D4079" s="39">
        <f t="shared" si="126"/>
        <v>134585025</v>
      </c>
    </row>
    <row r="4080" spans="2:4" x14ac:dyDescent="0.25">
      <c r="B4080" s="89">
        <v>4076</v>
      </c>
      <c r="C4080" s="39">
        <f t="shared" si="127"/>
        <v>157992929.59999999</v>
      </c>
      <c r="D4080" s="39">
        <f t="shared" si="126"/>
        <v>134618052</v>
      </c>
    </row>
    <row r="4081" spans="2:4" x14ac:dyDescent="0.25">
      <c r="B4081" s="89">
        <v>4077</v>
      </c>
      <c r="C4081" s="39">
        <f t="shared" si="127"/>
        <v>157992929.59999999</v>
      </c>
      <c r="D4081" s="39">
        <f t="shared" ref="D4081:D4144" si="128">$D$2*B4081</f>
        <v>134651079</v>
      </c>
    </row>
    <row r="4082" spans="2:4" x14ac:dyDescent="0.25">
      <c r="B4082" s="89">
        <v>4078</v>
      </c>
      <c r="C4082" s="39">
        <f t="shared" si="127"/>
        <v>157992929.59999999</v>
      </c>
      <c r="D4082" s="39">
        <f t="shared" si="128"/>
        <v>134684106</v>
      </c>
    </row>
    <row r="4083" spans="2:4" x14ac:dyDescent="0.25">
      <c r="B4083" s="89">
        <v>4079</v>
      </c>
      <c r="C4083" s="39">
        <f t="shared" si="127"/>
        <v>157992929.59999999</v>
      </c>
      <c r="D4083" s="39">
        <f t="shared" si="128"/>
        <v>134717133</v>
      </c>
    </row>
    <row r="4084" spans="2:4" x14ac:dyDescent="0.25">
      <c r="B4084" s="89">
        <v>4080</v>
      </c>
      <c r="C4084" s="39">
        <f t="shared" si="127"/>
        <v>157992929.59999999</v>
      </c>
      <c r="D4084" s="39">
        <f t="shared" si="128"/>
        <v>134750160</v>
      </c>
    </row>
    <row r="4085" spans="2:4" x14ac:dyDescent="0.25">
      <c r="B4085" s="89">
        <v>4081</v>
      </c>
      <c r="C4085" s="39">
        <f t="shared" si="127"/>
        <v>157992929.59999999</v>
      </c>
      <c r="D4085" s="39">
        <f t="shared" si="128"/>
        <v>134783187</v>
      </c>
    </row>
    <row r="4086" spans="2:4" x14ac:dyDescent="0.25">
      <c r="B4086" s="89">
        <v>4082</v>
      </c>
      <c r="C4086" s="39">
        <f t="shared" si="127"/>
        <v>157992929.59999999</v>
      </c>
      <c r="D4086" s="39">
        <f t="shared" si="128"/>
        <v>134816214</v>
      </c>
    </row>
    <row r="4087" spans="2:4" x14ac:dyDescent="0.25">
      <c r="B4087" s="89">
        <v>4083</v>
      </c>
      <c r="C4087" s="39">
        <f t="shared" si="127"/>
        <v>157992929.59999999</v>
      </c>
      <c r="D4087" s="39">
        <f t="shared" si="128"/>
        <v>134849241</v>
      </c>
    </row>
    <row r="4088" spans="2:4" x14ac:dyDescent="0.25">
      <c r="B4088" s="89">
        <v>4084</v>
      </c>
      <c r="C4088" s="39">
        <f t="shared" si="127"/>
        <v>157992929.59999999</v>
      </c>
      <c r="D4088" s="39">
        <f t="shared" si="128"/>
        <v>134882268</v>
      </c>
    </row>
    <row r="4089" spans="2:4" x14ac:dyDescent="0.25">
      <c r="B4089" s="89">
        <v>4085</v>
      </c>
      <c r="C4089" s="39">
        <f t="shared" si="127"/>
        <v>157992929.59999999</v>
      </c>
      <c r="D4089" s="39">
        <f t="shared" si="128"/>
        <v>134915295</v>
      </c>
    </row>
    <row r="4090" spans="2:4" x14ac:dyDescent="0.25">
      <c r="B4090" s="89">
        <v>4086</v>
      </c>
      <c r="C4090" s="39">
        <f t="shared" si="127"/>
        <v>157992929.59999999</v>
      </c>
      <c r="D4090" s="39">
        <f t="shared" si="128"/>
        <v>134948322</v>
      </c>
    </row>
    <row r="4091" spans="2:4" x14ac:dyDescent="0.25">
      <c r="B4091" s="89">
        <v>4087</v>
      </c>
      <c r="C4091" s="39">
        <f t="shared" si="127"/>
        <v>157992929.59999999</v>
      </c>
      <c r="D4091" s="39">
        <f t="shared" si="128"/>
        <v>134981349</v>
      </c>
    </row>
    <row r="4092" spans="2:4" x14ac:dyDescent="0.25">
      <c r="B4092" s="89">
        <v>4088</v>
      </c>
      <c r="C4092" s="39">
        <f t="shared" si="127"/>
        <v>157992929.59999999</v>
      </c>
      <c r="D4092" s="39">
        <f t="shared" si="128"/>
        <v>135014376</v>
      </c>
    </row>
    <row r="4093" spans="2:4" x14ac:dyDescent="0.25">
      <c r="B4093" s="89">
        <v>4089</v>
      </c>
      <c r="C4093" s="39">
        <f t="shared" si="127"/>
        <v>157992929.59999999</v>
      </c>
      <c r="D4093" s="39">
        <f t="shared" si="128"/>
        <v>135047403</v>
      </c>
    </row>
    <row r="4094" spans="2:4" x14ac:dyDescent="0.25">
      <c r="B4094" s="89">
        <v>4090</v>
      </c>
      <c r="C4094" s="39">
        <f t="shared" si="127"/>
        <v>157992929.59999999</v>
      </c>
      <c r="D4094" s="39">
        <f t="shared" si="128"/>
        <v>135080430</v>
      </c>
    </row>
    <row r="4095" spans="2:4" x14ac:dyDescent="0.25">
      <c r="B4095" s="89">
        <v>4091</v>
      </c>
      <c r="C4095" s="39">
        <f t="shared" si="127"/>
        <v>157992929.59999999</v>
      </c>
      <c r="D4095" s="39">
        <f t="shared" si="128"/>
        <v>135113457</v>
      </c>
    </row>
    <row r="4096" spans="2:4" x14ac:dyDescent="0.25">
      <c r="B4096" s="89">
        <v>4092</v>
      </c>
      <c r="C4096" s="39">
        <f t="shared" si="127"/>
        <v>157992929.59999999</v>
      </c>
      <c r="D4096" s="39">
        <f t="shared" si="128"/>
        <v>135146484</v>
      </c>
    </row>
    <row r="4097" spans="2:4" x14ac:dyDescent="0.25">
      <c r="B4097" s="89">
        <v>4093</v>
      </c>
      <c r="C4097" s="39">
        <f t="shared" si="127"/>
        <v>157992929.59999999</v>
      </c>
      <c r="D4097" s="39">
        <f t="shared" si="128"/>
        <v>135179511</v>
      </c>
    </row>
    <row r="4098" spans="2:4" x14ac:dyDescent="0.25">
      <c r="B4098" s="89">
        <v>4094</v>
      </c>
      <c r="C4098" s="39">
        <f t="shared" si="127"/>
        <v>157992929.59999999</v>
      </c>
      <c r="D4098" s="39">
        <f t="shared" si="128"/>
        <v>135212538</v>
      </c>
    </row>
    <row r="4099" spans="2:4" x14ac:dyDescent="0.25">
      <c r="B4099" s="89">
        <v>4095</v>
      </c>
      <c r="C4099" s="39">
        <f t="shared" si="127"/>
        <v>157992929.59999999</v>
      </c>
      <c r="D4099" s="39">
        <f t="shared" si="128"/>
        <v>135245565</v>
      </c>
    </row>
    <row r="4100" spans="2:4" x14ac:dyDescent="0.25">
      <c r="B4100" s="89">
        <v>4096</v>
      </c>
      <c r="C4100" s="39">
        <f t="shared" si="127"/>
        <v>157992929.59999999</v>
      </c>
      <c r="D4100" s="39">
        <f t="shared" si="128"/>
        <v>135278592</v>
      </c>
    </row>
    <row r="4101" spans="2:4" x14ac:dyDescent="0.25">
      <c r="B4101" s="89">
        <v>4097</v>
      </c>
      <c r="C4101" s="39">
        <f t="shared" si="127"/>
        <v>157992929.59999999</v>
      </c>
      <c r="D4101" s="39">
        <f t="shared" si="128"/>
        <v>135311619</v>
      </c>
    </row>
    <row r="4102" spans="2:4" x14ac:dyDescent="0.25">
      <c r="B4102" s="89">
        <v>4098</v>
      </c>
      <c r="C4102" s="39">
        <f t="shared" ref="C4102:C4165" si="129">$C4101</f>
        <v>157992929.59999999</v>
      </c>
      <c r="D4102" s="39">
        <f t="shared" si="128"/>
        <v>135344646</v>
      </c>
    </row>
    <row r="4103" spans="2:4" x14ac:dyDescent="0.25">
      <c r="B4103" s="89">
        <v>4099</v>
      </c>
      <c r="C4103" s="39">
        <f t="shared" si="129"/>
        <v>157992929.59999999</v>
      </c>
      <c r="D4103" s="39">
        <f t="shared" si="128"/>
        <v>135377673</v>
      </c>
    </row>
    <row r="4104" spans="2:4" x14ac:dyDescent="0.25">
      <c r="B4104" s="89">
        <v>4100</v>
      </c>
      <c r="C4104" s="39">
        <f t="shared" si="129"/>
        <v>157992929.59999999</v>
      </c>
      <c r="D4104" s="39">
        <f t="shared" si="128"/>
        <v>135410700</v>
      </c>
    </row>
    <row r="4105" spans="2:4" x14ac:dyDescent="0.25">
      <c r="B4105" s="89">
        <v>4101</v>
      </c>
      <c r="C4105" s="39">
        <f t="shared" si="129"/>
        <v>157992929.59999999</v>
      </c>
      <c r="D4105" s="39">
        <f t="shared" si="128"/>
        <v>135443727</v>
      </c>
    </row>
    <row r="4106" spans="2:4" x14ac:dyDescent="0.25">
      <c r="B4106" s="89">
        <v>4102</v>
      </c>
      <c r="C4106" s="39">
        <f t="shared" si="129"/>
        <v>157992929.59999999</v>
      </c>
      <c r="D4106" s="39">
        <f t="shared" si="128"/>
        <v>135476754</v>
      </c>
    </row>
    <row r="4107" spans="2:4" x14ac:dyDescent="0.25">
      <c r="B4107" s="89">
        <v>4103</v>
      </c>
      <c r="C4107" s="39">
        <f t="shared" si="129"/>
        <v>157992929.59999999</v>
      </c>
      <c r="D4107" s="39">
        <f t="shared" si="128"/>
        <v>135509781</v>
      </c>
    </row>
    <row r="4108" spans="2:4" x14ac:dyDescent="0.25">
      <c r="B4108" s="89">
        <v>4104</v>
      </c>
      <c r="C4108" s="39">
        <f t="shared" si="129"/>
        <v>157992929.59999999</v>
      </c>
      <c r="D4108" s="39">
        <f t="shared" si="128"/>
        <v>135542808</v>
      </c>
    </row>
    <row r="4109" spans="2:4" x14ac:dyDescent="0.25">
      <c r="B4109" s="89">
        <v>4105</v>
      </c>
      <c r="C4109" s="39">
        <f t="shared" si="129"/>
        <v>157992929.59999999</v>
      </c>
      <c r="D4109" s="39">
        <f t="shared" si="128"/>
        <v>135575835</v>
      </c>
    </row>
    <row r="4110" spans="2:4" x14ac:dyDescent="0.25">
      <c r="B4110" s="89">
        <v>4106</v>
      </c>
      <c r="C4110" s="39">
        <f t="shared" si="129"/>
        <v>157992929.59999999</v>
      </c>
      <c r="D4110" s="39">
        <f t="shared" si="128"/>
        <v>135608862</v>
      </c>
    </row>
    <row r="4111" spans="2:4" x14ac:dyDescent="0.25">
      <c r="B4111" s="89">
        <v>4107</v>
      </c>
      <c r="C4111" s="39">
        <f t="shared" si="129"/>
        <v>157992929.59999999</v>
      </c>
      <c r="D4111" s="39">
        <f t="shared" si="128"/>
        <v>135641889</v>
      </c>
    </row>
    <row r="4112" spans="2:4" x14ac:dyDescent="0.25">
      <c r="B4112" s="89">
        <v>4108</v>
      </c>
      <c r="C4112" s="39">
        <f t="shared" si="129"/>
        <v>157992929.59999999</v>
      </c>
      <c r="D4112" s="39">
        <f t="shared" si="128"/>
        <v>135674916</v>
      </c>
    </row>
    <row r="4113" spans="2:4" x14ac:dyDescent="0.25">
      <c r="B4113" s="89">
        <v>4109</v>
      </c>
      <c r="C4113" s="39">
        <f t="shared" si="129"/>
        <v>157992929.59999999</v>
      </c>
      <c r="D4113" s="39">
        <f t="shared" si="128"/>
        <v>135707943</v>
      </c>
    </row>
    <row r="4114" spans="2:4" x14ac:dyDescent="0.25">
      <c r="B4114" s="89">
        <v>4110</v>
      </c>
      <c r="C4114" s="39">
        <f t="shared" si="129"/>
        <v>157992929.59999999</v>
      </c>
      <c r="D4114" s="39">
        <f t="shared" si="128"/>
        <v>135740970</v>
      </c>
    </row>
    <row r="4115" spans="2:4" x14ac:dyDescent="0.25">
      <c r="B4115" s="89">
        <v>4111</v>
      </c>
      <c r="C4115" s="39">
        <f t="shared" si="129"/>
        <v>157992929.59999999</v>
      </c>
      <c r="D4115" s="39">
        <f t="shared" si="128"/>
        <v>135773997</v>
      </c>
    </row>
    <row r="4116" spans="2:4" x14ac:dyDescent="0.25">
      <c r="B4116" s="89">
        <v>4112</v>
      </c>
      <c r="C4116" s="39">
        <f t="shared" si="129"/>
        <v>157992929.59999999</v>
      </c>
      <c r="D4116" s="39">
        <f t="shared" si="128"/>
        <v>135807024</v>
      </c>
    </row>
    <row r="4117" spans="2:4" x14ac:dyDescent="0.25">
      <c r="B4117" s="89">
        <v>4113</v>
      </c>
      <c r="C4117" s="39">
        <f t="shared" si="129"/>
        <v>157992929.59999999</v>
      </c>
      <c r="D4117" s="39">
        <f t="shared" si="128"/>
        <v>135840051</v>
      </c>
    </row>
    <row r="4118" spans="2:4" x14ac:dyDescent="0.25">
      <c r="B4118" s="89">
        <v>4114</v>
      </c>
      <c r="C4118" s="39">
        <f t="shared" si="129"/>
        <v>157992929.59999999</v>
      </c>
      <c r="D4118" s="39">
        <f t="shared" si="128"/>
        <v>135873078</v>
      </c>
    </row>
    <row r="4119" spans="2:4" x14ac:dyDescent="0.25">
      <c r="B4119" s="89">
        <v>4115</v>
      </c>
      <c r="C4119" s="39">
        <f t="shared" si="129"/>
        <v>157992929.59999999</v>
      </c>
      <c r="D4119" s="39">
        <f t="shared" si="128"/>
        <v>135906105</v>
      </c>
    </row>
    <row r="4120" spans="2:4" x14ac:dyDescent="0.25">
      <c r="B4120" s="89">
        <v>4116</v>
      </c>
      <c r="C4120" s="39">
        <f t="shared" si="129"/>
        <v>157992929.59999999</v>
      </c>
      <c r="D4120" s="39">
        <f t="shared" si="128"/>
        <v>135939132</v>
      </c>
    </row>
    <row r="4121" spans="2:4" x14ac:dyDescent="0.25">
      <c r="B4121" s="89">
        <v>4117</v>
      </c>
      <c r="C4121" s="39">
        <f t="shared" si="129"/>
        <v>157992929.59999999</v>
      </c>
      <c r="D4121" s="39">
        <f t="shared" si="128"/>
        <v>135972159</v>
      </c>
    </row>
    <row r="4122" spans="2:4" x14ac:dyDescent="0.25">
      <c r="B4122" s="89">
        <v>4118</v>
      </c>
      <c r="C4122" s="39">
        <f t="shared" si="129"/>
        <v>157992929.59999999</v>
      </c>
      <c r="D4122" s="39">
        <f t="shared" si="128"/>
        <v>136005186</v>
      </c>
    </row>
    <row r="4123" spans="2:4" x14ac:dyDescent="0.25">
      <c r="B4123" s="89">
        <v>4119</v>
      </c>
      <c r="C4123" s="39">
        <f t="shared" si="129"/>
        <v>157992929.59999999</v>
      </c>
      <c r="D4123" s="39">
        <f t="shared" si="128"/>
        <v>136038213</v>
      </c>
    </row>
    <row r="4124" spans="2:4" x14ac:dyDescent="0.25">
      <c r="B4124" s="89">
        <v>4120</v>
      </c>
      <c r="C4124" s="39">
        <f t="shared" si="129"/>
        <v>157992929.59999999</v>
      </c>
      <c r="D4124" s="39">
        <f t="shared" si="128"/>
        <v>136071240</v>
      </c>
    </row>
    <row r="4125" spans="2:4" x14ac:dyDescent="0.25">
      <c r="B4125" s="89">
        <v>4121</v>
      </c>
      <c r="C4125" s="39">
        <f t="shared" si="129"/>
        <v>157992929.59999999</v>
      </c>
      <c r="D4125" s="39">
        <f t="shared" si="128"/>
        <v>136104267</v>
      </c>
    </row>
    <row r="4126" spans="2:4" x14ac:dyDescent="0.25">
      <c r="B4126" s="89">
        <v>4122</v>
      </c>
      <c r="C4126" s="39">
        <f t="shared" si="129"/>
        <v>157992929.59999999</v>
      </c>
      <c r="D4126" s="39">
        <f t="shared" si="128"/>
        <v>136137294</v>
      </c>
    </row>
    <row r="4127" spans="2:4" x14ac:dyDescent="0.25">
      <c r="B4127" s="89">
        <v>4123</v>
      </c>
      <c r="C4127" s="39">
        <f t="shared" si="129"/>
        <v>157992929.59999999</v>
      </c>
      <c r="D4127" s="39">
        <f t="shared" si="128"/>
        <v>136170321</v>
      </c>
    </row>
    <row r="4128" spans="2:4" x14ac:dyDescent="0.25">
      <c r="B4128" s="89">
        <v>4124</v>
      </c>
      <c r="C4128" s="39">
        <f t="shared" si="129"/>
        <v>157992929.59999999</v>
      </c>
      <c r="D4128" s="39">
        <f t="shared" si="128"/>
        <v>136203348</v>
      </c>
    </row>
    <row r="4129" spans="2:4" x14ac:dyDescent="0.25">
      <c r="B4129" s="89">
        <v>4125</v>
      </c>
      <c r="C4129" s="39">
        <f t="shared" si="129"/>
        <v>157992929.59999999</v>
      </c>
      <c r="D4129" s="39">
        <f t="shared" si="128"/>
        <v>136236375</v>
      </c>
    </row>
    <row r="4130" spans="2:4" x14ac:dyDescent="0.25">
      <c r="B4130" s="89">
        <v>4126</v>
      </c>
      <c r="C4130" s="39">
        <f t="shared" si="129"/>
        <v>157992929.59999999</v>
      </c>
      <c r="D4130" s="39">
        <f t="shared" si="128"/>
        <v>136269402</v>
      </c>
    </row>
    <row r="4131" spans="2:4" x14ac:dyDescent="0.25">
      <c r="B4131" s="89">
        <v>4127</v>
      </c>
      <c r="C4131" s="39">
        <f t="shared" si="129"/>
        <v>157992929.59999999</v>
      </c>
      <c r="D4131" s="39">
        <f t="shared" si="128"/>
        <v>136302429</v>
      </c>
    </row>
    <row r="4132" spans="2:4" x14ac:dyDescent="0.25">
      <c r="B4132" s="89">
        <v>4128</v>
      </c>
      <c r="C4132" s="39">
        <f t="shared" si="129"/>
        <v>157992929.59999999</v>
      </c>
      <c r="D4132" s="39">
        <f t="shared" si="128"/>
        <v>136335456</v>
      </c>
    </row>
    <row r="4133" spans="2:4" x14ac:dyDescent="0.25">
      <c r="B4133" s="89">
        <v>4129</v>
      </c>
      <c r="C4133" s="39">
        <f t="shared" si="129"/>
        <v>157992929.59999999</v>
      </c>
      <c r="D4133" s="39">
        <f t="shared" si="128"/>
        <v>136368483</v>
      </c>
    </row>
    <row r="4134" spans="2:4" x14ac:dyDescent="0.25">
      <c r="B4134" s="89">
        <v>4130</v>
      </c>
      <c r="C4134" s="39">
        <f t="shared" si="129"/>
        <v>157992929.59999999</v>
      </c>
      <c r="D4134" s="39">
        <f t="shared" si="128"/>
        <v>136401510</v>
      </c>
    </row>
    <row r="4135" spans="2:4" x14ac:dyDescent="0.25">
      <c r="B4135" s="89">
        <v>4131</v>
      </c>
      <c r="C4135" s="39">
        <f t="shared" si="129"/>
        <v>157992929.59999999</v>
      </c>
      <c r="D4135" s="39">
        <f t="shared" si="128"/>
        <v>136434537</v>
      </c>
    </row>
    <row r="4136" spans="2:4" x14ac:dyDescent="0.25">
      <c r="B4136" s="89">
        <v>4132</v>
      </c>
      <c r="C4136" s="39">
        <f t="shared" si="129"/>
        <v>157992929.59999999</v>
      </c>
      <c r="D4136" s="39">
        <f t="shared" si="128"/>
        <v>136467564</v>
      </c>
    </row>
    <row r="4137" spans="2:4" x14ac:dyDescent="0.25">
      <c r="B4137" s="89">
        <v>4133</v>
      </c>
      <c r="C4137" s="39">
        <f t="shared" si="129"/>
        <v>157992929.59999999</v>
      </c>
      <c r="D4137" s="39">
        <f t="shared" si="128"/>
        <v>136500591</v>
      </c>
    </row>
    <row r="4138" spans="2:4" x14ac:dyDescent="0.25">
      <c r="B4138" s="89">
        <v>4134</v>
      </c>
      <c r="C4138" s="39">
        <f t="shared" si="129"/>
        <v>157992929.59999999</v>
      </c>
      <c r="D4138" s="39">
        <f t="shared" si="128"/>
        <v>136533618</v>
      </c>
    </row>
    <row r="4139" spans="2:4" x14ac:dyDescent="0.25">
      <c r="B4139" s="89">
        <v>4135</v>
      </c>
      <c r="C4139" s="39">
        <f t="shared" si="129"/>
        <v>157992929.59999999</v>
      </c>
      <c r="D4139" s="39">
        <f t="shared" si="128"/>
        <v>136566645</v>
      </c>
    </row>
    <row r="4140" spans="2:4" x14ac:dyDescent="0.25">
      <c r="B4140" s="89">
        <v>4136</v>
      </c>
      <c r="C4140" s="39">
        <f t="shared" si="129"/>
        <v>157992929.59999999</v>
      </c>
      <c r="D4140" s="39">
        <f t="shared" si="128"/>
        <v>136599672</v>
      </c>
    </row>
    <row r="4141" spans="2:4" x14ac:dyDescent="0.25">
      <c r="B4141" s="89">
        <v>4137</v>
      </c>
      <c r="C4141" s="39">
        <f t="shared" si="129"/>
        <v>157992929.59999999</v>
      </c>
      <c r="D4141" s="39">
        <f t="shared" si="128"/>
        <v>136632699</v>
      </c>
    </row>
    <row r="4142" spans="2:4" x14ac:dyDescent="0.25">
      <c r="B4142" s="89">
        <v>4138</v>
      </c>
      <c r="C4142" s="39">
        <f t="shared" si="129"/>
        <v>157992929.59999999</v>
      </c>
      <c r="D4142" s="39">
        <f t="shared" si="128"/>
        <v>136665726</v>
      </c>
    </row>
    <row r="4143" spans="2:4" x14ac:dyDescent="0.25">
      <c r="B4143" s="89">
        <v>4139</v>
      </c>
      <c r="C4143" s="39">
        <f t="shared" si="129"/>
        <v>157992929.59999999</v>
      </c>
      <c r="D4143" s="39">
        <f t="shared" si="128"/>
        <v>136698753</v>
      </c>
    </row>
    <row r="4144" spans="2:4" x14ac:dyDescent="0.25">
      <c r="B4144" s="89">
        <v>4140</v>
      </c>
      <c r="C4144" s="39">
        <f t="shared" si="129"/>
        <v>157992929.59999999</v>
      </c>
      <c r="D4144" s="39">
        <f t="shared" si="128"/>
        <v>136731780</v>
      </c>
    </row>
    <row r="4145" spans="2:4" x14ac:dyDescent="0.25">
      <c r="B4145" s="89">
        <v>4141</v>
      </c>
      <c r="C4145" s="39">
        <f t="shared" si="129"/>
        <v>157992929.59999999</v>
      </c>
      <c r="D4145" s="39">
        <f t="shared" ref="D4145:D4208" si="130">$D$2*B4145</f>
        <v>136764807</v>
      </c>
    </row>
    <row r="4146" spans="2:4" x14ac:dyDescent="0.25">
      <c r="B4146" s="89">
        <v>4142</v>
      </c>
      <c r="C4146" s="39">
        <f t="shared" si="129"/>
        <v>157992929.59999999</v>
      </c>
      <c r="D4146" s="39">
        <f t="shared" si="130"/>
        <v>136797834</v>
      </c>
    </row>
    <row r="4147" spans="2:4" x14ac:dyDescent="0.25">
      <c r="B4147" s="89">
        <v>4143</v>
      </c>
      <c r="C4147" s="39">
        <f t="shared" si="129"/>
        <v>157992929.59999999</v>
      </c>
      <c r="D4147" s="39">
        <f t="shared" si="130"/>
        <v>136830861</v>
      </c>
    </row>
    <row r="4148" spans="2:4" x14ac:dyDescent="0.25">
      <c r="B4148" s="89">
        <v>4144</v>
      </c>
      <c r="C4148" s="39">
        <f t="shared" si="129"/>
        <v>157992929.59999999</v>
      </c>
      <c r="D4148" s="39">
        <f t="shared" si="130"/>
        <v>136863888</v>
      </c>
    </row>
    <row r="4149" spans="2:4" x14ac:dyDescent="0.25">
      <c r="B4149" s="89">
        <v>4145</v>
      </c>
      <c r="C4149" s="39">
        <f t="shared" si="129"/>
        <v>157992929.59999999</v>
      </c>
      <c r="D4149" s="39">
        <f t="shared" si="130"/>
        <v>136896915</v>
      </c>
    </row>
    <row r="4150" spans="2:4" x14ac:dyDescent="0.25">
      <c r="B4150" s="89">
        <v>4146</v>
      </c>
      <c r="C4150" s="39">
        <f t="shared" si="129"/>
        <v>157992929.59999999</v>
      </c>
      <c r="D4150" s="39">
        <f t="shared" si="130"/>
        <v>136929942</v>
      </c>
    </row>
    <row r="4151" spans="2:4" x14ac:dyDescent="0.25">
      <c r="B4151" s="89">
        <v>4147</v>
      </c>
      <c r="C4151" s="39">
        <f t="shared" si="129"/>
        <v>157992929.59999999</v>
      </c>
      <c r="D4151" s="39">
        <f t="shared" si="130"/>
        <v>136962969</v>
      </c>
    </row>
    <row r="4152" spans="2:4" x14ac:dyDescent="0.25">
      <c r="B4152" s="89">
        <v>4148</v>
      </c>
      <c r="C4152" s="39">
        <f t="shared" si="129"/>
        <v>157992929.59999999</v>
      </c>
      <c r="D4152" s="39">
        <f t="shared" si="130"/>
        <v>136995996</v>
      </c>
    </row>
    <row r="4153" spans="2:4" x14ac:dyDescent="0.25">
      <c r="B4153" s="89">
        <v>4149</v>
      </c>
      <c r="C4153" s="39">
        <f t="shared" si="129"/>
        <v>157992929.59999999</v>
      </c>
      <c r="D4153" s="39">
        <f t="shared" si="130"/>
        <v>137029023</v>
      </c>
    </row>
    <row r="4154" spans="2:4" x14ac:dyDescent="0.25">
      <c r="B4154" s="89">
        <v>4150</v>
      </c>
      <c r="C4154" s="39">
        <f t="shared" si="129"/>
        <v>157992929.59999999</v>
      </c>
      <c r="D4154" s="39">
        <f t="shared" si="130"/>
        <v>137062050</v>
      </c>
    </row>
    <row r="4155" spans="2:4" x14ac:dyDescent="0.25">
      <c r="B4155" s="89">
        <v>4151</v>
      </c>
      <c r="C4155" s="39">
        <f t="shared" si="129"/>
        <v>157992929.59999999</v>
      </c>
      <c r="D4155" s="39">
        <f t="shared" si="130"/>
        <v>137095077</v>
      </c>
    </row>
    <row r="4156" spans="2:4" x14ac:dyDescent="0.25">
      <c r="B4156" s="89">
        <v>4152</v>
      </c>
      <c r="C4156" s="39">
        <f t="shared" si="129"/>
        <v>157992929.59999999</v>
      </c>
      <c r="D4156" s="39">
        <f t="shared" si="130"/>
        <v>137128104</v>
      </c>
    </row>
    <row r="4157" spans="2:4" x14ac:dyDescent="0.25">
      <c r="B4157" s="89">
        <v>4153</v>
      </c>
      <c r="C4157" s="39">
        <f t="shared" si="129"/>
        <v>157992929.59999999</v>
      </c>
      <c r="D4157" s="39">
        <f t="shared" si="130"/>
        <v>137161131</v>
      </c>
    </row>
    <row r="4158" spans="2:4" x14ac:dyDescent="0.25">
      <c r="B4158" s="89">
        <v>4154</v>
      </c>
      <c r="C4158" s="39">
        <f t="shared" si="129"/>
        <v>157992929.59999999</v>
      </c>
      <c r="D4158" s="39">
        <f t="shared" si="130"/>
        <v>137194158</v>
      </c>
    </row>
    <row r="4159" spans="2:4" x14ac:dyDescent="0.25">
      <c r="B4159" s="89">
        <v>4155</v>
      </c>
      <c r="C4159" s="39">
        <f t="shared" si="129"/>
        <v>157992929.59999999</v>
      </c>
      <c r="D4159" s="39">
        <f t="shared" si="130"/>
        <v>137227185</v>
      </c>
    </row>
    <row r="4160" spans="2:4" x14ac:dyDescent="0.25">
      <c r="B4160" s="89">
        <v>4156</v>
      </c>
      <c r="C4160" s="39">
        <f t="shared" si="129"/>
        <v>157992929.59999999</v>
      </c>
      <c r="D4160" s="39">
        <f t="shared" si="130"/>
        <v>137260212</v>
      </c>
    </row>
    <row r="4161" spans="2:4" x14ac:dyDescent="0.25">
      <c r="B4161" s="89">
        <v>4157</v>
      </c>
      <c r="C4161" s="39">
        <f t="shared" si="129"/>
        <v>157992929.59999999</v>
      </c>
      <c r="D4161" s="39">
        <f t="shared" si="130"/>
        <v>137293239</v>
      </c>
    </row>
    <row r="4162" spans="2:4" x14ac:dyDescent="0.25">
      <c r="B4162" s="89">
        <v>4158</v>
      </c>
      <c r="C4162" s="39">
        <f t="shared" si="129"/>
        <v>157992929.59999999</v>
      </c>
      <c r="D4162" s="39">
        <f t="shared" si="130"/>
        <v>137326266</v>
      </c>
    </row>
    <row r="4163" spans="2:4" x14ac:dyDescent="0.25">
      <c r="B4163" s="89">
        <v>4159</v>
      </c>
      <c r="C4163" s="39">
        <f t="shared" si="129"/>
        <v>157992929.59999999</v>
      </c>
      <c r="D4163" s="39">
        <f t="shared" si="130"/>
        <v>137359293</v>
      </c>
    </row>
    <row r="4164" spans="2:4" x14ac:dyDescent="0.25">
      <c r="B4164" s="89">
        <v>4160</v>
      </c>
      <c r="C4164" s="39">
        <f t="shared" si="129"/>
        <v>157992929.59999999</v>
      </c>
      <c r="D4164" s="39">
        <f t="shared" si="130"/>
        <v>137392320</v>
      </c>
    </row>
    <row r="4165" spans="2:4" x14ac:dyDescent="0.25">
      <c r="B4165" s="89">
        <v>4161</v>
      </c>
      <c r="C4165" s="39">
        <f t="shared" si="129"/>
        <v>157992929.59999999</v>
      </c>
      <c r="D4165" s="39">
        <f t="shared" si="130"/>
        <v>137425347</v>
      </c>
    </row>
    <row r="4166" spans="2:4" x14ac:dyDescent="0.25">
      <c r="B4166" s="89">
        <v>4162</v>
      </c>
      <c r="C4166" s="39">
        <f t="shared" ref="C4166:C4229" si="131">$C4165</f>
        <v>157992929.59999999</v>
      </c>
      <c r="D4166" s="39">
        <f t="shared" si="130"/>
        <v>137458374</v>
      </c>
    </row>
    <row r="4167" spans="2:4" x14ac:dyDescent="0.25">
      <c r="B4167" s="89">
        <v>4163</v>
      </c>
      <c r="C4167" s="39">
        <f t="shared" si="131"/>
        <v>157992929.59999999</v>
      </c>
      <c r="D4167" s="39">
        <f t="shared" si="130"/>
        <v>137491401</v>
      </c>
    </row>
    <row r="4168" spans="2:4" x14ac:dyDescent="0.25">
      <c r="B4168" s="89">
        <v>4164</v>
      </c>
      <c r="C4168" s="39">
        <f t="shared" si="131"/>
        <v>157992929.59999999</v>
      </c>
      <c r="D4168" s="39">
        <f t="shared" si="130"/>
        <v>137524428</v>
      </c>
    </row>
    <row r="4169" spans="2:4" x14ac:dyDescent="0.25">
      <c r="B4169" s="89">
        <v>4165</v>
      </c>
      <c r="C4169" s="39">
        <f t="shared" si="131"/>
        <v>157992929.59999999</v>
      </c>
      <c r="D4169" s="39">
        <f t="shared" si="130"/>
        <v>137557455</v>
      </c>
    </row>
    <row r="4170" spans="2:4" x14ac:dyDescent="0.25">
      <c r="B4170" s="89">
        <v>4166</v>
      </c>
      <c r="C4170" s="39">
        <f t="shared" si="131"/>
        <v>157992929.59999999</v>
      </c>
      <c r="D4170" s="39">
        <f t="shared" si="130"/>
        <v>137590482</v>
      </c>
    </row>
    <row r="4171" spans="2:4" x14ac:dyDescent="0.25">
      <c r="B4171" s="89">
        <v>4167</v>
      </c>
      <c r="C4171" s="39">
        <f t="shared" si="131"/>
        <v>157992929.59999999</v>
      </c>
      <c r="D4171" s="39">
        <f t="shared" si="130"/>
        <v>137623509</v>
      </c>
    </row>
    <row r="4172" spans="2:4" x14ac:dyDescent="0.25">
      <c r="B4172" s="89">
        <v>4168</v>
      </c>
      <c r="C4172" s="39">
        <f t="shared" si="131"/>
        <v>157992929.59999999</v>
      </c>
      <c r="D4172" s="39">
        <f t="shared" si="130"/>
        <v>137656536</v>
      </c>
    </row>
    <row r="4173" spans="2:4" x14ac:dyDescent="0.25">
      <c r="B4173" s="89">
        <v>4169</v>
      </c>
      <c r="C4173" s="39">
        <f t="shared" si="131"/>
        <v>157992929.59999999</v>
      </c>
      <c r="D4173" s="39">
        <f t="shared" si="130"/>
        <v>137689563</v>
      </c>
    </row>
    <row r="4174" spans="2:4" x14ac:dyDescent="0.25">
      <c r="B4174" s="89">
        <v>4170</v>
      </c>
      <c r="C4174" s="39">
        <f t="shared" si="131"/>
        <v>157992929.59999999</v>
      </c>
      <c r="D4174" s="39">
        <f t="shared" si="130"/>
        <v>137722590</v>
      </c>
    </row>
    <row r="4175" spans="2:4" x14ac:dyDescent="0.25">
      <c r="B4175" s="89">
        <v>4171</v>
      </c>
      <c r="C4175" s="39">
        <f t="shared" si="131"/>
        <v>157992929.59999999</v>
      </c>
      <c r="D4175" s="39">
        <f t="shared" si="130"/>
        <v>137755617</v>
      </c>
    </row>
    <row r="4176" spans="2:4" x14ac:dyDescent="0.25">
      <c r="B4176" s="89">
        <v>4172</v>
      </c>
      <c r="C4176" s="39">
        <f t="shared" si="131"/>
        <v>157992929.59999999</v>
      </c>
      <c r="D4176" s="39">
        <f t="shared" si="130"/>
        <v>137788644</v>
      </c>
    </row>
    <row r="4177" spans="2:4" x14ac:dyDescent="0.25">
      <c r="B4177" s="89">
        <v>4173</v>
      </c>
      <c r="C4177" s="39">
        <f t="shared" si="131"/>
        <v>157992929.59999999</v>
      </c>
      <c r="D4177" s="39">
        <f t="shared" si="130"/>
        <v>137821671</v>
      </c>
    </row>
    <row r="4178" spans="2:4" x14ac:dyDescent="0.25">
      <c r="B4178" s="89">
        <v>4174</v>
      </c>
      <c r="C4178" s="39">
        <f t="shared" si="131"/>
        <v>157992929.59999999</v>
      </c>
      <c r="D4178" s="39">
        <f t="shared" si="130"/>
        <v>137854698</v>
      </c>
    </row>
    <row r="4179" spans="2:4" x14ac:dyDescent="0.25">
      <c r="B4179" s="89">
        <v>4175</v>
      </c>
      <c r="C4179" s="39">
        <f t="shared" si="131"/>
        <v>157992929.59999999</v>
      </c>
      <c r="D4179" s="39">
        <f t="shared" si="130"/>
        <v>137887725</v>
      </c>
    </row>
    <row r="4180" spans="2:4" x14ac:dyDescent="0.25">
      <c r="B4180" s="89">
        <v>4176</v>
      </c>
      <c r="C4180" s="39">
        <f t="shared" si="131"/>
        <v>157992929.59999999</v>
      </c>
      <c r="D4180" s="39">
        <f t="shared" si="130"/>
        <v>137920752</v>
      </c>
    </row>
    <row r="4181" spans="2:4" x14ac:dyDescent="0.25">
      <c r="B4181" s="89">
        <v>4177</v>
      </c>
      <c r="C4181" s="39">
        <f t="shared" si="131"/>
        <v>157992929.59999999</v>
      </c>
      <c r="D4181" s="39">
        <f t="shared" si="130"/>
        <v>137953779</v>
      </c>
    </row>
    <row r="4182" spans="2:4" x14ac:dyDescent="0.25">
      <c r="B4182" s="89">
        <v>4178</v>
      </c>
      <c r="C4182" s="39">
        <f t="shared" si="131"/>
        <v>157992929.59999999</v>
      </c>
      <c r="D4182" s="39">
        <f t="shared" si="130"/>
        <v>137986806</v>
      </c>
    </row>
    <row r="4183" spans="2:4" x14ac:dyDescent="0.25">
      <c r="B4183" s="89">
        <v>4179</v>
      </c>
      <c r="C4183" s="39">
        <f t="shared" si="131"/>
        <v>157992929.59999999</v>
      </c>
      <c r="D4183" s="39">
        <f t="shared" si="130"/>
        <v>138019833</v>
      </c>
    </row>
    <row r="4184" spans="2:4" x14ac:dyDescent="0.25">
      <c r="B4184" s="89">
        <v>4180</v>
      </c>
      <c r="C4184" s="39">
        <f t="shared" si="131"/>
        <v>157992929.59999999</v>
      </c>
      <c r="D4184" s="39">
        <f t="shared" si="130"/>
        <v>138052860</v>
      </c>
    </row>
    <row r="4185" spans="2:4" x14ac:dyDescent="0.25">
      <c r="B4185" s="89">
        <v>4181</v>
      </c>
      <c r="C4185" s="39">
        <f t="shared" si="131"/>
        <v>157992929.59999999</v>
      </c>
      <c r="D4185" s="39">
        <f t="shared" si="130"/>
        <v>138085887</v>
      </c>
    </row>
    <row r="4186" spans="2:4" x14ac:dyDescent="0.25">
      <c r="B4186" s="89">
        <v>4182</v>
      </c>
      <c r="C4186" s="39">
        <f t="shared" si="131"/>
        <v>157992929.59999999</v>
      </c>
      <c r="D4186" s="39">
        <f t="shared" si="130"/>
        <v>138118914</v>
      </c>
    </row>
    <row r="4187" spans="2:4" x14ac:dyDescent="0.25">
      <c r="B4187" s="89">
        <v>4183</v>
      </c>
      <c r="C4187" s="39">
        <f t="shared" si="131"/>
        <v>157992929.59999999</v>
      </c>
      <c r="D4187" s="39">
        <f t="shared" si="130"/>
        <v>138151941</v>
      </c>
    </row>
    <row r="4188" spans="2:4" x14ac:dyDescent="0.25">
      <c r="B4188" s="89">
        <v>4184</v>
      </c>
      <c r="C4188" s="39">
        <f t="shared" si="131"/>
        <v>157992929.59999999</v>
      </c>
      <c r="D4188" s="39">
        <f t="shared" si="130"/>
        <v>138184968</v>
      </c>
    </row>
    <row r="4189" spans="2:4" x14ac:dyDescent="0.25">
      <c r="B4189" s="89">
        <v>4185</v>
      </c>
      <c r="C4189" s="39">
        <f t="shared" si="131"/>
        <v>157992929.59999999</v>
      </c>
      <c r="D4189" s="39">
        <f t="shared" si="130"/>
        <v>138217995</v>
      </c>
    </row>
    <row r="4190" spans="2:4" x14ac:dyDescent="0.25">
      <c r="B4190" s="89">
        <v>4186</v>
      </c>
      <c r="C4190" s="39">
        <f t="shared" si="131"/>
        <v>157992929.59999999</v>
      </c>
      <c r="D4190" s="39">
        <f t="shared" si="130"/>
        <v>138251022</v>
      </c>
    </row>
    <row r="4191" spans="2:4" x14ac:dyDescent="0.25">
      <c r="B4191" s="89">
        <v>4187</v>
      </c>
      <c r="C4191" s="39">
        <f t="shared" si="131"/>
        <v>157992929.59999999</v>
      </c>
      <c r="D4191" s="39">
        <f t="shared" si="130"/>
        <v>138284049</v>
      </c>
    </row>
    <row r="4192" spans="2:4" x14ac:dyDescent="0.25">
      <c r="B4192" s="89">
        <v>4188</v>
      </c>
      <c r="C4192" s="39">
        <f t="shared" si="131"/>
        <v>157992929.59999999</v>
      </c>
      <c r="D4192" s="39">
        <f t="shared" si="130"/>
        <v>138317076</v>
      </c>
    </row>
    <row r="4193" spans="2:4" x14ac:dyDescent="0.25">
      <c r="B4193" s="89">
        <v>4189</v>
      </c>
      <c r="C4193" s="39">
        <f t="shared" si="131"/>
        <v>157992929.59999999</v>
      </c>
      <c r="D4193" s="39">
        <f t="shared" si="130"/>
        <v>138350103</v>
      </c>
    </row>
    <row r="4194" spans="2:4" x14ac:dyDescent="0.25">
      <c r="B4194" s="89">
        <v>4190</v>
      </c>
      <c r="C4194" s="39">
        <f t="shared" si="131"/>
        <v>157992929.59999999</v>
      </c>
      <c r="D4194" s="39">
        <f t="shared" si="130"/>
        <v>138383130</v>
      </c>
    </row>
    <row r="4195" spans="2:4" x14ac:dyDescent="0.25">
      <c r="B4195" s="89">
        <v>4191</v>
      </c>
      <c r="C4195" s="39">
        <f t="shared" si="131"/>
        <v>157992929.59999999</v>
      </c>
      <c r="D4195" s="39">
        <f t="shared" si="130"/>
        <v>138416157</v>
      </c>
    </row>
    <row r="4196" spans="2:4" x14ac:dyDescent="0.25">
      <c r="B4196" s="89">
        <v>4192</v>
      </c>
      <c r="C4196" s="39">
        <f t="shared" si="131"/>
        <v>157992929.59999999</v>
      </c>
      <c r="D4196" s="39">
        <f t="shared" si="130"/>
        <v>138449184</v>
      </c>
    </row>
    <row r="4197" spans="2:4" x14ac:dyDescent="0.25">
      <c r="B4197" s="89">
        <v>4193</v>
      </c>
      <c r="C4197" s="39">
        <f t="shared" si="131"/>
        <v>157992929.59999999</v>
      </c>
      <c r="D4197" s="39">
        <f t="shared" si="130"/>
        <v>138482211</v>
      </c>
    </row>
    <row r="4198" spans="2:4" x14ac:dyDescent="0.25">
      <c r="B4198" s="89">
        <v>4194</v>
      </c>
      <c r="C4198" s="39">
        <f t="shared" si="131"/>
        <v>157992929.59999999</v>
      </c>
      <c r="D4198" s="39">
        <f t="shared" si="130"/>
        <v>138515238</v>
      </c>
    </row>
    <row r="4199" spans="2:4" x14ac:dyDescent="0.25">
      <c r="B4199" s="89">
        <v>4195</v>
      </c>
      <c r="C4199" s="39">
        <f t="shared" si="131"/>
        <v>157992929.59999999</v>
      </c>
      <c r="D4199" s="39">
        <f t="shared" si="130"/>
        <v>138548265</v>
      </c>
    </row>
    <row r="4200" spans="2:4" x14ac:dyDescent="0.25">
      <c r="B4200" s="89">
        <v>4196</v>
      </c>
      <c r="C4200" s="39">
        <f t="shared" si="131"/>
        <v>157992929.59999999</v>
      </c>
      <c r="D4200" s="39">
        <f t="shared" si="130"/>
        <v>138581292</v>
      </c>
    </row>
    <row r="4201" spans="2:4" x14ac:dyDescent="0.25">
      <c r="B4201" s="89">
        <v>4197</v>
      </c>
      <c r="C4201" s="39">
        <f t="shared" si="131"/>
        <v>157992929.59999999</v>
      </c>
      <c r="D4201" s="39">
        <f t="shared" si="130"/>
        <v>138614319</v>
      </c>
    </row>
    <row r="4202" spans="2:4" x14ac:dyDescent="0.25">
      <c r="B4202" s="89">
        <v>4198</v>
      </c>
      <c r="C4202" s="39">
        <f t="shared" si="131"/>
        <v>157992929.59999999</v>
      </c>
      <c r="D4202" s="39">
        <f t="shared" si="130"/>
        <v>138647346</v>
      </c>
    </row>
    <row r="4203" spans="2:4" x14ac:dyDescent="0.25">
      <c r="B4203" s="89">
        <v>4199</v>
      </c>
      <c r="C4203" s="39">
        <f t="shared" si="131"/>
        <v>157992929.59999999</v>
      </c>
      <c r="D4203" s="39">
        <f t="shared" si="130"/>
        <v>138680373</v>
      </c>
    </row>
    <row r="4204" spans="2:4" x14ac:dyDescent="0.25">
      <c r="B4204" s="89">
        <v>4200</v>
      </c>
      <c r="C4204" s="39">
        <f t="shared" si="131"/>
        <v>157992929.59999999</v>
      </c>
      <c r="D4204" s="39">
        <f t="shared" si="130"/>
        <v>138713400</v>
      </c>
    </row>
    <row r="4205" spans="2:4" x14ac:dyDescent="0.25">
      <c r="B4205" s="89">
        <v>4201</v>
      </c>
      <c r="C4205" s="39">
        <f t="shared" si="131"/>
        <v>157992929.59999999</v>
      </c>
      <c r="D4205" s="39">
        <f t="shared" si="130"/>
        <v>138746427</v>
      </c>
    </row>
    <row r="4206" spans="2:4" x14ac:dyDescent="0.25">
      <c r="B4206" s="89">
        <v>4202</v>
      </c>
      <c r="C4206" s="39">
        <f t="shared" si="131"/>
        <v>157992929.59999999</v>
      </c>
      <c r="D4206" s="39">
        <f t="shared" si="130"/>
        <v>138779454</v>
      </c>
    </row>
    <row r="4207" spans="2:4" x14ac:dyDescent="0.25">
      <c r="B4207" s="89">
        <v>4203</v>
      </c>
      <c r="C4207" s="39">
        <f t="shared" si="131"/>
        <v>157992929.59999999</v>
      </c>
      <c r="D4207" s="39">
        <f t="shared" si="130"/>
        <v>138812481</v>
      </c>
    </row>
    <row r="4208" spans="2:4" x14ac:dyDescent="0.25">
      <c r="B4208" s="89">
        <v>4204</v>
      </c>
      <c r="C4208" s="39">
        <f t="shared" si="131"/>
        <v>157992929.59999999</v>
      </c>
      <c r="D4208" s="39">
        <f t="shared" si="130"/>
        <v>138845508</v>
      </c>
    </row>
    <row r="4209" spans="2:4" x14ac:dyDescent="0.25">
      <c r="B4209" s="89">
        <v>4205</v>
      </c>
      <c r="C4209" s="39">
        <f t="shared" si="131"/>
        <v>157992929.59999999</v>
      </c>
      <c r="D4209" s="39">
        <f t="shared" ref="D4209:D4272" si="132">$D$2*B4209</f>
        <v>138878535</v>
      </c>
    </row>
    <row r="4210" spans="2:4" x14ac:dyDescent="0.25">
      <c r="B4210" s="89">
        <v>4206</v>
      </c>
      <c r="C4210" s="39">
        <f t="shared" si="131"/>
        <v>157992929.59999999</v>
      </c>
      <c r="D4210" s="39">
        <f t="shared" si="132"/>
        <v>138911562</v>
      </c>
    </row>
    <row r="4211" spans="2:4" x14ac:dyDescent="0.25">
      <c r="B4211" s="89">
        <v>4207</v>
      </c>
      <c r="C4211" s="39">
        <f t="shared" si="131"/>
        <v>157992929.59999999</v>
      </c>
      <c r="D4211" s="39">
        <f t="shared" si="132"/>
        <v>138944589</v>
      </c>
    </row>
    <row r="4212" spans="2:4" x14ac:dyDescent="0.25">
      <c r="B4212" s="89">
        <v>4208</v>
      </c>
      <c r="C4212" s="39">
        <f t="shared" si="131"/>
        <v>157992929.59999999</v>
      </c>
      <c r="D4212" s="39">
        <f t="shared" si="132"/>
        <v>138977616</v>
      </c>
    </row>
    <row r="4213" spans="2:4" x14ac:dyDescent="0.25">
      <c r="B4213" s="89">
        <v>4209</v>
      </c>
      <c r="C4213" s="39">
        <f t="shared" si="131"/>
        <v>157992929.59999999</v>
      </c>
      <c r="D4213" s="39">
        <f t="shared" si="132"/>
        <v>139010643</v>
      </c>
    </row>
    <row r="4214" spans="2:4" x14ac:dyDescent="0.25">
      <c r="B4214" s="89">
        <v>4210</v>
      </c>
      <c r="C4214" s="39">
        <f t="shared" si="131"/>
        <v>157992929.59999999</v>
      </c>
      <c r="D4214" s="39">
        <f t="shared" si="132"/>
        <v>139043670</v>
      </c>
    </row>
    <row r="4215" spans="2:4" x14ac:dyDescent="0.25">
      <c r="B4215" s="89">
        <v>4211</v>
      </c>
      <c r="C4215" s="39">
        <f t="shared" si="131"/>
        <v>157992929.59999999</v>
      </c>
      <c r="D4215" s="39">
        <f t="shared" si="132"/>
        <v>139076697</v>
      </c>
    </row>
    <row r="4216" spans="2:4" x14ac:dyDescent="0.25">
      <c r="B4216" s="89">
        <v>4212</v>
      </c>
      <c r="C4216" s="39">
        <f t="shared" si="131"/>
        <v>157992929.59999999</v>
      </c>
      <c r="D4216" s="39">
        <f t="shared" si="132"/>
        <v>139109724</v>
      </c>
    </row>
    <row r="4217" spans="2:4" x14ac:dyDescent="0.25">
      <c r="B4217" s="89">
        <v>4213</v>
      </c>
      <c r="C4217" s="39">
        <f t="shared" si="131"/>
        <v>157992929.59999999</v>
      </c>
      <c r="D4217" s="39">
        <f t="shared" si="132"/>
        <v>139142751</v>
      </c>
    </row>
    <row r="4218" spans="2:4" x14ac:dyDescent="0.25">
      <c r="B4218" s="89">
        <v>4214</v>
      </c>
      <c r="C4218" s="39">
        <f t="shared" si="131"/>
        <v>157992929.59999999</v>
      </c>
      <c r="D4218" s="39">
        <f t="shared" si="132"/>
        <v>139175778</v>
      </c>
    </row>
    <row r="4219" spans="2:4" x14ac:dyDescent="0.25">
      <c r="B4219" s="89">
        <v>4215</v>
      </c>
      <c r="C4219" s="39">
        <f t="shared" si="131"/>
        <v>157992929.59999999</v>
      </c>
      <c r="D4219" s="39">
        <f t="shared" si="132"/>
        <v>139208805</v>
      </c>
    </row>
    <row r="4220" spans="2:4" x14ac:dyDescent="0.25">
      <c r="B4220" s="89">
        <v>4216</v>
      </c>
      <c r="C4220" s="39">
        <f t="shared" si="131"/>
        <v>157992929.59999999</v>
      </c>
      <c r="D4220" s="39">
        <f t="shared" si="132"/>
        <v>139241832</v>
      </c>
    </row>
    <row r="4221" spans="2:4" x14ac:dyDescent="0.25">
      <c r="B4221" s="89">
        <v>4217</v>
      </c>
      <c r="C4221" s="39">
        <f t="shared" si="131"/>
        <v>157992929.59999999</v>
      </c>
      <c r="D4221" s="39">
        <f t="shared" si="132"/>
        <v>139274859</v>
      </c>
    </row>
    <row r="4222" spans="2:4" x14ac:dyDescent="0.25">
      <c r="B4222" s="89">
        <v>4218</v>
      </c>
      <c r="C4222" s="39">
        <f t="shared" si="131"/>
        <v>157992929.59999999</v>
      </c>
      <c r="D4222" s="39">
        <f t="shared" si="132"/>
        <v>139307886</v>
      </c>
    </row>
    <row r="4223" spans="2:4" x14ac:dyDescent="0.25">
      <c r="B4223" s="89">
        <v>4219</v>
      </c>
      <c r="C4223" s="39">
        <f t="shared" si="131"/>
        <v>157992929.59999999</v>
      </c>
      <c r="D4223" s="39">
        <f t="shared" si="132"/>
        <v>139340913</v>
      </c>
    </row>
    <row r="4224" spans="2:4" x14ac:dyDescent="0.25">
      <c r="B4224" s="89">
        <v>4220</v>
      </c>
      <c r="C4224" s="39">
        <f t="shared" si="131"/>
        <v>157992929.59999999</v>
      </c>
      <c r="D4224" s="39">
        <f t="shared" si="132"/>
        <v>139373940</v>
      </c>
    </row>
    <row r="4225" spans="2:4" x14ac:dyDescent="0.25">
      <c r="B4225" s="89">
        <v>4221</v>
      </c>
      <c r="C4225" s="39">
        <f t="shared" si="131"/>
        <v>157992929.59999999</v>
      </c>
      <c r="D4225" s="39">
        <f t="shared" si="132"/>
        <v>139406967</v>
      </c>
    </row>
    <row r="4226" spans="2:4" x14ac:dyDescent="0.25">
      <c r="B4226" s="89">
        <v>4222</v>
      </c>
      <c r="C4226" s="39">
        <f t="shared" si="131"/>
        <v>157992929.59999999</v>
      </c>
      <c r="D4226" s="39">
        <f t="shared" si="132"/>
        <v>139439994</v>
      </c>
    </row>
    <row r="4227" spans="2:4" x14ac:dyDescent="0.25">
      <c r="B4227" s="89">
        <v>4223</v>
      </c>
      <c r="C4227" s="39">
        <f t="shared" si="131"/>
        <v>157992929.59999999</v>
      </c>
      <c r="D4227" s="39">
        <f t="shared" si="132"/>
        <v>139473021</v>
      </c>
    </row>
    <row r="4228" spans="2:4" x14ac:dyDescent="0.25">
      <c r="B4228" s="89">
        <v>4224</v>
      </c>
      <c r="C4228" s="39">
        <f t="shared" si="131"/>
        <v>157992929.59999999</v>
      </c>
      <c r="D4228" s="39">
        <f t="shared" si="132"/>
        <v>139506048</v>
      </c>
    </row>
    <row r="4229" spans="2:4" x14ac:dyDescent="0.25">
      <c r="B4229" s="89">
        <v>4225</v>
      </c>
      <c r="C4229" s="39">
        <f t="shared" si="131"/>
        <v>157992929.59999999</v>
      </c>
      <c r="D4229" s="39">
        <f t="shared" si="132"/>
        <v>139539075</v>
      </c>
    </row>
    <row r="4230" spans="2:4" x14ac:dyDescent="0.25">
      <c r="B4230" s="89">
        <v>4226</v>
      </c>
      <c r="C4230" s="39">
        <f t="shared" ref="C4230:C4293" si="133">$C4229</f>
        <v>157992929.59999999</v>
      </c>
      <c r="D4230" s="39">
        <f t="shared" si="132"/>
        <v>139572102</v>
      </c>
    </row>
    <row r="4231" spans="2:4" x14ac:dyDescent="0.25">
      <c r="B4231" s="89">
        <v>4227</v>
      </c>
      <c r="C4231" s="39">
        <f t="shared" si="133"/>
        <v>157992929.59999999</v>
      </c>
      <c r="D4231" s="39">
        <f t="shared" si="132"/>
        <v>139605129</v>
      </c>
    </row>
    <row r="4232" spans="2:4" x14ac:dyDescent="0.25">
      <c r="B4232" s="89">
        <v>4228</v>
      </c>
      <c r="C4232" s="39">
        <f t="shared" si="133"/>
        <v>157992929.59999999</v>
      </c>
      <c r="D4232" s="39">
        <f t="shared" si="132"/>
        <v>139638156</v>
      </c>
    </row>
    <row r="4233" spans="2:4" x14ac:dyDescent="0.25">
      <c r="B4233" s="89">
        <v>4229</v>
      </c>
      <c r="C4233" s="39">
        <f t="shared" si="133"/>
        <v>157992929.59999999</v>
      </c>
      <c r="D4233" s="39">
        <f t="shared" si="132"/>
        <v>139671183</v>
      </c>
    </row>
    <row r="4234" spans="2:4" x14ac:dyDescent="0.25">
      <c r="B4234" s="89">
        <v>4230</v>
      </c>
      <c r="C4234" s="39">
        <f t="shared" si="133"/>
        <v>157992929.59999999</v>
      </c>
      <c r="D4234" s="39">
        <f t="shared" si="132"/>
        <v>139704210</v>
      </c>
    </row>
    <row r="4235" spans="2:4" x14ac:dyDescent="0.25">
      <c r="B4235" s="89">
        <v>4231</v>
      </c>
      <c r="C4235" s="39">
        <f t="shared" si="133"/>
        <v>157992929.59999999</v>
      </c>
      <c r="D4235" s="39">
        <f t="shared" si="132"/>
        <v>139737237</v>
      </c>
    </row>
    <row r="4236" spans="2:4" x14ac:dyDescent="0.25">
      <c r="B4236" s="89">
        <v>4232</v>
      </c>
      <c r="C4236" s="39">
        <f t="shared" si="133"/>
        <v>157992929.59999999</v>
      </c>
      <c r="D4236" s="39">
        <f t="shared" si="132"/>
        <v>139770264</v>
      </c>
    </row>
    <row r="4237" spans="2:4" x14ac:dyDescent="0.25">
      <c r="B4237" s="89">
        <v>4233</v>
      </c>
      <c r="C4237" s="39">
        <f t="shared" si="133"/>
        <v>157992929.59999999</v>
      </c>
      <c r="D4237" s="39">
        <f t="shared" si="132"/>
        <v>139803291</v>
      </c>
    </row>
    <row r="4238" spans="2:4" x14ac:dyDescent="0.25">
      <c r="B4238" s="89">
        <v>4234</v>
      </c>
      <c r="C4238" s="39">
        <f t="shared" si="133"/>
        <v>157992929.59999999</v>
      </c>
      <c r="D4238" s="39">
        <f t="shared" si="132"/>
        <v>139836318</v>
      </c>
    </row>
    <row r="4239" spans="2:4" x14ac:dyDescent="0.25">
      <c r="B4239" s="89">
        <v>4235</v>
      </c>
      <c r="C4239" s="39">
        <f t="shared" si="133"/>
        <v>157992929.59999999</v>
      </c>
      <c r="D4239" s="39">
        <f t="shared" si="132"/>
        <v>139869345</v>
      </c>
    </row>
    <row r="4240" spans="2:4" x14ac:dyDescent="0.25">
      <c r="B4240" s="89">
        <v>4236</v>
      </c>
      <c r="C4240" s="39">
        <f t="shared" si="133"/>
        <v>157992929.59999999</v>
      </c>
      <c r="D4240" s="39">
        <f t="shared" si="132"/>
        <v>139902372</v>
      </c>
    </row>
    <row r="4241" spans="2:4" x14ac:dyDescent="0.25">
      <c r="B4241" s="89">
        <v>4237</v>
      </c>
      <c r="C4241" s="39">
        <f t="shared" si="133"/>
        <v>157992929.59999999</v>
      </c>
      <c r="D4241" s="39">
        <f t="shared" si="132"/>
        <v>139935399</v>
      </c>
    </row>
    <row r="4242" spans="2:4" x14ac:dyDescent="0.25">
      <c r="B4242" s="89">
        <v>4238</v>
      </c>
      <c r="C4242" s="39">
        <f t="shared" si="133"/>
        <v>157992929.59999999</v>
      </c>
      <c r="D4242" s="39">
        <f t="shared" si="132"/>
        <v>139968426</v>
      </c>
    </row>
    <row r="4243" spans="2:4" x14ac:dyDescent="0.25">
      <c r="B4243" s="89">
        <v>4239</v>
      </c>
      <c r="C4243" s="39">
        <f t="shared" si="133"/>
        <v>157992929.59999999</v>
      </c>
      <c r="D4243" s="39">
        <f t="shared" si="132"/>
        <v>140001453</v>
      </c>
    </row>
    <row r="4244" spans="2:4" x14ac:dyDescent="0.25">
      <c r="B4244" s="89">
        <v>4240</v>
      </c>
      <c r="C4244" s="39">
        <f t="shared" si="133"/>
        <v>157992929.59999999</v>
      </c>
      <c r="D4244" s="39">
        <f t="shared" si="132"/>
        <v>140034480</v>
      </c>
    </row>
    <row r="4245" spans="2:4" x14ac:dyDescent="0.25">
      <c r="B4245" s="89">
        <v>4241</v>
      </c>
      <c r="C4245" s="39">
        <f t="shared" si="133"/>
        <v>157992929.59999999</v>
      </c>
      <c r="D4245" s="39">
        <f t="shared" si="132"/>
        <v>140067507</v>
      </c>
    </row>
    <row r="4246" spans="2:4" x14ac:dyDescent="0.25">
      <c r="B4246" s="89">
        <v>4242</v>
      </c>
      <c r="C4246" s="39">
        <f t="shared" si="133"/>
        <v>157992929.59999999</v>
      </c>
      <c r="D4246" s="39">
        <f t="shared" si="132"/>
        <v>140100534</v>
      </c>
    </row>
    <row r="4247" spans="2:4" x14ac:dyDescent="0.25">
      <c r="B4247" s="89">
        <v>4243</v>
      </c>
      <c r="C4247" s="39">
        <f t="shared" si="133"/>
        <v>157992929.59999999</v>
      </c>
      <c r="D4247" s="39">
        <f t="shared" si="132"/>
        <v>140133561</v>
      </c>
    </row>
    <row r="4248" spans="2:4" x14ac:dyDescent="0.25">
      <c r="B4248" s="89">
        <v>4244</v>
      </c>
      <c r="C4248" s="39">
        <f t="shared" si="133"/>
        <v>157992929.59999999</v>
      </c>
      <c r="D4248" s="39">
        <f t="shared" si="132"/>
        <v>140166588</v>
      </c>
    </row>
    <row r="4249" spans="2:4" x14ac:dyDescent="0.25">
      <c r="B4249" s="89">
        <v>4245</v>
      </c>
      <c r="C4249" s="39">
        <f t="shared" si="133"/>
        <v>157992929.59999999</v>
      </c>
      <c r="D4249" s="39">
        <f t="shared" si="132"/>
        <v>140199615</v>
      </c>
    </row>
    <row r="4250" spans="2:4" x14ac:dyDescent="0.25">
      <c r="B4250" s="89">
        <v>4246</v>
      </c>
      <c r="C4250" s="39">
        <f t="shared" si="133"/>
        <v>157992929.59999999</v>
      </c>
      <c r="D4250" s="39">
        <f t="shared" si="132"/>
        <v>140232642</v>
      </c>
    </row>
    <row r="4251" spans="2:4" x14ac:dyDescent="0.25">
      <c r="B4251" s="89">
        <v>4247</v>
      </c>
      <c r="C4251" s="39">
        <f t="shared" si="133"/>
        <v>157992929.59999999</v>
      </c>
      <c r="D4251" s="39">
        <f t="shared" si="132"/>
        <v>140265669</v>
      </c>
    </row>
    <row r="4252" spans="2:4" x14ac:dyDescent="0.25">
      <c r="B4252" s="89">
        <v>4248</v>
      </c>
      <c r="C4252" s="39">
        <f t="shared" si="133"/>
        <v>157992929.59999999</v>
      </c>
      <c r="D4252" s="39">
        <f t="shared" si="132"/>
        <v>140298696</v>
      </c>
    </row>
    <row r="4253" spans="2:4" x14ac:dyDescent="0.25">
      <c r="B4253" s="89">
        <v>4249</v>
      </c>
      <c r="C4253" s="39">
        <f t="shared" si="133"/>
        <v>157992929.59999999</v>
      </c>
      <c r="D4253" s="39">
        <f t="shared" si="132"/>
        <v>140331723</v>
      </c>
    </row>
    <row r="4254" spans="2:4" x14ac:dyDescent="0.25">
      <c r="B4254" s="89">
        <v>4250</v>
      </c>
      <c r="C4254" s="39">
        <f t="shared" si="133"/>
        <v>157992929.59999999</v>
      </c>
      <c r="D4254" s="39">
        <f t="shared" si="132"/>
        <v>140364750</v>
      </c>
    </row>
    <row r="4255" spans="2:4" x14ac:dyDescent="0.25">
      <c r="B4255" s="89">
        <v>4251</v>
      </c>
      <c r="C4255" s="39">
        <f t="shared" si="133"/>
        <v>157992929.59999999</v>
      </c>
      <c r="D4255" s="39">
        <f t="shared" si="132"/>
        <v>140397777</v>
      </c>
    </row>
    <row r="4256" spans="2:4" x14ac:dyDescent="0.25">
      <c r="B4256" s="89">
        <v>4252</v>
      </c>
      <c r="C4256" s="39">
        <f t="shared" si="133"/>
        <v>157992929.59999999</v>
      </c>
      <c r="D4256" s="39">
        <f t="shared" si="132"/>
        <v>140430804</v>
      </c>
    </row>
    <row r="4257" spans="2:4" x14ac:dyDescent="0.25">
      <c r="B4257" s="89">
        <v>4253</v>
      </c>
      <c r="C4257" s="39">
        <f t="shared" si="133"/>
        <v>157992929.59999999</v>
      </c>
      <c r="D4257" s="39">
        <f t="shared" si="132"/>
        <v>140463831</v>
      </c>
    </row>
    <row r="4258" spans="2:4" x14ac:dyDescent="0.25">
      <c r="B4258" s="89">
        <v>4254</v>
      </c>
      <c r="C4258" s="39">
        <f t="shared" si="133"/>
        <v>157992929.59999999</v>
      </c>
      <c r="D4258" s="39">
        <f t="shared" si="132"/>
        <v>140496858</v>
      </c>
    </row>
    <row r="4259" spans="2:4" x14ac:dyDescent="0.25">
      <c r="B4259" s="89">
        <v>4255</v>
      </c>
      <c r="C4259" s="39">
        <f t="shared" si="133"/>
        <v>157992929.59999999</v>
      </c>
      <c r="D4259" s="39">
        <f t="shared" si="132"/>
        <v>140529885</v>
      </c>
    </row>
    <row r="4260" spans="2:4" x14ac:dyDescent="0.25">
      <c r="B4260" s="89">
        <v>4256</v>
      </c>
      <c r="C4260" s="39">
        <f t="shared" si="133"/>
        <v>157992929.59999999</v>
      </c>
      <c r="D4260" s="39">
        <f t="shared" si="132"/>
        <v>140562912</v>
      </c>
    </row>
    <row r="4261" spans="2:4" x14ac:dyDescent="0.25">
      <c r="B4261" s="89">
        <v>4257</v>
      </c>
      <c r="C4261" s="39">
        <f t="shared" si="133"/>
        <v>157992929.59999999</v>
      </c>
      <c r="D4261" s="39">
        <f t="shared" si="132"/>
        <v>140595939</v>
      </c>
    </row>
    <row r="4262" spans="2:4" x14ac:dyDescent="0.25">
      <c r="B4262" s="89">
        <v>4258</v>
      </c>
      <c r="C4262" s="39">
        <f t="shared" si="133"/>
        <v>157992929.59999999</v>
      </c>
      <c r="D4262" s="39">
        <f t="shared" si="132"/>
        <v>140628966</v>
      </c>
    </row>
    <row r="4263" spans="2:4" x14ac:dyDescent="0.25">
      <c r="B4263" s="89">
        <v>4259</v>
      </c>
      <c r="C4263" s="39">
        <f t="shared" si="133"/>
        <v>157992929.59999999</v>
      </c>
      <c r="D4263" s="39">
        <f t="shared" si="132"/>
        <v>140661993</v>
      </c>
    </row>
    <row r="4264" spans="2:4" x14ac:dyDescent="0.25">
      <c r="B4264" s="89">
        <v>4260</v>
      </c>
      <c r="C4264" s="39">
        <f t="shared" si="133"/>
        <v>157992929.59999999</v>
      </c>
      <c r="D4264" s="39">
        <f t="shared" si="132"/>
        <v>140695020</v>
      </c>
    </row>
    <row r="4265" spans="2:4" x14ac:dyDescent="0.25">
      <c r="B4265" s="89">
        <v>4261</v>
      </c>
      <c r="C4265" s="39">
        <f t="shared" si="133"/>
        <v>157992929.59999999</v>
      </c>
      <c r="D4265" s="39">
        <f t="shared" si="132"/>
        <v>140728047</v>
      </c>
    </row>
    <row r="4266" spans="2:4" x14ac:dyDescent="0.25">
      <c r="B4266" s="89">
        <v>4262</v>
      </c>
      <c r="C4266" s="39">
        <f t="shared" si="133"/>
        <v>157992929.59999999</v>
      </c>
      <c r="D4266" s="39">
        <f t="shared" si="132"/>
        <v>140761074</v>
      </c>
    </row>
    <row r="4267" spans="2:4" x14ac:dyDescent="0.25">
      <c r="B4267" s="89">
        <v>4263</v>
      </c>
      <c r="C4267" s="39">
        <f t="shared" si="133"/>
        <v>157992929.59999999</v>
      </c>
      <c r="D4267" s="39">
        <f t="shared" si="132"/>
        <v>140794101</v>
      </c>
    </row>
    <row r="4268" spans="2:4" x14ac:dyDescent="0.25">
      <c r="B4268" s="89">
        <v>4264</v>
      </c>
      <c r="C4268" s="39">
        <f t="shared" si="133"/>
        <v>157992929.59999999</v>
      </c>
      <c r="D4268" s="39">
        <f t="shared" si="132"/>
        <v>140827128</v>
      </c>
    </row>
    <row r="4269" spans="2:4" x14ac:dyDescent="0.25">
      <c r="B4269" s="89">
        <v>4265</v>
      </c>
      <c r="C4269" s="39">
        <f t="shared" si="133"/>
        <v>157992929.59999999</v>
      </c>
      <c r="D4269" s="39">
        <f t="shared" si="132"/>
        <v>140860155</v>
      </c>
    </row>
    <row r="4270" spans="2:4" x14ac:dyDescent="0.25">
      <c r="B4270" s="89">
        <v>4266</v>
      </c>
      <c r="C4270" s="39">
        <f t="shared" si="133"/>
        <v>157992929.59999999</v>
      </c>
      <c r="D4270" s="39">
        <f t="shared" si="132"/>
        <v>140893182</v>
      </c>
    </row>
    <row r="4271" spans="2:4" x14ac:dyDescent="0.25">
      <c r="B4271" s="89">
        <v>4267</v>
      </c>
      <c r="C4271" s="39">
        <f t="shared" si="133"/>
        <v>157992929.59999999</v>
      </c>
      <c r="D4271" s="39">
        <f t="shared" si="132"/>
        <v>140926209</v>
      </c>
    </row>
    <row r="4272" spans="2:4" x14ac:dyDescent="0.25">
      <c r="B4272" s="89">
        <v>4268</v>
      </c>
      <c r="C4272" s="39">
        <f t="shared" si="133"/>
        <v>157992929.59999999</v>
      </c>
      <c r="D4272" s="39">
        <f t="shared" si="132"/>
        <v>140959236</v>
      </c>
    </row>
    <row r="4273" spans="2:4" x14ac:dyDescent="0.25">
      <c r="B4273" s="89">
        <v>4269</v>
      </c>
      <c r="C4273" s="39">
        <f t="shared" si="133"/>
        <v>157992929.59999999</v>
      </c>
      <c r="D4273" s="39">
        <f t="shared" ref="D4273:D4336" si="134">$D$2*B4273</f>
        <v>140992263</v>
      </c>
    </row>
    <row r="4274" spans="2:4" x14ac:dyDescent="0.25">
      <c r="B4274" s="89">
        <v>4270</v>
      </c>
      <c r="C4274" s="39">
        <f t="shared" si="133"/>
        <v>157992929.59999999</v>
      </c>
      <c r="D4274" s="39">
        <f t="shared" si="134"/>
        <v>141025290</v>
      </c>
    </row>
    <row r="4275" spans="2:4" x14ac:dyDescent="0.25">
      <c r="B4275" s="89">
        <v>4271</v>
      </c>
      <c r="C4275" s="39">
        <f t="shared" si="133"/>
        <v>157992929.59999999</v>
      </c>
      <c r="D4275" s="39">
        <f t="shared" si="134"/>
        <v>141058317</v>
      </c>
    </row>
    <row r="4276" spans="2:4" x14ac:dyDescent="0.25">
      <c r="B4276" s="89">
        <v>4272</v>
      </c>
      <c r="C4276" s="39">
        <f t="shared" si="133"/>
        <v>157992929.59999999</v>
      </c>
      <c r="D4276" s="39">
        <f t="shared" si="134"/>
        <v>141091344</v>
      </c>
    </row>
    <row r="4277" spans="2:4" x14ac:dyDescent="0.25">
      <c r="B4277" s="89">
        <v>4273</v>
      </c>
      <c r="C4277" s="39">
        <f t="shared" si="133"/>
        <v>157992929.59999999</v>
      </c>
      <c r="D4277" s="39">
        <f t="shared" si="134"/>
        <v>141124371</v>
      </c>
    </row>
    <row r="4278" spans="2:4" x14ac:dyDescent="0.25">
      <c r="B4278" s="89">
        <v>4274</v>
      </c>
      <c r="C4278" s="39">
        <f t="shared" si="133"/>
        <v>157992929.59999999</v>
      </c>
      <c r="D4278" s="39">
        <f t="shared" si="134"/>
        <v>141157398</v>
      </c>
    </row>
    <row r="4279" spans="2:4" x14ac:dyDescent="0.25">
      <c r="B4279" s="89">
        <v>4275</v>
      </c>
      <c r="C4279" s="39">
        <f t="shared" si="133"/>
        <v>157992929.59999999</v>
      </c>
      <c r="D4279" s="39">
        <f t="shared" si="134"/>
        <v>141190425</v>
      </c>
    </row>
    <row r="4280" spans="2:4" x14ac:dyDescent="0.25">
      <c r="B4280" s="89">
        <v>4276</v>
      </c>
      <c r="C4280" s="39">
        <f t="shared" si="133"/>
        <v>157992929.59999999</v>
      </c>
      <c r="D4280" s="39">
        <f t="shared" si="134"/>
        <v>141223452</v>
      </c>
    </row>
    <row r="4281" spans="2:4" x14ac:dyDescent="0.25">
      <c r="B4281" s="89">
        <v>4277</v>
      </c>
      <c r="C4281" s="39">
        <f t="shared" si="133"/>
        <v>157992929.59999999</v>
      </c>
      <c r="D4281" s="39">
        <f t="shared" si="134"/>
        <v>141256479</v>
      </c>
    </row>
    <row r="4282" spans="2:4" x14ac:dyDescent="0.25">
      <c r="B4282" s="89">
        <v>4278</v>
      </c>
      <c r="C4282" s="39">
        <f t="shared" si="133"/>
        <v>157992929.59999999</v>
      </c>
      <c r="D4282" s="39">
        <f t="shared" si="134"/>
        <v>141289506</v>
      </c>
    </row>
    <row r="4283" spans="2:4" x14ac:dyDescent="0.25">
      <c r="B4283" s="89">
        <v>4279</v>
      </c>
      <c r="C4283" s="39">
        <f t="shared" si="133"/>
        <v>157992929.59999999</v>
      </c>
      <c r="D4283" s="39">
        <f t="shared" si="134"/>
        <v>141322533</v>
      </c>
    </row>
    <row r="4284" spans="2:4" x14ac:dyDescent="0.25">
      <c r="B4284" s="89">
        <v>4280</v>
      </c>
      <c r="C4284" s="39">
        <f t="shared" si="133"/>
        <v>157992929.59999999</v>
      </c>
      <c r="D4284" s="39">
        <f t="shared" si="134"/>
        <v>141355560</v>
      </c>
    </row>
    <row r="4285" spans="2:4" x14ac:dyDescent="0.25">
      <c r="B4285" s="89">
        <v>4281</v>
      </c>
      <c r="C4285" s="39">
        <f t="shared" si="133"/>
        <v>157992929.59999999</v>
      </c>
      <c r="D4285" s="39">
        <f t="shared" si="134"/>
        <v>141388587</v>
      </c>
    </row>
    <row r="4286" spans="2:4" x14ac:dyDescent="0.25">
      <c r="B4286" s="89">
        <v>4282</v>
      </c>
      <c r="C4286" s="39">
        <f t="shared" si="133"/>
        <v>157992929.59999999</v>
      </c>
      <c r="D4286" s="39">
        <f t="shared" si="134"/>
        <v>141421614</v>
      </c>
    </row>
    <row r="4287" spans="2:4" x14ac:dyDescent="0.25">
      <c r="B4287" s="89">
        <v>4283</v>
      </c>
      <c r="C4287" s="39">
        <f t="shared" si="133"/>
        <v>157992929.59999999</v>
      </c>
      <c r="D4287" s="39">
        <f t="shared" si="134"/>
        <v>141454641</v>
      </c>
    </row>
    <row r="4288" spans="2:4" x14ac:dyDescent="0.25">
      <c r="B4288" s="89">
        <v>4284</v>
      </c>
      <c r="C4288" s="39">
        <f t="shared" si="133"/>
        <v>157992929.59999999</v>
      </c>
      <c r="D4288" s="39">
        <f t="shared" si="134"/>
        <v>141487668</v>
      </c>
    </row>
    <row r="4289" spans="2:4" x14ac:dyDescent="0.25">
      <c r="B4289" s="89">
        <v>4285</v>
      </c>
      <c r="C4289" s="39">
        <f t="shared" si="133"/>
        <v>157992929.59999999</v>
      </c>
      <c r="D4289" s="39">
        <f t="shared" si="134"/>
        <v>141520695</v>
      </c>
    </row>
    <row r="4290" spans="2:4" x14ac:dyDescent="0.25">
      <c r="B4290" s="89">
        <v>4286</v>
      </c>
      <c r="C4290" s="39">
        <f t="shared" si="133"/>
        <v>157992929.59999999</v>
      </c>
      <c r="D4290" s="39">
        <f t="shared" si="134"/>
        <v>141553722</v>
      </c>
    </row>
    <row r="4291" spans="2:4" x14ac:dyDescent="0.25">
      <c r="B4291" s="89">
        <v>4287</v>
      </c>
      <c r="C4291" s="39">
        <f t="shared" si="133"/>
        <v>157992929.59999999</v>
      </c>
      <c r="D4291" s="39">
        <f t="shared" si="134"/>
        <v>141586749</v>
      </c>
    </row>
    <row r="4292" spans="2:4" x14ac:dyDescent="0.25">
      <c r="B4292" s="89">
        <v>4288</v>
      </c>
      <c r="C4292" s="39">
        <f t="shared" si="133"/>
        <v>157992929.59999999</v>
      </c>
      <c r="D4292" s="39">
        <f t="shared" si="134"/>
        <v>141619776</v>
      </c>
    </row>
    <row r="4293" spans="2:4" x14ac:dyDescent="0.25">
      <c r="B4293" s="89">
        <v>4289</v>
      </c>
      <c r="C4293" s="39">
        <f t="shared" si="133"/>
        <v>157992929.59999999</v>
      </c>
      <c r="D4293" s="39">
        <f t="shared" si="134"/>
        <v>141652803</v>
      </c>
    </row>
    <row r="4294" spans="2:4" x14ac:dyDescent="0.25">
      <c r="B4294" s="89">
        <v>4290</v>
      </c>
      <c r="C4294" s="39">
        <f t="shared" ref="C4294:C4357" si="135">$C4293</f>
        <v>157992929.59999999</v>
      </c>
      <c r="D4294" s="39">
        <f t="shared" si="134"/>
        <v>141685830</v>
      </c>
    </row>
    <row r="4295" spans="2:4" x14ac:dyDescent="0.25">
      <c r="B4295" s="89">
        <v>4291</v>
      </c>
      <c r="C4295" s="39">
        <f t="shared" si="135"/>
        <v>157992929.59999999</v>
      </c>
      <c r="D4295" s="39">
        <f t="shared" si="134"/>
        <v>141718857</v>
      </c>
    </row>
    <row r="4296" spans="2:4" x14ac:dyDescent="0.25">
      <c r="B4296" s="89">
        <v>4292</v>
      </c>
      <c r="C4296" s="39">
        <f t="shared" si="135"/>
        <v>157992929.59999999</v>
      </c>
      <c r="D4296" s="39">
        <f t="shared" si="134"/>
        <v>141751884</v>
      </c>
    </row>
    <row r="4297" spans="2:4" x14ac:dyDescent="0.25">
      <c r="B4297" s="89">
        <v>4293</v>
      </c>
      <c r="C4297" s="39">
        <f t="shared" si="135"/>
        <v>157992929.59999999</v>
      </c>
      <c r="D4297" s="39">
        <f t="shared" si="134"/>
        <v>141784911</v>
      </c>
    </row>
    <row r="4298" spans="2:4" x14ac:dyDescent="0.25">
      <c r="B4298" s="89">
        <v>4294</v>
      </c>
      <c r="C4298" s="39">
        <f t="shared" si="135"/>
        <v>157992929.59999999</v>
      </c>
      <c r="D4298" s="39">
        <f t="shared" si="134"/>
        <v>141817938</v>
      </c>
    </row>
    <row r="4299" spans="2:4" x14ac:dyDescent="0.25">
      <c r="B4299" s="89">
        <v>4295</v>
      </c>
      <c r="C4299" s="39">
        <f t="shared" si="135"/>
        <v>157992929.59999999</v>
      </c>
      <c r="D4299" s="39">
        <f t="shared" si="134"/>
        <v>141850965</v>
      </c>
    </row>
    <row r="4300" spans="2:4" x14ac:dyDescent="0.25">
      <c r="B4300" s="89">
        <v>4296</v>
      </c>
      <c r="C4300" s="39">
        <f t="shared" si="135"/>
        <v>157992929.59999999</v>
      </c>
      <c r="D4300" s="39">
        <f t="shared" si="134"/>
        <v>141883992</v>
      </c>
    </row>
    <row r="4301" spans="2:4" x14ac:dyDescent="0.25">
      <c r="B4301" s="89">
        <v>4297</v>
      </c>
      <c r="C4301" s="39">
        <f t="shared" si="135"/>
        <v>157992929.59999999</v>
      </c>
      <c r="D4301" s="39">
        <f t="shared" si="134"/>
        <v>141917019</v>
      </c>
    </row>
    <row r="4302" spans="2:4" x14ac:dyDescent="0.25">
      <c r="B4302" s="89">
        <v>4298</v>
      </c>
      <c r="C4302" s="39">
        <f t="shared" si="135"/>
        <v>157992929.59999999</v>
      </c>
      <c r="D4302" s="39">
        <f t="shared" si="134"/>
        <v>141950046</v>
      </c>
    </row>
    <row r="4303" spans="2:4" x14ac:dyDescent="0.25">
      <c r="B4303" s="89">
        <v>4299</v>
      </c>
      <c r="C4303" s="39">
        <f t="shared" si="135"/>
        <v>157992929.59999999</v>
      </c>
      <c r="D4303" s="39">
        <f t="shared" si="134"/>
        <v>141983073</v>
      </c>
    </row>
    <row r="4304" spans="2:4" x14ac:dyDescent="0.25">
      <c r="B4304" s="89">
        <v>4300</v>
      </c>
      <c r="C4304" s="39">
        <f t="shared" si="135"/>
        <v>157992929.59999999</v>
      </c>
      <c r="D4304" s="39">
        <f t="shared" si="134"/>
        <v>142016100</v>
      </c>
    </row>
    <row r="4305" spans="2:4" x14ac:dyDescent="0.25">
      <c r="B4305" s="89">
        <v>4301</v>
      </c>
      <c r="C4305" s="39">
        <f t="shared" si="135"/>
        <v>157992929.59999999</v>
      </c>
      <c r="D4305" s="39">
        <f t="shared" si="134"/>
        <v>142049127</v>
      </c>
    </row>
    <row r="4306" spans="2:4" x14ac:dyDescent="0.25">
      <c r="B4306" s="89">
        <v>4302</v>
      </c>
      <c r="C4306" s="39">
        <f t="shared" si="135"/>
        <v>157992929.59999999</v>
      </c>
      <c r="D4306" s="39">
        <f t="shared" si="134"/>
        <v>142082154</v>
      </c>
    </row>
    <row r="4307" spans="2:4" x14ac:dyDescent="0.25">
      <c r="B4307" s="89">
        <v>4303</v>
      </c>
      <c r="C4307" s="39">
        <f t="shared" si="135"/>
        <v>157992929.59999999</v>
      </c>
      <c r="D4307" s="39">
        <f t="shared" si="134"/>
        <v>142115181</v>
      </c>
    </row>
    <row r="4308" spans="2:4" x14ac:dyDescent="0.25">
      <c r="B4308" s="89">
        <v>4304</v>
      </c>
      <c r="C4308" s="39">
        <f t="shared" si="135"/>
        <v>157992929.59999999</v>
      </c>
      <c r="D4308" s="39">
        <f t="shared" si="134"/>
        <v>142148208</v>
      </c>
    </row>
    <row r="4309" spans="2:4" x14ac:dyDescent="0.25">
      <c r="B4309" s="89">
        <v>4305</v>
      </c>
      <c r="C4309" s="39">
        <f t="shared" si="135"/>
        <v>157992929.59999999</v>
      </c>
      <c r="D4309" s="39">
        <f t="shared" si="134"/>
        <v>142181235</v>
      </c>
    </row>
    <row r="4310" spans="2:4" x14ac:dyDescent="0.25">
      <c r="B4310" s="89">
        <v>4306</v>
      </c>
      <c r="C4310" s="39">
        <f t="shared" si="135"/>
        <v>157992929.59999999</v>
      </c>
      <c r="D4310" s="39">
        <f t="shared" si="134"/>
        <v>142214262</v>
      </c>
    </row>
    <row r="4311" spans="2:4" x14ac:dyDescent="0.25">
      <c r="B4311" s="89">
        <v>4307</v>
      </c>
      <c r="C4311" s="39">
        <f t="shared" si="135"/>
        <v>157992929.59999999</v>
      </c>
      <c r="D4311" s="39">
        <f t="shared" si="134"/>
        <v>142247289</v>
      </c>
    </row>
    <row r="4312" spans="2:4" x14ac:dyDescent="0.25">
      <c r="B4312" s="89">
        <v>4308</v>
      </c>
      <c r="C4312" s="39">
        <f t="shared" si="135"/>
        <v>157992929.59999999</v>
      </c>
      <c r="D4312" s="39">
        <f t="shared" si="134"/>
        <v>142280316</v>
      </c>
    </row>
    <row r="4313" spans="2:4" x14ac:dyDescent="0.25">
      <c r="B4313" s="89">
        <v>4309</v>
      </c>
      <c r="C4313" s="39">
        <f t="shared" si="135"/>
        <v>157992929.59999999</v>
      </c>
      <c r="D4313" s="39">
        <f t="shared" si="134"/>
        <v>142313343</v>
      </c>
    </row>
    <row r="4314" spans="2:4" x14ac:dyDescent="0.25">
      <c r="B4314" s="89">
        <v>4310</v>
      </c>
      <c r="C4314" s="39">
        <f t="shared" si="135"/>
        <v>157992929.59999999</v>
      </c>
      <c r="D4314" s="39">
        <f t="shared" si="134"/>
        <v>142346370</v>
      </c>
    </row>
    <row r="4315" spans="2:4" x14ac:dyDescent="0.25">
      <c r="B4315" s="89">
        <v>4311</v>
      </c>
      <c r="C4315" s="39">
        <f t="shared" si="135"/>
        <v>157992929.59999999</v>
      </c>
      <c r="D4315" s="39">
        <f t="shared" si="134"/>
        <v>142379397</v>
      </c>
    </row>
    <row r="4316" spans="2:4" x14ac:dyDescent="0.25">
      <c r="B4316" s="89">
        <v>4312</v>
      </c>
      <c r="C4316" s="39">
        <f t="shared" si="135"/>
        <v>157992929.59999999</v>
      </c>
      <c r="D4316" s="39">
        <f t="shared" si="134"/>
        <v>142412424</v>
      </c>
    </row>
    <row r="4317" spans="2:4" x14ac:dyDescent="0.25">
      <c r="B4317" s="89">
        <v>4313</v>
      </c>
      <c r="C4317" s="39">
        <f t="shared" si="135"/>
        <v>157992929.59999999</v>
      </c>
      <c r="D4317" s="39">
        <f t="shared" si="134"/>
        <v>142445451</v>
      </c>
    </row>
    <row r="4318" spans="2:4" x14ac:dyDescent="0.25">
      <c r="B4318" s="89">
        <v>4314</v>
      </c>
      <c r="C4318" s="39">
        <f t="shared" si="135"/>
        <v>157992929.59999999</v>
      </c>
      <c r="D4318" s="39">
        <f t="shared" si="134"/>
        <v>142478478</v>
      </c>
    </row>
    <row r="4319" spans="2:4" x14ac:dyDescent="0.25">
      <c r="B4319" s="89">
        <v>4315</v>
      </c>
      <c r="C4319" s="39">
        <f t="shared" si="135"/>
        <v>157992929.59999999</v>
      </c>
      <c r="D4319" s="39">
        <f t="shared" si="134"/>
        <v>142511505</v>
      </c>
    </row>
    <row r="4320" spans="2:4" x14ac:dyDescent="0.25">
      <c r="B4320" s="89">
        <v>4316</v>
      </c>
      <c r="C4320" s="39">
        <f t="shared" si="135"/>
        <v>157992929.59999999</v>
      </c>
      <c r="D4320" s="39">
        <f t="shared" si="134"/>
        <v>142544532</v>
      </c>
    </row>
    <row r="4321" spans="2:4" x14ac:dyDescent="0.25">
      <c r="B4321" s="89">
        <v>4317</v>
      </c>
      <c r="C4321" s="39">
        <f t="shared" si="135"/>
        <v>157992929.59999999</v>
      </c>
      <c r="D4321" s="39">
        <f t="shared" si="134"/>
        <v>142577559</v>
      </c>
    </row>
    <row r="4322" spans="2:4" x14ac:dyDescent="0.25">
      <c r="B4322" s="89">
        <v>4318</v>
      </c>
      <c r="C4322" s="39">
        <f t="shared" si="135"/>
        <v>157992929.59999999</v>
      </c>
      <c r="D4322" s="39">
        <f t="shared" si="134"/>
        <v>142610586</v>
      </c>
    </row>
    <row r="4323" spans="2:4" x14ac:dyDescent="0.25">
      <c r="B4323" s="89">
        <v>4319</v>
      </c>
      <c r="C4323" s="39">
        <f t="shared" si="135"/>
        <v>157992929.59999999</v>
      </c>
      <c r="D4323" s="39">
        <f t="shared" si="134"/>
        <v>142643613</v>
      </c>
    </row>
    <row r="4324" spans="2:4" x14ac:dyDescent="0.25">
      <c r="B4324" s="89">
        <v>4320</v>
      </c>
      <c r="C4324" s="39">
        <f t="shared" si="135"/>
        <v>157992929.59999999</v>
      </c>
      <c r="D4324" s="39">
        <f t="shared" si="134"/>
        <v>142676640</v>
      </c>
    </row>
    <row r="4325" spans="2:4" x14ac:dyDescent="0.25">
      <c r="B4325" s="89">
        <v>4321</v>
      </c>
      <c r="C4325" s="39">
        <f t="shared" si="135"/>
        <v>157992929.59999999</v>
      </c>
      <c r="D4325" s="39">
        <f t="shared" si="134"/>
        <v>142709667</v>
      </c>
    </row>
    <row r="4326" spans="2:4" x14ac:dyDescent="0.25">
      <c r="B4326" s="89">
        <v>4322</v>
      </c>
      <c r="C4326" s="39">
        <f t="shared" si="135"/>
        <v>157992929.59999999</v>
      </c>
      <c r="D4326" s="39">
        <f t="shared" si="134"/>
        <v>142742694</v>
      </c>
    </row>
    <row r="4327" spans="2:4" x14ac:dyDescent="0.25">
      <c r="B4327" s="89">
        <v>4323</v>
      </c>
      <c r="C4327" s="39">
        <f t="shared" si="135"/>
        <v>157992929.59999999</v>
      </c>
      <c r="D4327" s="39">
        <f t="shared" si="134"/>
        <v>142775721</v>
      </c>
    </row>
    <row r="4328" spans="2:4" x14ac:dyDescent="0.25">
      <c r="B4328" s="89">
        <v>4324</v>
      </c>
      <c r="C4328" s="39">
        <f t="shared" si="135"/>
        <v>157992929.59999999</v>
      </c>
      <c r="D4328" s="39">
        <f t="shared" si="134"/>
        <v>142808748</v>
      </c>
    </row>
    <row r="4329" spans="2:4" x14ac:dyDescent="0.25">
      <c r="B4329" s="89">
        <v>4325</v>
      </c>
      <c r="C4329" s="39">
        <f t="shared" si="135"/>
        <v>157992929.59999999</v>
      </c>
      <c r="D4329" s="39">
        <f t="shared" si="134"/>
        <v>142841775</v>
      </c>
    </row>
    <row r="4330" spans="2:4" x14ac:dyDescent="0.25">
      <c r="B4330" s="89">
        <v>4326</v>
      </c>
      <c r="C4330" s="39">
        <f t="shared" si="135"/>
        <v>157992929.59999999</v>
      </c>
      <c r="D4330" s="39">
        <f t="shared" si="134"/>
        <v>142874802</v>
      </c>
    </row>
    <row r="4331" spans="2:4" x14ac:dyDescent="0.25">
      <c r="B4331" s="89">
        <v>4327</v>
      </c>
      <c r="C4331" s="39">
        <f t="shared" si="135"/>
        <v>157992929.59999999</v>
      </c>
      <c r="D4331" s="39">
        <f t="shared" si="134"/>
        <v>142907829</v>
      </c>
    </row>
    <row r="4332" spans="2:4" x14ac:dyDescent="0.25">
      <c r="B4332" s="89">
        <v>4328</v>
      </c>
      <c r="C4332" s="39">
        <f t="shared" si="135"/>
        <v>157992929.59999999</v>
      </c>
      <c r="D4332" s="39">
        <f t="shared" si="134"/>
        <v>142940856</v>
      </c>
    </row>
    <row r="4333" spans="2:4" x14ac:dyDescent="0.25">
      <c r="B4333" s="89">
        <v>4329</v>
      </c>
      <c r="C4333" s="39">
        <f t="shared" si="135"/>
        <v>157992929.59999999</v>
      </c>
      <c r="D4333" s="39">
        <f t="shared" si="134"/>
        <v>142973883</v>
      </c>
    </row>
    <row r="4334" spans="2:4" x14ac:dyDescent="0.25">
      <c r="B4334" s="89">
        <v>4330</v>
      </c>
      <c r="C4334" s="39">
        <f t="shared" si="135"/>
        <v>157992929.59999999</v>
      </c>
      <c r="D4334" s="39">
        <f t="shared" si="134"/>
        <v>143006910</v>
      </c>
    </row>
    <row r="4335" spans="2:4" x14ac:dyDescent="0.25">
      <c r="B4335" s="89">
        <v>4331</v>
      </c>
      <c r="C4335" s="39">
        <f t="shared" si="135"/>
        <v>157992929.59999999</v>
      </c>
      <c r="D4335" s="39">
        <f t="shared" si="134"/>
        <v>143039937</v>
      </c>
    </row>
    <row r="4336" spans="2:4" x14ac:dyDescent="0.25">
      <c r="B4336" s="89">
        <v>4332</v>
      </c>
      <c r="C4336" s="39">
        <f t="shared" si="135"/>
        <v>157992929.59999999</v>
      </c>
      <c r="D4336" s="39">
        <f t="shared" si="134"/>
        <v>143072964</v>
      </c>
    </row>
    <row r="4337" spans="2:4" x14ac:dyDescent="0.25">
      <c r="B4337" s="89">
        <v>4333</v>
      </c>
      <c r="C4337" s="39">
        <f t="shared" si="135"/>
        <v>157992929.59999999</v>
      </c>
      <c r="D4337" s="39">
        <f t="shared" ref="D4337:D4400" si="136">$D$2*B4337</f>
        <v>143105991</v>
      </c>
    </row>
    <row r="4338" spans="2:4" x14ac:dyDescent="0.25">
      <c r="B4338" s="89">
        <v>4334</v>
      </c>
      <c r="C4338" s="39">
        <f t="shared" si="135"/>
        <v>157992929.59999999</v>
      </c>
      <c r="D4338" s="39">
        <f t="shared" si="136"/>
        <v>143139018</v>
      </c>
    </row>
    <row r="4339" spans="2:4" x14ac:dyDescent="0.25">
      <c r="B4339" s="89">
        <v>4335</v>
      </c>
      <c r="C4339" s="39">
        <f t="shared" si="135"/>
        <v>157992929.59999999</v>
      </c>
      <c r="D4339" s="39">
        <f t="shared" si="136"/>
        <v>143172045</v>
      </c>
    </row>
    <row r="4340" spans="2:4" x14ac:dyDescent="0.25">
      <c r="B4340" s="89">
        <v>4336</v>
      </c>
      <c r="C4340" s="39">
        <f t="shared" si="135"/>
        <v>157992929.59999999</v>
      </c>
      <c r="D4340" s="39">
        <f t="shared" si="136"/>
        <v>143205072</v>
      </c>
    </row>
    <row r="4341" spans="2:4" x14ac:dyDescent="0.25">
      <c r="B4341" s="89">
        <v>4337</v>
      </c>
      <c r="C4341" s="39">
        <f t="shared" si="135"/>
        <v>157992929.59999999</v>
      </c>
      <c r="D4341" s="39">
        <f t="shared" si="136"/>
        <v>143238099</v>
      </c>
    </row>
    <row r="4342" spans="2:4" x14ac:dyDescent="0.25">
      <c r="B4342" s="89">
        <v>4338</v>
      </c>
      <c r="C4342" s="39">
        <f t="shared" si="135"/>
        <v>157992929.59999999</v>
      </c>
      <c r="D4342" s="39">
        <f t="shared" si="136"/>
        <v>143271126</v>
      </c>
    </row>
    <row r="4343" spans="2:4" x14ac:dyDescent="0.25">
      <c r="B4343" s="89">
        <v>4339</v>
      </c>
      <c r="C4343" s="39">
        <f t="shared" si="135"/>
        <v>157992929.59999999</v>
      </c>
      <c r="D4343" s="39">
        <f t="shared" si="136"/>
        <v>143304153</v>
      </c>
    </row>
    <row r="4344" spans="2:4" x14ac:dyDescent="0.25">
      <c r="B4344" s="89">
        <v>4340</v>
      </c>
      <c r="C4344" s="39">
        <f t="shared" si="135"/>
        <v>157992929.59999999</v>
      </c>
      <c r="D4344" s="39">
        <f t="shared" si="136"/>
        <v>143337180</v>
      </c>
    </row>
    <row r="4345" spans="2:4" x14ac:dyDescent="0.25">
      <c r="B4345" s="89">
        <v>4341</v>
      </c>
      <c r="C4345" s="39">
        <f t="shared" si="135"/>
        <v>157992929.59999999</v>
      </c>
      <c r="D4345" s="39">
        <f t="shared" si="136"/>
        <v>143370207</v>
      </c>
    </row>
    <row r="4346" spans="2:4" x14ac:dyDescent="0.25">
      <c r="B4346" s="89">
        <v>4342</v>
      </c>
      <c r="C4346" s="39">
        <f t="shared" si="135"/>
        <v>157992929.59999999</v>
      </c>
      <c r="D4346" s="39">
        <f t="shared" si="136"/>
        <v>143403234</v>
      </c>
    </row>
    <row r="4347" spans="2:4" x14ac:dyDescent="0.25">
      <c r="B4347" s="89">
        <v>4343</v>
      </c>
      <c r="C4347" s="39">
        <f t="shared" si="135"/>
        <v>157992929.59999999</v>
      </c>
      <c r="D4347" s="39">
        <f t="shared" si="136"/>
        <v>143436261</v>
      </c>
    </row>
    <row r="4348" spans="2:4" x14ac:dyDescent="0.25">
      <c r="B4348" s="89">
        <v>4344</v>
      </c>
      <c r="C4348" s="39">
        <f t="shared" si="135"/>
        <v>157992929.59999999</v>
      </c>
      <c r="D4348" s="39">
        <f t="shared" si="136"/>
        <v>143469288</v>
      </c>
    </row>
    <row r="4349" spans="2:4" x14ac:dyDescent="0.25">
      <c r="B4349" s="89">
        <v>4345</v>
      </c>
      <c r="C4349" s="39">
        <f t="shared" si="135"/>
        <v>157992929.59999999</v>
      </c>
      <c r="D4349" s="39">
        <f t="shared" si="136"/>
        <v>143502315</v>
      </c>
    </row>
    <row r="4350" spans="2:4" x14ac:dyDescent="0.25">
      <c r="B4350" s="89">
        <v>4346</v>
      </c>
      <c r="C4350" s="39">
        <f t="shared" si="135"/>
        <v>157992929.59999999</v>
      </c>
      <c r="D4350" s="39">
        <f t="shared" si="136"/>
        <v>143535342</v>
      </c>
    </row>
    <row r="4351" spans="2:4" x14ac:dyDescent="0.25">
      <c r="B4351" s="89">
        <v>4347</v>
      </c>
      <c r="C4351" s="39">
        <f t="shared" si="135"/>
        <v>157992929.59999999</v>
      </c>
      <c r="D4351" s="39">
        <f t="shared" si="136"/>
        <v>143568369</v>
      </c>
    </row>
    <row r="4352" spans="2:4" x14ac:dyDescent="0.25">
      <c r="B4352" s="89">
        <v>4348</v>
      </c>
      <c r="C4352" s="39">
        <f t="shared" si="135"/>
        <v>157992929.59999999</v>
      </c>
      <c r="D4352" s="39">
        <f t="shared" si="136"/>
        <v>143601396</v>
      </c>
    </row>
    <row r="4353" spans="2:4" x14ac:dyDescent="0.25">
      <c r="B4353" s="89">
        <v>4349</v>
      </c>
      <c r="C4353" s="39">
        <f t="shared" si="135"/>
        <v>157992929.59999999</v>
      </c>
      <c r="D4353" s="39">
        <f t="shared" si="136"/>
        <v>143634423</v>
      </c>
    </row>
    <row r="4354" spans="2:4" x14ac:dyDescent="0.25">
      <c r="B4354" s="89">
        <v>4350</v>
      </c>
      <c r="C4354" s="39">
        <f t="shared" si="135"/>
        <v>157992929.59999999</v>
      </c>
      <c r="D4354" s="39">
        <f t="shared" si="136"/>
        <v>143667450</v>
      </c>
    </row>
    <row r="4355" spans="2:4" x14ac:dyDescent="0.25">
      <c r="B4355" s="89">
        <v>4351</v>
      </c>
      <c r="C4355" s="39">
        <f t="shared" si="135"/>
        <v>157992929.59999999</v>
      </c>
      <c r="D4355" s="39">
        <f t="shared" si="136"/>
        <v>143700477</v>
      </c>
    </row>
    <row r="4356" spans="2:4" x14ac:dyDescent="0.25">
      <c r="B4356" s="89">
        <v>4352</v>
      </c>
      <c r="C4356" s="39">
        <f t="shared" si="135"/>
        <v>157992929.59999999</v>
      </c>
      <c r="D4356" s="39">
        <f t="shared" si="136"/>
        <v>143733504</v>
      </c>
    </row>
    <row r="4357" spans="2:4" x14ac:dyDescent="0.25">
      <c r="B4357" s="89">
        <v>4353</v>
      </c>
      <c r="C4357" s="39">
        <f t="shared" si="135"/>
        <v>157992929.59999999</v>
      </c>
      <c r="D4357" s="39">
        <f t="shared" si="136"/>
        <v>143766531</v>
      </c>
    </row>
    <row r="4358" spans="2:4" x14ac:dyDescent="0.25">
      <c r="B4358" s="89">
        <v>4354</v>
      </c>
      <c r="C4358" s="39">
        <f t="shared" ref="C4358:C4421" si="137">$C4357</f>
        <v>157992929.59999999</v>
      </c>
      <c r="D4358" s="39">
        <f t="shared" si="136"/>
        <v>143799558</v>
      </c>
    </row>
    <row r="4359" spans="2:4" x14ac:dyDescent="0.25">
      <c r="B4359" s="89">
        <v>4355</v>
      </c>
      <c r="C4359" s="39">
        <f t="shared" si="137"/>
        <v>157992929.59999999</v>
      </c>
      <c r="D4359" s="39">
        <f t="shared" si="136"/>
        <v>143832585</v>
      </c>
    </row>
    <row r="4360" spans="2:4" x14ac:dyDescent="0.25">
      <c r="B4360" s="89">
        <v>4356</v>
      </c>
      <c r="C4360" s="39">
        <f t="shared" si="137"/>
        <v>157992929.59999999</v>
      </c>
      <c r="D4360" s="39">
        <f t="shared" si="136"/>
        <v>143865612</v>
      </c>
    </row>
    <row r="4361" spans="2:4" x14ac:dyDescent="0.25">
      <c r="B4361" s="89">
        <v>4357</v>
      </c>
      <c r="C4361" s="39">
        <f t="shared" si="137"/>
        <v>157992929.59999999</v>
      </c>
      <c r="D4361" s="39">
        <f t="shared" si="136"/>
        <v>143898639</v>
      </c>
    </row>
    <row r="4362" spans="2:4" x14ac:dyDescent="0.25">
      <c r="B4362" s="89">
        <v>4358</v>
      </c>
      <c r="C4362" s="39">
        <f t="shared" si="137"/>
        <v>157992929.59999999</v>
      </c>
      <c r="D4362" s="39">
        <f t="shared" si="136"/>
        <v>143931666</v>
      </c>
    </row>
    <row r="4363" spans="2:4" x14ac:dyDescent="0.25">
      <c r="B4363" s="89">
        <v>4359</v>
      </c>
      <c r="C4363" s="39">
        <f t="shared" si="137"/>
        <v>157992929.59999999</v>
      </c>
      <c r="D4363" s="39">
        <f t="shared" si="136"/>
        <v>143964693</v>
      </c>
    </row>
    <row r="4364" spans="2:4" x14ac:dyDescent="0.25">
      <c r="B4364" s="89">
        <v>4360</v>
      </c>
      <c r="C4364" s="39">
        <f t="shared" si="137"/>
        <v>157992929.59999999</v>
      </c>
      <c r="D4364" s="39">
        <f t="shared" si="136"/>
        <v>143997720</v>
      </c>
    </row>
    <row r="4365" spans="2:4" x14ac:dyDescent="0.25">
      <c r="B4365" s="89">
        <v>4361</v>
      </c>
      <c r="C4365" s="39">
        <f t="shared" si="137"/>
        <v>157992929.59999999</v>
      </c>
      <c r="D4365" s="39">
        <f t="shared" si="136"/>
        <v>144030747</v>
      </c>
    </row>
    <row r="4366" spans="2:4" x14ac:dyDescent="0.25">
      <c r="B4366" s="89">
        <v>4362</v>
      </c>
      <c r="C4366" s="39">
        <f t="shared" si="137"/>
        <v>157992929.59999999</v>
      </c>
      <c r="D4366" s="39">
        <f t="shared" si="136"/>
        <v>144063774</v>
      </c>
    </row>
    <row r="4367" spans="2:4" x14ac:dyDescent="0.25">
      <c r="B4367" s="89">
        <v>4363</v>
      </c>
      <c r="C4367" s="39">
        <f t="shared" si="137"/>
        <v>157992929.59999999</v>
      </c>
      <c r="D4367" s="39">
        <f t="shared" si="136"/>
        <v>144096801</v>
      </c>
    </row>
    <row r="4368" spans="2:4" x14ac:dyDescent="0.25">
      <c r="B4368" s="89">
        <v>4364</v>
      </c>
      <c r="C4368" s="39">
        <f t="shared" si="137"/>
        <v>157992929.59999999</v>
      </c>
      <c r="D4368" s="39">
        <f t="shared" si="136"/>
        <v>144129828</v>
      </c>
    </row>
    <row r="4369" spans="2:4" x14ac:dyDescent="0.25">
      <c r="B4369" s="89">
        <v>4365</v>
      </c>
      <c r="C4369" s="39">
        <f t="shared" si="137"/>
        <v>157992929.59999999</v>
      </c>
      <c r="D4369" s="39">
        <f t="shared" si="136"/>
        <v>144162855</v>
      </c>
    </row>
    <row r="4370" spans="2:4" x14ac:dyDescent="0.25">
      <c r="B4370" s="89">
        <v>4366</v>
      </c>
      <c r="C4370" s="39">
        <f t="shared" si="137"/>
        <v>157992929.59999999</v>
      </c>
      <c r="D4370" s="39">
        <f t="shared" si="136"/>
        <v>144195882</v>
      </c>
    </row>
    <row r="4371" spans="2:4" x14ac:dyDescent="0.25">
      <c r="B4371" s="89">
        <v>4367</v>
      </c>
      <c r="C4371" s="39">
        <f t="shared" si="137"/>
        <v>157992929.59999999</v>
      </c>
      <c r="D4371" s="39">
        <f t="shared" si="136"/>
        <v>144228909</v>
      </c>
    </row>
    <row r="4372" spans="2:4" x14ac:dyDescent="0.25">
      <c r="B4372" s="89">
        <v>4368</v>
      </c>
      <c r="C4372" s="39">
        <f t="shared" si="137"/>
        <v>157992929.59999999</v>
      </c>
      <c r="D4372" s="39">
        <f t="shared" si="136"/>
        <v>144261936</v>
      </c>
    </row>
    <row r="4373" spans="2:4" x14ac:dyDescent="0.25">
      <c r="B4373" s="89">
        <v>4369</v>
      </c>
      <c r="C4373" s="39">
        <f t="shared" si="137"/>
        <v>157992929.59999999</v>
      </c>
      <c r="D4373" s="39">
        <f t="shared" si="136"/>
        <v>144294963</v>
      </c>
    </row>
    <row r="4374" spans="2:4" x14ac:dyDescent="0.25">
      <c r="B4374" s="89">
        <v>4370</v>
      </c>
      <c r="C4374" s="39">
        <f t="shared" si="137"/>
        <v>157992929.59999999</v>
      </c>
      <c r="D4374" s="39">
        <f t="shared" si="136"/>
        <v>144327990</v>
      </c>
    </row>
    <row r="4375" spans="2:4" x14ac:dyDescent="0.25">
      <c r="B4375" s="89">
        <v>4371</v>
      </c>
      <c r="C4375" s="39">
        <f t="shared" si="137"/>
        <v>157992929.59999999</v>
      </c>
      <c r="D4375" s="39">
        <f t="shared" si="136"/>
        <v>144361017</v>
      </c>
    </row>
    <row r="4376" spans="2:4" x14ac:dyDescent="0.25">
      <c r="B4376" s="89">
        <v>4372</v>
      </c>
      <c r="C4376" s="39">
        <f t="shared" si="137"/>
        <v>157992929.59999999</v>
      </c>
      <c r="D4376" s="39">
        <f t="shared" si="136"/>
        <v>144394044</v>
      </c>
    </row>
    <row r="4377" spans="2:4" x14ac:dyDescent="0.25">
      <c r="B4377" s="89">
        <v>4373</v>
      </c>
      <c r="C4377" s="39">
        <f t="shared" si="137"/>
        <v>157992929.59999999</v>
      </c>
      <c r="D4377" s="39">
        <f t="shared" si="136"/>
        <v>144427071</v>
      </c>
    </row>
    <row r="4378" spans="2:4" x14ac:dyDescent="0.25">
      <c r="B4378" s="89">
        <v>4374</v>
      </c>
      <c r="C4378" s="39">
        <f t="shared" si="137"/>
        <v>157992929.59999999</v>
      </c>
      <c r="D4378" s="39">
        <f t="shared" si="136"/>
        <v>144460098</v>
      </c>
    </row>
    <row r="4379" spans="2:4" x14ac:dyDescent="0.25">
      <c r="B4379" s="89">
        <v>4375</v>
      </c>
      <c r="C4379" s="39">
        <f t="shared" si="137"/>
        <v>157992929.59999999</v>
      </c>
      <c r="D4379" s="39">
        <f t="shared" si="136"/>
        <v>144493125</v>
      </c>
    </row>
    <row r="4380" spans="2:4" x14ac:dyDescent="0.25">
      <c r="B4380" s="89">
        <v>4376</v>
      </c>
      <c r="C4380" s="39">
        <f t="shared" si="137"/>
        <v>157992929.59999999</v>
      </c>
      <c r="D4380" s="39">
        <f t="shared" si="136"/>
        <v>144526152</v>
      </c>
    </row>
    <row r="4381" spans="2:4" x14ac:dyDescent="0.25">
      <c r="B4381" s="89">
        <v>4377</v>
      </c>
      <c r="C4381" s="39">
        <f t="shared" si="137"/>
        <v>157992929.59999999</v>
      </c>
      <c r="D4381" s="39">
        <f t="shared" si="136"/>
        <v>144559179</v>
      </c>
    </row>
    <row r="4382" spans="2:4" x14ac:dyDescent="0.25">
      <c r="B4382" s="89">
        <v>4378</v>
      </c>
      <c r="C4382" s="39">
        <f t="shared" si="137"/>
        <v>157992929.59999999</v>
      </c>
      <c r="D4382" s="39">
        <f t="shared" si="136"/>
        <v>144592206</v>
      </c>
    </row>
    <row r="4383" spans="2:4" x14ac:dyDescent="0.25">
      <c r="B4383" s="89">
        <v>4379</v>
      </c>
      <c r="C4383" s="39">
        <f t="shared" si="137"/>
        <v>157992929.59999999</v>
      </c>
      <c r="D4383" s="39">
        <f t="shared" si="136"/>
        <v>144625233</v>
      </c>
    </row>
    <row r="4384" spans="2:4" x14ac:dyDescent="0.25">
      <c r="B4384" s="89">
        <v>4380</v>
      </c>
      <c r="C4384" s="39">
        <f t="shared" si="137"/>
        <v>157992929.59999999</v>
      </c>
      <c r="D4384" s="39">
        <f t="shared" si="136"/>
        <v>144658260</v>
      </c>
    </row>
    <row r="4385" spans="2:4" x14ac:dyDescent="0.25">
      <c r="B4385" s="89">
        <v>4381</v>
      </c>
      <c r="C4385" s="39">
        <f t="shared" si="137"/>
        <v>157992929.59999999</v>
      </c>
      <c r="D4385" s="39">
        <f t="shared" si="136"/>
        <v>144691287</v>
      </c>
    </row>
    <row r="4386" spans="2:4" x14ac:dyDescent="0.25">
      <c r="B4386" s="89">
        <v>4382</v>
      </c>
      <c r="C4386" s="39">
        <f t="shared" si="137"/>
        <v>157992929.59999999</v>
      </c>
      <c r="D4386" s="39">
        <f t="shared" si="136"/>
        <v>144724314</v>
      </c>
    </row>
    <row r="4387" spans="2:4" x14ac:dyDescent="0.25">
      <c r="B4387" s="89">
        <v>4383</v>
      </c>
      <c r="C4387" s="39">
        <f t="shared" si="137"/>
        <v>157992929.59999999</v>
      </c>
      <c r="D4387" s="39">
        <f t="shared" si="136"/>
        <v>144757341</v>
      </c>
    </row>
    <row r="4388" spans="2:4" x14ac:dyDescent="0.25">
      <c r="B4388" s="89">
        <v>4384</v>
      </c>
      <c r="C4388" s="39">
        <f t="shared" si="137"/>
        <v>157992929.59999999</v>
      </c>
      <c r="D4388" s="39">
        <f t="shared" si="136"/>
        <v>144790368</v>
      </c>
    </row>
    <row r="4389" spans="2:4" x14ac:dyDescent="0.25">
      <c r="B4389" s="89">
        <v>4385</v>
      </c>
      <c r="C4389" s="39">
        <f t="shared" si="137"/>
        <v>157992929.59999999</v>
      </c>
      <c r="D4389" s="39">
        <f t="shared" si="136"/>
        <v>144823395</v>
      </c>
    </row>
    <row r="4390" spans="2:4" x14ac:dyDescent="0.25">
      <c r="B4390" s="89">
        <v>4386</v>
      </c>
      <c r="C4390" s="39">
        <f t="shared" si="137"/>
        <v>157992929.59999999</v>
      </c>
      <c r="D4390" s="39">
        <f t="shared" si="136"/>
        <v>144856422</v>
      </c>
    </row>
    <row r="4391" spans="2:4" x14ac:dyDescent="0.25">
      <c r="B4391" s="89">
        <v>4387</v>
      </c>
      <c r="C4391" s="39">
        <f t="shared" si="137"/>
        <v>157992929.59999999</v>
      </c>
      <c r="D4391" s="39">
        <f t="shared" si="136"/>
        <v>144889449</v>
      </c>
    </row>
    <row r="4392" spans="2:4" x14ac:dyDescent="0.25">
      <c r="B4392" s="89">
        <v>4388</v>
      </c>
      <c r="C4392" s="39">
        <f t="shared" si="137"/>
        <v>157992929.59999999</v>
      </c>
      <c r="D4392" s="39">
        <f t="shared" si="136"/>
        <v>144922476</v>
      </c>
    </row>
    <row r="4393" spans="2:4" x14ac:dyDescent="0.25">
      <c r="B4393" s="89">
        <v>4389</v>
      </c>
      <c r="C4393" s="39">
        <f t="shared" si="137"/>
        <v>157992929.59999999</v>
      </c>
      <c r="D4393" s="39">
        <f t="shared" si="136"/>
        <v>144955503</v>
      </c>
    </row>
    <row r="4394" spans="2:4" x14ac:dyDescent="0.25">
      <c r="B4394" s="89">
        <v>4390</v>
      </c>
      <c r="C4394" s="39">
        <f t="shared" si="137"/>
        <v>157992929.59999999</v>
      </c>
      <c r="D4394" s="39">
        <f t="shared" si="136"/>
        <v>144988530</v>
      </c>
    </row>
    <row r="4395" spans="2:4" x14ac:dyDescent="0.25">
      <c r="B4395" s="89">
        <v>4391</v>
      </c>
      <c r="C4395" s="39">
        <f t="shared" si="137"/>
        <v>157992929.59999999</v>
      </c>
      <c r="D4395" s="39">
        <f t="shared" si="136"/>
        <v>145021557</v>
      </c>
    </row>
    <row r="4396" spans="2:4" x14ac:dyDescent="0.25">
      <c r="B4396" s="89">
        <v>4392</v>
      </c>
      <c r="C4396" s="39">
        <f t="shared" si="137"/>
        <v>157992929.59999999</v>
      </c>
      <c r="D4396" s="39">
        <f t="shared" si="136"/>
        <v>145054584</v>
      </c>
    </row>
    <row r="4397" spans="2:4" x14ac:dyDescent="0.25">
      <c r="B4397" s="89">
        <v>4393</v>
      </c>
      <c r="C4397" s="39">
        <f t="shared" si="137"/>
        <v>157992929.59999999</v>
      </c>
      <c r="D4397" s="39">
        <f t="shared" si="136"/>
        <v>145087611</v>
      </c>
    </row>
    <row r="4398" spans="2:4" x14ac:dyDescent="0.25">
      <c r="B4398" s="89">
        <v>4394</v>
      </c>
      <c r="C4398" s="39">
        <f t="shared" si="137"/>
        <v>157992929.59999999</v>
      </c>
      <c r="D4398" s="39">
        <f t="shared" si="136"/>
        <v>145120638</v>
      </c>
    </row>
    <row r="4399" spans="2:4" x14ac:dyDescent="0.25">
      <c r="B4399" s="89">
        <v>4395</v>
      </c>
      <c r="C4399" s="39">
        <f t="shared" si="137"/>
        <v>157992929.59999999</v>
      </c>
      <c r="D4399" s="39">
        <f t="shared" si="136"/>
        <v>145153665</v>
      </c>
    </row>
    <row r="4400" spans="2:4" x14ac:dyDescent="0.25">
      <c r="B4400" s="89">
        <v>4396</v>
      </c>
      <c r="C4400" s="39">
        <f t="shared" si="137"/>
        <v>157992929.59999999</v>
      </c>
      <c r="D4400" s="39">
        <f t="shared" si="136"/>
        <v>145186692</v>
      </c>
    </row>
    <row r="4401" spans="2:4" x14ac:dyDescent="0.25">
      <c r="B4401" s="89">
        <v>4397</v>
      </c>
      <c r="C4401" s="39">
        <f t="shared" si="137"/>
        <v>157992929.59999999</v>
      </c>
      <c r="D4401" s="39">
        <f t="shared" ref="D4401:D4464" si="138">$D$2*B4401</f>
        <v>145219719</v>
      </c>
    </row>
    <row r="4402" spans="2:4" x14ac:dyDescent="0.25">
      <c r="B4402" s="89">
        <v>4398</v>
      </c>
      <c r="C4402" s="39">
        <f t="shared" si="137"/>
        <v>157992929.59999999</v>
      </c>
      <c r="D4402" s="39">
        <f t="shared" si="138"/>
        <v>145252746</v>
      </c>
    </row>
    <row r="4403" spans="2:4" x14ac:dyDescent="0.25">
      <c r="B4403" s="89">
        <v>4399</v>
      </c>
      <c r="C4403" s="39">
        <f t="shared" si="137"/>
        <v>157992929.59999999</v>
      </c>
      <c r="D4403" s="39">
        <f t="shared" si="138"/>
        <v>145285773</v>
      </c>
    </row>
    <row r="4404" spans="2:4" x14ac:dyDescent="0.25">
      <c r="B4404" s="89">
        <v>4400</v>
      </c>
      <c r="C4404" s="39">
        <f t="shared" si="137"/>
        <v>157992929.59999999</v>
      </c>
      <c r="D4404" s="39">
        <f t="shared" si="138"/>
        <v>145318800</v>
      </c>
    </row>
    <row r="4405" spans="2:4" x14ac:dyDescent="0.25">
      <c r="B4405" s="89">
        <v>4401</v>
      </c>
      <c r="C4405" s="39">
        <f t="shared" si="137"/>
        <v>157992929.59999999</v>
      </c>
      <c r="D4405" s="39">
        <f t="shared" si="138"/>
        <v>145351827</v>
      </c>
    </row>
    <row r="4406" spans="2:4" x14ac:dyDescent="0.25">
      <c r="B4406" s="89">
        <v>4402</v>
      </c>
      <c r="C4406" s="39">
        <f t="shared" si="137"/>
        <v>157992929.59999999</v>
      </c>
      <c r="D4406" s="39">
        <f t="shared" si="138"/>
        <v>145384854</v>
      </c>
    </row>
    <row r="4407" spans="2:4" x14ac:dyDescent="0.25">
      <c r="B4407" s="89">
        <v>4403</v>
      </c>
      <c r="C4407" s="39">
        <f t="shared" si="137"/>
        <v>157992929.59999999</v>
      </c>
      <c r="D4407" s="39">
        <f t="shared" si="138"/>
        <v>145417881</v>
      </c>
    </row>
    <row r="4408" spans="2:4" x14ac:dyDescent="0.25">
      <c r="B4408" s="89">
        <v>4404</v>
      </c>
      <c r="C4408" s="39">
        <f t="shared" si="137"/>
        <v>157992929.59999999</v>
      </c>
      <c r="D4408" s="39">
        <f t="shared" si="138"/>
        <v>145450908</v>
      </c>
    </row>
    <row r="4409" spans="2:4" x14ac:dyDescent="0.25">
      <c r="B4409" s="89">
        <v>4405</v>
      </c>
      <c r="C4409" s="39">
        <f t="shared" si="137"/>
        <v>157992929.59999999</v>
      </c>
      <c r="D4409" s="39">
        <f t="shared" si="138"/>
        <v>145483935</v>
      </c>
    </row>
    <row r="4410" spans="2:4" x14ac:dyDescent="0.25">
      <c r="B4410" s="89">
        <v>4406</v>
      </c>
      <c r="C4410" s="39">
        <f t="shared" si="137"/>
        <v>157992929.59999999</v>
      </c>
      <c r="D4410" s="39">
        <f t="shared" si="138"/>
        <v>145516962</v>
      </c>
    </row>
    <row r="4411" spans="2:4" x14ac:dyDescent="0.25">
      <c r="B4411" s="89">
        <v>4407</v>
      </c>
      <c r="C4411" s="39">
        <f t="shared" si="137"/>
        <v>157992929.59999999</v>
      </c>
      <c r="D4411" s="39">
        <f t="shared" si="138"/>
        <v>145549989</v>
      </c>
    </row>
    <row r="4412" spans="2:4" x14ac:dyDescent="0.25">
      <c r="B4412" s="89">
        <v>4408</v>
      </c>
      <c r="C4412" s="39">
        <f t="shared" si="137"/>
        <v>157992929.59999999</v>
      </c>
      <c r="D4412" s="39">
        <f t="shared" si="138"/>
        <v>145583016</v>
      </c>
    </row>
    <row r="4413" spans="2:4" x14ac:dyDescent="0.25">
      <c r="B4413" s="89">
        <v>4409</v>
      </c>
      <c r="C4413" s="39">
        <f t="shared" si="137"/>
        <v>157992929.59999999</v>
      </c>
      <c r="D4413" s="39">
        <f t="shared" si="138"/>
        <v>145616043</v>
      </c>
    </row>
    <row r="4414" spans="2:4" x14ac:dyDescent="0.25">
      <c r="B4414" s="89">
        <v>4410</v>
      </c>
      <c r="C4414" s="39">
        <f t="shared" si="137"/>
        <v>157992929.59999999</v>
      </c>
      <c r="D4414" s="39">
        <f t="shared" si="138"/>
        <v>145649070</v>
      </c>
    </row>
    <row r="4415" spans="2:4" x14ac:dyDescent="0.25">
      <c r="B4415" s="89">
        <v>4411</v>
      </c>
      <c r="C4415" s="39">
        <f t="shared" si="137"/>
        <v>157992929.59999999</v>
      </c>
      <c r="D4415" s="39">
        <f t="shared" si="138"/>
        <v>145682097</v>
      </c>
    </row>
    <row r="4416" spans="2:4" x14ac:dyDescent="0.25">
      <c r="B4416" s="89">
        <v>4412</v>
      </c>
      <c r="C4416" s="39">
        <f t="shared" si="137"/>
        <v>157992929.59999999</v>
      </c>
      <c r="D4416" s="39">
        <f t="shared" si="138"/>
        <v>145715124</v>
      </c>
    </row>
    <row r="4417" spans="2:4" x14ac:dyDescent="0.25">
      <c r="B4417" s="89">
        <v>4413</v>
      </c>
      <c r="C4417" s="39">
        <f t="shared" si="137"/>
        <v>157992929.59999999</v>
      </c>
      <c r="D4417" s="39">
        <f t="shared" si="138"/>
        <v>145748151</v>
      </c>
    </row>
    <row r="4418" spans="2:4" x14ac:dyDescent="0.25">
      <c r="B4418" s="89">
        <v>4414</v>
      </c>
      <c r="C4418" s="39">
        <f t="shared" si="137"/>
        <v>157992929.59999999</v>
      </c>
      <c r="D4418" s="39">
        <f t="shared" si="138"/>
        <v>145781178</v>
      </c>
    </row>
    <row r="4419" spans="2:4" x14ac:dyDescent="0.25">
      <c r="B4419" s="89">
        <v>4415</v>
      </c>
      <c r="C4419" s="39">
        <f t="shared" si="137"/>
        <v>157992929.59999999</v>
      </c>
      <c r="D4419" s="39">
        <f t="shared" si="138"/>
        <v>145814205</v>
      </c>
    </row>
    <row r="4420" spans="2:4" x14ac:dyDescent="0.25">
      <c r="B4420" s="89">
        <v>4416</v>
      </c>
      <c r="C4420" s="39">
        <f t="shared" si="137"/>
        <v>157992929.59999999</v>
      </c>
      <c r="D4420" s="39">
        <f t="shared" si="138"/>
        <v>145847232</v>
      </c>
    </row>
    <row r="4421" spans="2:4" x14ac:dyDescent="0.25">
      <c r="B4421" s="89">
        <v>4417</v>
      </c>
      <c r="C4421" s="39">
        <f t="shared" si="137"/>
        <v>157992929.59999999</v>
      </c>
      <c r="D4421" s="39">
        <f t="shared" si="138"/>
        <v>145880259</v>
      </c>
    </row>
    <row r="4422" spans="2:4" x14ac:dyDescent="0.25">
      <c r="B4422" s="89">
        <v>4418</v>
      </c>
      <c r="C4422" s="39">
        <f t="shared" ref="C4422:C4485" si="139">$C4421</f>
        <v>157992929.59999999</v>
      </c>
      <c r="D4422" s="39">
        <f t="shared" si="138"/>
        <v>145913286</v>
      </c>
    </row>
    <row r="4423" spans="2:4" x14ac:dyDescent="0.25">
      <c r="B4423" s="89">
        <v>4419</v>
      </c>
      <c r="C4423" s="39">
        <f t="shared" si="139"/>
        <v>157992929.59999999</v>
      </c>
      <c r="D4423" s="39">
        <f t="shared" si="138"/>
        <v>145946313</v>
      </c>
    </row>
    <row r="4424" spans="2:4" x14ac:dyDescent="0.25">
      <c r="B4424" s="89">
        <v>4420</v>
      </c>
      <c r="C4424" s="39">
        <f t="shared" si="139"/>
        <v>157992929.59999999</v>
      </c>
      <c r="D4424" s="39">
        <f t="shared" si="138"/>
        <v>145979340</v>
      </c>
    </row>
    <row r="4425" spans="2:4" x14ac:dyDescent="0.25">
      <c r="B4425" s="89">
        <v>4421</v>
      </c>
      <c r="C4425" s="39">
        <f t="shared" si="139"/>
        <v>157992929.59999999</v>
      </c>
      <c r="D4425" s="39">
        <f t="shared" si="138"/>
        <v>146012367</v>
      </c>
    </row>
    <row r="4426" spans="2:4" x14ac:dyDescent="0.25">
      <c r="B4426" s="89">
        <v>4422</v>
      </c>
      <c r="C4426" s="39">
        <f t="shared" si="139"/>
        <v>157992929.59999999</v>
      </c>
      <c r="D4426" s="39">
        <f t="shared" si="138"/>
        <v>146045394</v>
      </c>
    </row>
    <row r="4427" spans="2:4" x14ac:dyDescent="0.25">
      <c r="B4427" s="89">
        <v>4423</v>
      </c>
      <c r="C4427" s="39">
        <f t="shared" si="139"/>
        <v>157992929.59999999</v>
      </c>
      <c r="D4427" s="39">
        <f t="shared" si="138"/>
        <v>146078421</v>
      </c>
    </row>
    <row r="4428" spans="2:4" x14ac:dyDescent="0.25">
      <c r="B4428" s="89">
        <v>4424</v>
      </c>
      <c r="C4428" s="39">
        <f t="shared" si="139"/>
        <v>157992929.59999999</v>
      </c>
      <c r="D4428" s="39">
        <f t="shared" si="138"/>
        <v>146111448</v>
      </c>
    </row>
    <row r="4429" spans="2:4" x14ac:dyDescent="0.25">
      <c r="B4429" s="89">
        <v>4425</v>
      </c>
      <c r="C4429" s="39">
        <f t="shared" si="139"/>
        <v>157992929.59999999</v>
      </c>
      <c r="D4429" s="39">
        <f t="shared" si="138"/>
        <v>146144475</v>
      </c>
    </row>
    <row r="4430" spans="2:4" x14ac:dyDescent="0.25">
      <c r="B4430" s="89">
        <v>4426</v>
      </c>
      <c r="C4430" s="39">
        <f t="shared" si="139"/>
        <v>157992929.59999999</v>
      </c>
      <c r="D4430" s="39">
        <f t="shared" si="138"/>
        <v>146177502</v>
      </c>
    </row>
    <row r="4431" spans="2:4" x14ac:dyDescent="0.25">
      <c r="B4431" s="89">
        <v>4427</v>
      </c>
      <c r="C4431" s="39">
        <f t="shared" si="139"/>
        <v>157992929.59999999</v>
      </c>
      <c r="D4431" s="39">
        <f t="shared" si="138"/>
        <v>146210529</v>
      </c>
    </row>
    <row r="4432" spans="2:4" x14ac:dyDescent="0.25">
      <c r="B4432" s="89">
        <v>4428</v>
      </c>
      <c r="C4432" s="39">
        <f t="shared" si="139"/>
        <v>157992929.59999999</v>
      </c>
      <c r="D4432" s="39">
        <f t="shared" si="138"/>
        <v>146243556</v>
      </c>
    </row>
    <row r="4433" spans="2:4" x14ac:dyDescent="0.25">
      <c r="B4433" s="89">
        <v>4429</v>
      </c>
      <c r="C4433" s="39">
        <f t="shared" si="139"/>
        <v>157992929.59999999</v>
      </c>
      <c r="D4433" s="39">
        <f t="shared" si="138"/>
        <v>146276583</v>
      </c>
    </row>
    <row r="4434" spans="2:4" x14ac:dyDescent="0.25">
      <c r="B4434" s="89">
        <v>4430</v>
      </c>
      <c r="C4434" s="39">
        <f t="shared" si="139"/>
        <v>157992929.59999999</v>
      </c>
      <c r="D4434" s="39">
        <f t="shared" si="138"/>
        <v>146309610</v>
      </c>
    </row>
    <row r="4435" spans="2:4" x14ac:dyDescent="0.25">
      <c r="B4435" s="89">
        <v>4431</v>
      </c>
      <c r="C4435" s="39">
        <f t="shared" si="139"/>
        <v>157992929.59999999</v>
      </c>
      <c r="D4435" s="39">
        <f t="shared" si="138"/>
        <v>146342637</v>
      </c>
    </row>
    <row r="4436" spans="2:4" x14ac:dyDescent="0.25">
      <c r="B4436" s="89">
        <v>4432</v>
      </c>
      <c r="C4436" s="39">
        <f t="shared" si="139"/>
        <v>157992929.59999999</v>
      </c>
      <c r="D4436" s="39">
        <f t="shared" si="138"/>
        <v>146375664</v>
      </c>
    </row>
    <row r="4437" spans="2:4" x14ac:dyDescent="0.25">
      <c r="B4437" s="89">
        <v>4433</v>
      </c>
      <c r="C4437" s="39">
        <f t="shared" si="139"/>
        <v>157992929.59999999</v>
      </c>
      <c r="D4437" s="39">
        <f t="shared" si="138"/>
        <v>146408691</v>
      </c>
    </row>
    <row r="4438" spans="2:4" x14ac:dyDescent="0.25">
      <c r="B4438" s="89">
        <v>4434</v>
      </c>
      <c r="C4438" s="39">
        <f t="shared" si="139"/>
        <v>157992929.59999999</v>
      </c>
      <c r="D4438" s="39">
        <f t="shared" si="138"/>
        <v>146441718</v>
      </c>
    </row>
    <row r="4439" spans="2:4" x14ac:dyDescent="0.25">
      <c r="B4439" s="89">
        <v>4435</v>
      </c>
      <c r="C4439" s="39">
        <f t="shared" si="139"/>
        <v>157992929.59999999</v>
      </c>
      <c r="D4439" s="39">
        <f t="shared" si="138"/>
        <v>146474745</v>
      </c>
    </row>
    <row r="4440" spans="2:4" x14ac:dyDescent="0.25">
      <c r="B4440" s="89">
        <v>4436</v>
      </c>
      <c r="C4440" s="39">
        <f t="shared" si="139"/>
        <v>157992929.59999999</v>
      </c>
      <c r="D4440" s="39">
        <f t="shared" si="138"/>
        <v>146507772</v>
      </c>
    </row>
    <row r="4441" spans="2:4" x14ac:dyDescent="0.25">
      <c r="B4441" s="89">
        <v>4437</v>
      </c>
      <c r="C4441" s="39">
        <f t="shared" si="139"/>
        <v>157992929.59999999</v>
      </c>
      <c r="D4441" s="39">
        <f t="shared" si="138"/>
        <v>146540799</v>
      </c>
    </row>
    <row r="4442" spans="2:4" x14ac:dyDescent="0.25">
      <c r="B4442" s="89">
        <v>4438</v>
      </c>
      <c r="C4442" s="39">
        <f t="shared" si="139"/>
        <v>157992929.59999999</v>
      </c>
      <c r="D4442" s="39">
        <f t="shared" si="138"/>
        <v>146573826</v>
      </c>
    </row>
    <row r="4443" spans="2:4" x14ac:dyDescent="0.25">
      <c r="B4443" s="89">
        <v>4439</v>
      </c>
      <c r="C4443" s="39">
        <f t="shared" si="139"/>
        <v>157992929.59999999</v>
      </c>
      <c r="D4443" s="39">
        <f t="shared" si="138"/>
        <v>146606853</v>
      </c>
    </row>
    <row r="4444" spans="2:4" x14ac:dyDescent="0.25">
      <c r="B4444" s="89">
        <v>4440</v>
      </c>
      <c r="C4444" s="39">
        <f t="shared" si="139"/>
        <v>157992929.59999999</v>
      </c>
      <c r="D4444" s="39">
        <f t="shared" si="138"/>
        <v>146639880</v>
      </c>
    </row>
    <row r="4445" spans="2:4" x14ac:dyDescent="0.25">
      <c r="B4445" s="89">
        <v>4441</v>
      </c>
      <c r="C4445" s="39">
        <f t="shared" si="139"/>
        <v>157992929.59999999</v>
      </c>
      <c r="D4445" s="39">
        <f t="shared" si="138"/>
        <v>146672907</v>
      </c>
    </row>
    <row r="4446" spans="2:4" x14ac:dyDescent="0.25">
      <c r="B4446" s="89">
        <v>4442</v>
      </c>
      <c r="C4446" s="39">
        <f t="shared" si="139"/>
        <v>157992929.59999999</v>
      </c>
      <c r="D4446" s="39">
        <f t="shared" si="138"/>
        <v>146705934</v>
      </c>
    </row>
    <row r="4447" spans="2:4" x14ac:dyDescent="0.25">
      <c r="B4447" s="89">
        <v>4443</v>
      </c>
      <c r="C4447" s="39">
        <f t="shared" si="139"/>
        <v>157992929.59999999</v>
      </c>
      <c r="D4447" s="39">
        <f t="shared" si="138"/>
        <v>146738961</v>
      </c>
    </row>
    <row r="4448" spans="2:4" x14ac:dyDescent="0.25">
      <c r="B4448" s="89">
        <v>4444</v>
      </c>
      <c r="C4448" s="39">
        <f t="shared" si="139"/>
        <v>157992929.59999999</v>
      </c>
      <c r="D4448" s="39">
        <f t="shared" si="138"/>
        <v>146771988</v>
      </c>
    </row>
    <row r="4449" spans="2:4" x14ac:dyDescent="0.25">
      <c r="B4449" s="89">
        <v>4445</v>
      </c>
      <c r="C4449" s="39">
        <f t="shared" si="139"/>
        <v>157992929.59999999</v>
      </c>
      <c r="D4449" s="39">
        <f t="shared" si="138"/>
        <v>146805015</v>
      </c>
    </row>
    <row r="4450" spans="2:4" x14ac:dyDescent="0.25">
      <c r="B4450" s="89">
        <v>4446</v>
      </c>
      <c r="C4450" s="39">
        <f t="shared" si="139"/>
        <v>157992929.59999999</v>
      </c>
      <c r="D4450" s="39">
        <f t="shared" si="138"/>
        <v>146838042</v>
      </c>
    </row>
    <row r="4451" spans="2:4" x14ac:dyDescent="0.25">
      <c r="B4451" s="89">
        <v>4447</v>
      </c>
      <c r="C4451" s="39">
        <f t="shared" si="139"/>
        <v>157992929.59999999</v>
      </c>
      <c r="D4451" s="39">
        <f t="shared" si="138"/>
        <v>146871069</v>
      </c>
    </row>
    <row r="4452" spans="2:4" x14ac:dyDescent="0.25">
      <c r="B4452" s="89">
        <v>4448</v>
      </c>
      <c r="C4452" s="39">
        <f t="shared" si="139"/>
        <v>157992929.59999999</v>
      </c>
      <c r="D4452" s="39">
        <f t="shared" si="138"/>
        <v>146904096</v>
      </c>
    </row>
    <row r="4453" spans="2:4" x14ac:dyDescent="0.25">
      <c r="B4453" s="89">
        <v>4449</v>
      </c>
      <c r="C4453" s="39">
        <f t="shared" si="139"/>
        <v>157992929.59999999</v>
      </c>
      <c r="D4453" s="39">
        <f t="shared" si="138"/>
        <v>146937123</v>
      </c>
    </row>
    <row r="4454" spans="2:4" x14ac:dyDescent="0.25">
      <c r="B4454" s="89">
        <v>4450</v>
      </c>
      <c r="C4454" s="39">
        <f t="shared" si="139"/>
        <v>157992929.59999999</v>
      </c>
      <c r="D4454" s="39">
        <f t="shared" si="138"/>
        <v>146970150</v>
      </c>
    </row>
    <row r="4455" spans="2:4" x14ac:dyDescent="0.25">
      <c r="B4455" s="89">
        <v>4451</v>
      </c>
      <c r="C4455" s="39">
        <f t="shared" si="139"/>
        <v>157992929.59999999</v>
      </c>
      <c r="D4455" s="39">
        <f t="shared" si="138"/>
        <v>147003177</v>
      </c>
    </row>
    <row r="4456" spans="2:4" x14ac:dyDescent="0.25">
      <c r="B4456" s="89">
        <v>4452</v>
      </c>
      <c r="C4456" s="39">
        <f t="shared" si="139"/>
        <v>157992929.59999999</v>
      </c>
      <c r="D4456" s="39">
        <f t="shared" si="138"/>
        <v>147036204</v>
      </c>
    </row>
    <row r="4457" spans="2:4" x14ac:dyDescent="0.25">
      <c r="B4457" s="89">
        <v>4453</v>
      </c>
      <c r="C4457" s="39">
        <f t="shared" si="139"/>
        <v>157992929.59999999</v>
      </c>
      <c r="D4457" s="39">
        <f t="shared" si="138"/>
        <v>147069231</v>
      </c>
    </row>
    <row r="4458" spans="2:4" x14ac:dyDescent="0.25">
      <c r="B4458" s="89">
        <v>4454</v>
      </c>
      <c r="C4458" s="39">
        <f t="shared" si="139"/>
        <v>157992929.59999999</v>
      </c>
      <c r="D4458" s="39">
        <f t="shared" si="138"/>
        <v>147102258</v>
      </c>
    </row>
    <row r="4459" spans="2:4" x14ac:dyDescent="0.25">
      <c r="B4459" s="89">
        <v>4455</v>
      </c>
      <c r="C4459" s="39">
        <f t="shared" si="139"/>
        <v>157992929.59999999</v>
      </c>
      <c r="D4459" s="39">
        <f t="shared" si="138"/>
        <v>147135285</v>
      </c>
    </row>
    <row r="4460" spans="2:4" x14ac:dyDescent="0.25">
      <c r="B4460" s="89">
        <v>4456</v>
      </c>
      <c r="C4460" s="39">
        <f t="shared" si="139"/>
        <v>157992929.59999999</v>
      </c>
      <c r="D4460" s="39">
        <f t="shared" si="138"/>
        <v>147168312</v>
      </c>
    </row>
    <row r="4461" spans="2:4" x14ac:dyDescent="0.25">
      <c r="B4461" s="89">
        <v>4457</v>
      </c>
      <c r="C4461" s="39">
        <f t="shared" si="139"/>
        <v>157992929.59999999</v>
      </c>
      <c r="D4461" s="39">
        <f t="shared" si="138"/>
        <v>147201339</v>
      </c>
    </row>
    <row r="4462" spans="2:4" x14ac:dyDescent="0.25">
      <c r="B4462" s="89">
        <v>4458</v>
      </c>
      <c r="C4462" s="39">
        <f t="shared" si="139"/>
        <v>157992929.59999999</v>
      </c>
      <c r="D4462" s="39">
        <f t="shared" si="138"/>
        <v>147234366</v>
      </c>
    </row>
    <row r="4463" spans="2:4" x14ac:dyDescent="0.25">
      <c r="B4463" s="89">
        <v>4459</v>
      </c>
      <c r="C4463" s="39">
        <f t="shared" si="139"/>
        <v>157992929.59999999</v>
      </c>
      <c r="D4463" s="39">
        <f t="shared" si="138"/>
        <v>147267393</v>
      </c>
    </row>
    <row r="4464" spans="2:4" x14ac:dyDescent="0.25">
      <c r="B4464" s="89">
        <v>4460</v>
      </c>
      <c r="C4464" s="39">
        <f t="shared" si="139"/>
        <v>157992929.59999999</v>
      </c>
      <c r="D4464" s="39">
        <f t="shared" si="138"/>
        <v>147300420</v>
      </c>
    </row>
    <row r="4465" spans="2:4" x14ac:dyDescent="0.25">
      <c r="B4465" s="89">
        <v>4461</v>
      </c>
      <c r="C4465" s="39">
        <f t="shared" si="139"/>
        <v>157992929.59999999</v>
      </c>
      <c r="D4465" s="39">
        <f t="shared" ref="D4465:D4528" si="140">$D$2*B4465</f>
        <v>147333447</v>
      </c>
    </row>
    <row r="4466" spans="2:4" x14ac:dyDescent="0.25">
      <c r="B4466" s="89">
        <v>4462</v>
      </c>
      <c r="C4466" s="39">
        <f t="shared" si="139"/>
        <v>157992929.59999999</v>
      </c>
      <c r="D4466" s="39">
        <f t="shared" si="140"/>
        <v>147366474</v>
      </c>
    </row>
    <row r="4467" spans="2:4" x14ac:dyDescent="0.25">
      <c r="B4467" s="89">
        <v>4463</v>
      </c>
      <c r="C4467" s="39">
        <f t="shared" si="139"/>
        <v>157992929.59999999</v>
      </c>
      <c r="D4467" s="39">
        <f t="shared" si="140"/>
        <v>147399501</v>
      </c>
    </row>
    <row r="4468" spans="2:4" x14ac:dyDescent="0.25">
      <c r="B4468" s="89">
        <v>4464</v>
      </c>
      <c r="C4468" s="39">
        <f t="shared" si="139"/>
        <v>157992929.59999999</v>
      </c>
      <c r="D4468" s="39">
        <f t="shared" si="140"/>
        <v>147432528</v>
      </c>
    </row>
    <row r="4469" spans="2:4" x14ac:dyDescent="0.25">
      <c r="B4469" s="89">
        <v>4465</v>
      </c>
      <c r="C4469" s="39">
        <f t="shared" si="139"/>
        <v>157992929.59999999</v>
      </c>
      <c r="D4469" s="39">
        <f t="shared" si="140"/>
        <v>147465555</v>
      </c>
    </row>
    <row r="4470" spans="2:4" x14ac:dyDescent="0.25">
      <c r="B4470" s="89">
        <v>4466</v>
      </c>
      <c r="C4470" s="39">
        <f t="shared" si="139"/>
        <v>157992929.59999999</v>
      </c>
      <c r="D4470" s="39">
        <f t="shared" si="140"/>
        <v>147498582</v>
      </c>
    </row>
    <row r="4471" spans="2:4" x14ac:dyDescent="0.25">
      <c r="B4471" s="89">
        <v>4467</v>
      </c>
      <c r="C4471" s="39">
        <f t="shared" si="139"/>
        <v>157992929.59999999</v>
      </c>
      <c r="D4471" s="39">
        <f t="shared" si="140"/>
        <v>147531609</v>
      </c>
    </row>
    <row r="4472" spans="2:4" x14ac:dyDescent="0.25">
      <c r="B4472" s="89">
        <v>4468</v>
      </c>
      <c r="C4472" s="39">
        <f t="shared" si="139"/>
        <v>157992929.59999999</v>
      </c>
      <c r="D4472" s="39">
        <f t="shared" si="140"/>
        <v>147564636</v>
      </c>
    </row>
    <row r="4473" spans="2:4" x14ac:dyDescent="0.25">
      <c r="B4473" s="89">
        <v>4469</v>
      </c>
      <c r="C4473" s="39">
        <f t="shared" si="139"/>
        <v>157992929.59999999</v>
      </c>
      <c r="D4473" s="39">
        <f t="shared" si="140"/>
        <v>147597663</v>
      </c>
    </row>
    <row r="4474" spans="2:4" x14ac:dyDescent="0.25">
      <c r="B4474" s="89">
        <v>4470</v>
      </c>
      <c r="C4474" s="39">
        <f t="shared" si="139"/>
        <v>157992929.59999999</v>
      </c>
      <c r="D4474" s="39">
        <f t="shared" si="140"/>
        <v>147630690</v>
      </c>
    </row>
    <row r="4475" spans="2:4" x14ac:dyDescent="0.25">
      <c r="B4475" s="89">
        <v>4471</v>
      </c>
      <c r="C4475" s="39">
        <f t="shared" si="139"/>
        <v>157992929.59999999</v>
      </c>
      <c r="D4475" s="39">
        <f t="shared" si="140"/>
        <v>147663717</v>
      </c>
    </row>
    <row r="4476" spans="2:4" x14ac:dyDescent="0.25">
      <c r="B4476" s="89">
        <v>4472</v>
      </c>
      <c r="C4476" s="39">
        <f t="shared" si="139"/>
        <v>157992929.59999999</v>
      </c>
      <c r="D4476" s="39">
        <f t="shared" si="140"/>
        <v>147696744</v>
      </c>
    </row>
    <row r="4477" spans="2:4" x14ac:dyDescent="0.25">
      <c r="B4477" s="89">
        <v>4473</v>
      </c>
      <c r="C4477" s="39">
        <f t="shared" si="139"/>
        <v>157992929.59999999</v>
      </c>
      <c r="D4477" s="39">
        <f t="shared" si="140"/>
        <v>147729771</v>
      </c>
    </row>
    <row r="4478" spans="2:4" x14ac:dyDescent="0.25">
      <c r="B4478" s="89">
        <v>4474</v>
      </c>
      <c r="C4478" s="39">
        <f t="shared" si="139"/>
        <v>157992929.59999999</v>
      </c>
      <c r="D4478" s="39">
        <f t="shared" si="140"/>
        <v>147762798</v>
      </c>
    </row>
    <row r="4479" spans="2:4" x14ac:dyDescent="0.25">
      <c r="B4479" s="89">
        <v>4475</v>
      </c>
      <c r="C4479" s="39">
        <f t="shared" si="139"/>
        <v>157992929.59999999</v>
      </c>
      <c r="D4479" s="39">
        <f t="shared" si="140"/>
        <v>147795825</v>
      </c>
    </row>
    <row r="4480" spans="2:4" x14ac:dyDescent="0.25">
      <c r="B4480" s="89">
        <v>4476</v>
      </c>
      <c r="C4480" s="39">
        <f t="shared" si="139"/>
        <v>157992929.59999999</v>
      </c>
      <c r="D4480" s="39">
        <f t="shared" si="140"/>
        <v>147828852</v>
      </c>
    </row>
    <row r="4481" spans="2:4" x14ac:dyDescent="0.25">
      <c r="B4481" s="89">
        <v>4477</v>
      </c>
      <c r="C4481" s="39">
        <f t="shared" si="139"/>
        <v>157992929.59999999</v>
      </c>
      <c r="D4481" s="39">
        <f t="shared" si="140"/>
        <v>147861879</v>
      </c>
    </row>
    <row r="4482" spans="2:4" x14ac:dyDescent="0.25">
      <c r="B4482" s="89">
        <v>4478</v>
      </c>
      <c r="C4482" s="39">
        <f t="shared" si="139"/>
        <v>157992929.59999999</v>
      </c>
      <c r="D4482" s="39">
        <f t="shared" si="140"/>
        <v>147894906</v>
      </c>
    </row>
    <row r="4483" spans="2:4" x14ac:dyDescent="0.25">
      <c r="B4483" s="89">
        <v>4479</v>
      </c>
      <c r="C4483" s="39">
        <f t="shared" si="139"/>
        <v>157992929.59999999</v>
      </c>
      <c r="D4483" s="39">
        <f t="shared" si="140"/>
        <v>147927933</v>
      </c>
    </row>
    <row r="4484" spans="2:4" x14ac:dyDescent="0.25">
      <c r="B4484" s="89">
        <v>4480</v>
      </c>
      <c r="C4484" s="39">
        <f t="shared" si="139"/>
        <v>157992929.59999999</v>
      </c>
      <c r="D4484" s="39">
        <f t="shared" si="140"/>
        <v>147960960</v>
      </c>
    </row>
    <row r="4485" spans="2:4" x14ac:dyDescent="0.25">
      <c r="B4485" s="89">
        <v>4481</v>
      </c>
      <c r="C4485" s="39">
        <f t="shared" si="139"/>
        <v>157992929.59999999</v>
      </c>
      <c r="D4485" s="39">
        <f t="shared" si="140"/>
        <v>147993987</v>
      </c>
    </row>
    <row r="4486" spans="2:4" x14ac:dyDescent="0.25">
      <c r="B4486" s="89">
        <v>4482</v>
      </c>
      <c r="C4486" s="39">
        <f t="shared" ref="C4486:C4549" si="141">$C4485</f>
        <v>157992929.59999999</v>
      </c>
      <c r="D4486" s="39">
        <f t="shared" si="140"/>
        <v>148027014</v>
      </c>
    </row>
    <row r="4487" spans="2:4" x14ac:dyDescent="0.25">
      <c r="B4487" s="89">
        <v>4483</v>
      </c>
      <c r="C4487" s="39">
        <f t="shared" si="141"/>
        <v>157992929.59999999</v>
      </c>
      <c r="D4487" s="39">
        <f t="shared" si="140"/>
        <v>148060041</v>
      </c>
    </row>
    <row r="4488" spans="2:4" x14ac:dyDescent="0.25">
      <c r="B4488" s="89">
        <v>4484</v>
      </c>
      <c r="C4488" s="39">
        <f t="shared" si="141"/>
        <v>157992929.59999999</v>
      </c>
      <c r="D4488" s="39">
        <f t="shared" si="140"/>
        <v>148093068</v>
      </c>
    </row>
    <row r="4489" spans="2:4" x14ac:dyDescent="0.25">
      <c r="B4489" s="89">
        <v>4485</v>
      </c>
      <c r="C4489" s="39">
        <f t="shared" si="141"/>
        <v>157992929.59999999</v>
      </c>
      <c r="D4489" s="39">
        <f t="shared" si="140"/>
        <v>148126095</v>
      </c>
    </row>
    <row r="4490" spans="2:4" x14ac:dyDescent="0.25">
      <c r="B4490" s="89">
        <v>4486</v>
      </c>
      <c r="C4490" s="39">
        <f t="shared" si="141"/>
        <v>157992929.59999999</v>
      </c>
      <c r="D4490" s="39">
        <f t="shared" si="140"/>
        <v>148159122</v>
      </c>
    </row>
    <row r="4491" spans="2:4" x14ac:dyDescent="0.25">
      <c r="B4491" s="89">
        <v>4487</v>
      </c>
      <c r="C4491" s="39">
        <f t="shared" si="141"/>
        <v>157992929.59999999</v>
      </c>
      <c r="D4491" s="39">
        <f t="shared" si="140"/>
        <v>148192149</v>
      </c>
    </row>
    <row r="4492" spans="2:4" x14ac:dyDescent="0.25">
      <c r="B4492" s="89">
        <v>4488</v>
      </c>
      <c r="C4492" s="39">
        <f t="shared" si="141"/>
        <v>157992929.59999999</v>
      </c>
      <c r="D4492" s="39">
        <f t="shared" si="140"/>
        <v>148225176</v>
      </c>
    </row>
    <row r="4493" spans="2:4" x14ac:dyDescent="0.25">
      <c r="B4493" s="89">
        <v>4489</v>
      </c>
      <c r="C4493" s="39">
        <f t="shared" si="141"/>
        <v>157992929.59999999</v>
      </c>
      <c r="D4493" s="39">
        <f t="shared" si="140"/>
        <v>148258203</v>
      </c>
    </row>
    <row r="4494" spans="2:4" x14ac:dyDescent="0.25">
      <c r="B4494" s="89">
        <v>4490</v>
      </c>
      <c r="C4494" s="39">
        <f t="shared" si="141"/>
        <v>157992929.59999999</v>
      </c>
      <c r="D4494" s="39">
        <f t="shared" si="140"/>
        <v>148291230</v>
      </c>
    </row>
    <row r="4495" spans="2:4" x14ac:dyDescent="0.25">
      <c r="B4495" s="89">
        <v>4491</v>
      </c>
      <c r="C4495" s="39">
        <f t="shared" si="141"/>
        <v>157992929.59999999</v>
      </c>
      <c r="D4495" s="39">
        <f t="shared" si="140"/>
        <v>148324257</v>
      </c>
    </row>
    <row r="4496" spans="2:4" x14ac:dyDescent="0.25">
      <c r="B4496" s="89">
        <v>4492</v>
      </c>
      <c r="C4496" s="39">
        <f t="shared" si="141"/>
        <v>157992929.59999999</v>
      </c>
      <c r="D4496" s="39">
        <f t="shared" si="140"/>
        <v>148357284</v>
      </c>
    </row>
    <row r="4497" spans="2:4" x14ac:dyDescent="0.25">
      <c r="B4497" s="89">
        <v>4493</v>
      </c>
      <c r="C4497" s="39">
        <f t="shared" si="141"/>
        <v>157992929.59999999</v>
      </c>
      <c r="D4497" s="39">
        <f t="shared" si="140"/>
        <v>148390311</v>
      </c>
    </row>
    <row r="4498" spans="2:4" x14ac:dyDescent="0.25">
      <c r="B4498" s="89">
        <v>4494</v>
      </c>
      <c r="C4498" s="39">
        <f t="shared" si="141"/>
        <v>157992929.59999999</v>
      </c>
      <c r="D4498" s="39">
        <f t="shared" si="140"/>
        <v>148423338</v>
      </c>
    </row>
    <row r="4499" spans="2:4" x14ac:dyDescent="0.25">
      <c r="B4499" s="89">
        <v>4495</v>
      </c>
      <c r="C4499" s="39">
        <f t="shared" si="141"/>
        <v>157992929.59999999</v>
      </c>
      <c r="D4499" s="39">
        <f t="shared" si="140"/>
        <v>148456365</v>
      </c>
    </row>
    <row r="4500" spans="2:4" x14ac:dyDescent="0.25">
      <c r="B4500" s="89">
        <v>4496</v>
      </c>
      <c r="C4500" s="39">
        <f t="shared" si="141"/>
        <v>157992929.59999999</v>
      </c>
      <c r="D4500" s="39">
        <f t="shared" si="140"/>
        <v>148489392</v>
      </c>
    </row>
    <row r="4501" spans="2:4" x14ac:dyDescent="0.25">
      <c r="B4501" s="89">
        <v>4497</v>
      </c>
      <c r="C4501" s="39">
        <f t="shared" si="141"/>
        <v>157992929.59999999</v>
      </c>
      <c r="D4501" s="39">
        <f t="shared" si="140"/>
        <v>148522419</v>
      </c>
    </row>
    <row r="4502" spans="2:4" x14ac:dyDescent="0.25">
      <c r="B4502" s="89">
        <v>4498</v>
      </c>
      <c r="C4502" s="39">
        <f t="shared" si="141"/>
        <v>157992929.59999999</v>
      </c>
      <c r="D4502" s="39">
        <f t="shared" si="140"/>
        <v>148555446</v>
      </c>
    </row>
    <row r="4503" spans="2:4" x14ac:dyDescent="0.25">
      <c r="B4503" s="89">
        <v>4499</v>
      </c>
      <c r="C4503" s="39">
        <f t="shared" si="141"/>
        <v>157992929.59999999</v>
      </c>
      <c r="D4503" s="39">
        <f t="shared" si="140"/>
        <v>148588473</v>
      </c>
    </row>
    <row r="4504" spans="2:4" x14ac:dyDescent="0.25">
      <c r="B4504" s="89">
        <v>4500</v>
      </c>
      <c r="C4504" s="39">
        <f t="shared" si="141"/>
        <v>157992929.59999999</v>
      </c>
      <c r="D4504" s="39">
        <f t="shared" si="140"/>
        <v>148621500</v>
      </c>
    </row>
    <row r="4505" spans="2:4" x14ac:dyDescent="0.25">
      <c r="B4505" s="89">
        <v>4501</v>
      </c>
      <c r="C4505" s="39">
        <f t="shared" si="141"/>
        <v>157992929.59999999</v>
      </c>
      <c r="D4505" s="39">
        <f t="shared" si="140"/>
        <v>148654527</v>
      </c>
    </row>
    <row r="4506" spans="2:4" x14ac:dyDescent="0.25">
      <c r="B4506" s="89">
        <v>4502</v>
      </c>
      <c r="C4506" s="39">
        <f t="shared" si="141"/>
        <v>157992929.59999999</v>
      </c>
      <c r="D4506" s="39">
        <f t="shared" si="140"/>
        <v>148687554</v>
      </c>
    </row>
    <row r="4507" spans="2:4" x14ac:dyDescent="0.25">
      <c r="B4507" s="89">
        <v>4503</v>
      </c>
      <c r="C4507" s="39">
        <f t="shared" si="141"/>
        <v>157992929.59999999</v>
      </c>
      <c r="D4507" s="39">
        <f t="shared" si="140"/>
        <v>148720581</v>
      </c>
    </row>
    <row r="4508" spans="2:4" x14ac:dyDescent="0.25">
      <c r="B4508" s="89">
        <v>4504</v>
      </c>
      <c r="C4508" s="39">
        <f t="shared" si="141"/>
        <v>157992929.59999999</v>
      </c>
      <c r="D4508" s="39">
        <f t="shared" si="140"/>
        <v>148753608</v>
      </c>
    </row>
    <row r="4509" spans="2:4" x14ac:dyDescent="0.25">
      <c r="B4509" s="89">
        <v>4505</v>
      </c>
      <c r="C4509" s="39">
        <f t="shared" si="141"/>
        <v>157992929.59999999</v>
      </c>
      <c r="D4509" s="39">
        <f t="shared" si="140"/>
        <v>148786635</v>
      </c>
    </row>
    <row r="4510" spans="2:4" x14ac:dyDescent="0.25">
      <c r="B4510" s="89">
        <v>4506</v>
      </c>
      <c r="C4510" s="39">
        <f t="shared" si="141"/>
        <v>157992929.59999999</v>
      </c>
      <c r="D4510" s="39">
        <f t="shared" si="140"/>
        <v>148819662</v>
      </c>
    </row>
    <row r="4511" spans="2:4" x14ac:dyDescent="0.25">
      <c r="B4511" s="89">
        <v>4507</v>
      </c>
      <c r="C4511" s="39">
        <f t="shared" si="141"/>
        <v>157992929.59999999</v>
      </c>
      <c r="D4511" s="39">
        <f t="shared" si="140"/>
        <v>148852689</v>
      </c>
    </row>
    <row r="4512" spans="2:4" x14ac:dyDescent="0.25">
      <c r="B4512" s="89">
        <v>4508</v>
      </c>
      <c r="C4512" s="39">
        <f t="shared" si="141"/>
        <v>157992929.59999999</v>
      </c>
      <c r="D4512" s="39">
        <f t="shared" si="140"/>
        <v>148885716</v>
      </c>
    </row>
    <row r="4513" spans="2:4" x14ac:dyDescent="0.25">
      <c r="B4513" s="89">
        <v>4509</v>
      </c>
      <c r="C4513" s="39">
        <f t="shared" si="141"/>
        <v>157992929.59999999</v>
      </c>
      <c r="D4513" s="39">
        <f t="shared" si="140"/>
        <v>148918743</v>
      </c>
    </row>
    <row r="4514" spans="2:4" x14ac:dyDescent="0.25">
      <c r="B4514" s="89">
        <v>4510</v>
      </c>
      <c r="C4514" s="39">
        <f t="shared" si="141"/>
        <v>157992929.59999999</v>
      </c>
      <c r="D4514" s="39">
        <f t="shared" si="140"/>
        <v>148951770</v>
      </c>
    </row>
    <row r="4515" spans="2:4" x14ac:dyDescent="0.25">
      <c r="B4515" s="89">
        <v>4511</v>
      </c>
      <c r="C4515" s="39">
        <f t="shared" si="141"/>
        <v>157992929.59999999</v>
      </c>
      <c r="D4515" s="39">
        <f t="shared" si="140"/>
        <v>148984797</v>
      </c>
    </row>
    <row r="4516" spans="2:4" x14ac:dyDescent="0.25">
      <c r="B4516" s="89">
        <v>4512</v>
      </c>
      <c r="C4516" s="39">
        <f t="shared" si="141"/>
        <v>157992929.59999999</v>
      </c>
      <c r="D4516" s="39">
        <f t="shared" si="140"/>
        <v>149017824</v>
      </c>
    </row>
    <row r="4517" spans="2:4" x14ac:dyDescent="0.25">
      <c r="B4517" s="89">
        <v>4513</v>
      </c>
      <c r="C4517" s="39">
        <f t="shared" si="141"/>
        <v>157992929.59999999</v>
      </c>
      <c r="D4517" s="39">
        <f t="shared" si="140"/>
        <v>149050851</v>
      </c>
    </row>
    <row r="4518" spans="2:4" x14ac:dyDescent="0.25">
      <c r="B4518" s="89">
        <v>4514</v>
      </c>
      <c r="C4518" s="39">
        <f t="shared" si="141"/>
        <v>157992929.59999999</v>
      </c>
      <c r="D4518" s="39">
        <f t="shared" si="140"/>
        <v>149083878</v>
      </c>
    </row>
    <row r="4519" spans="2:4" x14ac:dyDescent="0.25">
      <c r="B4519" s="89">
        <v>4515</v>
      </c>
      <c r="C4519" s="39">
        <f t="shared" si="141"/>
        <v>157992929.59999999</v>
      </c>
      <c r="D4519" s="39">
        <f t="shared" si="140"/>
        <v>149116905</v>
      </c>
    </row>
    <row r="4520" spans="2:4" x14ac:dyDescent="0.25">
      <c r="B4520" s="89">
        <v>4516</v>
      </c>
      <c r="C4520" s="39">
        <f t="shared" si="141"/>
        <v>157992929.59999999</v>
      </c>
      <c r="D4520" s="39">
        <f t="shared" si="140"/>
        <v>149149932</v>
      </c>
    </row>
    <row r="4521" spans="2:4" x14ac:dyDescent="0.25">
      <c r="B4521" s="89">
        <v>4517</v>
      </c>
      <c r="C4521" s="39">
        <f t="shared" si="141"/>
        <v>157992929.59999999</v>
      </c>
      <c r="D4521" s="39">
        <f t="shared" si="140"/>
        <v>149182959</v>
      </c>
    </row>
    <row r="4522" spans="2:4" x14ac:dyDescent="0.25">
      <c r="B4522" s="89">
        <v>4518</v>
      </c>
      <c r="C4522" s="39">
        <f t="shared" si="141"/>
        <v>157992929.59999999</v>
      </c>
      <c r="D4522" s="39">
        <f t="shared" si="140"/>
        <v>149215986</v>
      </c>
    </row>
    <row r="4523" spans="2:4" x14ac:dyDescent="0.25">
      <c r="B4523" s="89">
        <v>4519</v>
      </c>
      <c r="C4523" s="39">
        <f t="shared" si="141"/>
        <v>157992929.59999999</v>
      </c>
      <c r="D4523" s="39">
        <f t="shared" si="140"/>
        <v>149249013</v>
      </c>
    </row>
    <row r="4524" spans="2:4" x14ac:dyDescent="0.25">
      <c r="B4524" s="89">
        <v>4520</v>
      </c>
      <c r="C4524" s="39">
        <f t="shared" si="141"/>
        <v>157992929.59999999</v>
      </c>
      <c r="D4524" s="39">
        <f t="shared" si="140"/>
        <v>149282040</v>
      </c>
    </row>
    <row r="4525" spans="2:4" x14ac:dyDescent="0.25">
      <c r="B4525" s="89">
        <v>4521</v>
      </c>
      <c r="C4525" s="39">
        <f t="shared" si="141"/>
        <v>157992929.59999999</v>
      </c>
      <c r="D4525" s="39">
        <f t="shared" si="140"/>
        <v>149315067</v>
      </c>
    </row>
    <row r="4526" spans="2:4" x14ac:dyDescent="0.25">
      <c r="B4526" s="89">
        <v>4522</v>
      </c>
      <c r="C4526" s="39">
        <f t="shared" si="141"/>
        <v>157992929.59999999</v>
      </c>
      <c r="D4526" s="39">
        <f t="shared" si="140"/>
        <v>149348094</v>
      </c>
    </row>
    <row r="4527" spans="2:4" x14ac:dyDescent="0.25">
      <c r="B4527" s="89">
        <v>4523</v>
      </c>
      <c r="C4527" s="39">
        <f t="shared" si="141"/>
        <v>157992929.59999999</v>
      </c>
      <c r="D4527" s="39">
        <f t="shared" si="140"/>
        <v>149381121</v>
      </c>
    </row>
    <row r="4528" spans="2:4" x14ac:dyDescent="0.25">
      <c r="B4528" s="89">
        <v>4524</v>
      </c>
      <c r="C4528" s="39">
        <f t="shared" si="141"/>
        <v>157992929.59999999</v>
      </c>
      <c r="D4528" s="39">
        <f t="shared" si="140"/>
        <v>149414148</v>
      </c>
    </row>
    <row r="4529" spans="2:4" x14ac:dyDescent="0.25">
      <c r="B4529" s="89">
        <v>4525</v>
      </c>
      <c r="C4529" s="39">
        <f t="shared" si="141"/>
        <v>157992929.59999999</v>
      </c>
      <c r="D4529" s="39">
        <f t="shared" ref="D4529:D4592" si="142">$D$2*B4529</f>
        <v>149447175</v>
      </c>
    </row>
    <row r="4530" spans="2:4" x14ac:dyDescent="0.25">
      <c r="B4530" s="89">
        <v>4526</v>
      </c>
      <c r="C4530" s="39">
        <f t="shared" si="141"/>
        <v>157992929.59999999</v>
      </c>
      <c r="D4530" s="39">
        <f t="shared" si="142"/>
        <v>149480202</v>
      </c>
    </row>
    <row r="4531" spans="2:4" x14ac:dyDescent="0.25">
      <c r="B4531" s="89">
        <v>4527</v>
      </c>
      <c r="C4531" s="39">
        <f t="shared" si="141"/>
        <v>157992929.59999999</v>
      </c>
      <c r="D4531" s="39">
        <f t="shared" si="142"/>
        <v>149513229</v>
      </c>
    </row>
    <row r="4532" spans="2:4" x14ac:dyDescent="0.25">
      <c r="B4532" s="89">
        <v>4528</v>
      </c>
      <c r="C4532" s="39">
        <f t="shared" si="141"/>
        <v>157992929.59999999</v>
      </c>
      <c r="D4532" s="39">
        <f t="shared" si="142"/>
        <v>149546256</v>
      </c>
    </row>
    <row r="4533" spans="2:4" x14ac:dyDescent="0.25">
      <c r="B4533" s="89">
        <v>4529</v>
      </c>
      <c r="C4533" s="39">
        <f t="shared" si="141"/>
        <v>157992929.59999999</v>
      </c>
      <c r="D4533" s="39">
        <f t="shared" si="142"/>
        <v>149579283</v>
      </c>
    </row>
    <row r="4534" spans="2:4" x14ac:dyDescent="0.25">
      <c r="B4534" s="89">
        <v>4530</v>
      </c>
      <c r="C4534" s="39">
        <f t="shared" si="141"/>
        <v>157992929.59999999</v>
      </c>
      <c r="D4534" s="39">
        <f t="shared" si="142"/>
        <v>149612310</v>
      </c>
    </row>
    <row r="4535" spans="2:4" x14ac:dyDescent="0.25">
      <c r="B4535" s="89">
        <v>4531</v>
      </c>
      <c r="C4535" s="39">
        <f t="shared" si="141"/>
        <v>157992929.59999999</v>
      </c>
      <c r="D4535" s="39">
        <f t="shared" si="142"/>
        <v>149645337</v>
      </c>
    </row>
    <row r="4536" spans="2:4" x14ac:dyDescent="0.25">
      <c r="B4536" s="89">
        <v>4532</v>
      </c>
      <c r="C4536" s="39">
        <f t="shared" si="141"/>
        <v>157992929.59999999</v>
      </c>
      <c r="D4536" s="39">
        <f t="shared" si="142"/>
        <v>149678364</v>
      </c>
    </row>
    <row r="4537" spans="2:4" x14ac:dyDescent="0.25">
      <c r="B4537" s="89">
        <v>4533</v>
      </c>
      <c r="C4537" s="39">
        <f t="shared" si="141"/>
        <v>157992929.59999999</v>
      </c>
      <c r="D4537" s="39">
        <f t="shared" si="142"/>
        <v>149711391</v>
      </c>
    </row>
    <row r="4538" spans="2:4" x14ac:dyDescent="0.25">
      <c r="B4538" s="89">
        <v>4534</v>
      </c>
      <c r="C4538" s="39">
        <f t="shared" si="141"/>
        <v>157992929.59999999</v>
      </c>
      <c r="D4538" s="39">
        <f t="shared" si="142"/>
        <v>149744418</v>
      </c>
    </row>
    <row r="4539" spans="2:4" x14ac:dyDescent="0.25">
      <c r="B4539" s="89">
        <v>4535</v>
      </c>
      <c r="C4539" s="39">
        <f t="shared" si="141"/>
        <v>157992929.59999999</v>
      </c>
      <c r="D4539" s="39">
        <f t="shared" si="142"/>
        <v>149777445</v>
      </c>
    </row>
    <row r="4540" spans="2:4" x14ac:dyDescent="0.25">
      <c r="B4540" s="89">
        <v>4536</v>
      </c>
      <c r="C4540" s="39">
        <f t="shared" si="141"/>
        <v>157992929.59999999</v>
      </c>
      <c r="D4540" s="39">
        <f t="shared" si="142"/>
        <v>149810472</v>
      </c>
    </row>
    <row r="4541" spans="2:4" x14ac:dyDescent="0.25">
      <c r="B4541" s="89">
        <v>4537</v>
      </c>
      <c r="C4541" s="39">
        <f t="shared" si="141"/>
        <v>157992929.59999999</v>
      </c>
      <c r="D4541" s="39">
        <f t="shared" si="142"/>
        <v>149843499</v>
      </c>
    </row>
    <row r="4542" spans="2:4" x14ac:dyDescent="0.25">
      <c r="B4542" s="89">
        <v>4538</v>
      </c>
      <c r="C4542" s="39">
        <f t="shared" si="141"/>
        <v>157992929.59999999</v>
      </c>
      <c r="D4542" s="39">
        <f t="shared" si="142"/>
        <v>149876526</v>
      </c>
    </row>
    <row r="4543" spans="2:4" x14ac:dyDescent="0.25">
      <c r="B4543" s="89">
        <v>4539</v>
      </c>
      <c r="C4543" s="39">
        <f t="shared" si="141"/>
        <v>157992929.59999999</v>
      </c>
      <c r="D4543" s="39">
        <f t="shared" si="142"/>
        <v>149909553</v>
      </c>
    </row>
    <row r="4544" spans="2:4" x14ac:dyDescent="0.25">
      <c r="B4544" s="89">
        <v>4540</v>
      </c>
      <c r="C4544" s="39">
        <f t="shared" si="141"/>
        <v>157992929.59999999</v>
      </c>
      <c r="D4544" s="39">
        <f t="shared" si="142"/>
        <v>149942580</v>
      </c>
    </row>
    <row r="4545" spans="2:4" x14ac:dyDescent="0.25">
      <c r="B4545" s="89">
        <v>4541</v>
      </c>
      <c r="C4545" s="39">
        <f t="shared" si="141"/>
        <v>157992929.59999999</v>
      </c>
      <c r="D4545" s="39">
        <f t="shared" si="142"/>
        <v>149975607</v>
      </c>
    </row>
    <row r="4546" spans="2:4" x14ac:dyDescent="0.25">
      <c r="B4546" s="89">
        <v>4542</v>
      </c>
      <c r="C4546" s="39">
        <f t="shared" si="141"/>
        <v>157992929.59999999</v>
      </c>
      <c r="D4546" s="39">
        <f t="shared" si="142"/>
        <v>150008634</v>
      </c>
    </row>
    <row r="4547" spans="2:4" x14ac:dyDescent="0.25">
      <c r="B4547" s="89">
        <v>4543</v>
      </c>
      <c r="C4547" s="39">
        <f t="shared" si="141"/>
        <v>157992929.59999999</v>
      </c>
      <c r="D4547" s="39">
        <f t="shared" si="142"/>
        <v>150041661</v>
      </c>
    </row>
    <row r="4548" spans="2:4" x14ac:dyDescent="0.25">
      <c r="B4548" s="89">
        <v>4544</v>
      </c>
      <c r="C4548" s="39">
        <f t="shared" si="141"/>
        <v>157992929.59999999</v>
      </c>
      <c r="D4548" s="39">
        <f t="shared" si="142"/>
        <v>150074688</v>
      </c>
    </row>
    <row r="4549" spans="2:4" x14ac:dyDescent="0.25">
      <c r="B4549" s="89">
        <v>4545</v>
      </c>
      <c r="C4549" s="39">
        <f t="shared" si="141"/>
        <v>157992929.59999999</v>
      </c>
      <c r="D4549" s="39">
        <f t="shared" si="142"/>
        <v>150107715</v>
      </c>
    </row>
    <row r="4550" spans="2:4" x14ac:dyDescent="0.25">
      <c r="B4550" s="89">
        <v>4546</v>
      </c>
      <c r="C4550" s="39">
        <f t="shared" ref="C4550:C4613" si="143">$C4549</f>
        <v>157992929.59999999</v>
      </c>
      <c r="D4550" s="39">
        <f t="shared" si="142"/>
        <v>150140742</v>
      </c>
    </row>
    <row r="4551" spans="2:4" x14ac:dyDescent="0.25">
      <c r="B4551" s="89">
        <v>4547</v>
      </c>
      <c r="C4551" s="39">
        <f t="shared" si="143"/>
        <v>157992929.59999999</v>
      </c>
      <c r="D4551" s="39">
        <f t="shared" si="142"/>
        <v>150173769</v>
      </c>
    </row>
    <row r="4552" spans="2:4" x14ac:dyDescent="0.25">
      <c r="B4552" s="89">
        <v>4548</v>
      </c>
      <c r="C4552" s="39">
        <f t="shared" si="143"/>
        <v>157992929.59999999</v>
      </c>
      <c r="D4552" s="39">
        <f t="shared" si="142"/>
        <v>150206796</v>
      </c>
    </row>
    <row r="4553" spans="2:4" x14ac:dyDescent="0.25">
      <c r="B4553" s="89">
        <v>4549</v>
      </c>
      <c r="C4553" s="39">
        <f t="shared" si="143"/>
        <v>157992929.59999999</v>
      </c>
      <c r="D4553" s="39">
        <f t="shared" si="142"/>
        <v>150239823</v>
      </c>
    </row>
    <row r="4554" spans="2:4" x14ac:dyDescent="0.25">
      <c r="B4554" s="89">
        <v>4550</v>
      </c>
      <c r="C4554" s="39">
        <f t="shared" si="143"/>
        <v>157992929.59999999</v>
      </c>
      <c r="D4554" s="39">
        <f t="shared" si="142"/>
        <v>150272850</v>
      </c>
    </row>
    <row r="4555" spans="2:4" x14ac:dyDescent="0.25">
      <c r="B4555" s="89">
        <v>4551</v>
      </c>
      <c r="C4555" s="39">
        <f t="shared" si="143"/>
        <v>157992929.59999999</v>
      </c>
      <c r="D4555" s="39">
        <f t="shared" si="142"/>
        <v>150305877</v>
      </c>
    </row>
    <row r="4556" spans="2:4" x14ac:dyDescent="0.25">
      <c r="B4556" s="89">
        <v>4552</v>
      </c>
      <c r="C4556" s="39">
        <f t="shared" si="143"/>
        <v>157992929.59999999</v>
      </c>
      <c r="D4556" s="39">
        <f t="shared" si="142"/>
        <v>150338904</v>
      </c>
    </row>
    <row r="4557" spans="2:4" x14ac:dyDescent="0.25">
      <c r="B4557" s="89">
        <v>4553</v>
      </c>
      <c r="C4557" s="39">
        <f t="shared" si="143"/>
        <v>157992929.59999999</v>
      </c>
      <c r="D4557" s="39">
        <f t="shared" si="142"/>
        <v>150371931</v>
      </c>
    </row>
    <row r="4558" spans="2:4" x14ac:dyDescent="0.25">
      <c r="B4558" s="89">
        <v>4554</v>
      </c>
      <c r="C4558" s="39">
        <f t="shared" si="143"/>
        <v>157992929.59999999</v>
      </c>
      <c r="D4558" s="39">
        <f t="shared" si="142"/>
        <v>150404958</v>
      </c>
    </row>
    <row r="4559" spans="2:4" x14ac:dyDescent="0.25">
      <c r="B4559" s="89">
        <v>4555</v>
      </c>
      <c r="C4559" s="39">
        <f t="shared" si="143"/>
        <v>157992929.59999999</v>
      </c>
      <c r="D4559" s="39">
        <f t="shared" si="142"/>
        <v>150437985</v>
      </c>
    </row>
    <row r="4560" spans="2:4" x14ac:dyDescent="0.25">
      <c r="B4560" s="89">
        <v>4556</v>
      </c>
      <c r="C4560" s="39">
        <f t="shared" si="143"/>
        <v>157992929.59999999</v>
      </c>
      <c r="D4560" s="39">
        <f t="shared" si="142"/>
        <v>150471012</v>
      </c>
    </row>
    <row r="4561" spans="2:4" x14ac:dyDescent="0.25">
      <c r="B4561" s="89">
        <v>4557</v>
      </c>
      <c r="C4561" s="39">
        <f t="shared" si="143"/>
        <v>157992929.59999999</v>
      </c>
      <c r="D4561" s="39">
        <f t="shared" si="142"/>
        <v>150504039</v>
      </c>
    </row>
    <row r="4562" spans="2:4" x14ac:dyDescent="0.25">
      <c r="B4562" s="89">
        <v>4558</v>
      </c>
      <c r="C4562" s="39">
        <f t="shared" si="143"/>
        <v>157992929.59999999</v>
      </c>
      <c r="D4562" s="39">
        <f t="shared" si="142"/>
        <v>150537066</v>
      </c>
    </row>
    <row r="4563" spans="2:4" x14ac:dyDescent="0.25">
      <c r="B4563" s="89">
        <v>4559</v>
      </c>
      <c r="C4563" s="39">
        <f t="shared" si="143"/>
        <v>157992929.59999999</v>
      </c>
      <c r="D4563" s="39">
        <f t="shared" si="142"/>
        <v>150570093</v>
      </c>
    </row>
    <row r="4564" spans="2:4" x14ac:dyDescent="0.25">
      <c r="B4564" s="89">
        <v>4560</v>
      </c>
      <c r="C4564" s="39">
        <f t="shared" si="143"/>
        <v>157992929.59999999</v>
      </c>
      <c r="D4564" s="39">
        <f t="shared" si="142"/>
        <v>150603120</v>
      </c>
    </row>
    <row r="4565" spans="2:4" x14ac:dyDescent="0.25">
      <c r="B4565" s="89">
        <v>4561</v>
      </c>
      <c r="C4565" s="39">
        <f t="shared" si="143"/>
        <v>157992929.59999999</v>
      </c>
      <c r="D4565" s="39">
        <f t="shared" si="142"/>
        <v>150636147</v>
      </c>
    </row>
    <row r="4566" spans="2:4" x14ac:dyDescent="0.25">
      <c r="B4566" s="89">
        <v>4562</v>
      </c>
      <c r="C4566" s="39">
        <f t="shared" si="143"/>
        <v>157992929.59999999</v>
      </c>
      <c r="D4566" s="39">
        <f t="shared" si="142"/>
        <v>150669174</v>
      </c>
    </row>
    <row r="4567" spans="2:4" x14ac:dyDescent="0.25">
      <c r="B4567" s="89">
        <v>4563</v>
      </c>
      <c r="C4567" s="39">
        <f t="shared" si="143"/>
        <v>157992929.59999999</v>
      </c>
      <c r="D4567" s="39">
        <f t="shared" si="142"/>
        <v>150702201</v>
      </c>
    </row>
    <row r="4568" spans="2:4" x14ac:dyDescent="0.25">
      <c r="B4568" s="89">
        <v>4564</v>
      </c>
      <c r="C4568" s="39">
        <f t="shared" si="143"/>
        <v>157992929.59999999</v>
      </c>
      <c r="D4568" s="39">
        <f t="shared" si="142"/>
        <v>150735228</v>
      </c>
    </row>
    <row r="4569" spans="2:4" x14ac:dyDescent="0.25">
      <c r="B4569" s="89">
        <v>4565</v>
      </c>
      <c r="C4569" s="39">
        <f t="shared" si="143"/>
        <v>157992929.59999999</v>
      </c>
      <c r="D4569" s="39">
        <f t="shared" si="142"/>
        <v>150768255</v>
      </c>
    </row>
    <row r="4570" spans="2:4" x14ac:dyDescent="0.25">
      <c r="B4570" s="89">
        <v>4566</v>
      </c>
      <c r="C4570" s="39">
        <f t="shared" si="143"/>
        <v>157992929.59999999</v>
      </c>
      <c r="D4570" s="39">
        <f t="shared" si="142"/>
        <v>150801282</v>
      </c>
    </row>
    <row r="4571" spans="2:4" x14ac:dyDescent="0.25">
      <c r="B4571" s="89">
        <v>4567</v>
      </c>
      <c r="C4571" s="39">
        <f t="shared" si="143"/>
        <v>157992929.59999999</v>
      </c>
      <c r="D4571" s="39">
        <f t="shared" si="142"/>
        <v>150834309</v>
      </c>
    </row>
    <row r="4572" spans="2:4" x14ac:dyDescent="0.25">
      <c r="B4572" s="89">
        <v>4568</v>
      </c>
      <c r="C4572" s="39">
        <f t="shared" si="143"/>
        <v>157992929.59999999</v>
      </c>
      <c r="D4572" s="39">
        <f t="shared" si="142"/>
        <v>150867336</v>
      </c>
    </row>
    <row r="4573" spans="2:4" x14ac:dyDescent="0.25">
      <c r="B4573" s="89">
        <v>4569</v>
      </c>
      <c r="C4573" s="39">
        <f t="shared" si="143"/>
        <v>157992929.59999999</v>
      </c>
      <c r="D4573" s="39">
        <f t="shared" si="142"/>
        <v>150900363</v>
      </c>
    </row>
    <row r="4574" spans="2:4" x14ac:dyDescent="0.25">
      <c r="B4574" s="89">
        <v>4570</v>
      </c>
      <c r="C4574" s="39">
        <f t="shared" si="143"/>
        <v>157992929.59999999</v>
      </c>
      <c r="D4574" s="39">
        <f t="shared" si="142"/>
        <v>150933390</v>
      </c>
    </row>
    <row r="4575" spans="2:4" x14ac:dyDescent="0.25">
      <c r="B4575" s="89">
        <v>4571</v>
      </c>
      <c r="C4575" s="39">
        <f t="shared" si="143"/>
        <v>157992929.59999999</v>
      </c>
      <c r="D4575" s="39">
        <f t="shared" si="142"/>
        <v>150966417</v>
      </c>
    </row>
    <row r="4576" spans="2:4" x14ac:dyDescent="0.25">
      <c r="B4576" s="89">
        <v>4572</v>
      </c>
      <c r="C4576" s="39">
        <f t="shared" si="143"/>
        <v>157992929.59999999</v>
      </c>
      <c r="D4576" s="39">
        <f t="shared" si="142"/>
        <v>150999444</v>
      </c>
    </row>
    <row r="4577" spans="2:4" x14ac:dyDescent="0.25">
      <c r="B4577" s="89">
        <v>4573</v>
      </c>
      <c r="C4577" s="39">
        <f t="shared" si="143"/>
        <v>157992929.59999999</v>
      </c>
      <c r="D4577" s="39">
        <f t="shared" si="142"/>
        <v>151032471</v>
      </c>
    </row>
    <row r="4578" spans="2:4" x14ac:dyDescent="0.25">
      <c r="B4578" s="89">
        <v>4574</v>
      </c>
      <c r="C4578" s="39">
        <f t="shared" si="143"/>
        <v>157992929.59999999</v>
      </c>
      <c r="D4578" s="39">
        <f t="shared" si="142"/>
        <v>151065498</v>
      </c>
    </row>
    <row r="4579" spans="2:4" x14ac:dyDescent="0.25">
      <c r="B4579" s="89">
        <v>4575</v>
      </c>
      <c r="C4579" s="39">
        <f t="shared" si="143"/>
        <v>157992929.59999999</v>
      </c>
      <c r="D4579" s="39">
        <f t="shared" si="142"/>
        <v>151098525</v>
      </c>
    </row>
    <row r="4580" spans="2:4" x14ac:dyDescent="0.25">
      <c r="B4580" s="89">
        <v>4576</v>
      </c>
      <c r="C4580" s="39">
        <f t="shared" si="143"/>
        <v>157992929.59999999</v>
      </c>
      <c r="D4580" s="39">
        <f t="shared" si="142"/>
        <v>151131552</v>
      </c>
    </row>
    <row r="4581" spans="2:4" x14ac:dyDescent="0.25">
      <c r="B4581" s="89">
        <v>4577</v>
      </c>
      <c r="C4581" s="39">
        <f t="shared" si="143"/>
        <v>157992929.59999999</v>
      </c>
      <c r="D4581" s="39">
        <f t="shared" si="142"/>
        <v>151164579</v>
      </c>
    </row>
    <row r="4582" spans="2:4" x14ac:dyDescent="0.25">
      <c r="B4582" s="89">
        <v>4578</v>
      </c>
      <c r="C4582" s="39">
        <f t="shared" si="143"/>
        <v>157992929.59999999</v>
      </c>
      <c r="D4582" s="39">
        <f t="shared" si="142"/>
        <v>151197606</v>
      </c>
    </row>
    <row r="4583" spans="2:4" x14ac:dyDescent="0.25">
      <c r="B4583" s="89">
        <v>4579</v>
      </c>
      <c r="C4583" s="39">
        <f t="shared" si="143"/>
        <v>157992929.59999999</v>
      </c>
      <c r="D4583" s="39">
        <f t="shared" si="142"/>
        <v>151230633</v>
      </c>
    </row>
    <row r="4584" spans="2:4" x14ac:dyDescent="0.25">
      <c r="B4584" s="89">
        <v>4580</v>
      </c>
      <c r="C4584" s="39">
        <f t="shared" si="143"/>
        <v>157992929.59999999</v>
      </c>
      <c r="D4584" s="39">
        <f t="shared" si="142"/>
        <v>151263660</v>
      </c>
    </row>
    <row r="4585" spans="2:4" x14ac:dyDescent="0.25">
      <c r="B4585" s="89">
        <v>4581</v>
      </c>
      <c r="C4585" s="39">
        <f t="shared" si="143"/>
        <v>157992929.59999999</v>
      </c>
      <c r="D4585" s="39">
        <f t="shared" si="142"/>
        <v>151296687</v>
      </c>
    </row>
    <row r="4586" spans="2:4" x14ac:dyDescent="0.25">
      <c r="B4586" s="89">
        <v>4582</v>
      </c>
      <c r="C4586" s="39">
        <f t="shared" si="143"/>
        <v>157992929.59999999</v>
      </c>
      <c r="D4586" s="39">
        <f t="shared" si="142"/>
        <v>151329714</v>
      </c>
    </row>
    <row r="4587" spans="2:4" x14ac:dyDescent="0.25">
      <c r="B4587" s="89">
        <v>4583</v>
      </c>
      <c r="C4587" s="39">
        <f t="shared" si="143"/>
        <v>157992929.59999999</v>
      </c>
      <c r="D4587" s="39">
        <f t="shared" si="142"/>
        <v>151362741</v>
      </c>
    </row>
    <row r="4588" spans="2:4" x14ac:dyDescent="0.25">
      <c r="B4588" s="89">
        <v>4584</v>
      </c>
      <c r="C4588" s="39">
        <f t="shared" si="143"/>
        <v>157992929.59999999</v>
      </c>
      <c r="D4588" s="39">
        <f t="shared" si="142"/>
        <v>151395768</v>
      </c>
    </row>
    <row r="4589" spans="2:4" x14ac:dyDescent="0.25">
      <c r="B4589" s="89">
        <v>4585</v>
      </c>
      <c r="C4589" s="39">
        <f t="shared" si="143"/>
        <v>157992929.59999999</v>
      </c>
      <c r="D4589" s="39">
        <f t="shared" si="142"/>
        <v>151428795</v>
      </c>
    </row>
    <row r="4590" spans="2:4" x14ac:dyDescent="0.25">
      <c r="B4590" s="89">
        <v>4586</v>
      </c>
      <c r="C4590" s="39">
        <f t="shared" si="143"/>
        <v>157992929.59999999</v>
      </c>
      <c r="D4590" s="39">
        <f t="shared" si="142"/>
        <v>151461822</v>
      </c>
    </row>
    <row r="4591" spans="2:4" x14ac:dyDescent="0.25">
      <c r="B4591" s="89">
        <v>4587</v>
      </c>
      <c r="C4591" s="39">
        <f t="shared" si="143"/>
        <v>157992929.59999999</v>
      </c>
      <c r="D4591" s="39">
        <f t="shared" si="142"/>
        <v>151494849</v>
      </c>
    </row>
    <row r="4592" spans="2:4" x14ac:dyDescent="0.25">
      <c r="B4592" s="89">
        <v>4588</v>
      </c>
      <c r="C4592" s="39">
        <f t="shared" si="143"/>
        <v>157992929.59999999</v>
      </c>
      <c r="D4592" s="39">
        <f t="shared" si="142"/>
        <v>151527876</v>
      </c>
    </row>
    <row r="4593" spans="2:4" x14ac:dyDescent="0.25">
      <c r="B4593" s="89">
        <v>4589</v>
      </c>
      <c r="C4593" s="39">
        <f t="shared" si="143"/>
        <v>157992929.59999999</v>
      </c>
      <c r="D4593" s="39">
        <f t="shared" ref="D4593:D4656" si="144">$D$2*B4593</f>
        <v>151560903</v>
      </c>
    </row>
    <row r="4594" spans="2:4" x14ac:dyDescent="0.25">
      <c r="B4594" s="89">
        <v>4590</v>
      </c>
      <c r="C4594" s="39">
        <f t="shared" si="143"/>
        <v>157992929.59999999</v>
      </c>
      <c r="D4594" s="39">
        <f t="shared" si="144"/>
        <v>151593930</v>
      </c>
    </row>
    <row r="4595" spans="2:4" x14ac:dyDescent="0.25">
      <c r="B4595" s="89">
        <v>4591</v>
      </c>
      <c r="C4595" s="39">
        <f t="shared" si="143"/>
        <v>157992929.59999999</v>
      </c>
      <c r="D4595" s="39">
        <f t="shared" si="144"/>
        <v>151626957</v>
      </c>
    </row>
    <row r="4596" spans="2:4" x14ac:dyDescent="0.25">
      <c r="B4596" s="89">
        <v>4592</v>
      </c>
      <c r="C4596" s="39">
        <f t="shared" si="143"/>
        <v>157992929.59999999</v>
      </c>
      <c r="D4596" s="39">
        <f t="shared" si="144"/>
        <v>151659984</v>
      </c>
    </row>
    <row r="4597" spans="2:4" x14ac:dyDescent="0.25">
      <c r="B4597" s="89">
        <v>4593</v>
      </c>
      <c r="C4597" s="39">
        <f t="shared" si="143"/>
        <v>157992929.59999999</v>
      </c>
      <c r="D4597" s="39">
        <f t="shared" si="144"/>
        <v>151693011</v>
      </c>
    </row>
    <row r="4598" spans="2:4" x14ac:dyDescent="0.25">
      <c r="B4598" s="89">
        <v>4594</v>
      </c>
      <c r="C4598" s="39">
        <f t="shared" si="143"/>
        <v>157992929.59999999</v>
      </c>
      <c r="D4598" s="39">
        <f t="shared" si="144"/>
        <v>151726038</v>
      </c>
    </row>
    <row r="4599" spans="2:4" x14ac:dyDescent="0.25">
      <c r="B4599" s="89">
        <v>4595</v>
      </c>
      <c r="C4599" s="39">
        <f t="shared" si="143"/>
        <v>157992929.59999999</v>
      </c>
      <c r="D4599" s="39">
        <f t="shared" si="144"/>
        <v>151759065</v>
      </c>
    </row>
    <row r="4600" spans="2:4" x14ac:dyDescent="0.25">
      <c r="B4600" s="89">
        <v>4596</v>
      </c>
      <c r="C4600" s="39">
        <f t="shared" si="143"/>
        <v>157992929.59999999</v>
      </c>
      <c r="D4600" s="39">
        <f t="shared" si="144"/>
        <v>151792092</v>
      </c>
    </row>
    <row r="4601" spans="2:4" x14ac:dyDescent="0.25">
      <c r="B4601" s="89">
        <v>4597</v>
      </c>
      <c r="C4601" s="39">
        <f t="shared" si="143"/>
        <v>157992929.59999999</v>
      </c>
      <c r="D4601" s="39">
        <f t="shared" si="144"/>
        <v>151825119</v>
      </c>
    </row>
    <row r="4602" spans="2:4" x14ac:dyDescent="0.25">
      <c r="B4602" s="89">
        <v>4598</v>
      </c>
      <c r="C4602" s="39">
        <f t="shared" si="143"/>
        <v>157992929.59999999</v>
      </c>
      <c r="D4602" s="39">
        <f t="shared" si="144"/>
        <v>151858146</v>
      </c>
    </row>
    <row r="4603" spans="2:4" x14ac:dyDescent="0.25">
      <c r="B4603" s="89">
        <v>4599</v>
      </c>
      <c r="C4603" s="39">
        <f t="shared" si="143"/>
        <v>157992929.59999999</v>
      </c>
      <c r="D4603" s="39">
        <f t="shared" si="144"/>
        <v>151891173</v>
      </c>
    </row>
    <row r="4604" spans="2:4" x14ac:dyDescent="0.25">
      <c r="B4604" s="89">
        <v>4600</v>
      </c>
      <c r="C4604" s="39">
        <f t="shared" si="143"/>
        <v>157992929.59999999</v>
      </c>
      <c r="D4604" s="39">
        <f t="shared" si="144"/>
        <v>151924200</v>
      </c>
    </row>
    <row r="4605" spans="2:4" x14ac:dyDescent="0.25">
      <c r="B4605" s="89">
        <v>4601</v>
      </c>
      <c r="C4605" s="39">
        <f t="shared" si="143"/>
        <v>157992929.59999999</v>
      </c>
      <c r="D4605" s="39">
        <f t="shared" si="144"/>
        <v>151957227</v>
      </c>
    </row>
    <row r="4606" spans="2:4" x14ac:dyDescent="0.25">
      <c r="B4606" s="89">
        <v>4602</v>
      </c>
      <c r="C4606" s="39">
        <f t="shared" si="143"/>
        <v>157992929.59999999</v>
      </c>
      <c r="D4606" s="39">
        <f t="shared" si="144"/>
        <v>151990254</v>
      </c>
    </row>
    <row r="4607" spans="2:4" x14ac:dyDescent="0.25">
      <c r="B4607" s="89">
        <v>4603</v>
      </c>
      <c r="C4607" s="39">
        <f t="shared" si="143"/>
        <v>157992929.59999999</v>
      </c>
      <c r="D4607" s="39">
        <f t="shared" si="144"/>
        <v>152023281</v>
      </c>
    </row>
    <row r="4608" spans="2:4" x14ac:dyDescent="0.25">
      <c r="B4608" s="89">
        <v>4604</v>
      </c>
      <c r="C4608" s="39">
        <f t="shared" si="143"/>
        <v>157992929.59999999</v>
      </c>
      <c r="D4608" s="39">
        <f t="shared" si="144"/>
        <v>152056308</v>
      </c>
    </row>
    <row r="4609" spans="2:4" x14ac:dyDescent="0.25">
      <c r="B4609" s="89">
        <v>4605</v>
      </c>
      <c r="C4609" s="39">
        <f t="shared" si="143"/>
        <v>157992929.59999999</v>
      </c>
      <c r="D4609" s="39">
        <f t="shared" si="144"/>
        <v>152089335</v>
      </c>
    </row>
    <row r="4610" spans="2:4" x14ac:dyDescent="0.25">
      <c r="B4610" s="89">
        <v>4606</v>
      </c>
      <c r="C4610" s="39">
        <f t="shared" si="143"/>
        <v>157992929.59999999</v>
      </c>
      <c r="D4610" s="39">
        <f t="shared" si="144"/>
        <v>152122362</v>
      </c>
    </row>
    <row r="4611" spans="2:4" x14ac:dyDescent="0.25">
      <c r="B4611" s="89">
        <v>4607</v>
      </c>
      <c r="C4611" s="39">
        <f t="shared" si="143"/>
        <v>157992929.59999999</v>
      </c>
      <c r="D4611" s="39">
        <f t="shared" si="144"/>
        <v>152155389</v>
      </c>
    </row>
    <row r="4612" spans="2:4" x14ac:dyDescent="0.25">
      <c r="B4612" s="89">
        <v>4608</v>
      </c>
      <c r="C4612" s="39">
        <f t="shared" si="143"/>
        <v>157992929.59999999</v>
      </c>
      <c r="D4612" s="39">
        <f t="shared" si="144"/>
        <v>152188416</v>
      </c>
    </row>
    <row r="4613" spans="2:4" x14ac:dyDescent="0.25">
      <c r="B4613" s="89">
        <v>4609</v>
      </c>
      <c r="C4613" s="39">
        <f t="shared" si="143"/>
        <v>157992929.59999999</v>
      </c>
      <c r="D4613" s="39">
        <f t="shared" si="144"/>
        <v>152221443</v>
      </c>
    </row>
    <row r="4614" spans="2:4" x14ac:dyDescent="0.25">
      <c r="B4614" s="89">
        <v>4610</v>
      </c>
      <c r="C4614" s="39">
        <f t="shared" ref="C4614:C4677" si="145">$C4613</f>
        <v>157992929.59999999</v>
      </c>
      <c r="D4614" s="39">
        <f t="shared" si="144"/>
        <v>152254470</v>
      </c>
    </row>
    <row r="4615" spans="2:4" x14ac:dyDescent="0.25">
      <c r="B4615" s="89">
        <v>4611</v>
      </c>
      <c r="C4615" s="39">
        <f t="shared" si="145"/>
        <v>157992929.59999999</v>
      </c>
      <c r="D4615" s="39">
        <f t="shared" si="144"/>
        <v>152287497</v>
      </c>
    </row>
    <row r="4616" spans="2:4" x14ac:dyDescent="0.25">
      <c r="B4616" s="89">
        <v>4612</v>
      </c>
      <c r="C4616" s="39">
        <f t="shared" si="145"/>
        <v>157992929.59999999</v>
      </c>
      <c r="D4616" s="39">
        <f t="shared" si="144"/>
        <v>152320524</v>
      </c>
    </row>
    <row r="4617" spans="2:4" x14ac:dyDescent="0.25">
      <c r="B4617" s="89">
        <v>4613</v>
      </c>
      <c r="C4617" s="39">
        <f t="shared" si="145"/>
        <v>157992929.59999999</v>
      </c>
      <c r="D4617" s="39">
        <f t="shared" si="144"/>
        <v>152353551</v>
      </c>
    </row>
    <row r="4618" spans="2:4" x14ac:dyDescent="0.25">
      <c r="B4618" s="89">
        <v>4614</v>
      </c>
      <c r="C4618" s="39">
        <f t="shared" si="145"/>
        <v>157992929.59999999</v>
      </c>
      <c r="D4618" s="39">
        <f t="shared" si="144"/>
        <v>152386578</v>
      </c>
    </row>
    <row r="4619" spans="2:4" x14ac:dyDescent="0.25">
      <c r="B4619" s="89">
        <v>4615</v>
      </c>
      <c r="C4619" s="39">
        <f t="shared" si="145"/>
        <v>157992929.59999999</v>
      </c>
      <c r="D4619" s="39">
        <f t="shared" si="144"/>
        <v>152419605</v>
      </c>
    </row>
    <row r="4620" spans="2:4" x14ac:dyDescent="0.25">
      <c r="B4620" s="89">
        <v>4616</v>
      </c>
      <c r="C4620" s="39">
        <f t="shared" si="145"/>
        <v>157992929.59999999</v>
      </c>
      <c r="D4620" s="39">
        <f t="shared" si="144"/>
        <v>152452632</v>
      </c>
    </row>
    <row r="4621" spans="2:4" x14ac:dyDescent="0.25">
      <c r="B4621" s="89">
        <v>4617</v>
      </c>
      <c r="C4621" s="39">
        <f t="shared" si="145"/>
        <v>157992929.59999999</v>
      </c>
      <c r="D4621" s="39">
        <f t="shared" si="144"/>
        <v>152485659</v>
      </c>
    </row>
    <row r="4622" spans="2:4" x14ac:dyDescent="0.25">
      <c r="B4622" s="89">
        <v>4618</v>
      </c>
      <c r="C4622" s="39">
        <f t="shared" si="145"/>
        <v>157992929.59999999</v>
      </c>
      <c r="D4622" s="39">
        <f t="shared" si="144"/>
        <v>152518686</v>
      </c>
    </row>
    <row r="4623" spans="2:4" x14ac:dyDescent="0.25">
      <c r="B4623" s="89">
        <v>4619</v>
      </c>
      <c r="C4623" s="39">
        <f t="shared" si="145"/>
        <v>157992929.59999999</v>
      </c>
      <c r="D4623" s="39">
        <f t="shared" si="144"/>
        <v>152551713</v>
      </c>
    </row>
    <row r="4624" spans="2:4" x14ac:dyDescent="0.25">
      <c r="B4624" s="89">
        <v>4620</v>
      </c>
      <c r="C4624" s="39">
        <f t="shared" si="145"/>
        <v>157992929.59999999</v>
      </c>
      <c r="D4624" s="39">
        <f t="shared" si="144"/>
        <v>152584740</v>
      </c>
    </row>
    <row r="4625" spans="2:4" x14ac:dyDescent="0.25">
      <c r="B4625" s="89">
        <v>4621</v>
      </c>
      <c r="C4625" s="39">
        <f t="shared" si="145"/>
        <v>157992929.59999999</v>
      </c>
      <c r="D4625" s="39">
        <f t="shared" si="144"/>
        <v>152617767</v>
      </c>
    </row>
    <row r="4626" spans="2:4" x14ac:dyDescent="0.25">
      <c r="B4626" s="89">
        <v>4622</v>
      </c>
      <c r="C4626" s="39">
        <f t="shared" si="145"/>
        <v>157992929.59999999</v>
      </c>
      <c r="D4626" s="39">
        <f t="shared" si="144"/>
        <v>152650794</v>
      </c>
    </row>
    <row r="4627" spans="2:4" x14ac:dyDescent="0.25">
      <c r="B4627" s="89">
        <v>4623</v>
      </c>
      <c r="C4627" s="39">
        <f t="shared" si="145"/>
        <v>157992929.59999999</v>
      </c>
      <c r="D4627" s="39">
        <f t="shared" si="144"/>
        <v>152683821</v>
      </c>
    </row>
    <row r="4628" spans="2:4" x14ac:dyDescent="0.25">
      <c r="B4628" s="89">
        <v>4624</v>
      </c>
      <c r="C4628" s="39">
        <f t="shared" si="145"/>
        <v>157992929.59999999</v>
      </c>
      <c r="D4628" s="39">
        <f t="shared" si="144"/>
        <v>152716848</v>
      </c>
    </row>
    <row r="4629" spans="2:4" x14ac:dyDescent="0.25">
      <c r="B4629" s="89">
        <v>4625</v>
      </c>
      <c r="C4629" s="39">
        <f t="shared" si="145"/>
        <v>157992929.59999999</v>
      </c>
      <c r="D4629" s="39">
        <f t="shared" si="144"/>
        <v>152749875</v>
      </c>
    </row>
    <row r="4630" spans="2:4" x14ac:dyDescent="0.25">
      <c r="B4630" s="89">
        <v>4626</v>
      </c>
      <c r="C4630" s="39">
        <f t="shared" si="145"/>
        <v>157992929.59999999</v>
      </c>
      <c r="D4630" s="39">
        <f t="shared" si="144"/>
        <v>152782902</v>
      </c>
    </row>
    <row r="4631" spans="2:4" x14ac:dyDescent="0.25">
      <c r="B4631" s="89">
        <v>4627</v>
      </c>
      <c r="C4631" s="39">
        <f t="shared" si="145"/>
        <v>157992929.59999999</v>
      </c>
      <c r="D4631" s="39">
        <f t="shared" si="144"/>
        <v>152815929</v>
      </c>
    </row>
    <row r="4632" spans="2:4" x14ac:dyDescent="0.25">
      <c r="B4632" s="89">
        <v>4628</v>
      </c>
      <c r="C4632" s="39">
        <f t="shared" si="145"/>
        <v>157992929.59999999</v>
      </c>
      <c r="D4632" s="39">
        <f t="shared" si="144"/>
        <v>152848956</v>
      </c>
    </row>
    <row r="4633" spans="2:4" x14ac:dyDescent="0.25">
      <c r="B4633" s="89">
        <v>4629</v>
      </c>
      <c r="C4633" s="39">
        <f t="shared" si="145"/>
        <v>157992929.59999999</v>
      </c>
      <c r="D4633" s="39">
        <f t="shared" si="144"/>
        <v>152881983</v>
      </c>
    </row>
    <row r="4634" spans="2:4" x14ac:dyDescent="0.25">
      <c r="B4634" s="89">
        <v>4630</v>
      </c>
      <c r="C4634" s="39">
        <f t="shared" si="145"/>
        <v>157992929.59999999</v>
      </c>
      <c r="D4634" s="39">
        <f t="shared" si="144"/>
        <v>152915010</v>
      </c>
    </row>
    <row r="4635" spans="2:4" x14ac:dyDescent="0.25">
      <c r="B4635" s="89">
        <v>4631</v>
      </c>
      <c r="C4635" s="39">
        <f t="shared" si="145"/>
        <v>157992929.59999999</v>
      </c>
      <c r="D4635" s="39">
        <f t="shared" si="144"/>
        <v>152948037</v>
      </c>
    </row>
    <row r="4636" spans="2:4" x14ac:dyDescent="0.25">
      <c r="B4636" s="89">
        <v>4632</v>
      </c>
      <c r="C4636" s="39">
        <f t="shared" si="145"/>
        <v>157992929.59999999</v>
      </c>
      <c r="D4636" s="39">
        <f t="shared" si="144"/>
        <v>152981064</v>
      </c>
    </row>
    <row r="4637" spans="2:4" x14ac:dyDescent="0.25">
      <c r="B4637" s="89">
        <v>4633</v>
      </c>
      <c r="C4637" s="39">
        <f t="shared" si="145"/>
        <v>157992929.59999999</v>
      </c>
      <c r="D4637" s="39">
        <f t="shared" si="144"/>
        <v>153014091</v>
      </c>
    </row>
    <row r="4638" spans="2:4" x14ac:dyDescent="0.25">
      <c r="B4638" s="89">
        <v>4634</v>
      </c>
      <c r="C4638" s="39">
        <f t="shared" si="145"/>
        <v>157992929.59999999</v>
      </c>
      <c r="D4638" s="39">
        <f t="shared" si="144"/>
        <v>153047118</v>
      </c>
    </row>
    <row r="4639" spans="2:4" x14ac:dyDescent="0.25">
      <c r="B4639" s="89">
        <v>4635</v>
      </c>
      <c r="C4639" s="39">
        <f t="shared" si="145"/>
        <v>157992929.59999999</v>
      </c>
      <c r="D4639" s="39">
        <f t="shared" si="144"/>
        <v>153080145</v>
      </c>
    </row>
    <row r="4640" spans="2:4" x14ac:dyDescent="0.25">
      <c r="B4640" s="89">
        <v>4636</v>
      </c>
      <c r="C4640" s="39">
        <f t="shared" si="145"/>
        <v>157992929.59999999</v>
      </c>
      <c r="D4640" s="39">
        <f t="shared" si="144"/>
        <v>153113172</v>
      </c>
    </row>
    <row r="4641" spans="2:4" x14ac:dyDescent="0.25">
      <c r="B4641" s="89">
        <v>4637</v>
      </c>
      <c r="C4641" s="39">
        <f t="shared" si="145"/>
        <v>157992929.59999999</v>
      </c>
      <c r="D4641" s="39">
        <f t="shared" si="144"/>
        <v>153146199</v>
      </c>
    </row>
    <row r="4642" spans="2:4" x14ac:dyDescent="0.25">
      <c r="B4642" s="89">
        <v>4638</v>
      </c>
      <c r="C4642" s="39">
        <f t="shared" si="145"/>
        <v>157992929.59999999</v>
      </c>
      <c r="D4642" s="39">
        <f t="shared" si="144"/>
        <v>153179226</v>
      </c>
    </row>
    <row r="4643" spans="2:4" x14ac:dyDescent="0.25">
      <c r="B4643" s="89">
        <v>4639</v>
      </c>
      <c r="C4643" s="39">
        <f t="shared" si="145"/>
        <v>157992929.59999999</v>
      </c>
      <c r="D4643" s="39">
        <f t="shared" si="144"/>
        <v>153212253</v>
      </c>
    </row>
    <row r="4644" spans="2:4" x14ac:dyDescent="0.25">
      <c r="B4644" s="89">
        <v>4640</v>
      </c>
      <c r="C4644" s="39">
        <f t="shared" si="145"/>
        <v>157992929.59999999</v>
      </c>
      <c r="D4644" s="39">
        <f t="shared" si="144"/>
        <v>153245280</v>
      </c>
    </row>
    <row r="4645" spans="2:4" x14ac:dyDescent="0.25">
      <c r="B4645" s="89">
        <v>4641</v>
      </c>
      <c r="C4645" s="39">
        <f t="shared" si="145"/>
        <v>157992929.59999999</v>
      </c>
      <c r="D4645" s="39">
        <f t="shared" si="144"/>
        <v>153278307</v>
      </c>
    </row>
    <row r="4646" spans="2:4" x14ac:dyDescent="0.25">
      <c r="B4646" s="89">
        <v>4642</v>
      </c>
      <c r="C4646" s="39">
        <f t="shared" si="145"/>
        <v>157992929.59999999</v>
      </c>
      <c r="D4646" s="39">
        <f t="shared" si="144"/>
        <v>153311334</v>
      </c>
    </row>
    <row r="4647" spans="2:4" x14ac:dyDescent="0.25">
      <c r="B4647" s="89">
        <v>4643</v>
      </c>
      <c r="C4647" s="39">
        <f t="shared" si="145"/>
        <v>157992929.59999999</v>
      </c>
      <c r="D4647" s="39">
        <f t="shared" si="144"/>
        <v>153344361</v>
      </c>
    </row>
    <row r="4648" spans="2:4" x14ac:dyDescent="0.25">
      <c r="B4648" s="89">
        <v>4644</v>
      </c>
      <c r="C4648" s="39">
        <f t="shared" si="145"/>
        <v>157992929.59999999</v>
      </c>
      <c r="D4648" s="39">
        <f t="shared" si="144"/>
        <v>153377388</v>
      </c>
    </row>
    <row r="4649" spans="2:4" x14ac:dyDescent="0.25">
      <c r="B4649" s="89">
        <v>4645</v>
      </c>
      <c r="C4649" s="39">
        <f t="shared" si="145"/>
        <v>157992929.59999999</v>
      </c>
      <c r="D4649" s="39">
        <f t="shared" si="144"/>
        <v>153410415</v>
      </c>
    </row>
    <row r="4650" spans="2:4" x14ac:dyDescent="0.25">
      <c r="B4650" s="89">
        <v>4646</v>
      </c>
      <c r="C4650" s="39">
        <f t="shared" si="145"/>
        <v>157992929.59999999</v>
      </c>
      <c r="D4650" s="39">
        <f t="shared" si="144"/>
        <v>153443442</v>
      </c>
    </row>
    <row r="4651" spans="2:4" x14ac:dyDescent="0.25">
      <c r="B4651" s="89">
        <v>4647</v>
      </c>
      <c r="C4651" s="39">
        <f t="shared" si="145"/>
        <v>157992929.59999999</v>
      </c>
      <c r="D4651" s="39">
        <f t="shared" si="144"/>
        <v>153476469</v>
      </c>
    </row>
    <row r="4652" spans="2:4" x14ac:dyDescent="0.25">
      <c r="B4652" s="89">
        <v>4648</v>
      </c>
      <c r="C4652" s="39">
        <f t="shared" si="145"/>
        <v>157992929.59999999</v>
      </c>
      <c r="D4652" s="39">
        <f t="shared" si="144"/>
        <v>153509496</v>
      </c>
    </row>
    <row r="4653" spans="2:4" x14ac:dyDescent="0.25">
      <c r="B4653" s="89">
        <v>4649</v>
      </c>
      <c r="C4653" s="39">
        <f t="shared" si="145"/>
        <v>157992929.59999999</v>
      </c>
      <c r="D4653" s="39">
        <f t="shared" si="144"/>
        <v>153542523</v>
      </c>
    </row>
    <row r="4654" spans="2:4" x14ac:dyDescent="0.25">
      <c r="B4654" s="89">
        <v>4650</v>
      </c>
      <c r="C4654" s="39">
        <f t="shared" si="145"/>
        <v>157992929.59999999</v>
      </c>
      <c r="D4654" s="39">
        <f t="shared" si="144"/>
        <v>153575550</v>
      </c>
    </row>
    <row r="4655" spans="2:4" x14ac:dyDescent="0.25">
      <c r="B4655" s="89">
        <v>4651</v>
      </c>
      <c r="C4655" s="39">
        <f t="shared" si="145"/>
        <v>157992929.59999999</v>
      </c>
      <c r="D4655" s="39">
        <f t="shared" si="144"/>
        <v>153608577</v>
      </c>
    </row>
    <row r="4656" spans="2:4" x14ac:dyDescent="0.25">
      <c r="B4656" s="89">
        <v>4652</v>
      </c>
      <c r="C4656" s="39">
        <f t="shared" si="145"/>
        <v>157992929.59999999</v>
      </c>
      <c r="D4656" s="39">
        <f t="shared" si="144"/>
        <v>153641604</v>
      </c>
    </row>
    <row r="4657" spans="2:4" x14ac:dyDescent="0.25">
      <c r="B4657" s="89">
        <v>4653</v>
      </c>
      <c r="C4657" s="39">
        <f t="shared" si="145"/>
        <v>157992929.59999999</v>
      </c>
      <c r="D4657" s="39">
        <f t="shared" ref="D4657:D4720" si="146">$D$2*B4657</f>
        <v>153674631</v>
      </c>
    </row>
    <row r="4658" spans="2:4" x14ac:dyDescent="0.25">
      <c r="B4658" s="89">
        <v>4654</v>
      </c>
      <c r="C4658" s="39">
        <f t="shared" si="145"/>
        <v>157992929.59999999</v>
      </c>
      <c r="D4658" s="39">
        <f t="shared" si="146"/>
        <v>153707658</v>
      </c>
    </row>
    <row r="4659" spans="2:4" x14ac:dyDescent="0.25">
      <c r="B4659" s="89">
        <v>4655</v>
      </c>
      <c r="C4659" s="39">
        <f t="shared" si="145"/>
        <v>157992929.59999999</v>
      </c>
      <c r="D4659" s="39">
        <f t="shared" si="146"/>
        <v>153740685</v>
      </c>
    </row>
    <row r="4660" spans="2:4" x14ac:dyDescent="0.25">
      <c r="B4660" s="89">
        <v>4656</v>
      </c>
      <c r="C4660" s="39">
        <f t="shared" si="145"/>
        <v>157992929.59999999</v>
      </c>
      <c r="D4660" s="39">
        <f t="shared" si="146"/>
        <v>153773712</v>
      </c>
    </row>
    <row r="4661" spans="2:4" x14ac:dyDescent="0.25">
      <c r="B4661" s="89">
        <v>4657</v>
      </c>
      <c r="C4661" s="39">
        <f t="shared" si="145"/>
        <v>157992929.59999999</v>
      </c>
      <c r="D4661" s="39">
        <f t="shared" si="146"/>
        <v>153806739</v>
      </c>
    </row>
    <row r="4662" spans="2:4" x14ac:dyDescent="0.25">
      <c r="B4662" s="89">
        <v>4658</v>
      </c>
      <c r="C4662" s="39">
        <f t="shared" si="145"/>
        <v>157992929.59999999</v>
      </c>
      <c r="D4662" s="39">
        <f t="shared" si="146"/>
        <v>153839766</v>
      </c>
    </row>
    <row r="4663" spans="2:4" x14ac:dyDescent="0.25">
      <c r="B4663" s="89">
        <v>4659</v>
      </c>
      <c r="C4663" s="39">
        <f t="shared" si="145"/>
        <v>157992929.59999999</v>
      </c>
      <c r="D4663" s="39">
        <f t="shared" si="146"/>
        <v>153872793</v>
      </c>
    </row>
    <row r="4664" spans="2:4" x14ac:dyDescent="0.25">
      <c r="B4664" s="89">
        <v>4660</v>
      </c>
      <c r="C4664" s="39">
        <f t="shared" si="145"/>
        <v>157992929.59999999</v>
      </c>
      <c r="D4664" s="39">
        <f t="shared" si="146"/>
        <v>153905820</v>
      </c>
    </row>
    <row r="4665" spans="2:4" x14ac:dyDescent="0.25">
      <c r="B4665" s="89">
        <v>4661</v>
      </c>
      <c r="C4665" s="39">
        <f t="shared" si="145"/>
        <v>157992929.59999999</v>
      </c>
      <c r="D4665" s="39">
        <f t="shared" si="146"/>
        <v>153938847</v>
      </c>
    </row>
    <row r="4666" spans="2:4" x14ac:dyDescent="0.25">
      <c r="B4666" s="89">
        <v>4662</v>
      </c>
      <c r="C4666" s="39">
        <f t="shared" si="145"/>
        <v>157992929.59999999</v>
      </c>
      <c r="D4666" s="39">
        <f t="shared" si="146"/>
        <v>153971874</v>
      </c>
    </row>
    <row r="4667" spans="2:4" x14ac:dyDescent="0.25">
      <c r="B4667" s="89">
        <v>4663</v>
      </c>
      <c r="C4667" s="39">
        <f t="shared" si="145"/>
        <v>157992929.59999999</v>
      </c>
      <c r="D4667" s="39">
        <f t="shared" si="146"/>
        <v>154004901</v>
      </c>
    </row>
    <row r="4668" spans="2:4" x14ac:dyDescent="0.25">
      <c r="B4668" s="89">
        <v>4664</v>
      </c>
      <c r="C4668" s="39">
        <f t="shared" si="145"/>
        <v>157992929.59999999</v>
      </c>
      <c r="D4668" s="39">
        <f t="shared" si="146"/>
        <v>154037928</v>
      </c>
    </row>
    <row r="4669" spans="2:4" x14ac:dyDescent="0.25">
      <c r="B4669" s="89">
        <v>4665</v>
      </c>
      <c r="C4669" s="39">
        <f t="shared" si="145"/>
        <v>157992929.59999999</v>
      </c>
      <c r="D4669" s="39">
        <f t="shared" si="146"/>
        <v>154070955</v>
      </c>
    </row>
    <row r="4670" spans="2:4" x14ac:dyDescent="0.25">
      <c r="B4670" s="89">
        <v>4666</v>
      </c>
      <c r="C4670" s="39">
        <f t="shared" si="145"/>
        <v>157992929.59999999</v>
      </c>
      <c r="D4670" s="39">
        <f t="shared" si="146"/>
        <v>154103982</v>
      </c>
    </row>
    <row r="4671" spans="2:4" x14ac:dyDescent="0.25">
      <c r="B4671" s="89">
        <v>4667</v>
      </c>
      <c r="C4671" s="39">
        <f t="shared" si="145"/>
        <v>157992929.59999999</v>
      </c>
      <c r="D4671" s="39">
        <f t="shared" si="146"/>
        <v>154137009</v>
      </c>
    </row>
    <row r="4672" spans="2:4" x14ac:dyDescent="0.25">
      <c r="B4672" s="89">
        <v>4668</v>
      </c>
      <c r="C4672" s="39">
        <f t="shared" si="145"/>
        <v>157992929.59999999</v>
      </c>
      <c r="D4672" s="39">
        <f t="shared" si="146"/>
        <v>154170036</v>
      </c>
    </row>
    <row r="4673" spans="2:4" x14ac:dyDescent="0.25">
      <c r="B4673" s="89">
        <v>4669</v>
      </c>
      <c r="C4673" s="39">
        <f t="shared" si="145"/>
        <v>157992929.59999999</v>
      </c>
      <c r="D4673" s="39">
        <f t="shared" si="146"/>
        <v>154203063</v>
      </c>
    </row>
    <row r="4674" spans="2:4" x14ac:dyDescent="0.25">
      <c r="B4674" s="89">
        <v>4670</v>
      </c>
      <c r="C4674" s="39">
        <f t="shared" si="145"/>
        <v>157992929.59999999</v>
      </c>
      <c r="D4674" s="39">
        <f t="shared" si="146"/>
        <v>154236090</v>
      </c>
    </row>
    <row r="4675" spans="2:4" x14ac:dyDescent="0.25">
      <c r="B4675" s="89">
        <v>4671</v>
      </c>
      <c r="C4675" s="39">
        <f t="shared" si="145"/>
        <v>157992929.59999999</v>
      </c>
      <c r="D4675" s="39">
        <f t="shared" si="146"/>
        <v>154269117</v>
      </c>
    </row>
    <row r="4676" spans="2:4" x14ac:dyDescent="0.25">
      <c r="B4676" s="89">
        <v>4672</v>
      </c>
      <c r="C4676" s="39">
        <f t="shared" si="145"/>
        <v>157992929.59999999</v>
      </c>
      <c r="D4676" s="39">
        <f t="shared" si="146"/>
        <v>154302144</v>
      </c>
    </row>
    <row r="4677" spans="2:4" x14ac:dyDescent="0.25">
      <c r="B4677" s="89">
        <v>4673</v>
      </c>
      <c r="C4677" s="39">
        <f t="shared" si="145"/>
        <v>157992929.59999999</v>
      </c>
      <c r="D4677" s="39">
        <f t="shared" si="146"/>
        <v>154335171</v>
      </c>
    </row>
    <row r="4678" spans="2:4" x14ac:dyDescent="0.25">
      <c r="B4678" s="89">
        <v>4674</v>
      </c>
      <c r="C4678" s="39">
        <f t="shared" ref="C4678:C4741" si="147">$C4677</f>
        <v>157992929.59999999</v>
      </c>
      <c r="D4678" s="39">
        <f t="shared" si="146"/>
        <v>154368198</v>
      </c>
    </row>
    <row r="4679" spans="2:4" x14ac:dyDescent="0.25">
      <c r="B4679" s="89">
        <v>4675</v>
      </c>
      <c r="C4679" s="39">
        <f t="shared" si="147"/>
        <v>157992929.59999999</v>
      </c>
      <c r="D4679" s="39">
        <f t="shared" si="146"/>
        <v>154401225</v>
      </c>
    </row>
    <row r="4680" spans="2:4" x14ac:dyDescent="0.25">
      <c r="B4680" s="89">
        <v>4676</v>
      </c>
      <c r="C4680" s="39">
        <f t="shared" si="147"/>
        <v>157992929.59999999</v>
      </c>
      <c r="D4680" s="39">
        <f t="shared" si="146"/>
        <v>154434252</v>
      </c>
    </row>
    <row r="4681" spans="2:4" x14ac:dyDescent="0.25">
      <c r="B4681" s="89">
        <v>4677</v>
      </c>
      <c r="C4681" s="39">
        <f t="shared" si="147"/>
        <v>157992929.59999999</v>
      </c>
      <c r="D4681" s="39">
        <f t="shared" si="146"/>
        <v>154467279</v>
      </c>
    </row>
    <row r="4682" spans="2:4" x14ac:dyDescent="0.25">
      <c r="B4682" s="89">
        <v>4678</v>
      </c>
      <c r="C4682" s="39">
        <f t="shared" si="147"/>
        <v>157992929.59999999</v>
      </c>
      <c r="D4682" s="39">
        <f t="shared" si="146"/>
        <v>154500306</v>
      </c>
    </row>
    <row r="4683" spans="2:4" x14ac:dyDescent="0.25">
      <c r="B4683" s="89">
        <v>4679</v>
      </c>
      <c r="C4683" s="39">
        <f t="shared" si="147"/>
        <v>157992929.59999999</v>
      </c>
      <c r="D4683" s="39">
        <f t="shared" si="146"/>
        <v>154533333</v>
      </c>
    </row>
    <row r="4684" spans="2:4" x14ac:dyDescent="0.25">
      <c r="B4684" s="89">
        <v>4680</v>
      </c>
      <c r="C4684" s="39">
        <f t="shared" si="147"/>
        <v>157992929.59999999</v>
      </c>
      <c r="D4684" s="39">
        <f t="shared" si="146"/>
        <v>154566360</v>
      </c>
    </row>
    <row r="4685" spans="2:4" x14ac:dyDescent="0.25">
      <c r="B4685" s="89">
        <v>4681</v>
      </c>
      <c r="C4685" s="39">
        <f t="shared" si="147"/>
        <v>157992929.59999999</v>
      </c>
      <c r="D4685" s="39">
        <f t="shared" si="146"/>
        <v>154599387</v>
      </c>
    </row>
    <row r="4686" spans="2:4" x14ac:dyDescent="0.25">
      <c r="B4686" s="89">
        <v>4682</v>
      </c>
      <c r="C4686" s="39">
        <f t="shared" si="147"/>
        <v>157992929.59999999</v>
      </c>
      <c r="D4686" s="39">
        <f t="shared" si="146"/>
        <v>154632414</v>
      </c>
    </row>
    <row r="4687" spans="2:4" x14ac:dyDescent="0.25">
      <c r="B4687" s="89">
        <v>4683</v>
      </c>
      <c r="C4687" s="39">
        <f t="shared" si="147"/>
        <v>157992929.59999999</v>
      </c>
      <c r="D4687" s="39">
        <f t="shared" si="146"/>
        <v>154665441</v>
      </c>
    </row>
    <row r="4688" spans="2:4" x14ac:dyDescent="0.25">
      <c r="B4688" s="89">
        <v>4684</v>
      </c>
      <c r="C4688" s="39">
        <f t="shared" si="147"/>
        <v>157992929.59999999</v>
      </c>
      <c r="D4688" s="39">
        <f t="shared" si="146"/>
        <v>154698468</v>
      </c>
    </row>
    <row r="4689" spans="2:4" x14ac:dyDescent="0.25">
      <c r="B4689" s="89">
        <v>4685</v>
      </c>
      <c r="C4689" s="39">
        <f t="shared" si="147"/>
        <v>157992929.59999999</v>
      </c>
      <c r="D4689" s="39">
        <f t="shared" si="146"/>
        <v>154731495</v>
      </c>
    </row>
    <row r="4690" spans="2:4" x14ac:dyDescent="0.25">
      <c r="B4690" s="89">
        <v>4686</v>
      </c>
      <c r="C4690" s="39">
        <f t="shared" si="147"/>
        <v>157992929.59999999</v>
      </c>
      <c r="D4690" s="39">
        <f t="shared" si="146"/>
        <v>154764522</v>
      </c>
    </row>
    <row r="4691" spans="2:4" x14ac:dyDescent="0.25">
      <c r="B4691" s="89">
        <v>4687</v>
      </c>
      <c r="C4691" s="39">
        <f t="shared" si="147"/>
        <v>157992929.59999999</v>
      </c>
      <c r="D4691" s="39">
        <f t="shared" si="146"/>
        <v>154797549</v>
      </c>
    </row>
    <row r="4692" spans="2:4" x14ac:dyDescent="0.25">
      <c r="B4692" s="89">
        <v>4688</v>
      </c>
      <c r="C4692" s="39">
        <f t="shared" si="147"/>
        <v>157992929.59999999</v>
      </c>
      <c r="D4692" s="39">
        <f t="shared" si="146"/>
        <v>154830576</v>
      </c>
    </row>
    <row r="4693" spans="2:4" x14ac:dyDescent="0.25">
      <c r="B4693" s="89">
        <v>4689</v>
      </c>
      <c r="C4693" s="39">
        <f t="shared" si="147"/>
        <v>157992929.59999999</v>
      </c>
      <c r="D4693" s="39">
        <f t="shared" si="146"/>
        <v>154863603</v>
      </c>
    </row>
    <row r="4694" spans="2:4" x14ac:dyDescent="0.25">
      <c r="B4694" s="89">
        <v>4690</v>
      </c>
      <c r="C4694" s="39">
        <f t="shared" si="147"/>
        <v>157992929.59999999</v>
      </c>
      <c r="D4694" s="39">
        <f t="shared" si="146"/>
        <v>154896630</v>
      </c>
    </row>
    <row r="4695" spans="2:4" x14ac:dyDescent="0.25">
      <c r="B4695" s="89">
        <v>4691</v>
      </c>
      <c r="C4695" s="39">
        <f t="shared" si="147"/>
        <v>157992929.59999999</v>
      </c>
      <c r="D4695" s="39">
        <f t="shared" si="146"/>
        <v>154929657</v>
      </c>
    </row>
    <row r="4696" spans="2:4" x14ac:dyDescent="0.25">
      <c r="B4696" s="89">
        <v>4692</v>
      </c>
      <c r="C4696" s="39">
        <f t="shared" si="147"/>
        <v>157992929.59999999</v>
      </c>
      <c r="D4696" s="39">
        <f t="shared" si="146"/>
        <v>154962684</v>
      </c>
    </row>
    <row r="4697" spans="2:4" x14ac:dyDescent="0.25">
      <c r="B4697" s="89">
        <v>4693</v>
      </c>
      <c r="C4697" s="39">
        <f t="shared" si="147"/>
        <v>157992929.59999999</v>
      </c>
      <c r="D4697" s="39">
        <f t="shared" si="146"/>
        <v>154995711</v>
      </c>
    </row>
    <row r="4698" spans="2:4" x14ac:dyDescent="0.25">
      <c r="B4698" s="89">
        <v>4694</v>
      </c>
      <c r="C4698" s="39">
        <f t="shared" si="147"/>
        <v>157992929.59999999</v>
      </c>
      <c r="D4698" s="39">
        <f t="shared" si="146"/>
        <v>155028738</v>
      </c>
    </row>
    <row r="4699" spans="2:4" x14ac:dyDescent="0.25">
      <c r="B4699" s="89">
        <v>4695</v>
      </c>
      <c r="C4699" s="39">
        <f t="shared" si="147"/>
        <v>157992929.59999999</v>
      </c>
      <c r="D4699" s="39">
        <f t="shared" si="146"/>
        <v>155061765</v>
      </c>
    </row>
    <row r="4700" spans="2:4" x14ac:dyDescent="0.25">
      <c r="B4700" s="89">
        <v>4696</v>
      </c>
      <c r="C4700" s="39">
        <f t="shared" si="147"/>
        <v>157992929.59999999</v>
      </c>
      <c r="D4700" s="39">
        <f t="shared" si="146"/>
        <v>155094792</v>
      </c>
    </row>
    <row r="4701" spans="2:4" x14ac:dyDescent="0.25">
      <c r="B4701" s="89">
        <v>4697</v>
      </c>
      <c r="C4701" s="39">
        <f t="shared" si="147"/>
        <v>157992929.59999999</v>
      </c>
      <c r="D4701" s="39">
        <f t="shared" si="146"/>
        <v>155127819</v>
      </c>
    </row>
    <row r="4702" spans="2:4" x14ac:dyDescent="0.25">
      <c r="B4702" s="89">
        <v>4698</v>
      </c>
      <c r="C4702" s="39">
        <f t="shared" si="147"/>
        <v>157992929.59999999</v>
      </c>
      <c r="D4702" s="39">
        <f t="shared" si="146"/>
        <v>155160846</v>
      </c>
    </row>
    <row r="4703" spans="2:4" x14ac:dyDescent="0.25">
      <c r="B4703" s="89">
        <v>4699</v>
      </c>
      <c r="C4703" s="39">
        <f t="shared" si="147"/>
        <v>157992929.59999999</v>
      </c>
      <c r="D4703" s="39">
        <f t="shared" si="146"/>
        <v>155193873</v>
      </c>
    </row>
    <row r="4704" spans="2:4" x14ac:dyDescent="0.25">
      <c r="B4704" s="89">
        <v>4700</v>
      </c>
      <c r="C4704" s="39">
        <f t="shared" si="147"/>
        <v>157992929.59999999</v>
      </c>
      <c r="D4704" s="39">
        <f t="shared" si="146"/>
        <v>155226900</v>
      </c>
    </row>
    <row r="4705" spans="2:4" x14ac:dyDescent="0.25">
      <c r="B4705" s="89">
        <v>4701</v>
      </c>
      <c r="C4705" s="39">
        <f t="shared" si="147"/>
        <v>157992929.59999999</v>
      </c>
      <c r="D4705" s="39">
        <f t="shared" si="146"/>
        <v>155259927</v>
      </c>
    </row>
    <row r="4706" spans="2:4" x14ac:dyDescent="0.25">
      <c r="B4706" s="89">
        <v>4702</v>
      </c>
      <c r="C4706" s="39">
        <f t="shared" si="147"/>
        <v>157992929.59999999</v>
      </c>
      <c r="D4706" s="39">
        <f t="shared" si="146"/>
        <v>155292954</v>
      </c>
    </row>
    <row r="4707" spans="2:4" x14ac:dyDescent="0.25">
      <c r="B4707" s="89">
        <v>4703</v>
      </c>
      <c r="C4707" s="39">
        <f t="shared" si="147"/>
        <v>157992929.59999999</v>
      </c>
      <c r="D4707" s="39">
        <f t="shared" si="146"/>
        <v>155325981</v>
      </c>
    </row>
    <row r="4708" spans="2:4" x14ac:dyDescent="0.25">
      <c r="B4708" s="89">
        <v>4704</v>
      </c>
      <c r="C4708" s="39">
        <f t="shared" si="147"/>
        <v>157992929.59999999</v>
      </c>
      <c r="D4708" s="39">
        <f t="shared" si="146"/>
        <v>155359008</v>
      </c>
    </row>
    <row r="4709" spans="2:4" x14ac:dyDescent="0.25">
      <c r="B4709" s="89">
        <v>4705</v>
      </c>
      <c r="C4709" s="39">
        <f t="shared" si="147"/>
        <v>157992929.59999999</v>
      </c>
      <c r="D4709" s="39">
        <f t="shared" si="146"/>
        <v>155392035</v>
      </c>
    </row>
    <row r="4710" spans="2:4" x14ac:dyDescent="0.25">
      <c r="B4710" s="89">
        <v>4706</v>
      </c>
      <c r="C4710" s="39">
        <f t="shared" si="147"/>
        <v>157992929.59999999</v>
      </c>
      <c r="D4710" s="39">
        <f t="shared" si="146"/>
        <v>155425062</v>
      </c>
    </row>
    <row r="4711" spans="2:4" x14ac:dyDescent="0.25">
      <c r="B4711" s="89">
        <v>4707</v>
      </c>
      <c r="C4711" s="39">
        <f t="shared" si="147"/>
        <v>157992929.59999999</v>
      </c>
      <c r="D4711" s="39">
        <f t="shared" si="146"/>
        <v>155458089</v>
      </c>
    </row>
    <row r="4712" spans="2:4" x14ac:dyDescent="0.25">
      <c r="B4712" s="89">
        <v>4708</v>
      </c>
      <c r="C4712" s="39">
        <f t="shared" si="147"/>
        <v>157992929.59999999</v>
      </c>
      <c r="D4712" s="39">
        <f t="shared" si="146"/>
        <v>155491116</v>
      </c>
    </row>
    <row r="4713" spans="2:4" x14ac:dyDescent="0.25">
      <c r="B4713" s="89">
        <v>4709</v>
      </c>
      <c r="C4713" s="39">
        <f t="shared" si="147"/>
        <v>157992929.59999999</v>
      </c>
      <c r="D4713" s="39">
        <f t="shared" si="146"/>
        <v>155524143</v>
      </c>
    </row>
    <row r="4714" spans="2:4" x14ac:dyDescent="0.25">
      <c r="B4714" s="89">
        <v>4710</v>
      </c>
      <c r="C4714" s="39">
        <f t="shared" si="147"/>
        <v>157992929.59999999</v>
      </c>
      <c r="D4714" s="39">
        <f t="shared" si="146"/>
        <v>155557170</v>
      </c>
    </row>
    <row r="4715" spans="2:4" x14ac:dyDescent="0.25">
      <c r="B4715" s="89">
        <v>4711</v>
      </c>
      <c r="C4715" s="39">
        <f t="shared" si="147"/>
        <v>157992929.59999999</v>
      </c>
      <c r="D4715" s="39">
        <f t="shared" si="146"/>
        <v>155590197</v>
      </c>
    </row>
    <row r="4716" spans="2:4" x14ac:dyDescent="0.25">
      <c r="B4716" s="89">
        <v>4712</v>
      </c>
      <c r="C4716" s="39">
        <f t="shared" si="147"/>
        <v>157992929.59999999</v>
      </c>
      <c r="D4716" s="39">
        <f t="shared" si="146"/>
        <v>155623224</v>
      </c>
    </row>
    <row r="4717" spans="2:4" x14ac:dyDescent="0.25">
      <c r="B4717" s="89">
        <v>4713</v>
      </c>
      <c r="C4717" s="39">
        <f t="shared" si="147"/>
        <v>157992929.59999999</v>
      </c>
      <c r="D4717" s="39">
        <f t="shared" si="146"/>
        <v>155656251</v>
      </c>
    </row>
    <row r="4718" spans="2:4" x14ac:dyDescent="0.25">
      <c r="B4718" s="89">
        <v>4714</v>
      </c>
      <c r="C4718" s="39">
        <f t="shared" si="147"/>
        <v>157992929.59999999</v>
      </c>
      <c r="D4718" s="39">
        <f t="shared" si="146"/>
        <v>155689278</v>
      </c>
    </row>
    <row r="4719" spans="2:4" x14ac:dyDescent="0.25">
      <c r="B4719" s="89">
        <v>4715</v>
      </c>
      <c r="C4719" s="39">
        <f t="shared" si="147"/>
        <v>157992929.59999999</v>
      </c>
      <c r="D4719" s="39">
        <f t="shared" si="146"/>
        <v>155722305</v>
      </c>
    </row>
    <row r="4720" spans="2:4" x14ac:dyDescent="0.25">
      <c r="B4720" s="89">
        <v>4716</v>
      </c>
      <c r="C4720" s="39">
        <f t="shared" si="147"/>
        <v>157992929.59999999</v>
      </c>
      <c r="D4720" s="39">
        <f t="shared" si="146"/>
        <v>155755332</v>
      </c>
    </row>
    <row r="4721" spans="2:4" x14ac:dyDescent="0.25">
      <c r="B4721" s="89">
        <v>4717</v>
      </c>
      <c r="C4721" s="39">
        <f t="shared" si="147"/>
        <v>157992929.59999999</v>
      </c>
      <c r="D4721" s="39">
        <f t="shared" ref="D4721:D4784" si="148">$D$2*B4721</f>
        <v>155788359</v>
      </c>
    </row>
    <row r="4722" spans="2:4" x14ac:dyDescent="0.25">
      <c r="B4722" s="89">
        <v>4718</v>
      </c>
      <c r="C4722" s="39">
        <f t="shared" si="147"/>
        <v>157992929.59999999</v>
      </c>
      <c r="D4722" s="39">
        <f t="shared" si="148"/>
        <v>155821386</v>
      </c>
    </row>
    <row r="4723" spans="2:4" x14ac:dyDescent="0.25">
      <c r="B4723" s="89">
        <v>4719</v>
      </c>
      <c r="C4723" s="39">
        <f t="shared" si="147"/>
        <v>157992929.59999999</v>
      </c>
      <c r="D4723" s="39">
        <f t="shared" si="148"/>
        <v>155854413</v>
      </c>
    </row>
    <row r="4724" spans="2:4" x14ac:dyDescent="0.25">
      <c r="B4724" s="89">
        <v>4720</v>
      </c>
      <c r="C4724" s="39">
        <f t="shared" si="147"/>
        <v>157992929.59999999</v>
      </c>
      <c r="D4724" s="39">
        <f t="shared" si="148"/>
        <v>155887440</v>
      </c>
    </row>
    <row r="4725" spans="2:4" x14ac:dyDescent="0.25">
      <c r="B4725" s="89">
        <v>4721</v>
      </c>
      <c r="C4725" s="39">
        <f t="shared" si="147"/>
        <v>157992929.59999999</v>
      </c>
      <c r="D4725" s="39">
        <f t="shared" si="148"/>
        <v>155920467</v>
      </c>
    </row>
    <row r="4726" spans="2:4" x14ac:dyDescent="0.25">
      <c r="B4726" s="89">
        <v>4722</v>
      </c>
      <c r="C4726" s="39">
        <f t="shared" si="147"/>
        <v>157992929.59999999</v>
      </c>
      <c r="D4726" s="39">
        <f t="shared" si="148"/>
        <v>155953494</v>
      </c>
    </row>
    <row r="4727" spans="2:4" x14ac:dyDescent="0.25">
      <c r="B4727" s="89">
        <v>4723</v>
      </c>
      <c r="C4727" s="39">
        <f t="shared" si="147"/>
        <v>157992929.59999999</v>
      </c>
      <c r="D4727" s="39">
        <f t="shared" si="148"/>
        <v>155986521</v>
      </c>
    </row>
    <row r="4728" spans="2:4" x14ac:dyDescent="0.25">
      <c r="B4728" s="89">
        <v>4724</v>
      </c>
      <c r="C4728" s="39">
        <f t="shared" si="147"/>
        <v>157992929.59999999</v>
      </c>
      <c r="D4728" s="39">
        <f t="shared" si="148"/>
        <v>156019548</v>
      </c>
    </row>
    <row r="4729" spans="2:4" x14ac:dyDescent="0.25">
      <c r="B4729" s="89">
        <v>4725</v>
      </c>
      <c r="C4729" s="39">
        <f t="shared" si="147"/>
        <v>157992929.59999999</v>
      </c>
      <c r="D4729" s="39">
        <f t="shared" si="148"/>
        <v>156052575</v>
      </c>
    </row>
    <row r="4730" spans="2:4" x14ac:dyDescent="0.25">
      <c r="B4730" s="89">
        <v>4726</v>
      </c>
      <c r="C4730" s="39">
        <f t="shared" si="147"/>
        <v>157992929.59999999</v>
      </c>
      <c r="D4730" s="39">
        <f t="shared" si="148"/>
        <v>156085602</v>
      </c>
    </row>
    <row r="4731" spans="2:4" x14ac:dyDescent="0.25">
      <c r="B4731" s="89">
        <v>4727</v>
      </c>
      <c r="C4731" s="39">
        <f t="shared" si="147"/>
        <v>157992929.59999999</v>
      </c>
      <c r="D4731" s="39">
        <f t="shared" si="148"/>
        <v>156118629</v>
      </c>
    </row>
    <row r="4732" spans="2:4" x14ac:dyDescent="0.25">
      <c r="B4732" s="89">
        <v>4728</v>
      </c>
      <c r="C4732" s="39">
        <f t="shared" si="147"/>
        <v>157992929.59999999</v>
      </c>
      <c r="D4732" s="39">
        <f t="shared" si="148"/>
        <v>156151656</v>
      </c>
    </row>
    <row r="4733" spans="2:4" x14ac:dyDescent="0.25">
      <c r="B4733" s="89">
        <v>4729</v>
      </c>
      <c r="C4733" s="39">
        <f t="shared" si="147"/>
        <v>157992929.59999999</v>
      </c>
      <c r="D4733" s="39">
        <f t="shared" si="148"/>
        <v>156184683</v>
      </c>
    </row>
    <row r="4734" spans="2:4" x14ac:dyDescent="0.25">
      <c r="B4734" s="89">
        <v>4730</v>
      </c>
      <c r="C4734" s="39">
        <f t="shared" si="147"/>
        <v>157992929.59999999</v>
      </c>
      <c r="D4734" s="39">
        <f t="shared" si="148"/>
        <v>156217710</v>
      </c>
    </row>
    <row r="4735" spans="2:4" x14ac:dyDescent="0.25">
      <c r="B4735" s="89">
        <v>4731</v>
      </c>
      <c r="C4735" s="39">
        <f t="shared" si="147"/>
        <v>157992929.59999999</v>
      </c>
      <c r="D4735" s="39">
        <f t="shared" si="148"/>
        <v>156250737</v>
      </c>
    </row>
    <row r="4736" spans="2:4" x14ac:dyDescent="0.25">
      <c r="B4736" s="89">
        <v>4732</v>
      </c>
      <c r="C4736" s="39">
        <f t="shared" si="147"/>
        <v>157992929.59999999</v>
      </c>
      <c r="D4736" s="39">
        <f t="shared" si="148"/>
        <v>156283764</v>
      </c>
    </row>
    <row r="4737" spans="2:4" x14ac:dyDescent="0.25">
      <c r="B4737" s="89">
        <v>4733</v>
      </c>
      <c r="C4737" s="39">
        <f t="shared" si="147"/>
        <v>157992929.59999999</v>
      </c>
      <c r="D4737" s="39">
        <f t="shared" si="148"/>
        <v>156316791</v>
      </c>
    </row>
    <row r="4738" spans="2:4" x14ac:dyDescent="0.25">
      <c r="B4738" s="89">
        <v>4734</v>
      </c>
      <c r="C4738" s="39">
        <f t="shared" si="147"/>
        <v>157992929.59999999</v>
      </c>
      <c r="D4738" s="39">
        <f t="shared" si="148"/>
        <v>156349818</v>
      </c>
    </row>
    <row r="4739" spans="2:4" x14ac:dyDescent="0.25">
      <c r="B4739" s="89">
        <v>4735</v>
      </c>
      <c r="C4739" s="39">
        <f t="shared" si="147"/>
        <v>157992929.59999999</v>
      </c>
      <c r="D4739" s="39">
        <f t="shared" si="148"/>
        <v>156382845</v>
      </c>
    </row>
    <row r="4740" spans="2:4" x14ac:dyDescent="0.25">
      <c r="B4740" s="89">
        <v>4736</v>
      </c>
      <c r="C4740" s="39">
        <f t="shared" si="147"/>
        <v>157992929.59999999</v>
      </c>
      <c r="D4740" s="39">
        <f t="shared" si="148"/>
        <v>156415872</v>
      </c>
    </row>
    <row r="4741" spans="2:4" x14ac:dyDescent="0.25">
      <c r="B4741" s="89">
        <v>4737</v>
      </c>
      <c r="C4741" s="39">
        <f t="shared" si="147"/>
        <v>157992929.59999999</v>
      </c>
      <c r="D4741" s="39">
        <f t="shared" si="148"/>
        <v>156448899</v>
      </c>
    </row>
    <row r="4742" spans="2:4" x14ac:dyDescent="0.25">
      <c r="B4742" s="89">
        <v>4738</v>
      </c>
      <c r="C4742" s="39">
        <f t="shared" ref="C4742:C4805" si="149">$C4741</f>
        <v>157992929.59999999</v>
      </c>
      <c r="D4742" s="39">
        <f t="shared" si="148"/>
        <v>156481926</v>
      </c>
    </row>
    <row r="4743" spans="2:4" x14ac:dyDescent="0.25">
      <c r="B4743" s="89">
        <v>4739</v>
      </c>
      <c r="C4743" s="39">
        <f t="shared" si="149"/>
        <v>157992929.59999999</v>
      </c>
      <c r="D4743" s="39">
        <f t="shared" si="148"/>
        <v>156514953</v>
      </c>
    </row>
    <row r="4744" spans="2:4" x14ac:dyDescent="0.25">
      <c r="B4744" s="89">
        <v>4740</v>
      </c>
      <c r="C4744" s="39">
        <f t="shared" si="149"/>
        <v>157992929.59999999</v>
      </c>
      <c r="D4744" s="39">
        <f t="shared" si="148"/>
        <v>156547980</v>
      </c>
    </row>
    <row r="4745" spans="2:4" x14ac:dyDescent="0.25">
      <c r="B4745" s="89">
        <v>4741</v>
      </c>
      <c r="C4745" s="39">
        <f t="shared" si="149"/>
        <v>157992929.59999999</v>
      </c>
      <c r="D4745" s="39">
        <f t="shared" si="148"/>
        <v>156581007</v>
      </c>
    </row>
    <row r="4746" spans="2:4" x14ac:dyDescent="0.25">
      <c r="B4746" s="89">
        <v>4742</v>
      </c>
      <c r="C4746" s="39">
        <f t="shared" si="149"/>
        <v>157992929.59999999</v>
      </c>
      <c r="D4746" s="39">
        <f t="shared" si="148"/>
        <v>156614034</v>
      </c>
    </row>
    <row r="4747" spans="2:4" x14ac:dyDescent="0.25">
      <c r="B4747" s="89">
        <v>4743</v>
      </c>
      <c r="C4747" s="39">
        <f t="shared" si="149"/>
        <v>157992929.59999999</v>
      </c>
      <c r="D4747" s="39">
        <f t="shared" si="148"/>
        <v>156647061</v>
      </c>
    </row>
    <row r="4748" spans="2:4" x14ac:dyDescent="0.25">
      <c r="B4748" s="89">
        <v>4744</v>
      </c>
      <c r="C4748" s="39">
        <f t="shared" si="149"/>
        <v>157992929.59999999</v>
      </c>
      <c r="D4748" s="39">
        <f t="shared" si="148"/>
        <v>156680088</v>
      </c>
    </row>
    <row r="4749" spans="2:4" x14ac:dyDescent="0.25">
      <c r="B4749" s="89">
        <v>4745</v>
      </c>
      <c r="C4749" s="39">
        <f t="shared" si="149"/>
        <v>157992929.59999999</v>
      </c>
      <c r="D4749" s="39">
        <f t="shared" si="148"/>
        <v>156713115</v>
      </c>
    </row>
    <row r="4750" spans="2:4" x14ac:dyDescent="0.25">
      <c r="B4750" s="89">
        <v>4746</v>
      </c>
      <c r="C4750" s="39">
        <f t="shared" si="149"/>
        <v>157992929.59999999</v>
      </c>
      <c r="D4750" s="39">
        <f t="shared" si="148"/>
        <v>156746142</v>
      </c>
    </row>
    <row r="4751" spans="2:4" x14ac:dyDescent="0.25">
      <c r="B4751" s="89">
        <v>4747</v>
      </c>
      <c r="C4751" s="39">
        <f t="shared" si="149"/>
        <v>157992929.59999999</v>
      </c>
      <c r="D4751" s="39">
        <f t="shared" si="148"/>
        <v>156779169</v>
      </c>
    </row>
    <row r="4752" spans="2:4" x14ac:dyDescent="0.25">
      <c r="B4752" s="89">
        <v>4748</v>
      </c>
      <c r="C4752" s="39">
        <f t="shared" si="149"/>
        <v>157992929.59999999</v>
      </c>
      <c r="D4752" s="39">
        <f t="shared" si="148"/>
        <v>156812196</v>
      </c>
    </row>
    <row r="4753" spans="2:4" x14ac:dyDescent="0.25">
      <c r="B4753" s="89">
        <v>4749</v>
      </c>
      <c r="C4753" s="39">
        <f t="shared" si="149"/>
        <v>157992929.59999999</v>
      </c>
      <c r="D4753" s="39">
        <f t="shared" si="148"/>
        <v>156845223</v>
      </c>
    </row>
    <row r="4754" spans="2:4" x14ac:dyDescent="0.25">
      <c r="B4754" s="89">
        <v>4750</v>
      </c>
      <c r="C4754" s="39">
        <f t="shared" si="149"/>
        <v>157992929.59999999</v>
      </c>
      <c r="D4754" s="39">
        <f t="shared" si="148"/>
        <v>156878250</v>
      </c>
    </row>
    <row r="4755" spans="2:4" x14ac:dyDescent="0.25">
      <c r="B4755" s="89">
        <v>4751</v>
      </c>
      <c r="C4755" s="39">
        <f t="shared" si="149"/>
        <v>157992929.59999999</v>
      </c>
      <c r="D4755" s="39">
        <f t="shared" si="148"/>
        <v>156911277</v>
      </c>
    </row>
    <row r="4756" spans="2:4" x14ac:dyDescent="0.25">
      <c r="B4756" s="89">
        <v>4752</v>
      </c>
      <c r="C4756" s="39">
        <f t="shared" si="149"/>
        <v>157992929.59999999</v>
      </c>
      <c r="D4756" s="39">
        <f t="shared" si="148"/>
        <v>156944304</v>
      </c>
    </row>
    <row r="4757" spans="2:4" x14ac:dyDescent="0.25">
      <c r="B4757" s="89">
        <v>4753</v>
      </c>
      <c r="C4757" s="39">
        <f t="shared" si="149"/>
        <v>157992929.59999999</v>
      </c>
      <c r="D4757" s="39">
        <f t="shared" si="148"/>
        <v>156977331</v>
      </c>
    </row>
    <row r="4758" spans="2:4" x14ac:dyDescent="0.25">
      <c r="B4758" s="89">
        <v>4754</v>
      </c>
      <c r="C4758" s="39">
        <f t="shared" si="149"/>
        <v>157992929.59999999</v>
      </c>
      <c r="D4758" s="39">
        <f t="shared" si="148"/>
        <v>157010358</v>
      </c>
    </row>
    <row r="4759" spans="2:4" x14ac:dyDescent="0.25">
      <c r="B4759" s="89">
        <v>4755</v>
      </c>
      <c r="C4759" s="39">
        <f t="shared" si="149"/>
        <v>157992929.59999999</v>
      </c>
      <c r="D4759" s="39">
        <f t="shared" si="148"/>
        <v>157043385</v>
      </c>
    </row>
    <row r="4760" spans="2:4" x14ac:dyDescent="0.25">
      <c r="B4760" s="89">
        <v>4756</v>
      </c>
      <c r="C4760" s="39">
        <f t="shared" si="149"/>
        <v>157992929.59999999</v>
      </c>
      <c r="D4760" s="39">
        <f t="shared" si="148"/>
        <v>157076412</v>
      </c>
    </row>
    <row r="4761" spans="2:4" x14ac:dyDescent="0.25">
      <c r="B4761" s="89">
        <v>4757</v>
      </c>
      <c r="C4761" s="39">
        <f t="shared" si="149"/>
        <v>157992929.59999999</v>
      </c>
      <c r="D4761" s="39">
        <f t="shared" si="148"/>
        <v>157109439</v>
      </c>
    </row>
    <row r="4762" spans="2:4" x14ac:dyDescent="0.25">
      <c r="B4762" s="89">
        <v>4758</v>
      </c>
      <c r="C4762" s="39">
        <f t="shared" si="149"/>
        <v>157992929.59999999</v>
      </c>
      <c r="D4762" s="39">
        <f t="shared" si="148"/>
        <v>157142466</v>
      </c>
    </row>
    <row r="4763" spans="2:4" x14ac:dyDescent="0.25">
      <c r="B4763" s="89">
        <v>4759</v>
      </c>
      <c r="C4763" s="39">
        <f t="shared" si="149"/>
        <v>157992929.59999999</v>
      </c>
      <c r="D4763" s="39">
        <f t="shared" si="148"/>
        <v>157175493</v>
      </c>
    </row>
    <row r="4764" spans="2:4" x14ac:dyDescent="0.25">
      <c r="B4764" s="89">
        <v>4760</v>
      </c>
      <c r="C4764" s="39">
        <f t="shared" si="149"/>
        <v>157992929.59999999</v>
      </c>
      <c r="D4764" s="39">
        <f t="shared" si="148"/>
        <v>157208520</v>
      </c>
    </row>
    <row r="4765" spans="2:4" x14ac:dyDescent="0.25">
      <c r="B4765" s="89">
        <v>4761</v>
      </c>
      <c r="C4765" s="39">
        <f t="shared" si="149"/>
        <v>157992929.59999999</v>
      </c>
      <c r="D4765" s="39">
        <f t="shared" si="148"/>
        <v>157241547</v>
      </c>
    </row>
    <row r="4766" spans="2:4" x14ac:dyDescent="0.25">
      <c r="B4766" s="89">
        <v>4762</v>
      </c>
      <c r="C4766" s="39">
        <f t="shared" si="149"/>
        <v>157992929.59999999</v>
      </c>
      <c r="D4766" s="39">
        <f t="shared" si="148"/>
        <v>157274574</v>
      </c>
    </row>
    <row r="4767" spans="2:4" x14ac:dyDescent="0.25">
      <c r="B4767" s="89">
        <v>4763</v>
      </c>
      <c r="C4767" s="39">
        <f t="shared" si="149"/>
        <v>157992929.59999999</v>
      </c>
      <c r="D4767" s="39">
        <f t="shared" si="148"/>
        <v>157307601</v>
      </c>
    </row>
    <row r="4768" spans="2:4" x14ac:dyDescent="0.25">
      <c r="B4768" s="89">
        <v>4764</v>
      </c>
      <c r="C4768" s="39">
        <f t="shared" si="149"/>
        <v>157992929.59999999</v>
      </c>
      <c r="D4768" s="39">
        <f t="shared" si="148"/>
        <v>157340628</v>
      </c>
    </row>
    <row r="4769" spans="2:4" x14ac:dyDescent="0.25">
      <c r="B4769" s="89">
        <v>4765</v>
      </c>
      <c r="C4769" s="39">
        <f t="shared" si="149"/>
        <v>157992929.59999999</v>
      </c>
      <c r="D4769" s="39">
        <f t="shared" si="148"/>
        <v>157373655</v>
      </c>
    </row>
    <row r="4770" spans="2:4" x14ac:dyDescent="0.25">
      <c r="B4770" s="89">
        <v>4766</v>
      </c>
      <c r="C4770" s="39">
        <f t="shared" si="149"/>
        <v>157992929.59999999</v>
      </c>
      <c r="D4770" s="39">
        <f t="shared" si="148"/>
        <v>157406682</v>
      </c>
    </row>
    <row r="4771" spans="2:4" x14ac:dyDescent="0.25">
      <c r="B4771" s="89">
        <v>4767</v>
      </c>
      <c r="C4771" s="39">
        <f t="shared" si="149"/>
        <v>157992929.59999999</v>
      </c>
      <c r="D4771" s="39">
        <f t="shared" si="148"/>
        <v>157439709</v>
      </c>
    </row>
    <row r="4772" spans="2:4" x14ac:dyDescent="0.25">
      <c r="B4772" s="89">
        <v>4768</v>
      </c>
      <c r="C4772" s="39">
        <f t="shared" si="149"/>
        <v>157992929.59999999</v>
      </c>
      <c r="D4772" s="39">
        <f t="shared" si="148"/>
        <v>157472736</v>
      </c>
    </row>
    <row r="4773" spans="2:4" x14ac:dyDescent="0.25">
      <c r="B4773" s="89">
        <v>4769</v>
      </c>
      <c r="C4773" s="39">
        <f t="shared" si="149"/>
        <v>157992929.59999999</v>
      </c>
      <c r="D4773" s="39">
        <f t="shared" si="148"/>
        <v>157505763</v>
      </c>
    </row>
    <row r="4774" spans="2:4" x14ac:dyDescent="0.25">
      <c r="B4774" s="89">
        <v>4770</v>
      </c>
      <c r="C4774" s="39">
        <f t="shared" si="149"/>
        <v>157992929.59999999</v>
      </c>
      <c r="D4774" s="39">
        <f t="shared" si="148"/>
        <v>157538790</v>
      </c>
    </row>
    <row r="4775" spans="2:4" x14ac:dyDescent="0.25">
      <c r="B4775" s="89">
        <v>4771</v>
      </c>
      <c r="C4775" s="39">
        <f t="shared" si="149"/>
        <v>157992929.59999999</v>
      </c>
      <c r="D4775" s="39">
        <f t="shared" si="148"/>
        <v>157571817</v>
      </c>
    </row>
    <row r="4776" spans="2:4" x14ac:dyDescent="0.25">
      <c r="B4776" s="89">
        <v>4772</v>
      </c>
      <c r="C4776" s="39">
        <f t="shared" si="149"/>
        <v>157992929.59999999</v>
      </c>
      <c r="D4776" s="39">
        <f t="shared" si="148"/>
        <v>157604844</v>
      </c>
    </row>
    <row r="4777" spans="2:4" x14ac:dyDescent="0.25">
      <c r="B4777" s="89">
        <v>4773</v>
      </c>
      <c r="C4777" s="39">
        <f t="shared" si="149"/>
        <v>157992929.59999999</v>
      </c>
      <c r="D4777" s="39">
        <f t="shared" si="148"/>
        <v>157637871</v>
      </c>
    </row>
    <row r="4778" spans="2:4" x14ac:dyDescent="0.25">
      <c r="B4778" s="89">
        <v>4774</v>
      </c>
      <c r="C4778" s="39">
        <f t="shared" si="149"/>
        <v>157992929.59999999</v>
      </c>
      <c r="D4778" s="39">
        <f t="shared" si="148"/>
        <v>157670898</v>
      </c>
    </row>
    <row r="4779" spans="2:4" x14ac:dyDescent="0.25">
      <c r="B4779" s="89">
        <v>4775</v>
      </c>
      <c r="C4779" s="39">
        <f t="shared" si="149"/>
        <v>157992929.59999999</v>
      </c>
      <c r="D4779" s="39">
        <f t="shared" si="148"/>
        <v>157703925</v>
      </c>
    </row>
    <row r="4780" spans="2:4" x14ac:dyDescent="0.25">
      <c r="B4780" s="89">
        <v>4776</v>
      </c>
      <c r="C4780" s="39">
        <f t="shared" si="149"/>
        <v>157992929.59999999</v>
      </c>
      <c r="D4780" s="39">
        <f t="shared" si="148"/>
        <v>157736952</v>
      </c>
    </row>
    <row r="4781" spans="2:4" x14ac:dyDescent="0.25">
      <c r="B4781" s="89">
        <v>4777</v>
      </c>
      <c r="C4781" s="39">
        <f t="shared" si="149"/>
        <v>157992929.59999999</v>
      </c>
      <c r="D4781" s="39">
        <f t="shared" si="148"/>
        <v>157769979</v>
      </c>
    </row>
    <row r="4782" spans="2:4" x14ac:dyDescent="0.25">
      <c r="B4782" s="89">
        <v>4778</v>
      </c>
      <c r="C4782" s="39">
        <f t="shared" si="149"/>
        <v>157992929.59999999</v>
      </c>
      <c r="D4782" s="39">
        <f t="shared" si="148"/>
        <v>157803006</v>
      </c>
    </row>
    <row r="4783" spans="2:4" x14ac:dyDescent="0.25">
      <c r="B4783" s="89">
        <v>4779</v>
      </c>
      <c r="C4783" s="39">
        <f t="shared" si="149"/>
        <v>157992929.59999999</v>
      </c>
      <c r="D4783" s="39">
        <f t="shared" si="148"/>
        <v>157836033</v>
      </c>
    </row>
    <row r="4784" spans="2:4" x14ac:dyDescent="0.25">
      <c r="B4784" s="89">
        <v>4780</v>
      </c>
      <c r="C4784" s="39">
        <f t="shared" si="149"/>
        <v>157992929.59999999</v>
      </c>
      <c r="D4784" s="39">
        <f t="shared" si="148"/>
        <v>157869060</v>
      </c>
    </row>
    <row r="4785" spans="2:4" x14ac:dyDescent="0.25">
      <c r="B4785" s="89">
        <v>4781</v>
      </c>
      <c r="C4785" s="39">
        <f t="shared" si="149"/>
        <v>157992929.59999999</v>
      </c>
      <c r="D4785" s="39">
        <f t="shared" ref="D4785:D4848" si="150">$D$2*B4785</f>
        <v>157902087</v>
      </c>
    </row>
    <row r="4786" spans="2:4" x14ac:dyDescent="0.25">
      <c r="B4786" s="89">
        <v>4782</v>
      </c>
      <c r="C4786" s="39">
        <f t="shared" si="149"/>
        <v>157992929.59999999</v>
      </c>
      <c r="D4786" s="39">
        <f t="shared" si="150"/>
        <v>157935114</v>
      </c>
    </row>
    <row r="4787" spans="2:4" x14ac:dyDescent="0.25">
      <c r="B4787" s="89">
        <v>4783</v>
      </c>
      <c r="C4787" s="39">
        <f t="shared" si="149"/>
        <v>157992929.59999999</v>
      </c>
      <c r="D4787" s="39">
        <f t="shared" si="150"/>
        <v>157968141</v>
      </c>
    </row>
    <row r="4788" spans="2:4" x14ac:dyDescent="0.25">
      <c r="B4788" s="89">
        <v>4784</v>
      </c>
      <c r="C4788" s="39">
        <f t="shared" si="149"/>
        <v>157992929.59999999</v>
      </c>
      <c r="D4788" s="39">
        <f t="shared" si="150"/>
        <v>158001168</v>
      </c>
    </row>
    <row r="4789" spans="2:4" x14ac:dyDescent="0.25">
      <c r="B4789" s="89">
        <v>4785</v>
      </c>
      <c r="C4789" s="39">
        <f t="shared" si="149"/>
        <v>157992929.59999999</v>
      </c>
      <c r="D4789" s="39">
        <f t="shared" si="150"/>
        <v>158034195</v>
      </c>
    </row>
    <row r="4790" spans="2:4" x14ac:dyDescent="0.25">
      <c r="B4790" s="89">
        <v>4786</v>
      </c>
      <c r="C4790" s="39">
        <f t="shared" si="149"/>
        <v>157992929.59999999</v>
      </c>
      <c r="D4790" s="39">
        <f t="shared" si="150"/>
        <v>158067222</v>
      </c>
    </row>
    <row r="4791" spans="2:4" x14ac:dyDescent="0.25">
      <c r="B4791" s="89">
        <v>4787</v>
      </c>
      <c r="C4791" s="39">
        <f t="shared" si="149"/>
        <v>157992929.59999999</v>
      </c>
      <c r="D4791" s="39">
        <f t="shared" si="150"/>
        <v>158100249</v>
      </c>
    </row>
    <row r="4792" spans="2:4" x14ac:dyDescent="0.25">
      <c r="B4792" s="89">
        <v>4788</v>
      </c>
      <c r="C4792" s="39">
        <f t="shared" si="149"/>
        <v>157992929.59999999</v>
      </c>
      <c r="D4792" s="39">
        <f t="shared" si="150"/>
        <v>158133276</v>
      </c>
    </row>
    <row r="4793" spans="2:4" x14ac:dyDescent="0.25">
      <c r="B4793" s="89">
        <v>4789</v>
      </c>
      <c r="C4793" s="39">
        <f t="shared" si="149"/>
        <v>157992929.59999999</v>
      </c>
      <c r="D4793" s="39">
        <f t="shared" si="150"/>
        <v>158166303</v>
      </c>
    </row>
    <row r="4794" spans="2:4" x14ac:dyDescent="0.25">
      <c r="B4794" s="89">
        <v>4790</v>
      </c>
      <c r="C4794" s="39">
        <f t="shared" si="149"/>
        <v>157992929.59999999</v>
      </c>
      <c r="D4794" s="39">
        <f t="shared" si="150"/>
        <v>158199330</v>
      </c>
    </row>
    <row r="4795" spans="2:4" x14ac:dyDescent="0.25">
      <c r="B4795" s="89">
        <v>4791</v>
      </c>
      <c r="C4795" s="39">
        <f t="shared" si="149"/>
        <v>157992929.59999999</v>
      </c>
      <c r="D4795" s="39">
        <f t="shared" si="150"/>
        <v>158232357</v>
      </c>
    </row>
    <row r="4796" spans="2:4" x14ac:dyDescent="0.25">
      <c r="B4796" s="89">
        <v>4792</v>
      </c>
      <c r="C4796" s="39">
        <f t="shared" si="149"/>
        <v>157992929.59999999</v>
      </c>
      <c r="D4796" s="39">
        <f t="shared" si="150"/>
        <v>158265384</v>
      </c>
    </row>
    <row r="4797" spans="2:4" x14ac:dyDescent="0.25">
      <c r="B4797" s="89">
        <v>4793</v>
      </c>
      <c r="C4797" s="39">
        <f t="shared" si="149"/>
        <v>157992929.59999999</v>
      </c>
      <c r="D4797" s="39">
        <f t="shared" si="150"/>
        <v>158298411</v>
      </c>
    </row>
    <row r="4798" spans="2:4" x14ac:dyDescent="0.25">
      <c r="B4798" s="89">
        <v>4794</v>
      </c>
      <c r="C4798" s="39">
        <f t="shared" si="149"/>
        <v>157992929.59999999</v>
      </c>
      <c r="D4798" s="39">
        <f t="shared" si="150"/>
        <v>158331438</v>
      </c>
    </row>
    <row r="4799" spans="2:4" x14ac:dyDescent="0.25">
      <c r="B4799" s="89">
        <v>4795</v>
      </c>
      <c r="C4799" s="39">
        <f t="shared" si="149"/>
        <v>157992929.59999999</v>
      </c>
      <c r="D4799" s="39">
        <f t="shared" si="150"/>
        <v>158364465</v>
      </c>
    </row>
    <row r="4800" spans="2:4" x14ac:dyDescent="0.25">
      <c r="B4800" s="89">
        <v>4796</v>
      </c>
      <c r="C4800" s="39">
        <f t="shared" si="149"/>
        <v>157992929.59999999</v>
      </c>
      <c r="D4800" s="39">
        <f t="shared" si="150"/>
        <v>158397492</v>
      </c>
    </row>
    <row r="4801" spans="2:4" x14ac:dyDescent="0.25">
      <c r="B4801" s="89">
        <v>4797</v>
      </c>
      <c r="C4801" s="39">
        <f t="shared" si="149"/>
        <v>157992929.59999999</v>
      </c>
      <c r="D4801" s="39">
        <f t="shared" si="150"/>
        <v>158430519</v>
      </c>
    </row>
    <row r="4802" spans="2:4" x14ac:dyDescent="0.25">
      <c r="B4802" s="89">
        <v>4798</v>
      </c>
      <c r="C4802" s="39">
        <f t="shared" si="149"/>
        <v>157992929.59999999</v>
      </c>
      <c r="D4802" s="39">
        <f t="shared" si="150"/>
        <v>158463546</v>
      </c>
    </row>
    <row r="4803" spans="2:4" x14ac:dyDescent="0.25">
      <c r="B4803" s="89">
        <v>4799</v>
      </c>
      <c r="C4803" s="39">
        <f t="shared" si="149"/>
        <v>157992929.59999999</v>
      </c>
      <c r="D4803" s="39">
        <f t="shared" si="150"/>
        <v>158496573</v>
      </c>
    </row>
    <row r="4804" spans="2:4" x14ac:dyDescent="0.25">
      <c r="B4804" s="89">
        <v>4800</v>
      </c>
      <c r="C4804" s="39">
        <f t="shared" si="149"/>
        <v>157992929.59999999</v>
      </c>
      <c r="D4804" s="39">
        <f t="shared" si="150"/>
        <v>158529600</v>
      </c>
    </row>
    <row r="4805" spans="2:4" x14ac:dyDescent="0.25">
      <c r="B4805" s="89">
        <v>4801</v>
      </c>
      <c r="C4805" s="39">
        <f t="shared" si="149"/>
        <v>157992929.59999999</v>
      </c>
      <c r="D4805" s="39">
        <f t="shared" si="150"/>
        <v>158562627</v>
      </c>
    </row>
    <row r="4806" spans="2:4" x14ac:dyDescent="0.25">
      <c r="B4806" s="89">
        <v>4802</v>
      </c>
      <c r="C4806" s="39">
        <f t="shared" ref="C4806:C4869" si="151">$C4805</f>
        <v>157992929.59999999</v>
      </c>
      <c r="D4806" s="39">
        <f t="shared" si="150"/>
        <v>158595654</v>
      </c>
    </row>
    <row r="4807" spans="2:4" x14ac:dyDescent="0.25">
      <c r="B4807" s="89">
        <v>4803</v>
      </c>
      <c r="C4807" s="39">
        <f t="shared" si="151"/>
        <v>157992929.59999999</v>
      </c>
      <c r="D4807" s="39">
        <f t="shared" si="150"/>
        <v>158628681</v>
      </c>
    </row>
    <row r="4808" spans="2:4" x14ac:dyDescent="0.25">
      <c r="B4808" s="89">
        <v>4804</v>
      </c>
      <c r="C4808" s="39">
        <f t="shared" si="151"/>
        <v>157992929.59999999</v>
      </c>
      <c r="D4808" s="39">
        <f t="shared" si="150"/>
        <v>158661708</v>
      </c>
    </row>
    <row r="4809" spans="2:4" x14ac:dyDescent="0.25">
      <c r="B4809" s="89">
        <v>4805</v>
      </c>
      <c r="C4809" s="39">
        <f t="shared" si="151"/>
        <v>157992929.59999999</v>
      </c>
      <c r="D4809" s="39">
        <f t="shared" si="150"/>
        <v>158694735</v>
      </c>
    </row>
    <row r="4810" spans="2:4" x14ac:dyDescent="0.25">
      <c r="B4810" s="89">
        <v>4806</v>
      </c>
      <c r="C4810" s="39">
        <f t="shared" si="151"/>
        <v>157992929.59999999</v>
      </c>
      <c r="D4810" s="39">
        <f t="shared" si="150"/>
        <v>158727762</v>
      </c>
    </row>
    <row r="4811" spans="2:4" x14ac:dyDescent="0.25">
      <c r="B4811" s="89">
        <v>4807</v>
      </c>
      <c r="C4811" s="39">
        <f t="shared" si="151"/>
        <v>157992929.59999999</v>
      </c>
      <c r="D4811" s="39">
        <f t="shared" si="150"/>
        <v>158760789</v>
      </c>
    </row>
    <row r="4812" spans="2:4" x14ac:dyDescent="0.25">
      <c r="B4812" s="89">
        <v>4808</v>
      </c>
      <c r="C4812" s="39">
        <f t="shared" si="151"/>
        <v>157992929.59999999</v>
      </c>
      <c r="D4812" s="39">
        <f t="shared" si="150"/>
        <v>158793816</v>
      </c>
    </row>
    <row r="4813" spans="2:4" x14ac:dyDescent="0.25">
      <c r="B4813" s="89">
        <v>4809</v>
      </c>
      <c r="C4813" s="39">
        <f t="shared" si="151"/>
        <v>157992929.59999999</v>
      </c>
      <c r="D4813" s="39">
        <f t="shared" si="150"/>
        <v>158826843</v>
      </c>
    </row>
    <row r="4814" spans="2:4" x14ac:dyDescent="0.25">
      <c r="B4814" s="89">
        <v>4810</v>
      </c>
      <c r="C4814" s="39">
        <f t="shared" si="151"/>
        <v>157992929.59999999</v>
      </c>
      <c r="D4814" s="39">
        <f t="shared" si="150"/>
        <v>158859870</v>
      </c>
    </row>
    <row r="4815" spans="2:4" x14ac:dyDescent="0.25">
      <c r="B4815" s="89">
        <v>4811</v>
      </c>
      <c r="C4815" s="39">
        <f t="shared" si="151"/>
        <v>157992929.59999999</v>
      </c>
      <c r="D4815" s="39">
        <f t="shared" si="150"/>
        <v>158892897</v>
      </c>
    </row>
    <row r="4816" spans="2:4" x14ac:dyDescent="0.25">
      <c r="B4816" s="89">
        <v>4812</v>
      </c>
      <c r="C4816" s="39">
        <f t="shared" si="151"/>
        <v>157992929.59999999</v>
      </c>
      <c r="D4816" s="39">
        <f t="shared" si="150"/>
        <v>158925924</v>
      </c>
    </row>
    <row r="4817" spans="2:4" x14ac:dyDescent="0.25">
      <c r="B4817" s="89">
        <v>4813</v>
      </c>
      <c r="C4817" s="39">
        <f t="shared" si="151"/>
        <v>157992929.59999999</v>
      </c>
      <c r="D4817" s="39">
        <f t="shared" si="150"/>
        <v>158958951</v>
      </c>
    </row>
    <row r="4818" spans="2:4" x14ac:dyDescent="0.25">
      <c r="B4818" s="89">
        <v>4814</v>
      </c>
      <c r="C4818" s="39">
        <f t="shared" si="151"/>
        <v>157992929.59999999</v>
      </c>
      <c r="D4818" s="39">
        <f t="shared" si="150"/>
        <v>158991978</v>
      </c>
    </row>
    <row r="4819" spans="2:4" x14ac:dyDescent="0.25">
      <c r="B4819" s="89">
        <v>4815</v>
      </c>
      <c r="C4819" s="39">
        <f t="shared" si="151"/>
        <v>157992929.59999999</v>
      </c>
      <c r="D4819" s="39">
        <f t="shared" si="150"/>
        <v>159025005</v>
      </c>
    </row>
    <row r="4820" spans="2:4" x14ac:dyDescent="0.25">
      <c r="B4820" s="89">
        <v>4816</v>
      </c>
      <c r="C4820" s="39">
        <f t="shared" si="151"/>
        <v>157992929.59999999</v>
      </c>
      <c r="D4820" s="39">
        <f t="shared" si="150"/>
        <v>159058032</v>
      </c>
    </row>
    <row r="4821" spans="2:4" x14ac:dyDescent="0.25">
      <c r="B4821" s="89">
        <v>4817</v>
      </c>
      <c r="C4821" s="39">
        <f t="shared" si="151"/>
        <v>157992929.59999999</v>
      </c>
      <c r="D4821" s="39">
        <f t="shared" si="150"/>
        <v>159091059</v>
      </c>
    </row>
    <row r="4822" spans="2:4" x14ac:dyDescent="0.25">
      <c r="B4822" s="89">
        <v>4818</v>
      </c>
      <c r="C4822" s="39">
        <f t="shared" si="151"/>
        <v>157992929.59999999</v>
      </c>
      <c r="D4822" s="39">
        <f t="shared" si="150"/>
        <v>159124086</v>
      </c>
    </row>
    <row r="4823" spans="2:4" x14ac:dyDescent="0.25">
      <c r="B4823" s="89">
        <v>4819</v>
      </c>
      <c r="C4823" s="39">
        <f t="shared" si="151"/>
        <v>157992929.59999999</v>
      </c>
      <c r="D4823" s="39">
        <f t="shared" si="150"/>
        <v>159157113</v>
      </c>
    </row>
    <row r="4824" spans="2:4" x14ac:dyDescent="0.25">
      <c r="B4824" s="89">
        <v>4820</v>
      </c>
      <c r="C4824" s="39">
        <f t="shared" si="151"/>
        <v>157992929.59999999</v>
      </c>
      <c r="D4824" s="39">
        <f t="shared" si="150"/>
        <v>159190140</v>
      </c>
    </row>
    <row r="4825" spans="2:4" x14ac:dyDescent="0.25">
      <c r="B4825" s="89">
        <v>4821</v>
      </c>
      <c r="C4825" s="39">
        <f t="shared" si="151"/>
        <v>157992929.59999999</v>
      </c>
      <c r="D4825" s="39">
        <f t="shared" si="150"/>
        <v>159223167</v>
      </c>
    </row>
    <row r="4826" spans="2:4" x14ac:dyDescent="0.25">
      <c r="B4826" s="89">
        <v>4822</v>
      </c>
      <c r="C4826" s="39">
        <f t="shared" si="151"/>
        <v>157992929.59999999</v>
      </c>
      <c r="D4826" s="39">
        <f t="shared" si="150"/>
        <v>159256194</v>
      </c>
    </row>
    <row r="4827" spans="2:4" x14ac:dyDescent="0.25">
      <c r="B4827" s="89">
        <v>4823</v>
      </c>
      <c r="C4827" s="39">
        <f t="shared" si="151"/>
        <v>157992929.59999999</v>
      </c>
      <c r="D4827" s="39">
        <f t="shared" si="150"/>
        <v>159289221</v>
      </c>
    </row>
    <row r="4828" spans="2:4" x14ac:dyDescent="0.25">
      <c r="B4828" s="89">
        <v>4824</v>
      </c>
      <c r="C4828" s="39">
        <f t="shared" si="151"/>
        <v>157992929.59999999</v>
      </c>
      <c r="D4828" s="39">
        <f t="shared" si="150"/>
        <v>159322248</v>
      </c>
    </row>
    <row r="4829" spans="2:4" x14ac:dyDescent="0.25">
      <c r="B4829" s="89">
        <v>4825</v>
      </c>
      <c r="C4829" s="39">
        <f t="shared" si="151"/>
        <v>157992929.59999999</v>
      </c>
      <c r="D4829" s="39">
        <f t="shared" si="150"/>
        <v>159355275</v>
      </c>
    </row>
    <row r="4830" spans="2:4" x14ac:dyDescent="0.25">
      <c r="B4830" s="89">
        <v>4826</v>
      </c>
      <c r="C4830" s="39">
        <f t="shared" si="151"/>
        <v>157992929.59999999</v>
      </c>
      <c r="D4830" s="39">
        <f t="shared" si="150"/>
        <v>159388302</v>
      </c>
    </row>
    <row r="4831" spans="2:4" x14ac:dyDescent="0.25">
      <c r="B4831" s="89">
        <v>4827</v>
      </c>
      <c r="C4831" s="39">
        <f t="shared" si="151"/>
        <v>157992929.59999999</v>
      </c>
      <c r="D4831" s="39">
        <f t="shared" si="150"/>
        <v>159421329</v>
      </c>
    </row>
    <row r="4832" spans="2:4" x14ac:dyDescent="0.25">
      <c r="B4832" s="89">
        <v>4828</v>
      </c>
      <c r="C4832" s="39">
        <f t="shared" si="151"/>
        <v>157992929.59999999</v>
      </c>
      <c r="D4832" s="39">
        <f t="shared" si="150"/>
        <v>159454356</v>
      </c>
    </row>
    <row r="4833" spans="2:4" x14ac:dyDescent="0.25">
      <c r="B4833" s="89">
        <v>4829</v>
      </c>
      <c r="C4833" s="39">
        <f t="shared" si="151"/>
        <v>157992929.59999999</v>
      </c>
      <c r="D4833" s="39">
        <f t="shared" si="150"/>
        <v>159487383</v>
      </c>
    </row>
    <row r="4834" spans="2:4" x14ac:dyDescent="0.25">
      <c r="B4834" s="89">
        <v>4830</v>
      </c>
      <c r="C4834" s="39">
        <f t="shared" si="151"/>
        <v>157992929.59999999</v>
      </c>
      <c r="D4834" s="39">
        <f t="shared" si="150"/>
        <v>159520410</v>
      </c>
    </row>
    <row r="4835" spans="2:4" x14ac:dyDescent="0.25">
      <c r="B4835" s="89">
        <v>4831</v>
      </c>
      <c r="C4835" s="39">
        <f t="shared" si="151"/>
        <v>157992929.59999999</v>
      </c>
      <c r="D4835" s="39">
        <f t="shared" si="150"/>
        <v>159553437</v>
      </c>
    </row>
    <row r="4836" spans="2:4" x14ac:dyDescent="0.25">
      <c r="B4836" s="89">
        <v>4832</v>
      </c>
      <c r="C4836" s="39">
        <f t="shared" si="151"/>
        <v>157992929.59999999</v>
      </c>
      <c r="D4836" s="39">
        <f t="shared" si="150"/>
        <v>159586464</v>
      </c>
    </row>
    <row r="4837" spans="2:4" x14ac:dyDescent="0.25">
      <c r="B4837" s="89">
        <v>4833</v>
      </c>
      <c r="C4837" s="39">
        <f t="shared" si="151"/>
        <v>157992929.59999999</v>
      </c>
      <c r="D4837" s="39">
        <f t="shared" si="150"/>
        <v>159619491</v>
      </c>
    </row>
    <row r="4838" spans="2:4" x14ac:dyDescent="0.25">
      <c r="B4838" s="89">
        <v>4834</v>
      </c>
      <c r="C4838" s="39">
        <f t="shared" si="151"/>
        <v>157992929.59999999</v>
      </c>
      <c r="D4838" s="39">
        <f t="shared" si="150"/>
        <v>159652518</v>
      </c>
    </row>
    <row r="4839" spans="2:4" x14ac:dyDescent="0.25">
      <c r="B4839" s="89">
        <v>4835</v>
      </c>
      <c r="C4839" s="39">
        <f t="shared" si="151"/>
        <v>157992929.59999999</v>
      </c>
      <c r="D4839" s="39">
        <f t="shared" si="150"/>
        <v>159685545</v>
      </c>
    </row>
    <row r="4840" spans="2:4" x14ac:dyDescent="0.25">
      <c r="B4840" s="89">
        <v>4836</v>
      </c>
      <c r="C4840" s="39">
        <f t="shared" si="151"/>
        <v>157992929.59999999</v>
      </c>
      <c r="D4840" s="39">
        <f t="shared" si="150"/>
        <v>159718572</v>
      </c>
    </row>
    <row r="4841" spans="2:4" x14ac:dyDescent="0.25">
      <c r="B4841" s="89">
        <v>4837</v>
      </c>
      <c r="C4841" s="39">
        <f t="shared" si="151"/>
        <v>157992929.59999999</v>
      </c>
      <c r="D4841" s="39">
        <f t="shared" si="150"/>
        <v>159751599</v>
      </c>
    </row>
    <row r="4842" spans="2:4" x14ac:dyDescent="0.25">
      <c r="B4842" s="89">
        <v>4838</v>
      </c>
      <c r="C4842" s="39">
        <f t="shared" si="151"/>
        <v>157992929.59999999</v>
      </c>
      <c r="D4842" s="39">
        <f t="shared" si="150"/>
        <v>159784626</v>
      </c>
    </row>
    <row r="4843" spans="2:4" x14ac:dyDescent="0.25">
      <c r="B4843" s="89">
        <v>4839</v>
      </c>
      <c r="C4843" s="39">
        <f t="shared" si="151"/>
        <v>157992929.59999999</v>
      </c>
      <c r="D4843" s="39">
        <f t="shared" si="150"/>
        <v>159817653</v>
      </c>
    </row>
    <row r="4844" spans="2:4" x14ac:dyDescent="0.25">
      <c r="B4844" s="89">
        <v>4840</v>
      </c>
      <c r="C4844" s="39">
        <f t="shared" si="151"/>
        <v>157992929.59999999</v>
      </c>
      <c r="D4844" s="39">
        <f t="shared" si="150"/>
        <v>159850680</v>
      </c>
    </row>
    <row r="4845" spans="2:4" x14ac:dyDescent="0.25">
      <c r="B4845" s="89">
        <v>4841</v>
      </c>
      <c r="C4845" s="39">
        <f t="shared" si="151"/>
        <v>157992929.59999999</v>
      </c>
      <c r="D4845" s="39">
        <f t="shared" si="150"/>
        <v>159883707</v>
      </c>
    </row>
    <row r="4846" spans="2:4" x14ac:dyDescent="0.25">
      <c r="B4846" s="89">
        <v>4842</v>
      </c>
      <c r="C4846" s="39">
        <f t="shared" si="151"/>
        <v>157992929.59999999</v>
      </c>
      <c r="D4846" s="39">
        <f t="shared" si="150"/>
        <v>159916734</v>
      </c>
    </row>
    <row r="4847" spans="2:4" x14ac:dyDescent="0.25">
      <c r="B4847" s="89">
        <v>4843</v>
      </c>
      <c r="C4847" s="39">
        <f t="shared" si="151"/>
        <v>157992929.59999999</v>
      </c>
      <c r="D4847" s="39">
        <f t="shared" si="150"/>
        <v>159949761</v>
      </c>
    </row>
    <row r="4848" spans="2:4" x14ac:dyDescent="0.25">
      <c r="B4848" s="89">
        <v>4844</v>
      </c>
      <c r="C4848" s="39">
        <f t="shared" si="151"/>
        <v>157992929.59999999</v>
      </c>
      <c r="D4848" s="39">
        <f t="shared" si="150"/>
        <v>159982788</v>
      </c>
    </row>
    <row r="4849" spans="2:4" x14ac:dyDescent="0.25">
      <c r="B4849" s="89">
        <v>4845</v>
      </c>
      <c r="C4849" s="39">
        <f t="shared" si="151"/>
        <v>157992929.59999999</v>
      </c>
      <c r="D4849" s="39">
        <f t="shared" ref="D4849:D4912" si="152">$D$2*B4849</f>
        <v>160015815</v>
      </c>
    </row>
    <row r="4850" spans="2:4" x14ac:dyDescent="0.25">
      <c r="B4850" s="89">
        <v>4846</v>
      </c>
      <c r="C4850" s="39">
        <f t="shared" si="151"/>
        <v>157992929.59999999</v>
      </c>
      <c r="D4850" s="39">
        <f t="shared" si="152"/>
        <v>160048842</v>
      </c>
    </row>
    <row r="4851" spans="2:4" x14ac:dyDescent="0.25">
      <c r="B4851" s="89">
        <v>4847</v>
      </c>
      <c r="C4851" s="39">
        <f t="shared" si="151"/>
        <v>157992929.59999999</v>
      </c>
      <c r="D4851" s="39">
        <f t="shared" si="152"/>
        <v>160081869</v>
      </c>
    </row>
    <row r="4852" spans="2:4" x14ac:dyDescent="0.25">
      <c r="B4852" s="89">
        <v>4848</v>
      </c>
      <c r="C4852" s="39">
        <f t="shared" si="151"/>
        <v>157992929.59999999</v>
      </c>
      <c r="D4852" s="39">
        <f t="shared" si="152"/>
        <v>160114896</v>
      </c>
    </row>
    <row r="4853" spans="2:4" x14ac:dyDescent="0.25">
      <c r="B4853" s="89">
        <v>4849</v>
      </c>
      <c r="C4853" s="39">
        <f t="shared" si="151"/>
        <v>157992929.59999999</v>
      </c>
      <c r="D4853" s="39">
        <f t="shared" si="152"/>
        <v>160147923</v>
      </c>
    </row>
    <row r="4854" spans="2:4" x14ac:dyDescent="0.25">
      <c r="B4854" s="89">
        <v>4850</v>
      </c>
      <c r="C4854" s="39">
        <f t="shared" si="151"/>
        <v>157992929.59999999</v>
      </c>
      <c r="D4854" s="39">
        <f t="shared" si="152"/>
        <v>160180950</v>
      </c>
    </row>
    <row r="4855" spans="2:4" x14ac:dyDescent="0.25">
      <c r="B4855" s="89">
        <v>4851</v>
      </c>
      <c r="C4855" s="39">
        <f t="shared" si="151"/>
        <v>157992929.59999999</v>
      </c>
      <c r="D4855" s="39">
        <f t="shared" si="152"/>
        <v>160213977</v>
      </c>
    </row>
    <row r="4856" spans="2:4" x14ac:dyDescent="0.25">
      <c r="B4856" s="89">
        <v>4852</v>
      </c>
      <c r="C4856" s="39">
        <f t="shared" si="151"/>
        <v>157992929.59999999</v>
      </c>
      <c r="D4856" s="39">
        <f t="shared" si="152"/>
        <v>160247004</v>
      </c>
    </row>
    <row r="4857" spans="2:4" x14ac:dyDescent="0.25">
      <c r="B4857" s="89">
        <v>4853</v>
      </c>
      <c r="C4857" s="39">
        <f t="shared" si="151"/>
        <v>157992929.59999999</v>
      </c>
      <c r="D4857" s="39">
        <f t="shared" si="152"/>
        <v>160280031</v>
      </c>
    </row>
    <row r="4858" spans="2:4" x14ac:dyDescent="0.25">
      <c r="B4858" s="89">
        <v>4854</v>
      </c>
      <c r="C4858" s="39">
        <f t="shared" si="151"/>
        <v>157992929.59999999</v>
      </c>
      <c r="D4858" s="39">
        <f t="shared" si="152"/>
        <v>160313058</v>
      </c>
    </row>
    <row r="4859" spans="2:4" x14ac:dyDescent="0.25">
      <c r="B4859" s="89">
        <v>4855</v>
      </c>
      <c r="C4859" s="39">
        <f t="shared" si="151"/>
        <v>157992929.59999999</v>
      </c>
      <c r="D4859" s="39">
        <f t="shared" si="152"/>
        <v>160346085</v>
      </c>
    </row>
    <row r="4860" spans="2:4" x14ac:dyDescent="0.25">
      <c r="B4860" s="89">
        <v>4856</v>
      </c>
      <c r="C4860" s="39">
        <f t="shared" si="151"/>
        <v>157992929.59999999</v>
      </c>
      <c r="D4860" s="39">
        <f t="shared" si="152"/>
        <v>160379112</v>
      </c>
    </row>
    <row r="4861" spans="2:4" x14ac:dyDescent="0.25">
      <c r="B4861" s="89">
        <v>4857</v>
      </c>
      <c r="C4861" s="39">
        <f t="shared" si="151"/>
        <v>157992929.59999999</v>
      </c>
      <c r="D4861" s="39">
        <f t="shared" si="152"/>
        <v>160412139</v>
      </c>
    </row>
    <row r="4862" spans="2:4" x14ac:dyDescent="0.25">
      <c r="B4862" s="89">
        <v>4858</v>
      </c>
      <c r="C4862" s="39">
        <f t="shared" si="151"/>
        <v>157992929.59999999</v>
      </c>
      <c r="D4862" s="39">
        <f t="shared" si="152"/>
        <v>160445166</v>
      </c>
    </row>
    <row r="4863" spans="2:4" x14ac:dyDescent="0.25">
      <c r="B4863" s="89">
        <v>4859</v>
      </c>
      <c r="C4863" s="39">
        <f t="shared" si="151"/>
        <v>157992929.59999999</v>
      </c>
      <c r="D4863" s="39">
        <f t="shared" si="152"/>
        <v>160478193</v>
      </c>
    </row>
    <row r="4864" spans="2:4" x14ac:dyDescent="0.25">
      <c r="B4864" s="89">
        <v>4860</v>
      </c>
      <c r="C4864" s="39">
        <f t="shared" si="151"/>
        <v>157992929.59999999</v>
      </c>
      <c r="D4864" s="39">
        <f t="shared" si="152"/>
        <v>160511220</v>
      </c>
    </row>
    <row r="4865" spans="2:4" x14ac:dyDescent="0.25">
      <c r="B4865" s="89">
        <v>4861</v>
      </c>
      <c r="C4865" s="39">
        <f t="shared" si="151"/>
        <v>157992929.59999999</v>
      </c>
      <c r="D4865" s="39">
        <f t="shared" si="152"/>
        <v>160544247</v>
      </c>
    </row>
    <row r="4866" spans="2:4" x14ac:dyDescent="0.25">
      <c r="B4866" s="89">
        <v>4862</v>
      </c>
      <c r="C4866" s="39">
        <f t="shared" si="151"/>
        <v>157992929.59999999</v>
      </c>
      <c r="D4866" s="39">
        <f t="shared" si="152"/>
        <v>160577274</v>
      </c>
    </row>
    <row r="4867" spans="2:4" x14ac:dyDescent="0.25">
      <c r="B4867" s="89">
        <v>4863</v>
      </c>
      <c r="C4867" s="39">
        <f t="shared" si="151"/>
        <v>157992929.59999999</v>
      </c>
      <c r="D4867" s="39">
        <f t="shared" si="152"/>
        <v>160610301</v>
      </c>
    </row>
    <row r="4868" spans="2:4" x14ac:dyDescent="0.25">
      <c r="B4868" s="89">
        <v>4864</v>
      </c>
      <c r="C4868" s="39">
        <f t="shared" si="151"/>
        <v>157992929.59999999</v>
      </c>
      <c r="D4868" s="39">
        <f t="shared" si="152"/>
        <v>160643328</v>
      </c>
    </row>
    <row r="4869" spans="2:4" x14ac:dyDescent="0.25">
      <c r="B4869" s="89">
        <v>4865</v>
      </c>
      <c r="C4869" s="39">
        <f t="shared" si="151"/>
        <v>157992929.59999999</v>
      </c>
      <c r="D4869" s="39">
        <f t="shared" si="152"/>
        <v>160676355</v>
      </c>
    </row>
    <row r="4870" spans="2:4" x14ac:dyDescent="0.25">
      <c r="B4870" s="89">
        <v>4866</v>
      </c>
      <c r="C4870" s="39">
        <f t="shared" ref="C4870:C4933" si="153">$C4869</f>
        <v>157992929.59999999</v>
      </c>
      <c r="D4870" s="39">
        <f t="shared" si="152"/>
        <v>160709382</v>
      </c>
    </row>
    <row r="4871" spans="2:4" x14ac:dyDescent="0.25">
      <c r="B4871" s="89">
        <v>4867</v>
      </c>
      <c r="C4871" s="39">
        <f t="shared" si="153"/>
        <v>157992929.59999999</v>
      </c>
      <c r="D4871" s="39">
        <f t="shared" si="152"/>
        <v>160742409</v>
      </c>
    </row>
    <row r="4872" spans="2:4" x14ac:dyDescent="0.25">
      <c r="B4872" s="89">
        <v>4868</v>
      </c>
      <c r="C4872" s="39">
        <f t="shared" si="153"/>
        <v>157992929.59999999</v>
      </c>
      <c r="D4872" s="39">
        <f t="shared" si="152"/>
        <v>160775436</v>
      </c>
    </row>
    <row r="4873" spans="2:4" x14ac:dyDescent="0.25">
      <c r="B4873" s="89">
        <v>4869</v>
      </c>
      <c r="C4873" s="39">
        <f t="shared" si="153"/>
        <v>157992929.59999999</v>
      </c>
      <c r="D4873" s="39">
        <f t="shared" si="152"/>
        <v>160808463</v>
      </c>
    </row>
    <row r="4874" spans="2:4" x14ac:dyDescent="0.25">
      <c r="B4874" s="89">
        <v>4870</v>
      </c>
      <c r="C4874" s="39">
        <f t="shared" si="153"/>
        <v>157992929.59999999</v>
      </c>
      <c r="D4874" s="39">
        <f t="shared" si="152"/>
        <v>160841490</v>
      </c>
    </row>
    <row r="4875" spans="2:4" x14ac:dyDescent="0.25">
      <c r="B4875" s="89">
        <v>4871</v>
      </c>
      <c r="C4875" s="39">
        <f t="shared" si="153"/>
        <v>157992929.59999999</v>
      </c>
      <c r="D4875" s="39">
        <f t="shared" si="152"/>
        <v>160874517</v>
      </c>
    </row>
    <row r="4876" spans="2:4" x14ac:dyDescent="0.25">
      <c r="B4876" s="89">
        <v>4872</v>
      </c>
      <c r="C4876" s="39">
        <f t="shared" si="153"/>
        <v>157992929.59999999</v>
      </c>
      <c r="D4876" s="39">
        <f t="shared" si="152"/>
        <v>160907544</v>
      </c>
    </row>
    <row r="4877" spans="2:4" x14ac:dyDescent="0.25">
      <c r="B4877" s="89">
        <v>4873</v>
      </c>
      <c r="C4877" s="39">
        <f t="shared" si="153"/>
        <v>157992929.59999999</v>
      </c>
      <c r="D4877" s="39">
        <f t="shared" si="152"/>
        <v>160940571</v>
      </c>
    </row>
    <row r="4878" spans="2:4" x14ac:dyDescent="0.25">
      <c r="B4878" s="89">
        <v>4874</v>
      </c>
      <c r="C4878" s="39">
        <f t="shared" si="153"/>
        <v>157992929.59999999</v>
      </c>
      <c r="D4878" s="39">
        <f t="shared" si="152"/>
        <v>160973598</v>
      </c>
    </row>
    <row r="4879" spans="2:4" x14ac:dyDescent="0.25">
      <c r="B4879" s="89">
        <v>4875</v>
      </c>
      <c r="C4879" s="39">
        <f t="shared" si="153"/>
        <v>157992929.59999999</v>
      </c>
      <c r="D4879" s="39">
        <f t="shared" si="152"/>
        <v>161006625</v>
      </c>
    </row>
    <row r="4880" spans="2:4" x14ac:dyDescent="0.25">
      <c r="B4880" s="89">
        <v>4876</v>
      </c>
      <c r="C4880" s="39">
        <f t="shared" si="153"/>
        <v>157992929.59999999</v>
      </c>
      <c r="D4880" s="39">
        <f t="shared" si="152"/>
        <v>161039652</v>
      </c>
    </row>
    <row r="4881" spans="2:4" x14ac:dyDescent="0.25">
      <c r="B4881" s="89">
        <v>4877</v>
      </c>
      <c r="C4881" s="39">
        <f t="shared" si="153"/>
        <v>157992929.59999999</v>
      </c>
      <c r="D4881" s="39">
        <f t="shared" si="152"/>
        <v>161072679</v>
      </c>
    </row>
    <row r="4882" spans="2:4" x14ac:dyDescent="0.25">
      <c r="B4882" s="89">
        <v>4878</v>
      </c>
      <c r="C4882" s="39">
        <f t="shared" si="153"/>
        <v>157992929.59999999</v>
      </c>
      <c r="D4882" s="39">
        <f t="shared" si="152"/>
        <v>161105706</v>
      </c>
    </row>
    <row r="4883" spans="2:4" x14ac:dyDescent="0.25">
      <c r="B4883" s="89">
        <v>4879</v>
      </c>
      <c r="C4883" s="39">
        <f t="shared" si="153"/>
        <v>157992929.59999999</v>
      </c>
      <c r="D4883" s="39">
        <f t="shared" si="152"/>
        <v>161138733</v>
      </c>
    </row>
    <row r="4884" spans="2:4" x14ac:dyDescent="0.25">
      <c r="B4884" s="89">
        <v>4880</v>
      </c>
      <c r="C4884" s="39">
        <f t="shared" si="153"/>
        <v>157992929.59999999</v>
      </c>
      <c r="D4884" s="39">
        <f t="shared" si="152"/>
        <v>161171760</v>
      </c>
    </row>
    <row r="4885" spans="2:4" x14ac:dyDescent="0.25">
      <c r="B4885" s="89">
        <v>4881</v>
      </c>
      <c r="C4885" s="39">
        <f t="shared" si="153"/>
        <v>157992929.59999999</v>
      </c>
      <c r="D4885" s="39">
        <f t="shared" si="152"/>
        <v>161204787</v>
      </c>
    </row>
    <row r="4886" spans="2:4" x14ac:dyDescent="0.25">
      <c r="B4886" s="89">
        <v>4882</v>
      </c>
      <c r="C4886" s="39">
        <f t="shared" si="153"/>
        <v>157992929.59999999</v>
      </c>
      <c r="D4886" s="39">
        <f t="shared" si="152"/>
        <v>161237814</v>
      </c>
    </row>
    <row r="4887" spans="2:4" x14ac:dyDescent="0.25">
      <c r="B4887" s="89">
        <v>4883</v>
      </c>
      <c r="C4887" s="39">
        <f t="shared" si="153"/>
        <v>157992929.59999999</v>
      </c>
      <c r="D4887" s="39">
        <f t="shared" si="152"/>
        <v>161270841</v>
      </c>
    </row>
    <row r="4888" spans="2:4" x14ac:dyDescent="0.25">
      <c r="B4888" s="89">
        <v>4884</v>
      </c>
      <c r="C4888" s="39">
        <f t="shared" si="153"/>
        <v>157992929.59999999</v>
      </c>
      <c r="D4888" s="39">
        <f t="shared" si="152"/>
        <v>161303868</v>
      </c>
    </row>
    <row r="4889" spans="2:4" x14ac:dyDescent="0.25">
      <c r="B4889" s="89">
        <v>4885</v>
      </c>
      <c r="C4889" s="39">
        <f t="shared" si="153"/>
        <v>157992929.59999999</v>
      </c>
      <c r="D4889" s="39">
        <f t="shared" si="152"/>
        <v>161336895</v>
      </c>
    </row>
    <row r="4890" spans="2:4" x14ac:dyDescent="0.25">
      <c r="B4890" s="89">
        <v>4886</v>
      </c>
      <c r="C4890" s="39">
        <f t="shared" si="153"/>
        <v>157992929.59999999</v>
      </c>
      <c r="D4890" s="39">
        <f t="shared" si="152"/>
        <v>161369922</v>
      </c>
    </row>
    <row r="4891" spans="2:4" x14ac:dyDescent="0.25">
      <c r="B4891" s="89">
        <v>4887</v>
      </c>
      <c r="C4891" s="39">
        <f t="shared" si="153"/>
        <v>157992929.59999999</v>
      </c>
      <c r="D4891" s="39">
        <f t="shared" si="152"/>
        <v>161402949</v>
      </c>
    </row>
    <row r="4892" spans="2:4" x14ac:dyDescent="0.25">
      <c r="B4892" s="89">
        <v>4888</v>
      </c>
      <c r="C4892" s="39">
        <f t="shared" si="153"/>
        <v>157992929.59999999</v>
      </c>
      <c r="D4892" s="39">
        <f t="shared" si="152"/>
        <v>161435976</v>
      </c>
    </row>
    <row r="4893" spans="2:4" x14ac:dyDescent="0.25">
      <c r="B4893" s="89">
        <v>4889</v>
      </c>
      <c r="C4893" s="39">
        <f t="shared" si="153"/>
        <v>157992929.59999999</v>
      </c>
      <c r="D4893" s="39">
        <f t="shared" si="152"/>
        <v>161469003</v>
      </c>
    </row>
    <row r="4894" spans="2:4" x14ac:dyDescent="0.25">
      <c r="B4894" s="89">
        <v>4890</v>
      </c>
      <c r="C4894" s="39">
        <f t="shared" si="153"/>
        <v>157992929.59999999</v>
      </c>
      <c r="D4894" s="39">
        <f t="shared" si="152"/>
        <v>161502030</v>
      </c>
    </row>
    <row r="4895" spans="2:4" x14ac:dyDescent="0.25">
      <c r="B4895" s="89">
        <v>4891</v>
      </c>
      <c r="C4895" s="39">
        <f t="shared" si="153"/>
        <v>157992929.59999999</v>
      </c>
      <c r="D4895" s="39">
        <f t="shared" si="152"/>
        <v>161535057</v>
      </c>
    </row>
    <row r="4896" spans="2:4" x14ac:dyDescent="0.25">
      <c r="B4896" s="89">
        <v>4892</v>
      </c>
      <c r="C4896" s="39">
        <f t="shared" si="153"/>
        <v>157992929.59999999</v>
      </c>
      <c r="D4896" s="39">
        <f t="shared" si="152"/>
        <v>161568084</v>
      </c>
    </row>
    <row r="4897" spans="2:4" x14ac:dyDescent="0.25">
      <c r="B4897" s="89">
        <v>4893</v>
      </c>
      <c r="C4897" s="39">
        <f t="shared" si="153"/>
        <v>157992929.59999999</v>
      </c>
      <c r="D4897" s="39">
        <f t="shared" si="152"/>
        <v>161601111</v>
      </c>
    </row>
    <row r="4898" spans="2:4" x14ac:dyDescent="0.25">
      <c r="B4898" s="89">
        <v>4894</v>
      </c>
      <c r="C4898" s="39">
        <f t="shared" si="153"/>
        <v>157992929.59999999</v>
      </c>
      <c r="D4898" s="39">
        <f t="shared" si="152"/>
        <v>161634138</v>
      </c>
    </row>
    <row r="4899" spans="2:4" x14ac:dyDescent="0.25">
      <c r="B4899" s="89">
        <v>4895</v>
      </c>
      <c r="C4899" s="39">
        <f t="shared" si="153"/>
        <v>157992929.59999999</v>
      </c>
      <c r="D4899" s="39">
        <f t="shared" si="152"/>
        <v>161667165</v>
      </c>
    </row>
    <row r="4900" spans="2:4" x14ac:dyDescent="0.25">
      <c r="B4900" s="89">
        <v>4896</v>
      </c>
      <c r="C4900" s="39">
        <f t="shared" si="153"/>
        <v>157992929.59999999</v>
      </c>
      <c r="D4900" s="39">
        <f t="shared" si="152"/>
        <v>161700192</v>
      </c>
    </row>
    <row r="4901" spans="2:4" x14ac:dyDescent="0.25">
      <c r="B4901" s="89">
        <v>4897</v>
      </c>
      <c r="C4901" s="39">
        <f t="shared" si="153"/>
        <v>157992929.59999999</v>
      </c>
      <c r="D4901" s="39">
        <f t="shared" si="152"/>
        <v>161733219</v>
      </c>
    </row>
    <row r="4902" spans="2:4" x14ac:dyDescent="0.25">
      <c r="B4902" s="89">
        <v>4898</v>
      </c>
      <c r="C4902" s="39">
        <f t="shared" si="153"/>
        <v>157992929.59999999</v>
      </c>
      <c r="D4902" s="39">
        <f t="shared" si="152"/>
        <v>161766246</v>
      </c>
    </row>
    <row r="4903" spans="2:4" x14ac:dyDescent="0.25">
      <c r="B4903" s="89">
        <v>4899</v>
      </c>
      <c r="C4903" s="39">
        <f t="shared" si="153"/>
        <v>157992929.59999999</v>
      </c>
      <c r="D4903" s="39">
        <f t="shared" si="152"/>
        <v>161799273</v>
      </c>
    </row>
    <row r="4904" spans="2:4" x14ac:dyDescent="0.25">
      <c r="B4904" s="89">
        <v>4900</v>
      </c>
      <c r="C4904" s="39">
        <f t="shared" si="153"/>
        <v>157992929.59999999</v>
      </c>
      <c r="D4904" s="39">
        <f t="shared" si="152"/>
        <v>161832300</v>
      </c>
    </row>
    <row r="4905" spans="2:4" x14ac:dyDescent="0.25">
      <c r="B4905" s="89">
        <v>4901</v>
      </c>
      <c r="C4905" s="39">
        <f t="shared" si="153"/>
        <v>157992929.59999999</v>
      </c>
      <c r="D4905" s="39">
        <f t="shared" si="152"/>
        <v>161865327</v>
      </c>
    </row>
    <row r="4906" spans="2:4" x14ac:dyDescent="0.25">
      <c r="B4906" s="89">
        <v>4902</v>
      </c>
      <c r="C4906" s="39">
        <f t="shared" si="153"/>
        <v>157992929.59999999</v>
      </c>
      <c r="D4906" s="39">
        <f t="shared" si="152"/>
        <v>161898354</v>
      </c>
    </row>
    <row r="4907" spans="2:4" x14ac:dyDescent="0.25">
      <c r="B4907" s="89">
        <v>4903</v>
      </c>
      <c r="C4907" s="39">
        <f t="shared" si="153"/>
        <v>157992929.59999999</v>
      </c>
      <c r="D4907" s="39">
        <f t="shared" si="152"/>
        <v>161931381</v>
      </c>
    </row>
    <row r="4908" spans="2:4" x14ac:dyDescent="0.25">
      <c r="B4908" s="89">
        <v>4904</v>
      </c>
      <c r="C4908" s="39">
        <f t="shared" si="153"/>
        <v>157992929.59999999</v>
      </c>
      <c r="D4908" s="39">
        <f t="shared" si="152"/>
        <v>161964408</v>
      </c>
    </row>
    <row r="4909" spans="2:4" x14ac:dyDescent="0.25">
      <c r="B4909" s="89">
        <v>4905</v>
      </c>
      <c r="C4909" s="39">
        <f t="shared" si="153"/>
        <v>157992929.59999999</v>
      </c>
      <c r="D4909" s="39">
        <f t="shared" si="152"/>
        <v>161997435</v>
      </c>
    </row>
    <row r="4910" spans="2:4" x14ac:dyDescent="0.25">
      <c r="B4910" s="89">
        <v>4906</v>
      </c>
      <c r="C4910" s="39">
        <f t="shared" si="153"/>
        <v>157992929.59999999</v>
      </c>
      <c r="D4910" s="39">
        <f t="shared" si="152"/>
        <v>162030462</v>
      </c>
    </row>
    <row r="4911" spans="2:4" x14ac:dyDescent="0.25">
      <c r="B4911" s="89">
        <v>4907</v>
      </c>
      <c r="C4911" s="39">
        <f t="shared" si="153"/>
        <v>157992929.59999999</v>
      </c>
      <c r="D4911" s="39">
        <f t="shared" si="152"/>
        <v>162063489</v>
      </c>
    </row>
    <row r="4912" spans="2:4" x14ac:dyDescent="0.25">
      <c r="B4912" s="89">
        <v>4908</v>
      </c>
      <c r="C4912" s="39">
        <f t="shared" si="153"/>
        <v>157992929.59999999</v>
      </c>
      <c r="D4912" s="39">
        <f t="shared" si="152"/>
        <v>162096516</v>
      </c>
    </row>
    <row r="4913" spans="2:4" x14ac:dyDescent="0.25">
      <c r="B4913" s="89">
        <v>4909</v>
      </c>
      <c r="C4913" s="39">
        <f t="shared" si="153"/>
        <v>157992929.59999999</v>
      </c>
      <c r="D4913" s="39">
        <f t="shared" ref="D4913:D4976" si="154">$D$2*B4913</f>
        <v>162129543</v>
      </c>
    </row>
    <row r="4914" spans="2:4" x14ac:dyDescent="0.25">
      <c r="B4914" s="89">
        <v>4910</v>
      </c>
      <c r="C4914" s="39">
        <f t="shared" si="153"/>
        <v>157992929.59999999</v>
      </c>
      <c r="D4914" s="39">
        <f t="shared" si="154"/>
        <v>162162570</v>
      </c>
    </row>
    <row r="4915" spans="2:4" x14ac:dyDescent="0.25">
      <c r="B4915" s="89">
        <v>4911</v>
      </c>
      <c r="C4915" s="39">
        <f t="shared" si="153"/>
        <v>157992929.59999999</v>
      </c>
      <c r="D4915" s="39">
        <f t="shared" si="154"/>
        <v>162195597</v>
      </c>
    </row>
    <row r="4916" spans="2:4" x14ac:dyDescent="0.25">
      <c r="B4916" s="89">
        <v>4912</v>
      </c>
      <c r="C4916" s="39">
        <f t="shared" si="153"/>
        <v>157992929.59999999</v>
      </c>
      <c r="D4916" s="39">
        <f t="shared" si="154"/>
        <v>162228624</v>
      </c>
    </row>
    <row r="4917" spans="2:4" x14ac:dyDescent="0.25">
      <c r="B4917" s="89">
        <v>4913</v>
      </c>
      <c r="C4917" s="39">
        <f t="shared" si="153"/>
        <v>157992929.59999999</v>
      </c>
      <c r="D4917" s="39">
        <f t="shared" si="154"/>
        <v>162261651</v>
      </c>
    </row>
    <row r="4918" spans="2:4" x14ac:dyDescent="0.25">
      <c r="B4918" s="89">
        <v>4914</v>
      </c>
      <c r="C4918" s="39">
        <f t="shared" si="153"/>
        <v>157992929.59999999</v>
      </c>
      <c r="D4918" s="39">
        <f t="shared" si="154"/>
        <v>162294678</v>
      </c>
    </row>
    <row r="4919" spans="2:4" x14ac:dyDescent="0.25">
      <c r="B4919" s="89">
        <v>4915</v>
      </c>
      <c r="C4919" s="39">
        <f t="shared" si="153"/>
        <v>157992929.59999999</v>
      </c>
      <c r="D4919" s="39">
        <f t="shared" si="154"/>
        <v>162327705</v>
      </c>
    </row>
    <row r="4920" spans="2:4" x14ac:dyDescent="0.25">
      <c r="B4920" s="89">
        <v>4916</v>
      </c>
      <c r="C4920" s="39">
        <f t="shared" si="153"/>
        <v>157992929.59999999</v>
      </c>
      <c r="D4920" s="39">
        <f t="shared" si="154"/>
        <v>162360732</v>
      </c>
    </row>
    <row r="4921" spans="2:4" x14ac:dyDescent="0.25">
      <c r="B4921" s="89">
        <v>4917</v>
      </c>
      <c r="C4921" s="39">
        <f t="shared" si="153"/>
        <v>157992929.59999999</v>
      </c>
      <c r="D4921" s="39">
        <f t="shared" si="154"/>
        <v>162393759</v>
      </c>
    </row>
    <row r="4922" spans="2:4" x14ac:dyDescent="0.25">
      <c r="B4922" s="89">
        <v>4918</v>
      </c>
      <c r="C4922" s="39">
        <f t="shared" si="153"/>
        <v>157992929.59999999</v>
      </c>
      <c r="D4922" s="39">
        <f t="shared" si="154"/>
        <v>162426786</v>
      </c>
    </row>
    <row r="4923" spans="2:4" x14ac:dyDescent="0.25">
      <c r="B4923" s="89">
        <v>4919</v>
      </c>
      <c r="C4923" s="39">
        <f t="shared" si="153"/>
        <v>157992929.59999999</v>
      </c>
      <c r="D4923" s="39">
        <f t="shared" si="154"/>
        <v>162459813</v>
      </c>
    </row>
    <row r="4924" spans="2:4" x14ac:dyDescent="0.25">
      <c r="B4924" s="89">
        <v>4920</v>
      </c>
      <c r="C4924" s="39">
        <f t="shared" si="153"/>
        <v>157992929.59999999</v>
      </c>
      <c r="D4924" s="39">
        <f t="shared" si="154"/>
        <v>162492840</v>
      </c>
    </row>
    <row r="4925" spans="2:4" x14ac:dyDescent="0.25">
      <c r="B4925" s="89">
        <v>4921</v>
      </c>
      <c r="C4925" s="39">
        <f t="shared" si="153"/>
        <v>157992929.59999999</v>
      </c>
      <c r="D4925" s="39">
        <f t="shared" si="154"/>
        <v>162525867</v>
      </c>
    </row>
    <row r="4926" spans="2:4" x14ac:dyDescent="0.25">
      <c r="B4926" s="89">
        <v>4922</v>
      </c>
      <c r="C4926" s="39">
        <f t="shared" si="153"/>
        <v>157992929.59999999</v>
      </c>
      <c r="D4926" s="39">
        <f t="shared" si="154"/>
        <v>162558894</v>
      </c>
    </row>
    <row r="4927" spans="2:4" x14ac:dyDescent="0.25">
      <c r="B4927" s="89">
        <v>4923</v>
      </c>
      <c r="C4927" s="39">
        <f t="shared" si="153"/>
        <v>157992929.59999999</v>
      </c>
      <c r="D4927" s="39">
        <f t="shared" si="154"/>
        <v>162591921</v>
      </c>
    </row>
    <row r="4928" spans="2:4" x14ac:dyDescent="0.25">
      <c r="B4928" s="89">
        <v>4924</v>
      </c>
      <c r="C4928" s="39">
        <f t="shared" si="153"/>
        <v>157992929.59999999</v>
      </c>
      <c r="D4928" s="39">
        <f t="shared" si="154"/>
        <v>162624948</v>
      </c>
    </row>
    <row r="4929" spans="2:4" x14ac:dyDescent="0.25">
      <c r="B4929" s="89">
        <v>4925</v>
      </c>
      <c r="C4929" s="39">
        <f t="shared" si="153"/>
        <v>157992929.59999999</v>
      </c>
      <c r="D4929" s="39">
        <f t="shared" si="154"/>
        <v>162657975</v>
      </c>
    </row>
    <row r="4930" spans="2:4" x14ac:dyDescent="0.25">
      <c r="B4930" s="89">
        <v>4926</v>
      </c>
      <c r="C4930" s="39">
        <f t="shared" si="153"/>
        <v>157992929.59999999</v>
      </c>
      <c r="D4930" s="39">
        <f t="shared" si="154"/>
        <v>162691002</v>
      </c>
    </row>
    <row r="4931" spans="2:4" x14ac:dyDescent="0.25">
      <c r="B4931" s="89">
        <v>4927</v>
      </c>
      <c r="C4931" s="39">
        <f t="shared" si="153"/>
        <v>157992929.59999999</v>
      </c>
      <c r="D4931" s="39">
        <f t="shared" si="154"/>
        <v>162724029</v>
      </c>
    </row>
    <row r="4932" spans="2:4" x14ac:dyDescent="0.25">
      <c r="B4932" s="89">
        <v>4928</v>
      </c>
      <c r="C4932" s="39">
        <f t="shared" si="153"/>
        <v>157992929.59999999</v>
      </c>
      <c r="D4932" s="39">
        <f t="shared" si="154"/>
        <v>162757056</v>
      </c>
    </row>
    <row r="4933" spans="2:4" x14ac:dyDescent="0.25">
      <c r="B4933" s="89">
        <v>4929</v>
      </c>
      <c r="C4933" s="39">
        <f t="shared" si="153"/>
        <v>157992929.59999999</v>
      </c>
      <c r="D4933" s="39">
        <f t="shared" si="154"/>
        <v>162790083</v>
      </c>
    </row>
    <row r="4934" spans="2:4" x14ac:dyDescent="0.25">
      <c r="B4934" s="89">
        <v>4930</v>
      </c>
      <c r="C4934" s="39">
        <f t="shared" ref="C4934:C4997" si="155">$C4933</f>
        <v>157992929.59999999</v>
      </c>
      <c r="D4934" s="39">
        <f t="shared" si="154"/>
        <v>162823110</v>
      </c>
    </row>
    <row r="4935" spans="2:4" x14ac:dyDescent="0.25">
      <c r="B4935" s="89">
        <v>4931</v>
      </c>
      <c r="C4935" s="39">
        <f t="shared" si="155"/>
        <v>157992929.59999999</v>
      </c>
      <c r="D4935" s="39">
        <f t="shared" si="154"/>
        <v>162856137</v>
      </c>
    </row>
    <row r="4936" spans="2:4" x14ac:dyDescent="0.25">
      <c r="B4936" s="89">
        <v>4932</v>
      </c>
      <c r="C4936" s="39">
        <f t="shared" si="155"/>
        <v>157992929.59999999</v>
      </c>
      <c r="D4936" s="39">
        <f t="shared" si="154"/>
        <v>162889164</v>
      </c>
    </row>
    <row r="4937" spans="2:4" x14ac:dyDescent="0.25">
      <c r="B4937" s="89">
        <v>4933</v>
      </c>
      <c r="C4937" s="39">
        <f t="shared" si="155"/>
        <v>157992929.59999999</v>
      </c>
      <c r="D4937" s="39">
        <f t="shared" si="154"/>
        <v>162922191</v>
      </c>
    </row>
    <row r="4938" spans="2:4" x14ac:dyDescent="0.25">
      <c r="B4938" s="89">
        <v>4934</v>
      </c>
      <c r="C4938" s="39">
        <f t="shared" si="155"/>
        <v>157992929.59999999</v>
      </c>
      <c r="D4938" s="39">
        <f t="shared" si="154"/>
        <v>162955218</v>
      </c>
    </row>
    <row r="4939" spans="2:4" x14ac:dyDescent="0.25">
      <c r="B4939" s="89">
        <v>4935</v>
      </c>
      <c r="C4939" s="39">
        <f t="shared" si="155"/>
        <v>157992929.59999999</v>
      </c>
      <c r="D4939" s="39">
        <f t="shared" si="154"/>
        <v>162988245</v>
      </c>
    </row>
    <row r="4940" spans="2:4" x14ac:dyDescent="0.25">
      <c r="B4940" s="89">
        <v>4936</v>
      </c>
      <c r="C4940" s="39">
        <f t="shared" si="155"/>
        <v>157992929.59999999</v>
      </c>
      <c r="D4940" s="39">
        <f t="shared" si="154"/>
        <v>163021272</v>
      </c>
    </row>
    <row r="4941" spans="2:4" x14ac:dyDescent="0.25">
      <c r="B4941" s="89">
        <v>4937</v>
      </c>
      <c r="C4941" s="39">
        <f t="shared" si="155"/>
        <v>157992929.59999999</v>
      </c>
      <c r="D4941" s="39">
        <f t="shared" si="154"/>
        <v>163054299</v>
      </c>
    </row>
    <row r="4942" spans="2:4" x14ac:dyDescent="0.25">
      <c r="B4942" s="89">
        <v>4938</v>
      </c>
      <c r="C4942" s="39">
        <f t="shared" si="155"/>
        <v>157992929.59999999</v>
      </c>
      <c r="D4942" s="39">
        <f t="shared" si="154"/>
        <v>163087326</v>
      </c>
    </row>
    <row r="4943" spans="2:4" x14ac:dyDescent="0.25">
      <c r="B4943" s="89">
        <v>4939</v>
      </c>
      <c r="C4943" s="39">
        <f t="shared" si="155"/>
        <v>157992929.59999999</v>
      </c>
      <c r="D4943" s="39">
        <f t="shared" si="154"/>
        <v>163120353</v>
      </c>
    </row>
    <row r="4944" spans="2:4" x14ac:dyDescent="0.25">
      <c r="B4944" s="89">
        <v>4940</v>
      </c>
      <c r="C4944" s="39">
        <f t="shared" si="155"/>
        <v>157992929.59999999</v>
      </c>
      <c r="D4944" s="39">
        <f t="shared" si="154"/>
        <v>163153380</v>
      </c>
    </row>
    <row r="4945" spans="2:4" x14ac:dyDescent="0.25">
      <c r="B4945" s="89">
        <v>4941</v>
      </c>
      <c r="C4945" s="39">
        <f t="shared" si="155"/>
        <v>157992929.59999999</v>
      </c>
      <c r="D4945" s="39">
        <f t="shared" si="154"/>
        <v>163186407</v>
      </c>
    </row>
    <row r="4946" spans="2:4" x14ac:dyDescent="0.25">
      <c r="B4946" s="89">
        <v>4942</v>
      </c>
      <c r="C4946" s="39">
        <f t="shared" si="155"/>
        <v>157992929.59999999</v>
      </c>
      <c r="D4946" s="39">
        <f t="shared" si="154"/>
        <v>163219434</v>
      </c>
    </row>
    <row r="4947" spans="2:4" x14ac:dyDescent="0.25">
      <c r="B4947" s="89">
        <v>4943</v>
      </c>
      <c r="C4947" s="39">
        <f t="shared" si="155"/>
        <v>157992929.59999999</v>
      </c>
      <c r="D4947" s="39">
        <f t="shared" si="154"/>
        <v>163252461</v>
      </c>
    </row>
    <row r="4948" spans="2:4" x14ac:dyDescent="0.25">
      <c r="B4948" s="89">
        <v>4944</v>
      </c>
      <c r="C4948" s="39">
        <f t="shared" si="155"/>
        <v>157992929.59999999</v>
      </c>
      <c r="D4948" s="39">
        <f t="shared" si="154"/>
        <v>163285488</v>
      </c>
    </row>
    <row r="4949" spans="2:4" x14ac:dyDescent="0.25">
      <c r="B4949" s="89">
        <v>4945</v>
      </c>
      <c r="C4949" s="39">
        <f t="shared" si="155"/>
        <v>157992929.59999999</v>
      </c>
      <c r="D4949" s="39">
        <f t="shared" si="154"/>
        <v>163318515</v>
      </c>
    </row>
    <row r="4950" spans="2:4" x14ac:dyDescent="0.25">
      <c r="B4950" s="89">
        <v>4946</v>
      </c>
      <c r="C4950" s="39">
        <f t="shared" si="155"/>
        <v>157992929.59999999</v>
      </c>
      <c r="D4950" s="39">
        <f t="shared" si="154"/>
        <v>163351542</v>
      </c>
    </row>
    <row r="4951" spans="2:4" x14ac:dyDescent="0.25">
      <c r="B4951" s="89">
        <v>4947</v>
      </c>
      <c r="C4951" s="39">
        <f t="shared" si="155"/>
        <v>157992929.59999999</v>
      </c>
      <c r="D4951" s="39">
        <f t="shared" si="154"/>
        <v>163384569</v>
      </c>
    </row>
    <row r="4952" spans="2:4" x14ac:dyDescent="0.25">
      <c r="B4952" s="89">
        <v>4948</v>
      </c>
      <c r="C4952" s="39">
        <f t="shared" si="155"/>
        <v>157992929.59999999</v>
      </c>
      <c r="D4952" s="39">
        <f t="shared" si="154"/>
        <v>163417596</v>
      </c>
    </row>
    <row r="4953" spans="2:4" x14ac:dyDescent="0.25">
      <c r="B4953" s="89">
        <v>4949</v>
      </c>
      <c r="C4953" s="39">
        <f t="shared" si="155"/>
        <v>157992929.59999999</v>
      </c>
      <c r="D4953" s="39">
        <f t="shared" si="154"/>
        <v>163450623</v>
      </c>
    </row>
    <row r="4954" spans="2:4" x14ac:dyDescent="0.25">
      <c r="B4954" s="89">
        <v>4950</v>
      </c>
      <c r="C4954" s="39">
        <f t="shared" si="155"/>
        <v>157992929.59999999</v>
      </c>
      <c r="D4954" s="39">
        <f t="shared" si="154"/>
        <v>163483650</v>
      </c>
    </row>
    <row r="4955" spans="2:4" x14ac:dyDescent="0.25">
      <c r="B4955" s="89">
        <v>4951</v>
      </c>
      <c r="C4955" s="39">
        <f t="shared" si="155"/>
        <v>157992929.59999999</v>
      </c>
      <c r="D4955" s="39">
        <f t="shared" si="154"/>
        <v>163516677</v>
      </c>
    </row>
    <row r="4956" spans="2:4" x14ac:dyDescent="0.25">
      <c r="B4956" s="89">
        <v>4952</v>
      </c>
      <c r="C4956" s="39">
        <f t="shared" si="155"/>
        <v>157992929.59999999</v>
      </c>
      <c r="D4956" s="39">
        <f t="shared" si="154"/>
        <v>163549704</v>
      </c>
    </row>
    <row r="4957" spans="2:4" x14ac:dyDescent="0.25">
      <c r="B4957" s="89">
        <v>4953</v>
      </c>
      <c r="C4957" s="39">
        <f t="shared" si="155"/>
        <v>157992929.59999999</v>
      </c>
      <c r="D4957" s="39">
        <f t="shared" si="154"/>
        <v>163582731</v>
      </c>
    </row>
    <row r="4958" spans="2:4" x14ac:dyDescent="0.25">
      <c r="B4958" s="89">
        <v>4954</v>
      </c>
      <c r="C4958" s="39">
        <f t="shared" si="155"/>
        <v>157992929.59999999</v>
      </c>
      <c r="D4958" s="39">
        <f t="shared" si="154"/>
        <v>163615758</v>
      </c>
    </row>
    <row r="4959" spans="2:4" x14ac:dyDescent="0.25">
      <c r="B4959" s="89">
        <v>4955</v>
      </c>
      <c r="C4959" s="39">
        <f t="shared" si="155"/>
        <v>157992929.59999999</v>
      </c>
      <c r="D4959" s="39">
        <f t="shared" si="154"/>
        <v>163648785</v>
      </c>
    </row>
    <row r="4960" spans="2:4" x14ac:dyDescent="0.25">
      <c r="B4960" s="89">
        <v>4956</v>
      </c>
      <c r="C4960" s="39">
        <f t="shared" si="155"/>
        <v>157992929.59999999</v>
      </c>
      <c r="D4960" s="39">
        <f t="shared" si="154"/>
        <v>163681812</v>
      </c>
    </row>
    <row r="4961" spans="2:4" x14ac:dyDescent="0.25">
      <c r="B4961" s="89">
        <v>4957</v>
      </c>
      <c r="C4961" s="39">
        <f t="shared" si="155"/>
        <v>157992929.59999999</v>
      </c>
      <c r="D4961" s="39">
        <f t="shared" si="154"/>
        <v>163714839</v>
      </c>
    </row>
    <row r="4962" spans="2:4" x14ac:dyDescent="0.25">
      <c r="B4962" s="89">
        <v>4958</v>
      </c>
      <c r="C4962" s="39">
        <f t="shared" si="155"/>
        <v>157992929.59999999</v>
      </c>
      <c r="D4962" s="39">
        <f t="shared" si="154"/>
        <v>163747866</v>
      </c>
    </row>
    <row r="4963" spans="2:4" x14ac:dyDescent="0.25">
      <c r="B4963" s="89">
        <v>4959</v>
      </c>
      <c r="C4963" s="39">
        <f t="shared" si="155"/>
        <v>157992929.59999999</v>
      </c>
      <c r="D4963" s="39">
        <f t="shared" si="154"/>
        <v>163780893</v>
      </c>
    </row>
    <row r="4964" spans="2:4" x14ac:dyDescent="0.25">
      <c r="B4964" s="89">
        <v>4960</v>
      </c>
      <c r="C4964" s="39">
        <f t="shared" si="155"/>
        <v>157992929.59999999</v>
      </c>
      <c r="D4964" s="39">
        <f t="shared" si="154"/>
        <v>163813920</v>
      </c>
    </row>
    <row r="4965" spans="2:4" x14ac:dyDescent="0.25">
      <c r="B4965" s="89">
        <v>4961</v>
      </c>
      <c r="C4965" s="39">
        <f t="shared" si="155"/>
        <v>157992929.59999999</v>
      </c>
      <c r="D4965" s="39">
        <f t="shared" si="154"/>
        <v>163846947</v>
      </c>
    </row>
    <row r="4966" spans="2:4" x14ac:dyDescent="0.25">
      <c r="B4966" s="89">
        <v>4962</v>
      </c>
      <c r="C4966" s="39">
        <f t="shared" si="155"/>
        <v>157992929.59999999</v>
      </c>
      <c r="D4966" s="39">
        <f t="shared" si="154"/>
        <v>163879974</v>
      </c>
    </row>
    <row r="4967" spans="2:4" x14ac:dyDescent="0.25">
      <c r="B4967" s="89">
        <v>4963</v>
      </c>
      <c r="C4967" s="39">
        <f t="shared" si="155"/>
        <v>157992929.59999999</v>
      </c>
      <c r="D4967" s="39">
        <f t="shared" si="154"/>
        <v>163913001</v>
      </c>
    </row>
    <row r="4968" spans="2:4" x14ac:dyDescent="0.25">
      <c r="B4968" s="89">
        <v>4964</v>
      </c>
      <c r="C4968" s="39">
        <f t="shared" si="155"/>
        <v>157992929.59999999</v>
      </c>
      <c r="D4968" s="39">
        <f t="shared" si="154"/>
        <v>163946028</v>
      </c>
    </row>
    <row r="4969" spans="2:4" x14ac:dyDescent="0.25">
      <c r="B4969" s="89">
        <v>4965</v>
      </c>
      <c r="C4969" s="39">
        <f t="shared" si="155"/>
        <v>157992929.59999999</v>
      </c>
      <c r="D4969" s="39">
        <f t="shared" si="154"/>
        <v>163979055</v>
      </c>
    </row>
    <row r="4970" spans="2:4" x14ac:dyDescent="0.25">
      <c r="B4970" s="89">
        <v>4966</v>
      </c>
      <c r="C4970" s="39">
        <f t="shared" si="155"/>
        <v>157992929.59999999</v>
      </c>
      <c r="D4970" s="39">
        <f t="shared" si="154"/>
        <v>164012082</v>
      </c>
    </row>
    <row r="4971" spans="2:4" x14ac:dyDescent="0.25">
      <c r="B4971" s="89">
        <v>4967</v>
      </c>
      <c r="C4971" s="39">
        <f t="shared" si="155"/>
        <v>157992929.59999999</v>
      </c>
      <c r="D4971" s="39">
        <f t="shared" si="154"/>
        <v>164045109</v>
      </c>
    </row>
    <row r="4972" spans="2:4" x14ac:dyDescent="0.25">
      <c r="B4972" s="89">
        <v>4968</v>
      </c>
      <c r="C4972" s="39">
        <f t="shared" si="155"/>
        <v>157992929.59999999</v>
      </c>
      <c r="D4972" s="39">
        <f t="shared" si="154"/>
        <v>164078136</v>
      </c>
    </row>
    <row r="4973" spans="2:4" x14ac:dyDescent="0.25">
      <c r="B4973" s="89">
        <v>4969</v>
      </c>
      <c r="C4973" s="39">
        <f t="shared" si="155"/>
        <v>157992929.59999999</v>
      </c>
      <c r="D4973" s="39">
        <f t="shared" si="154"/>
        <v>164111163</v>
      </c>
    </row>
    <row r="4974" spans="2:4" x14ac:dyDescent="0.25">
      <c r="B4974" s="89">
        <v>4970</v>
      </c>
      <c r="C4974" s="39">
        <f t="shared" si="155"/>
        <v>157992929.59999999</v>
      </c>
      <c r="D4974" s="39">
        <f t="shared" si="154"/>
        <v>164144190</v>
      </c>
    </row>
    <row r="4975" spans="2:4" x14ac:dyDescent="0.25">
      <c r="B4975" s="89">
        <v>4971</v>
      </c>
      <c r="C4975" s="39">
        <f t="shared" si="155"/>
        <v>157992929.59999999</v>
      </c>
      <c r="D4975" s="39">
        <f t="shared" si="154"/>
        <v>164177217</v>
      </c>
    </row>
    <row r="4976" spans="2:4" x14ac:dyDescent="0.25">
      <c r="B4976" s="89">
        <v>4972</v>
      </c>
      <c r="C4976" s="39">
        <f t="shared" si="155"/>
        <v>157992929.59999999</v>
      </c>
      <c r="D4976" s="39">
        <f t="shared" si="154"/>
        <v>164210244</v>
      </c>
    </row>
    <row r="4977" spans="2:4" x14ac:dyDescent="0.25">
      <c r="B4977" s="89">
        <v>4973</v>
      </c>
      <c r="C4977" s="39">
        <f t="shared" si="155"/>
        <v>157992929.59999999</v>
      </c>
      <c r="D4977" s="39">
        <f t="shared" ref="D4977:D5004" si="156">$D$2*B4977</f>
        <v>164243271</v>
      </c>
    </row>
    <row r="4978" spans="2:4" x14ac:dyDescent="0.25">
      <c r="B4978" s="89">
        <v>4974</v>
      </c>
      <c r="C4978" s="39">
        <f t="shared" si="155"/>
        <v>157992929.59999999</v>
      </c>
      <c r="D4978" s="39">
        <f t="shared" si="156"/>
        <v>164276298</v>
      </c>
    </row>
    <row r="4979" spans="2:4" x14ac:dyDescent="0.25">
      <c r="B4979" s="89">
        <v>4975</v>
      </c>
      <c r="C4979" s="39">
        <f t="shared" si="155"/>
        <v>157992929.59999999</v>
      </c>
      <c r="D4979" s="39">
        <f t="shared" si="156"/>
        <v>164309325</v>
      </c>
    </row>
    <row r="4980" spans="2:4" x14ac:dyDescent="0.25">
      <c r="B4980" s="89">
        <v>4976</v>
      </c>
      <c r="C4980" s="39">
        <f t="shared" si="155"/>
        <v>157992929.59999999</v>
      </c>
      <c r="D4980" s="39">
        <f t="shared" si="156"/>
        <v>164342352</v>
      </c>
    </row>
    <row r="4981" spans="2:4" x14ac:dyDescent="0.25">
      <c r="B4981" s="89">
        <v>4977</v>
      </c>
      <c r="C4981" s="39">
        <f t="shared" si="155"/>
        <v>157992929.59999999</v>
      </c>
      <c r="D4981" s="39">
        <f t="shared" si="156"/>
        <v>164375379</v>
      </c>
    </row>
    <row r="4982" spans="2:4" x14ac:dyDescent="0.25">
      <c r="B4982" s="89">
        <v>4978</v>
      </c>
      <c r="C4982" s="39">
        <f t="shared" si="155"/>
        <v>157992929.59999999</v>
      </c>
      <c r="D4982" s="39">
        <f t="shared" si="156"/>
        <v>164408406</v>
      </c>
    </row>
    <row r="4983" spans="2:4" x14ac:dyDescent="0.25">
      <c r="B4983" s="89">
        <v>4979</v>
      </c>
      <c r="C4983" s="39">
        <f t="shared" si="155"/>
        <v>157992929.59999999</v>
      </c>
      <c r="D4983" s="39">
        <f t="shared" si="156"/>
        <v>164441433</v>
      </c>
    </row>
    <row r="4984" spans="2:4" x14ac:dyDescent="0.25">
      <c r="B4984" s="89">
        <v>4980</v>
      </c>
      <c r="C4984" s="39">
        <f t="shared" si="155"/>
        <v>157992929.59999999</v>
      </c>
      <c r="D4984" s="39">
        <f t="shared" si="156"/>
        <v>164474460</v>
      </c>
    </row>
    <row r="4985" spans="2:4" x14ac:dyDescent="0.25">
      <c r="B4985" s="89">
        <v>4981</v>
      </c>
      <c r="C4985" s="39">
        <f t="shared" si="155"/>
        <v>157992929.59999999</v>
      </c>
      <c r="D4985" s="39">
        <f t="shared" si="156"/>
        <v>164507487</v>
      </c>
    </row>
    <row r="4986" spans="2:4" x14ac:dyDescent="0.25">
      <c r="B4986" s="89">
        <v>4982</v>
      </c>
      <c r="C4986" s="39">
        <f t="shared" si="155"/>
        <v>157992929.59999999</v>
      </c>
      <c r="D4986" s="39">
        <f t="shared" si="156"/>
        <v>164540514</v>
      </c>
    </row>
    <row r="4987" spans="2:4" x14ac:dyDescent="0.25">
      <c r="B4987" s="89">
        <v>4983</v>
      </c>
      <c r="C4987" s="39">
        <f t="shared" si="155"/>
        <v>157992929.59999999</v>
      </c>
      <c r="D4987" s="39">
        <f t="shared" si="156"/>
        <v>164573541</v>
      </c>
    </row>
    <row r="4988" spans="2:4" x14ac:dyDescent="0.25">
      <c r="B4988" s="89">
        <v>4984</v>
      </c>
      <c r="C4988" s="39">
        <f t="shared" si="155"/>
        <v>157992929.59999999</v>
      </c>
      <c r="D4988" s="39">
        <f t="shared" si="156"/>
        <v>164606568</v>
      </c>
    </row>
    <row r="4989" spans="2:4" x14ac:dyDescent="0.25">
      <c r="B4989" s="89">
        <v>4985</v>
      </c>
      <c r="C4989" s="39">
        <f t="shared" si="155"/>
        <v>157992929.59999999</v>
      </c>
      <c r="D4989" s="39">
        <f t="shared" si="156"/>
        <v>164639595</v>
      </c>
    </row>
    <row r="4990" spans="2:4" x14ac:dyDescent="0.25">
      <c r="B4990" s="89">
        <v>4986</v>
      </c>
      <c r="C4990" s="39">
        <f t="shared" si="155"/>
        <v>157992929.59999999</v>
      </c>
      <c r="D4990" s="39">
        <f t="shared" si="156"/>
        <v>164672622</v>
      </c>
    </row>
    <row r="4991" spans="2:4" x14ac:dyDescent="0.25">
      <c r="B4991" s="89">
        <v>4987</v>
      </c>
      <c r="C4991" s="39">
        <f t="shared" si="155"/>
        <v>157992929.59999999</v>
      </c>
      <c r="D4991" s="39">
        <f t="shared" si="156"/>
        <v>164705649</v>
      </c>
    </row>
    <row r="4992" spans="2:4" x14ac:dyDescent="0.25">
      <c r="B4992" s="89">
        <v>4988</v>
      </c>
      <c r="C4992" s="39">
        <f t="shared" si="155"/>
        <v>157992929.59999999</v>
      </c>
      <c r="D4992" s="39">
        <f t="shared" si="156"/>
        <v>164738676</v>
      </c>
    </row>
    <row r="4993" spans="2:4" x14ac:dyDescent="0.25">
      <c r="B4993" s="89">
        <v>4989</v>
      </c>
      <c r="C4993" s="39">
        <f t="shared" si="155"/>
        <v>157992929.59999999</v>
      </c>
      <c r="D4993" s="39">
        <f t="shared" si="156"/>
        <v>164771703</v>
      </c>
    </row>
    <row r="4994" spans="2:4" x14ac:dyDescent="0.25">
      <c r="B4994" s="89">
        <v>4990</v>
      </c>
      <c r="C4994" s="39">
        <f t="shared" si="155"/>
        <v>157992929.59999999</v>
      </c>
      <c r="D4994" s="39">
        <f t="shared" si="156"/>
        <v>164804730</v>
      </c>
    </row>
    <row r="4995" spans="2:4" x14ac:dyDescent="0.25">
      <c r="B4995" s="89">
        <v>4991</v>
      </c>
      <c r="C4995" s="39">
        <f t="shared" si="155"/>
        <v>157992929.59999999</v>
      </c>
      <c r="D4995" s="39">
        <f t="shared" si="156"/>
        <v>164837757</v>
      </c>
    </row>
    <row r="4996" spans="2:4" x14ac:dyDescent="0.25">
      <c r="B4996" s="89">
        <v>4992</v>
      </c>
      <c r="C4996" s="39">
        <f t="shared" si="155"/>
        <v>157992929.59999999</v>
      </c>
      <c r="D4996" s="39">
        <f t="shared" si="156"/>
        <v>164870784</v>
      </c>
    </row>
    <row r="4997" spans="2:4" x14ac:dyDescent="0.25">
      <c r="B4997" s="89">
        <v>4993</v>
      </c>
      <c r="C4997" s="39">
        <f t="shared" si="155"/>
        <v>157992929.59999999</v>
      </c>
      <c r="D4997" s="39">
        <f t="shared" si="156"/>
        <v>164903811</v>
      </c>
    </row>
    <row r="4998" spans="2:4" x14ac:dyDescent="0.25">
      <c r="B4998" s="89">
        <v>4994</v>
      </c>
      <c r="C4998" s="39">
        <f t="shared" ref="C4998:C5004" si="157">$C4997</f>
        <v>157992929.59999999</v>
      </c>
      <c r="D4998" s="39">
        <f t="shared" si="156"/>
        <v>164936838</v>
      </c>
    </row>
    <row r="4999" spans="2:4" x14ac:dyDescent="0.25">
      <c r="B4999" s="89">
        <v>4995</v>
      </c>
      <c r="C4999" s="39">
        <f t="shared" si="157"/>
        <v>157992929.59999999</v>
      </c>
      <c r="D4999" s="39">
        <f t="shared" si="156"/>
        <v>164969865</v>
      </c>
    </row>
    <row r="5000" spans="2:4" x14ac:dyDescent="0.25">
      <c r="B5000" s="89">
        <v>4996</v>
      </c>
      <c r="C5000" s="39">
        <f t="shared" si="157"/>
        <v>157992929.59999999</v>
      </c>
      <c r="D5000" s="39">
        <f t="shared" si="156"/>
        <v>165002892</v>
      </c>
    </row>
    <row r="5001" spans="2:4" x14ac:dyDescent="0.25">
      <c r="B5001" s="89">
        <v>4997</v>
      </c>
      <c r="C5001" s="39">
        <f t="shared" si="157"/>
        <v>157992929.59999999</v>
      </c>
      <c r="D5001" s="39">
        <f t="shared" si="156"/>
        <v>165035919</v>
      </c>
    </row>
    <row r="5002" spans="2:4" x14ac:dyDescent="0.25">
      <c r="B5002" s="89">
        <v>4998</v>
      </c>
      <c r="C5002" s="39">
        <f t="shared" si="157"/>
        <v>157992929.59999999</v>
      </c>
      <c r="D5002" s="39">
        <f t="shared" si="156"/>
        <v>165068946</v>
      </c>
    </row>
    <row r="5003" spans="2:4" x14ac:dyDescent="0.25">
      <c r="B5003" s="89">
        <v>4999</v>
      </c>
      <c r="C5003" s="39">
        <f t="shared" si="157"/>
        <v>157992929.59999999</v>
      </c>
      <c r="D5003" s="39">
        <f t="shared" si="156"/>
        <v>165101973</v>
      </c>
    </row>
    <row r="5004" spans="2:4" x14ac:dyDescent="0.25">
      <c r="B5004" s="89">
        <v>5000</v>
      </c>
      <c r="C5004" s="39">
        <f t="shared" si="157"/>
        <v>157992929.59999999</v>
      </c>
      <c r="D5004" s="39">
        <f t="shared" si="156"/>
        <v>165135000</v>
      </c>
    </row>
    <row r="5005" spans="2:4" x14ac:dyDescent="0.25">
      <c r="B5005" s="89">
        <v>5001</v>
      </c>
      <c r="C5005" s="39">
        <f t="shared" ref="C5005:C5068" si="158">$C5004</f>
        <v>157992929.59999999</v>
      </c>
      <c r="D5005" s="39">
        <f t="shared" ref="D5005:D5068" si="159">$D$2*B5005</f>
        <v>165168027</v>
      </c>
    </row>
    <row r="5006" spans="2:4" x14ac:dyDescent="0.25">
      <c r="B5006" s="89">
        <v>5002</v>
      </c>
      <c r="C5006" s="39">
        <f t="shared" si="158"/>
        <v>157992929.59999999</v>
      </c>
      <c r="D5006" s="39">
        <f t="shared" si="159"/>
        <v>165201054</v>
      </c>
    </row>
    <row r="5007" spans="2:4" x14ac:dyDescent="0.25">
      <c r="B5007" s="89">
        <v>5003</v>
      </c>
      <c r="C5007" s="39">
        <f t="shared" si="158"/>
        <v>157992929.59999999</v>
      </c>
      <c r="D5007" s="39">
        <f t="shared" si="159"/>
        <v>165234081</v>
      </c>
    </row>
    <row r="5008" spans="2:4" x14ac:dyDescent="0.25">
      <c r="B5008" s="89">
        <v>5004</v>
      </c>
      <c r="C5008" s="39">
        <f t="shared" si="158"/>
        <v>157992929.59999999</v>
      </c>
      <c r="D5008" s="39">
        <f t="shared" si="159"/>
        <v>165267108</v>
      </c>
    </row>
    <row r="5009" spans="2:4" x14ac:dyDescent="0.25">
      <c r="B5009" s="89">
        <v>5005</v>
      </c>
      <c r="C5009" s="39">
        <f t="shared" si="158"/>
        <v>157992929.59999999</v>
      </c>
      <c r="D5009" s="39">
        <f t="shared" si="159"/>
        <v>165300135</v>
      </c>
    </row>
    <row r="5010" spans="2:4" x14ac:dyDescent="0.25">
      <c r="B5010" s="89">
        <v>5006</v>
      </c>
      <c r="C5010" s="39">
        <f t="shared" si="158"/>
        <v>157992929.59999999</v>
      </c>
      <c r="D5010" s="39">
        <f t="shared" si="159"/>
        <v>165333162</v>
      </c>
    </row>
    <row r="5011" spans="2:4" x14ac:dyDescent="0.25">
      <c r="B5011" s="89">
        <v>5007</v>
      </c>
      <c r="C5011" s="39">
        <f t="shared" si="158"/>
        <v>157992929.59999999</v>
      </c>
      <c r="D5011" s="39">
        <f t="shared" si="159"/>
        <v>165366189</v>
      </c>
    </row>
    <row r="5012" spans="2:4" x14ac:dyDescent="0.25">
      <c r="B5012" s="89">
        <v>5008</v>
      </c>
      <c r="C5012" s="39">
        <f t="shared" si="158"/>
        <v>157992929.59999999</v>
      </c>
      <c r="D5012" s="39">
        <f t="shared" si="159"/>
        <v>165399216</v>
      </c>
    </row>
    <row r="5013" spans="2:4" x14ac:dyDescent="0.25">
      <c r="B5013" s="89">
        <v>5009</v>
      </c>
      <c r="C5013" s="39">
        <f t="shared" si="158"/>
        <v>157992929.59999999</v>
      </c>
      <c r="D5013" s="39">
        <f t="shared" si="159"/>
        <v>165432243</v>
      </c>
    </row>
    <row r="5014" spans="2:4" x14ac:dyDescent="0.25">
      <c r="B5014" s="89">
        <v>5010</v>
      </c>
      <c r="C5014" s="39">
        <f t="shared" si="158"/>
        <v>157992929.59999999</v>
      </c>
      <c r="D5014" s="39">
        <f t="shared" si="159"/>
        <v>165465270</v>
      </c>
    </row>
    <row r="5015" spans="2:4" x14ac:dyDescent="0.25">
      <c r="B5015" s="89">
        <v>5011</v>
      </c>
      <c r="C5015" s="39">
        <f t="shared" si="158"/>
        <v>157992929.59999999</v>
      </c>
      <c r="D5015" s="39">
        <f t="shared" si="159"/>
        <v>165498297</v>
      </c>
    </row>
    <row r="5016" spans="2:4" x14ac:dyDescent="0.25">
      <c r="B5016" s="89">
        <v>5012</v>
      </c>
      <c r="C5016" s="39">
        <f t="shared" si="158"/>
        <v>157992929.59999999</v>
      </c>
      <c r="D5016" s="39">
        <f t="shared" si="159"/>
        <v>165531324</v>
      </c>
    </row>
    <row r="5017" spans="2:4" x14ac:dyDescent="0.25">
      <c r="B5017" s="89">
        <v>5013</v>
      </c>
      <c r="C5017" s="39">
        <f t="shared" si="158"/>
        <v>157992929.59999999</v>
      </c>
      <c r="D5017" s="39">
        <f t="shared" si="159"/>
        <v>165564351</v>
      </c>
    </row>
    <row r="5018" spans="2:4" x14ac:dyDescent="0.25">
      <c r="B5018" s="89">
        <v>5014</v>
      </c>
      <c r="C5018" s="39">
        <f t="shared" si="158"/>
        <v>157992929.59999999</v>
      </c>
      <c r="D5018" s="39">
        <f t="shared" si="159"/>
        <v>165597378</v>
      </c>
    </row>
    <row r="5019" spans="2:4" x14ac:dyDescent="0.25">
      <c r="B5019" s="89">
        <v>5015</v>
      </c>
      <c r="C5019" s="39">
        <f t="shared" si="158"/>
        <v>157992929.59999999</v>
      </c>
      <c r="D5019" s="39">
        <f t="shared" si="159"/>
        <v>165630405</v>
      </c>
    </row>
    <row r="5020" spans="2:4" x14ac:dyDescent="0.25">
      <c r="B5020" s="89">
        <v>5016</v>
      </c>
      <c r="C5020" s="39">
        <f t="shared" si="158"/>
        <v>157992929.59999999</v>
      </c>
      <c r="D5020" s="39">
        <f t="shared" si="159"/>
        <v>165663432</v>
      </c>
    </row>
    <row r="5021" spans="2:4" x14ac:dyDescent="0.25">
      <c r="B5021" s="89">
        <v>5017</v>
      </c>
      <c r="C5021" s="39">
        <f t="shared" si="158"/>
        <v>157992929.59999999</v>
      </c>
      <c r="D5021" s="39">
        <f t="shared" si="159"/>
        <v>165696459</v>
      </c>
    </row>
    <row r="5022" spans="2:4" x14ac:dyDescent="0.25">
      <c r="B5022" s="89">
        <v>5018</v>
      </c>
      <c r="C5022" s="39">
        <f t="shared" si="158"/>
        <v>157992929.59999999</v>
      </c>
      <c r="D5022" s="39">
        <f t="shared" si="159"/>
        <v>165729486</v>
      </c>
    </row>
    <row r="5023" spans="2:4" x14ac:dyDescent="0.25">
      <c r="B5023" s="89">
        <v>5019</v>
      </c>
      <c r="C5023" s="39">
        <f t="shared" si="158"/>
        <v>157992929.59999999</v>
      </c>
      <c r="D5023" s="39">
        <f t="shared" si="159"/>
        <v>165762513</v>
      </c>
    </row>
    <row r="5024" spans="2:4" x14ac:dyDescent="0.25">
      <c r="B5024" s="89">
        <v>5020</v>
      </c>
      <c r="C5024" s="39">
        <f t="shared" si="158"/>
        <v>157992929.59999999</v>
      </c>
      <c r="D5024" s="39">
        <f t="shared" si="159"/>
        <v>165795540</v>
      </c>
    </row>
    <row r="5025" spans="2:4" x14ac:dyDescent="0.25">
      <c r="B5025" s="89">
        <v>5021</v>
      </c>
      <c r="C5025" s="39">
        <f t="shared" si="158"/>
        <v>157992929.59999999</v>
      </c>
      <c r="D5025" s="39">
        <f t="shared" si="159"/>
        <v>165828567</v>
      </c>
    </row>
    <row r="5026" spans="2:4" x14ac:dyDescent="0.25">
      <c r="B5026" s="89">
        <v>5022</v>
      </c>
      <c r="C5026" s="39">
        <f t="shared" si="158"/>
        <v>157992929.59999999</v>
      </c>
      <c r="D5026" s="39">
        <f t="shared" si="159"/>
        <v>165861594</v>
      </c>
    </row>
    <row r="5027" spans="2:4" x14ac:dyDescent="0.25">
      <c r="B5027" s="89">
        <v>5023</v>
      </c>
      <c r="C5027" s="39">
        <f t="shared" si="158"/>
        <v>157992929.59999999</v>
      </c>
      <c r="D5027" s="39">
        <f t="shared" si="159"/>
        <v>165894621</v>
      </c>
    </row>
    <row r="5028" spans="2:4" x14ac:dyDescent="0.25">
      <c r="B5028" s="89">
        <v>5024</v>
      </c>
      <c r="C5028" s="39">
        <f t="shared" si="158"/>
        <v>157992929.59999999</v>
      </c>
      <c r="D5028" s="39">
        <f t="shared" si="159"/>
        <v>165927648</v>
      </c>
    </row>
    <row r="5029" spans="2:4" x14ac:dyDescent="0.25">
      <c r="B5029" s="89">
        <v>5025</v>
      </c>
      <c r="C5029" s="39">
        <f t="shared" si="158"/>
        <v>157992929.59999999</v>
      </c>
      <c r="D5029" s="39">
        <f t="shared" si="159"/>
        <v>165960675</v>
      </c>
    </row>
    <row r="5030" spans="2:4" x14ac:dyDescent="0.25">
      <c r="B5030" s="89">
        <v>5026</v>
      </c>
      <c r="C5030" s="39">
        <f t="shared" si="158"/>
        <v>157992929.59999999</v>
      </c>
      <c r="D5030" s="39">
        <f t="shared" si="159"/>
        <v>165993702</v>
      </c>
    </row>
    <row r="5031" spans="2:4" x14ac:dyDescent="0.25">
      <c r="B5031" s="89">
        <v>5027</v>
      </c>
      <c r="C5031" s="39">
        <f t="shared" si="158"/>
        <v>157992929.59999999</v>
      </c>
      <c r="D5031" s="39">
        <f t="shared" si="159"/>
        <v>166026729</v>
      </c>
    </row>
    <row r="5032" spans="2:4" x14ac:dyDescent="0.25">
      <c r="B5032" s="89">
        <v>5028</v>
      </c>
      <c r="C5032" s="39">
        <f t="shared" si="158"/>
        <v>157992929.59999999</v>
      </c>
      <c r="D5032" s="39">
        <f t="shared" si="159"/>
        <v>166059756</v>
      </c>
    </row>
    <row r="5033" spans="2:4" x14ac:dyDescent="0.25">
      <c r="B5033" s="89">
        <v>5029</v>
      </c>
      <c r="C5033" s="39">
        <f t="shared" si="158"/>
        <v>157992929.59999999</v>
      </c>
      <c r="D5033" s="39">
        <f t="shared" si="159"/>
        <v>166092783</v>
      </c>
    </row>
    <row r="5034" spans="2:4" x14ac:dyDescent="0.25">
      <c r="B5034" s="89">
        <v>5030</v>
      </c>
      <c r="C5034" s="39">
        <f t="shared" si="158"/>
        <v>157992929.59999999</v>
      </c>
      <c r="D5034" s="39">
        <f t="shared" si="159"/>
        <v>166125810</v>
      </c>
    </row>
    <row r="5035" spans="2:4" x14ac:dyDescent="0.25">
      <c r="B5035" s="89">
        <v>5031</v>
      </c>
      <c r="C5035" s="39">
        <f t="shared" si="158"/>
        <v>157992929.59999999</v>
      </c>
      <c r="D5035" s="39">
        <f t="shared" si="159"/>
        <v>166158837</v>
      </c>
    </row>
    <row r="5036" spans="2:4" x14ac:dyDescent="0.25">
      <c r="B5036" s="89">
        <v>5032</v>
      </c>
      <c r="C5036" s="39">
        <f t="shared" si="158"/>
        <v>157992929.59999999</v>
      </c>
      <c r="D5036" s="39">
        <f t="shared" si="159"/>
        <v>166191864</v>
      </c>
    </row>
    <row r="5037" spans="2:4" x14ac:dyDescent="0.25">
      <c r="B5037" s="89">
        <v>5033</v>
      </c>
      <c r="C5037" s="39">
        <f t="shared" si="158"/>
        <v>157992929.59999999</v>
      </c>
      <c r="D5037" s="39">
        <f t="shared" si="159"/>
        <v>166224891</v>
      </c>
    </row>
    <row r="5038" spans="2:4" x14ac:dyDescent="0.25">
      <c r="B5038" s="89">
        <v>5034</v>
      </c>
      <c r="C5038" s="39">
        <f t="shared" si="158"/>
        <v>157992929.59999999</v>
      </c>
      <c r="D5038" s="39">
        <f t="shared" si="159"/>
        <v>166257918</v>
      </c>
    </row>
    <row r="5039" spans="2:4" x14ac:dyDescent="0.25">
      <c r="B5039" s="89">
        <v>5035</v>
      </c>
      <c r="C5039" s="39">
        <f t="shared" si="158"/>
        <v>157992929.59999999</v>
      </c>
      <c r="D5039" s="39">
        <f t="shared" si="159"/>
        <v>166290945</v>
      </c>
    </row>
    <row r="5040" spans="2:4" x14ac:dyDescent="0.25">
      <c r="B5040" s="89">
        <v>5036</v>
      </c>
      <c r="C5040" s="39">
        <f t="shared" si="158"/>
        <v>157992929.59999999</v>
      </c>
      <c r="D5040" s="39">
        <f t="shared" si="159"/>
        <v>166323972</v>
      </c>
    </row>
    <row r="5041" spans="2:4" x14ac:dyDescent="0.25">
      <c r="B5041" s="89">
        <v>5037</v>
      </c>
      <c r="C5041" s="39">
        <f t="shared" si="158"/>
        <v>157992929.59999999</v>
      </c>
      <c r="D5041" s="39">
        <f t="shared" si="159"/>
        <v>166356999</v>
      </c>
    </row>
    <row r="5042" spans="2:4" x14ac:dyDescent="0.25">
      <c r="B5042" s="89">
        <v>5038</v>
      </c>
      <c r="C5042" s="39">
        <f t="shared" si="158"/>
        <v>157992929.59999999</v>
      </c>
      <c r="D5042" s="39">
        <f t="shared" si="159"/>
        <v>166390026</v>
      </c>
    </row>
    <row r="5043" spans="2:4" x14ac:dyDescent="0.25">
      <c r="B5043" s="89">
        <v>5039</v>
      </c>
      <c r="C5043" s="39">
        <f t="shared" si="158"/>
        <v>157992929.59999999</v>
      </c>
      <c r="D5043" s="39">
        <f t="shared" si="159"/>
        <v>166423053</v>
      </c>
    </row>
    <row r="5044" spans="2:4" x14ac:dyDescent="0.25">
      <c r="B5044" s="89">
        <v>5040</v>
      </c>
      <c r="C5044" s="39">
        <f t="shared" si="158"/>
        <v>157992929.59999999</v>
      </c>
      <c r="D5044" s="39">
        <f t="shared" si="159"/>
        <v>166456080</v>
      </c>
    </row>
    <row r="5045" spans="2:4" x14ac:dyDescent="0.25">
      <c r="B5045" s="89">
        <v>5041</v>
      </c>
      <c r="C5045" s="39">
        <f t="shared" si="158"/>
        <v>157992929.59999999</v>
      </c>
      <c r="D5045" s="39">
        <f t="shared" si="159"/>
        <v>166489107</v>
      </c>
    </row>
    <row r="5046" spans="2:4" x14ac:dyDescent="0.25">
      <c r="B5046" s="89">
        <v>5042</v>
      </c>
      <c r="C5046" s="39">
        <f t="shared" si="158"/>
        <v>157992929.59999999</v>
      </c>
      <c r="D5046" s="39">
        <f t="shared" si="159"/>
        <v>166522134</v>
      </c>
    </row>
    <row r="5047" spans="2:4" x14ac:dyDescent="0.25">
      <c r="B5047" s="89">
        <v>5043</v>
      </c>
      <c r="C5047" s="39">
        <f t="shared" si="158"/>
        <v>157992929.59999999</v>
      </c>
      <c r="D5047" s="39">
        <f t="shared" si="159"/>
        <v>166555161</v>
      </c>
    </row>
    <row r="5048" spans="2:4" x14ac:dyDescent="0.25">
      <c r="B5048" s="89">
        <v>5044</v>
      </c>
      <c r="C5048" s="39">
        <f t="shared" si="158"/>
        <v>157992929.59999999</v>
      </c>
      <c r="D5048" s="39">
        <f t="shared" si="159"/>
        <v>166588188</v>
      </c>
    </row>
    <row r="5049" spans="2:4" x14ac:dyDescent="0.25">
      <c r="B5049" s="89">
        <v>5045</v>
      </c>
      <c r="C5049" s="39">
        <f t="shared" si="158"/>
        <v>157992929.59999999</v>
      </c>
      <c r="D5049" s="39">
        <f t="shared" si="159"/>
        <v>166621215</v>
      </c>
    </row>
    <row r="5050" spans="2:4" x14ac:dyDescent="0.25">
      <c r="B5050" s="89">
        <v>5046</v>
      </c>
      <c r="C5050" s="39">
        <f t="shared" si="158"/>
        <v>157992929.59999999</v>
      </c>
      <c r="D5050" s="39">
        <f t="shared" si="159"/>
        <v>166654242</v>
      </c>
    </row>
    <row r="5051" spans="2:4" x14ac:dyDescent="0.25">
      <c r="B5051" s="89">
        <v>5047</v>
      </c>
      <c r="C5051" s="39">
        <f t="shared" si="158"/>
        <v>157992929.59999999</v>
      </c>
      <c r="D5051" s="39">
        <f t="shared" si="159"/>
        <v>166687269</v>
      </c>
    </row>
    <row r="5052" spans="2:4" x14ac:dyDescent="0.25">
      <c r="B5052" s="89">
        <v>5048</v>
      </c>
      <c r="C5052" s="39">
        <f t="shared" si="158"/>
        <v>157992929.59999999</v>
      </c>
      <c r="D5052" s="39">
        <f t="shared" si="159"/>
        <v>166720296</v>
      </c>
    </row>
    <row r="5053" spans="2:4" x14ac:dyDescent="0.25">
      <c r="B5053" s="89">
        <v>5049</v>
      </c>
      <c r="C5053" s="39">
        <f t="shared" si="158"/>
        <v>157992929.59999999</v>
      </c>
      <c r="D5053" s="39">
        <f t="shared" si="159"/>
        <v>166753323</v>
      </c>
    </row>
    <row r="5054" spans="2:4" x14ac:dyDescent="0.25">
      <c r="B5054" s="89">
        <v>5050</v>
      </c>
      <c r="C5054" s="39">
        <f t="shared" si="158"/>
        <v>157992929.59999999</v>
      </c>
      <c r="D5054" s="39">
        <f t="shared" si="159"/>
        <v>166786350</v>
      </c>
    </row>
    <row r="5055" spans="2:4" x14ac:dyDescent="0.25">
      <c r="B5055" s="89">
        <v>5051</v>
      </c>
      <c r="C5055" s="39">
        <f t="shared" si="158"/>
        <v>157992929.59999999</v>
      </c>
      <c r="D5055" s="39">
        <f t="shared" si="159"/>
        <v>166819377</v>
      </c>
    </row>
    <row r="5056" spans="2:4" x14ac:dyDescent="0.25">
      <c r="B5056" s="89">
        <v>5052</v>
      </c>
      <c r="C5056" s="39">
        <f t="shared" si="158"/>
        <v>157992929.59999999</v>
      </c>
      <c r="D5056" s="39">
        <f t="shared" si="159"/>
        <v>166852404</v>
      </c>
    </row>
    <row r="5057" spans="2:4" x14ac:dyDescent="0.25">
      <c r="B5057" s="89">
        <v>5053</v>
      </c>
      <c r="C5057" s="39">
        <f t="shared" si="158"/>
        <v>157992929.59999999</v>
      </c>
      <c r="D5057" s="39">
        <f t="shared" si="159"/>
        <v>166885431</v>
      </c>
    </row>
    <row r="5058" spans="2:4" x14ac:dyDescent="0.25">
      <c r="B5058" s="89">
        <v>5054</v>
      </c>
      <c r="C5058" s="39">
        <f t="shared" si="158"/>
        <v>157992929.59999999</v>
      </c>
      <c r="D5058" s="39">
        <f t="shared" si="159"/>
        <v>166918458</v>
      </c>
    </row>
    <row r="5059" spans="2:4" x14ac:dyDescent="0.25">
      <c r="B5059" s="89">
        <v>5055</v>
      </c>
      <c r="C5059" s="39">
        <f t="shared" si="158"/>
        <v>157992929.59999999</v>
      </c>
      <c r="D5059" s="39">
        <f t="shared" si="159"/>
        <v>166951485</v>
      </c>
    </row>
    <row r="5060" spans="2:4" x14ac:dyDescent="0.25">
      <c r="B5060" s="89">
        <v>5056</v>
      </c>
      <c r="C5060" s="39">
        <f t="shared" si="158"/>
        <v>157992929.59999999</v>
      </c>
      <c r="D5060" s="39">
        <f t="shared" si="159"/>
        <v>166984512</v>
      </c>
    </row>
    <row r="5061" spans="2:4" x14ac:dyDescent="0.25">
      <c r="B5061" s="89">
        <v>5057</v>
      </c>
      <c r="C5061" s="39">
        <f t="shared" si="158"/>
        <v>157992929.59999999</v>
      </c>
      <c r="D5061" s="39">
        <f t="shared" si="159"/>
        <v>167017539</v>
      </c>
    </row>
    <row r="5062" spans="2:4" x14ac:dyDescent="0.25">
      <c r="B5062" s="89">
        <v>5058</v>
      </c>
      <c r="C5062" s="39">
        <f t="shared" si="158"/>
        <v>157992929.59999999</v>
      </c>
      <c r="D5062" s="39">
        <f t="shared" si="159"/>
        <v>167050566</v>
      </c>
    </row>
    <row r="5063" spans="2:4" x14ac:dyDescent="0.25">
      <c r="B5063" s="89">
        <v>5059</v>
      </c>
      <c r="C5063" s="39">
        <f t="shared" si="158"/>
        <v>157992929.59999999</v>
      </c>
      <c r="D5063" s="39">
        <f t="shared" si="159"/>
        <v>167083593</v>
      </c>
    </row>
    <row r="5064" spans="2:4" x14ac:dyDescent="0.25">
      <c r="B5064" s="89">
        <v>5060</v>
      </c>
      <c r="C5064" s="39">
        <f t="shared" si="158"/>
        <v>157992929.59999999</v>
      </c>
      <c r="D5064" s="39">
        <f t="shared" si="159"/>
        <v>167116620</v>
      </c>
    </row>
    <row r="5065" spans="2:4" x14ac:dyDescent="0.25">
      <c r="B5065" s="89">
        <v>5061</v>
      </c>
      <c r="C5065" s="39">
        <f t="shared" si="158"/>
        <v>157992929.59999999</v>
      </c>
      <c r="D5065" s="39">
        <f t="shared" si="159"/>
        <v>167149647</v>
      </c>
    </row>
    <row r="5066" spans="2:4" x14ac:dyDescent="0.25">
      <c r="B5066" s="89">
        <v>5062</v>
      </c>
      <c r="C5066" s="39">
        <f t="shared" si="158"/>
        <v>157992929.59999999</v>
      </c>
      <c r="D5066" s="39">
        <f t="shared" si="159"/>
        <v>167182674</v>
      </c>
    </row>
    <row r="5067" spans="2:4" x14ac:dyDescent="0.25">
      <c r="B5067" s="89">
        <v>5063</v>
      </c>
      <c r="C5067" s="39">
        <f t="shared" si="158"/>
        <v>157992929.59999999</v>
      </c>
      <c r="D5067" s="39">
        <f t="shared" si="159"/>
        <v>167215701</v>
      </c>
    </row>
    <row r="5068" spans="2:4" x14ac:dyDescent="0.25">
      <c r="B5068" s="89">
        <v>5064</v>
      </c>
      <c r="C5068" s="39">
        <f t="shared" si="158"/>
        <v>157992929.59999999</v>
      </c>
      <c r="D5068" s="39">
        <f t="shared" si="159"/>
        <v>167248728</v>
      </c>
    </row>
    <row r="5069" spans="2:4" x14ac:dyDescent="0.25">
      <c r="B5069" s="89">
        <v>5065</v>
      </c>
      <c r="C5069" s="39">
        <f t="shared" ref="C5069:C5132" si="160">$C5068</f>
        <v>157992929.59999999</v>
      </c>
      <c r="D5069" s="39">
        <f t="shared" ref="D5069:D5132" si="161">$D$2*B5069</f>
        <v>167281755</v>
      </c>
    </row>
    <row r="5070" spans="2:4" x14ac:dyDescent="0.25">
      <c r="B5070" s="89">
        <v>5066</v>
      </c>
      <c r="C5070" s="39">
        <f t="shared" si="160"/>
        <v>157992929.59999999</v>
      </c>
      <c r="D5070" s="39">
        <f t="shared" si="161"/>
        <v>167314782</v>
      </c>
    </row>
    <row r="5071" spans="2:4" x14ac:dyDescent="0.25">
      <c r="B5071" s="89">
        <v>5067</v>
      </c>
      <c r="C5071" s="39">
        <f t="shared" si="160"/>
        <v>157992929.59999999</v>
      </c>
      <c r="D5071" s="39">
        <f t="shared" si="161"/>
        <v>167347809</v>
      </c>
    </row>
    <row r="5072" spans="2:4" x14ac:dyDescent="0.25">
      <c r="B5072" s="89">
        <v>5068</v>
      </c>
      <c r="C5072" s="39">
        <f t="shared" si="160"/>
        <v>157992929.59999999</v>
      </c>
      <c r="D5072" s="39">
        <f t="shared" si="161"/>
        <v>167380836</v>
      </c>
    </row>
    <row r="5073" spans="2:4" x14ac:dyDescent="0.25">
      <c r="B5073" s="89">
        <v>5069</v>
      </c>
      <c r="C5073" s="39">
        <f t="shared" si="160"/>
        <v>157992929.59999999</v>
      </c>
      <c r="D5073" s="39">
        <f t="shared" si="161"/>
        <v>167413863</v>
      </c>
    </row>
    <row r="5074" spans="2:4" x14ac:dyDescent="0.25">
      <c r="B5074" s="89">
        <v>5070</v>
      </c>
      <c r="C5074" s="39">
        <f t="shared" si="160"/>
        <v>157992929.59999999</v>
      </c>
      <c r="D5074" s="39">
        <f t="shared" si="161"/>
        <v>167446890</v>
      </c>
    </row>
    <row r="5075" spans="2:4" x14ac:dyDescent="0.25">
      <c r="B5075" s="89">
        <v>5071</v>
      </c>
      <c r="C5075" s="39">
        <f t="shared" si="160"/>
        <v>157992929.59999999</v>
      </c>
      <c r="D5075" s="39">
        <f t="shared" si="161"/>
        <v>167479917</v>
      </c>
    </row>
    <row r="5076" spans="2:4" x14ac:dyDescent="0.25">
      <c r="B5076" s="89">
        <v>5072</v>
      </c>
      <c r="C5076" s="39">
        <f t="shared" si="160"/>
        <v>157992929.59999999</v>
      </c>
      <c r="D5076" s="39">
        <f t="shared" si="161"/>
        <v>167512944</v>
      </c>
    </row>
    <row r="5077" spans="2:4" x14ac:dyDescent="0.25">
      <c r="B5077" s="89">
        <v>5073</v>
      </c>
      <c r="C5077" s="39">
        <f t="shared" si="160"/>
        <v>157992929.59999999</v>
      </c>
      <c r="D5077" s="39">
        <f t="shared" si="161"/>
        <v>167545971</v>
      </c>
    </row>
    <row r="5078" spans="2:4" x14ac:dyDescent="0.25">
      <c r="B5078" s="89">
        <v>5074</v>
      </c>
      <c r="C5078" s="39">
        <f t="shared" si="160"/>
        <v>157992929.59999999</v>
      </c>
      <c r="D5078" s="39">
        <f t="shared" si="161"/>
        <v>167578998</v>
      </c>
    </row>
    <row r="5079" spans="2:4" x14ac:dyDescent="0.25">
      <c r="B5079" s="89">
        <v>5075</v>
      </c>
      <c r="C5079" s="39">
        <f t="shared" si="160"/>
        <v>157992929.59999999</v>
      </c>
      <c r="D5079" s="39">
        <f t="shared" si="161"/>
        <v>167612025</v>
      </c>
    </row>
    <row r="5080" spans="2:4" x14ac:dyDescent="0.25">
      <c r="B5080" s="89">
        <v>5076</v>
      </c>
      <c r="C5080" s="39">
        <f t="shared" si="160"/>
        <v>157992929.59999999</v>
      </c>
      <c r="D5080" s="39">
        <f t="shared" si="161"/>
        <v>167645052</v>
      </c>
    </row>
    <row r="5081" spans="2:4" x14ac:dyDescent="0.25">
      <c r="B5081" s="89">
        <v>5077</v>
      </c>
      <c r="C5081" s="39">
        <f t="shared" si="160"/>
        <v>157992929.59999999</v>
      </c>
      <c r="D5081" s="39">
        <f t="shared" si="161"/>
        <v>167678079</v>
      </c>
    </row>
    <row r="5082" spans="2:4" x14ac:dyDescent="0.25">
      <c r="B5082" s="89">
        <v>5078</v>
      </c>
      <c r="C5082" s="39">
        <f t="shared" si="160"/>
        <v>157992929.59999999</v>
      </c>
      <c r="D5082" s="39">
        <f t="shared" si="161"/>
        <v>167711106</v>
      </c>
    </row>
    <row r="5083" spans="2:4" x14ac:dyDescent="0.25">
      <c r="B5083" s="89">
        <v>5079</v>
      </c>
      <c r="C5083" s="39">
        <f t="shared" si="160"/>
        <v>157992929.59999999</v>
      </c>
      <c r="D5083" s="39">
        <f t="shared" si="161"/>
        <v>167744133</v>
      </c>
    </row>
    <row r="5084" spans="2:4" x14ac:dyDescent="0.25">
      <c r="B5084" s="89">
        <v>5080</v>
      </c>
      <c r="C5084" s="39">
        <f t="shared" si="160"/>
        <v>157992929.59999999</v>
      </c>
      <c r="D5084" s="39">
        <f t="shared" si="161"/>
        <v>167777160</v>
      </c>
    </row>
    <row r="5085" spans="2:4" x14ac:dyDescent="0.25">
      <c r="B5085" s="89">
        <v>5081</v>
      </c>
      <c r="C5085" s="39">
        <f t="shared" si="160"/>
        <v>157992929.59999999</v>
      </c>
      <c r="D5085" s="39">
        <f t="shared" si="161"/>
        <v>167810187</v>
      </c>
    </row>
    <row r="5086" spans="2:4" x14ac:dyDescent="0.25">
      <c r="B5086" s="89">
        <v>5082</v>
      </c>
      <c r="C5086" s="39">
        <f t="shared" si="160"/>
        <v>157992929.59999999</v>
      </c>
      <c r="D5086" s="39">
        <f t="shared" si="161"/>
        <v>167843214</v>
      </c>
    </row>
    <row r="5087" spans="2:4" x14ac:dyDescent="0.25">
      <c r="B5087" s="89">
        <v>5083</v>
      </c>
      <c r="C5087" s="39">
        <f t="shared" si="160"/>
        <v>157992929.59999999</v>
      </c>
      <c r="D5087" s="39">
        <f t="shared" si="161"/>
        <v>167876241</v>
      </c>
    </row>
    <row r="5088" spans="2:4" x14ac:dyDescent="0.25">
      <c r="B5088" s="89">
        <v>5084</v>
      </c>
      <c r="C5088" s="39">
        <f t="shared" si="160"/>
        <v>157992929.59999999</v>
      </c>
      <c r="D5088" s="39">
        <f t="shared" si="161"/>
        <v>167909268</v>
      </c>
    </row>
    <row r="5089" spans="2:4" x14ac:dyDescent="0.25">
      <c r="B5089" s="89">
        <v>5085</v>
      </c>
      <c r="C5089" s="39">
        <f t="shared" si="160"/>
        <v>157992929.59999999</v>
      </c>
      <c r="D5089" s="39">
        <f t="shared" si="161"/>
        <v>167942295</v>
      </c>
    </row>
    <row r="5090" spans="2:4" x14ac:dyDescent="0.25">
      <c r="B5090" s="89">
        <v>5086</v>
      </c>
      <c r="C5090" s="39">
        <f t="shared" si="160"/>
        <v>157992929.59999999</v>
      </c>
      <c r="D5090" s="39">
        <f t="shared" si="161"/>
        <v>167975322</v>
      </c>
    </row>
    <row r="5091" spans="2:4" x14ac:dyDescent="0.25">
      <c r="B5091" s="89">
        <v>5087</v>
      </c>
      <c r="C5091" s="39">
        <f t="shared" si="160"/>
        <v>157992929.59999999</v>
      </c>
      <c r="D5091" s="39">
        <f t="shared" si="161"/>
        <v>168008349</v>
      </c>
    </row>
    <row r="5092" spans="2:4" x14ac:dyDescent="0.25">
      <c r="B5092" s="89">
        <v>5088</v>
      </c>
      <c r="C5092" s="39">
        <f t="shared" si="160"/>
        <v>157992929.59999999</v>
      </c>
      <c r="D5092" s="39">
        <f t="shared" si="161"/>
        <v>168041376</v>
      </c>
    </row>
    <row r="5093" spans="2:4" x14ac:dyDescent="0.25">
      <c r="B5093" s="89">
        <v>5089</v>
      </c>
      <c r="C5093" s="39">
        <f t="shared" si="160"/>
        <v>157992929.59999999</v>
      </c>
      <c r="D5093" s="39">
        <f t="shared" si="161"/>
        <v>168074403</v>
      </c>
    </row>
    <row r="5094" spans="2:4" x14ac:dyDescent="0.25">
      <c r="B5094" s="89">
        <v>5090</v>
      </c>
      <c r="C5094" s="39">
        <f t="shared" si="160"/>
        <v>157992929.59999999</v>
      </c>
      <c r="D5094" s="39">
        <f t="shared" si="161"/>
        <v>168107430</v>
      </c>
    </row>
    <row r="5095" spans="2:4" x14ac:dyDescent="0.25">
      <c r="B5095" s="89">
        <v>5091</v>
      </c>
      <c r="C5095" s="39">
        <f t="shared" si="160"/>
        <v>157992929.59999999</v>
      </c>
      <c r="D5095" s="39">
        <f t="shared" si="161"/>
        <v>168140457</v>
      </c>
    </row>
    <row r="5096" spans="2:4" x14ac:dyDescent="0.25">
      <c r="B5096" s="89">
        <v>5092</v>
      </c>
      <c r="C5096" s="39">
        <f t="shared" si="160"/>
        <v>157992929.59999999</v>
      </c>
      <c r="D5096" s="39">
        <f t="shared" si="161"/>
        <v>168173484</v>
      </c>
    </row>
    <row r="5097" spans="2:4" x14ac:dyDescent="0.25">
      <c r="B5097" s="89">
        <v>5093</v>
      </c>
      <c r="C5097" s="39">
        <f t="shared" si="160"/>
        <v>157992929.59999999</v>
      </c>
      <c r="D5097" s="39">
        <f t="shared" si="161"/>
        <v>168206511</v>
      </c>
    </row>
    <row r="5098" spans="2:4" x14ac:dyDescent="0.25">
      <c r="B5098" s="89">
        <v>5094</v>
      </c>
      <c r="C5098" s="39">
        <f t="shared" si="160"/>
        <v>157992929.59999999</v>
      </c>
      <c r="D5098" s="39">
        <f t="shared" si="161"/>
        <v>168239538</v>
      </c>
    </row>
    <row r="5099" spans="2:4" x14ac:dyDescent="0.25">
      <c r="B5099" s="89">
        <v>5095</v>
      </c>
      <c r="C5099" s="39">
        <f t="shared" si="160"/>
        <v>157992929.59999999</v>
      </c>
      <c r="D5099" s="39">
        <f t="shared" si="161"/>
        <v>168272565</v>
      </c>
    </row>
    <row r="5100" spans="2:4" x14ac:dyDescent="0.25">
      <c r="B5100" s="89">
        <v>5096</v>
      </c>
      <c r="C5100" s="39">
        <f t="shared" si="160"/>
        <v>157992929.59999999</v>
      </c>
      <c r="D5100" s="39">
        <f t="shared" si="161"/>
        <v>168305592</v>
      </c>
    </row>
    <row r="5101" spans="2:4" x14ac:dyDescent="0.25">
      <c r="B5101" s="89">
        <v>5097</v>
      </c>
      <c r="C5101" s="39">
        <f t="shared" si="160"/>
        <v>157992929.59999999</v>
      </c>
      <c r="D5101" s="39">
        <f t="shared" si="161"/>
        <v>168338619</v>
      </c>
    </row>
    <row r="5102" spans="2:4" x14ac:dyDescent="0.25">
      <c r="B5102" s="89">
        <v>5098</v>
      </c>
      <c r="C5102" s="39">
        <f t="shared" si="160"/>
        <v>157992929.59999999</v>
      </c>
      <c r="D5102" s="39">
        <f t="shared" si="161"/>
        <v>168371646</v>
      </c>
    </row>
    <row r="5103" spans="2:4" x14ac:dyDescent="0.25">
      <c r="B5103" s="89">
        <v>5099</v>
      </c>
      <c r="C5103" s="39">
        <f t="shared" si="160"/>
        <v>157992929.59999999</v>
      </c>
      <c r="D5103" s="39">
        <f t="shared" si="161"/>
        <v>168404673</v>
      </c>
    </row>
    <row r="5104" spans="2:4" x14ac:dyDescent="0.25">
      <c r="B5104" s="89">
        <v>5100</v>
      </c>
      <c r="C5104" s="39">
        <f t="shared" si="160"/>
        <v>157992929.59999999</v>
      </c>
      <c r="D5104" s="39">
        <f t="shared" si="161"/>
        <v>168437700</v>
      </c>
    </row>
    <row r="5105" spans="2:4" x14ac:dyDescent="0.25">
      <c r="B5105" s="89">
        <v>5101</v>
      </c>
      <c r="C5105" s="39">
        <f t="shared" si="160"/>
        <v>157992929.59999999</v>
      </c>
      <c r="D5105" s="39">
        <f t="shared" si="161"/>
        <v>168470727</v>
      </c>
    </row>
    <row r="5106" spans="2:4" x14ac:dyDescent="0.25">
      <c r="B5106" s="89">
        <v>5102</v>
      </c>
      <c r="C5106" s="39">
        <f t="shared" si="160"/>
        <v>157992929.59999999</v>
      </c>
      <c r="D5106" s="39">
        <f t="shared" si="161"/>
        <v>168503754</v>
      </c>
    </row>
    <row r="5107" spans="2:4" x14ac:dyDescent="0.25">
      <c r="B5107" s="89">
        <v>5103</v>
      </c>
      <c r="C5107" s="39">
        <f t="shared" si="160"/>
        <v>157992929.59999999</v>
      </c>
      <c r="D5107" s="39">
        <f t="shared" si="161"/>
        <v>168536781</v>
      </c>
    </row>
    <row r="5108" spans="2:4" x14ac:dyDescent="0.25">
      <c r="B5108" s="89">
        <v>5104</v>
      </c>
      <c r="C5108" s="39">
        <f t="shared" si="160"/>
        <v>157992929.59999999</v>
      </c>
      <c r="D5108" s="39">
        <f t="shared" si="161"/>
        <v>168569808</v>
      </c>
    </row>
    <row r="5109" spans="2:4" x14ac:dyDescent="0.25">
      <c r="B5109" s="89">
        <v>5105</v>
      </c>
      <c r="C5109" s="39">
        <f t="shared" si="160"/>
        <v>157992929.59999999</v>
      </c>
      <c r="D5109" s="39">
        <f t="shared" si="161"/>
        <v>168602835</v>
      </c>
    </row>
    <row r="5110" spans="2:4" x14ac:dyDescent="0.25">
      <c r="B5110" s="89">
        <v>5106</v>
      </c>
      <c r="C5110" s="39">
        <f t="shared" si="160"/>
        <v>157992929.59999999</v>
      </c>
      <c r="D5110" s="39">
        <f t="shared" si="161"/>
        <v>168635862</v>
      </c>
    </row>
    <row r="5111" spans="2:4" x14ac:dyDescent="0.25">
      <c r="B5111" s="89">
        <v>5107</v>
      </c>
      <c r="C5111" s="39">
        <f t="shared" si="160"/>
        <v>157992929.59999999</v>
      </c>
      <c r="D5111" s="39">
        <f t="shared" si="161"/>
        <v>168668889</v>
      </c>
    </row>
    <row r="5112" spans="2:4" x14ac:dyDescent="0.25">
      <c r="B5112" s="89">
        <v>5108</v>
      </c>
      <c r="C5112" s="39">
        <f t="shared" si="160"/>
        <v>157992929.59999999</v>
      </c>
      <c r="D5112" s="39">
        <f t="shared" si="161"/>
        <v>168701916</v>
      </c>
    </row>
    <row r="5113" spans="2:4" x14ac:dyDescent="0.25">
      <c r="B5113" s="89">
        <v>5109</v>
      </c>
      <c r="C5113" s="39">
        <f t="shared" si="160"/>
        <v>157992929.59999999</v>
      </c>
      <c r="D5113" s="39">
        <f t="shared" si="161"/>
        <v>168734943</v>
      </c>
    </row>
    <row r="5114" spans="2:4" x14ac:dyDescent="0.25">
      <c r="B5114" s="89">
        <v>5110</v>
      </c>
      <c r="C5114" s="39">
        <f t="shared" si="160"/>
        <v>157992929.59999999</v>
      </c>
      <c r="D5114" s="39">
        <f t="shared" si="161"/>
        <v>168767970</v>
      </c>
    </row>
    <row r="5115" spans="2:4" x14ac:dyDescent="0.25">
      <c r="B5115" s="89">
        <v>5111</v>
      </c>
      <c r="C5115" s="39">
        <f t="shared" si="160"/>
        <v>157992929.59999999</v>
      </c>
      <c r="D5115" s="39">
        <f t="shared" si="161"/>
        <v>168800997</v>
      </c>
    </row>
    <row r="5116" spans="2:4" x14ac:dyDescent="0.25">
      <c r="B5116" s="89">
        <v>5112</v>
      </c>
      <c r="C5116" s="39">
        <f t="shared" si="160"/>
        <v>157992929.59999999</v>
      </c>
      <c r="D5116" s="39">
        <f t="shared" si="161"/>
        <v>168834024</v>
      </c>
    </row>
    <row r="5117" spans="2:4" x14ac:dyDescent="0.25">
      <c r="B5117" s="89">
        <v>5113</v>
      </c>
      <c r="C5117" s="39">
        <f t="shared" si="160"/>
        <v>157992929.59999999</v>
      </c>
      <c r="D5117" s="39">
        <f t="shared" si="161"/>
        <v>168867051</v>
      </c>
    </row>
    <row r="5118" spans="2:4" x14ac:dyDescent="0.25">
      <c r="B5118" s="89">
        <v>5114</v>
      </c>
      <c r="C5118" s="39">
        <f t="shared" si="160"/>
        <v>157992929.59999999</v>
      </c>
      <c r="D5118" s="39">
        <f t="shared" si="161"/>
        <v>168900078</v>
      </c>
    </row>
    <row r="5119" spans="2:4" x14ac:dyDescent="0.25">
      <c r="B5119" s="89">
        <v>5115</v>
      </c>
      <c r="C5119" s="39">
        <f t="shared" si="160"/>
        <v>157992929.59999999</v>
      </c>
      <c r="D5119" s="39">
        <f t="shared" si="161"/>
        <v>168933105</v>
      </c>
    </row>
    <row r="5120" spans="2:4" x14ac:dyDescent="0.25">
      <c r="B5120" s="89">
        <v>5116</v>
      </c>
      <c r="C5120" s="39">
        <f t="shared" si="160"/>
        <v>157992929.59999999</v>
      </c>
      <c r="D5120" s="39">
        <f t="shared" si="161"/>
        <v>168966132</v>
      </c>
    </row>
    <row r="5121" spans="2:4" x14ac:dyDescent="0.25">
      <c r="B5121" s="89">
        <v>5117</v>
      </c>
      <c r="C5121" s="39">
        <f t="shared" si="160"/>
        <v>157992929.59999999</v>
      </c>
      <c r="D5121" s="39">
        <f t="shared" si="161"/>
        <v>168999159</v>
      </c>
    </row>
    <row r="5122" spans="2:4" x14ac:dyDescent="0.25">
      <c r="B5122" s="89">
        <v>5118</v>
      </c>
      <c r="C5122" s="39">
        <f t="shared" si="160"/>
        <v>157992929.59999999</v>
      </c>
      <c r="D5122" s="39">
        <f t="shared" si="161"/>
        <v>169032186</v>
      </c>
    </row>
    <row r="5123" spans="2:4" x14ac:dyDescent="0.25">
      <c r="B5123" s="89">
        <v>5119</v>
      </c>
      <c r="C5123" s="39">
        <f t="shared" si="160"/>
        <v>157992929.59999999</v>
      </c>
      <c r="D5123" s="39">
        <f t="shared" si="161"/>
        <v>169065213</v>
      </c>
    </row>
    <row r="5124" spans="2:4" x14ac:dyDescent="0.25">
      <c r="B5124" s="89">
        <v>5120</v>
      </c>
      <c r="C5124" s="39">
        <f t="shared" si="160"/>
        <v>157992929.59999999</v>
      </c>
      <c r="D5124" s="39">
        <f t="shared" si="161"/>
        <v>169098240</v>
      </c>
    </row>
    <row r="5125" spans="2:4" x14ac:dyDescent="0.25">
      <c r="B5125" s="89">
        <v>5121</v>
      </c>
      <c r="C5125" s="39">
        <f t="shared" si="160"/>
        <v>157992929.59999999</v>
      </c>
      <c r="D5125" s="39">
        <f t="shared" si="161"/>
        <v>169131267</v>
      </c>
    </row>
    <row r="5126" spans="2:4" x14ac:dyDescent="0.25">
      <c r="B5126" s="89">
        <v>5122</v>
      </c>
      <c r="C5126" s="39">
        <f t="shared" si="160"/>
        <v>157992929.59999999</v>
      </c>
      <c r="D5126" s="39">
        <f t="shared" si="161"/>
        <v>169164294</v>
      </c>
    </row>
    <row r="5127" spans="2:4" x14ac:dyDescent="0.25">
      <c r="B5127" s="89">
        <v>5123</v>
      </c>
      <c r="C5127" s="39">
        <f t="shared" si="160"/>
        <v>157992929.59999999</v>
      </c>
      <c r="D5127" s="39">
        <f t="shared" si="161"/>
        <v>169197321</v>
      </c>
    </row>
    <row r="5128" spans="2:4" x14ac:dyDescent="0.25">
      <c r="B5128" s="89">
        <v>5124</v>
      </c>
      <c r="C5128" s="39">
        <f t="shared" si="160"/>
        <v>157992929.59999999</v>
      </c>
      <c r="D5128" s="39">
        <f t="shared" si="161"/>
        <v>169230348</v>
      </c>
    </row>
    <row r="5129" spans="2:4" x14ac:dyDescent="0.25">
      <c r="B5129" s="89">
        <v>5125</v>
      </c>
      <c r="C5129" s="39">
        <f t="shared" si="160"/>
        <v>157992929.59999999</v>
      </c>
      <c r="D5129" s="39">
        <f t="shared" si="161"/>
        <v>169263375</v>
      </c>
    </row>
    <row r="5130" spans="2:4" x14ac:dyDescent="0.25">
      <c r="B5130" s="89">
        <v>5126</v>
      </c>
      <c r="C5130" s="39">
        <f t="shared" si="160"/>
        <v>157992929.59999999</v>
      </c>
      <c r="D5130" s="39">
        <f t="shared" si="161"/>
        <v>169296402</v>
      </c>
    </row>
    <row r="5131" spans="2:4" x14ac:dyDescent="0.25">
      <c r="B5131" s="89">
        <v>5127</v>
      </c>
      <c r="C5131" s="39">
        <f t="shared" si="160"/>
        <v>157992929.59999999</v>
      </c>
      <c r="D5131" s="39">
        <f t="shared" si="161"/>
        <v>169329429</v>
      </c>
    </row>
    <row r="5132" spans="2:4" x14ac:dyDescent="0.25">
      <c r="B5132" s="89">
        <v>5128</v>
      </c>
      <c r="C5132" s="39">
        <f t="shared" si="160"/>
        <v>157992929.59999999</v>
      </c>
      <c r="D5132" s="39">
        <f t="shared" si="161"/>
        <v>169362456</v>
      </c>
    </row>
    <row r="5133" spans="2:4" x14ac:dyDescent="0.25">
      <c r="B5133" s="89">
        <v>5129</v>
      </c>
      <c r="C5133" s="39">
        <f t="shared" ref="C5133:C5196" si="162">$C5132</f>
        <v>157992929.59999999</v>
      </c>
      <c r="D5133" s="39">
        <f t="shared" ref="D5133:D5196" si="163">$D$2*B5133</f>
        <v>169395483</v>
      </c>
    </row>
    <row r="5134" spans="2:4" x14ac:dyDescent="0.25">
      <c r="B5134" s="89">
        <v>5130</v>
      </c>
      <c r="C5134" s="39">
        <f t="shared" si="162"/>
        <v>157992929.59999999</v>
      </c>
      <c r="D5134" s="39">
        <f t="shared" si="163"/>
        <v>169428510</v>
      </c>
    </row>
    <row r="5135" spans="2:4" x14ac:dyDescent="0.25">
      <c r="B5135" s="89">
        <v>5131</v>
      </c>
      <c r="C5135" s="39">
        <f t="shared" si="162"/>
        <v>157992929.59999999</v>
      </c>
      <c r="D5135" s="39">
        <f t="shared" si="163"/>
        <v>169461537</v>
      </c>
    </row>
    <row r="5136" spans="2:4" x14ac:dyDescent="0.25">
      <c r="B5136" s="89">
        <v>5132</v>
      </c>
      <c r="C5136" s="39">
        <f t="shared" si="162"/>
        <v>157992929.59999999</v>
      </c>
      <c r="D5136" s="39">
        <f t="shared" si="163"/>
        <v>169494564</v>
      </c>
    </row>
    <row r="5137" spans="2:4" x14ac:dyDescent="0.25">
      <c r="B5137" s="89">
        <v>5133</v>
      </c>
      <c r="C5137" s="39">
        <f t="shared" si="162"/>
        <v>157992929.59999999</v>
      </c>
      <c r="D5137" s="39">
        <f t="shared" si="163"/>
        <v>169527591</v>
      </c>
    </row>
    <row r="5138" spans="2:4" x14ac:dyDescent="0.25">
      <c r="B5138" s="89">
        <v>5134</v>
      </c>
      <c r="C5138" s="39">
        <f t="shared" si="162"/>
        <v>157992929.59999999</v>
      </c>
      <c r="D5138" s="39">
        <f t="shared" si="163"/>
        <v>169560618</v>
      </c>
    </row>
    <row r="5139" spans="2:4" x14ac:dyDescent="0.25">
      <c r="B5139" s="89">
        <v>5135</v>
      </c>
      <c r="C5139" s="39">
        <f t="shared" si="162"/>
        <v>157992929.59999999</v>
      </c>
      <c r="D5139" s="39">
        <f t="shared" si="163"/>
        <v>169593645</v>
      </c>
    </row>
    <row r="5140" spans="2:4" x14ac:dyDescent="0.25">
      <c r="B5140" s="89">
        <v>5136</v>
      </c>
      <c r="C5140" s="39">
        <f t="shared" si="162"/>
        <v>157992929.59999999</v>
      </c>
      <c r="D5140" s="39">
        <f t="shared" si="163"/>
        <v>169626672</v>
      </c>
    </row>
    <row r="5141" spans="2:4" x14ac:dyDescent="0.25">
      <c r="B5141" s="89">
        <v>5137</v>
      </c>
      <c r="C5141" s="39">
        <f t="shared" si="162"/>
        <v>157992929.59999999</v>
      </c>
      <c r="D5141" s="39">
        <f t="shared" si="163"/>
        <v>169659699</v>
      </c>
    </row>
    <row r="5142" spans="2:4" x14ac:dyDescent="0.25">
      <c r="B5142" s="89">
        <v>5138</v>
      </c>
      <c r="C5142" s="39">
        <f t="shared" si="162"/>
        <v>157992929.59999999</v>
      </c>
      <c r="D5142" s="39">
        <f t="shared" si="163"/>
        <v>169692726</v>
      </c>
    </row>
    <row r="5143" spans="2:4" x14ac:dyDescent="0.25">
      <c r="B5143" s="89">
        <v>5139</v>
      </c>
      <c r="C5143" s="39">
        <f t="shared" si="162"/>
        <v>157992929.59999999</v>
      </c>
      <c r="D5143" s="39">
        <f t="shared" si="163"/>
        <v>169725753</v>
      </c>
    </row>
    <row r="5144" spans="2:4" x14ac:dyDescent="0.25">
      <c r="B5144" s="89">
        <v>5140</v>
      </c>
      <c r="C5144" s="39">
        <f t="shared" si="162"/>
        <v>157992929.59999999</v>
      </c>
      <c r="D5144" s="39">
        <f t="shared" si="163"/>
        <v>169758780</v>
      </c>
    </row>
    <row r="5145" spans="2:4" x14ac:dyDescent="0.25">
      <c r="B5145" s="89">
        <v>5141</v>
      </c>
      <c r="C5145" s="39">
        <f t="shared" si="162"/>
        <v>157992929.59999999</v>
      </c>
      <c r="D5145" s="39">
        <f t="shared" si="163"/>
        <v>169791807</v>
      </c>
    </row>
    <row r="5146" spans="2:4" x14ac:dyDescent="0.25">
      <c r="B5146" s="89">
        <v>5142</v>
      </c>
      <c r="C5146" s="39">
        <f t="shared" si="162"/>
        <v>157992929.59999999</v>
      </c>
      <c r="D5146" s="39">
        <f t="shared" si="163"/>
        <v>169824834</v>
      </c>
    </row>
    <row r="5147" spans="2:4" x14ac:dyDescent="0.25">
      <c r="B5147" s="89">
        <v>5143</v>
      </c>
      <c r="C5147" s="39">
        <f t="shared" si="162"/>
        <v>157992929.59999999</v>
      </c>
      <c r="D5147" s="39">
        <f t="shared" si="163"/>
        <v>169857861</v>
      </c>
    </row>
    <row r="5148" spans="2:4" x14ac:dyDescent="0.25">
      <c r="B5148" s="89">
        <v>5144</v>
      </c>
      <c r="C5148" s="39">
        <f t="shared" si="162"/>
        <v>157992929.59999999</v>
      </c>
      <c r="D5148" s="39">
        <f t="shared" si="163"/>
        <v>169890888</v>
      </c>
    </row>
    <row r="5149" spans="2:4" x14ac:dyDescent="0.25">
      <c r="B5149" s="89">
        <v>5145</v>
      </c>
      <c r="C5149" s="39">
        <f t="shared" si="162"/>
        <v>157992929.59999999</v>
      </c>
      <c r="D5149" s="39">
        <f t="shared" si="163"/>
        <v>169923915</v>
      </c>
    </row>
    <row r="5150" spans="2:4" x14ac:dyDescent="0.25">
      <c r="B5150" s="89">
        <v>5146</v>
      </c>
      <c r="C5150" s="39">
        <f t="shared" si="162"/>
        <v>157992929.59999999</v>
      </c>
      <c r="D5150" s="39">
        <f t="shared" si="163"/>
        <v>169956942</v>
      </c>
    </row>
    <row r="5151" spans="2:4" x14ac:dyDescent="0.25">
      <c r="B5151" s="89">
        <v>5147</v>
      </c>
      <c r="C5151" s="39">
        <f t="shared" si="162"/>
        <v>157992929.59999999</v>
      </c>
      <c r="D5151" s="39">
        <f t="shared" si="163"/>
        <v>169989969</v>
      </c>
    </row>
    <row r="5152" spans="2:4" x14ac:dyDescent="0.25">
      <c r="B5152" s="89">
        <v>5148</v>
      </c>
      <c r="C5152" s="39">
        <f t="shared" si="162"/>
        <v>157992929.59999999</v>
      </c>
      <c r="D5152" s="39">
        <f t="shared" si="163"/>
        <v>170022996</v>
      </c>
    </row>
    <row r="5153" spans="2:4" x14ac:dyDescent="0.25">
      <c r="B5153" s="89">
        <v>5149</v>
      </c>
      <c r="C5153" s="39">
        <f t="shared" si="162"/>
        <v>157992929.59999999</v>
      </c>
      <c r="D5153" s="39">
        <f t="shared" si="163"/>
        <v>170056023</v>
      </c>
    </row>
    <row r="5154" spans="2:4" x14ac:dyDescent="0.25">
      <c r="B5154" s="89">
        <v>5150</v>
      </c>
      <c r="C5154" s="39">
        <f t="shared" si="162"/>
        <v>157992929.59999999</v>
      </c>
      <c r="D5154" s="39">
        <f t="shared" si="163"/>
        <v>170089050</v>
      </c>
    </row>
    <row r="5155" spans="2:4" x14ac:dyDescent="0.25">
      <c r="B5155" s="89">
        <v>5151</v>
      </c>
      <c r="C5155" s="39">
        <f t="shared" si="162"/>
        <v>157992929.59999999</v>
      </c>
      <c r="D5155" s="39">
        <f t="shared" si="163"/>
        <v>170122077</v>
      </c>
    </row>
    <row r="5156" spans="2:4" x14ac:dyDescent="0.25">
      <c r="B5156" s="89">
        <v>5152</v>
      </c>
      <c r="C5156" s="39">
        <f t="shared" si="162"/>
        <v>157992929.59999999</v>
      </c>
      <c r="D5156" s="39">
        <f t="shared" si="163"/>
        <v>170155104</v>
      </c>
    </row>
    <row r="5157" spans="2:4" x14ac:dyDescent="0.25">
      <c r="B5157" s="89">
        <v>5153</v>
      </c>
      <c r="C5157" s="39">
        <f t="shared" si="162"/>
        <v>157992929.59999999</v>
      </c>
      <c r="D5157" s="39">
        <f t="shared" si="163"/>
        <v>170188131</v>
      </c>
    </row>
    <row r="5158" spans="2:4" x14ac:dyDescent="0.25">
      <c r="B5158" s="89">
        <v>5154</v>
      </c>
      <c r="C5158" s="39">
        <f t="shared" si="162"/>
        <v>157992929.59999999</v>
      </c>
      <c r="D5158" s="39">
        <f t="shared" si="163"/>
        <v>170221158</v>
      </c>
    </row>
    <row r="5159" spans="2:4" x14ac:dyDescent="0.25">
      <c r="B5159" s="89">
        <v>5155</v>
      </c>
      <c r="C5159" s="39">
        <f t="shared" si="162"/>
        <v>157992929.59999999</v>
      </c>
      <c r="D5159" s="39">
        <f t="shared" si="163"/>
        <v>170254185</v>
      </c>
    </row>
    <row r="5160" spans="2:4" x14ac:dyDescent="0.25">
      <c r="B5160" s="89">
        <v>5156</v>
      </c>
      <c r="C5160" s="39">
        <f t="shared" si="162"/>
        <v>157992929.59999999</v>
      </c>
      <c r="D5160" s="39">
        <f t="shared" si="163"/>
        <v>170287212</v>
      </c>
    </row>
    <row r="5161" spans="2:4" x14ac:dyDescent="0.25">
      <c r="B5161" s="89">
        <v>5157</v>
      </c>
      <c r="C5161" s="39">
        <f t="shared" si="162"/>
        <v>157992929.59999999</v>
      </c>
      <c r="D5161" s="39">
        <f t="shared" si="163"/>
        <v>170320239</v>
      </c>
    </row>
    <row r="5162" spans="2:4" x14ac:dyDescent="0.25">
      <c r="B5162" s="89">
        <v>5158</v>
      </c>
      <c r="C5162" s="39">
        <f t="shared" si="162"/>
        <v>157992929.59999999</v>
      </c>
      <c r="D5162" s="39">
        <f t="shared" si="163"/>
        <v>170353266</v>
      </c>
    </row>
    <row r="5163" spans="2:4" x14ac:dyDescent="0.25">
      <c r="B5163" s="89">
        <v>5159</v>
      </c>
      <c r="C5163" s="39">
        <f t="shared" si="162"/>
        <v>157992929.59999999</v>
      </c>
      <c r="D5163" s="39">
        <f t="shared" si="163"/>
        <v>170386293</v>
      </c>
    </row>
    <row r="5164" spans="2:4" x14ac:dyDescent="0.25">
      <c r="B5164" s="89">
        <v>5160</v>
      </c>
      <c r="C5164" s="39">
        <f t="shared" si="162"/>
        <v>157992929.59999999</v>
      </c>
      <c r="D5164" s="39">
        <f t="shared" si="163"/>
        <v>170419320</v>
      </c>
    </row>
    <row r="5165" spans="2:4" x14ac:dyDescent="0.25">
      <c r="B5165" s="89">
        <v>5161</v>
      </c>
      <c r="C5165" s="39">
        <f t="shared" si="162"/>
        <v>157992929.59999999</v>
      </c>
      <c r="D5165" s="39">
        <f t="shared" si="163"/>
        <v>170452347</v>
      </c>
    </row>
    <row r="5166" spans="2:4" x14ac:dyDescent="0.25">
      <c r="B5166" s="89">
        <v>5162</v>
      </c>
      <c r="C5166" s="39">
        <f t="shared" si="162"/>
        <v>157992929.59999999</v>
      </c>
      <c r="D5166" s="39">
        <f t="shared" si="163"/>
        <v>170485374</v>
      </c>
    </row>
    <row r="5167" spans="2:4" x14ac:dyDescent="0.25">
      <c r="B5167" s="89">
        <v>5163</v>
      </c>
      <c r="C5167" s="39">
        <f t="shared" si="162"/>
        <v>157992929.59999999</v>
      </c>
      <c r="D5167" s="39">
        <f t="shared" si="163"/>
        <v>170518401</v>
      </c>
    </row>
    <row r="5168" spans="2:4" x14ac:dyDescent="0.25">
      <c r="B5168" s="89">
        <v>5164</v>
      </c>
      <c r="C5168" s="39">
        <f t="shared" si="162"/>
        <v>157992929.59999999</v>
      </c>
      <c r="D5168" s="39">
        <f t="shared" si="163"/>
        <v>170551428</v>
      </c>
    </row>
    <row r="5169" spans="2:4" x14ac:dyDescent="0.25">
      <c r="B5169" s="89">
        <v>5165</v>
      </c>
      <c r="C5169" s="39">
        <f t="shared" si="162"/>
        <v>157992929.59999999</v>
      </c>
      <c r="D5169" s="39">
        <f t="shared" si="163"/>
        <v>170584455</v>
      </c>
    </row>
    <row r="5170" spans="2:4" x14ac:dyDescent="0.25">
      <c r="B5170" s="89">
        <v>5166</v>
      </c>
      <c r="C5170" s="39">
        <f t="shared" si="162"/>
        <v>157992929.59999999</v>
      </c>
      <c r="D5170" s="39">
        <f t="shared" si="163"/>
        <v>170617482</v>
      </c>
    </row>
    <row r="5171" spans="2:4" x14ac:dyDescent="0.25">
      <c r="B5171" s="89">
        <v>5167</v>
      </c>
      <c r="C5171" s="39">
        <f t="shared" si="162"/>
        <v>157992929.59999999</v>
      </c>
      <c r="D5171" s="39">
        <f t="shared" si="163"/>
        <v>170650509</v>
      </c>
    </row>
    <row r="5172" spans="2:4" x14ac:dyDescent="0.25">
      <c r="B5172" s="89">
        <v>5168</v>
      </c>
      <c r="C5172" s="39">
        <f t="shared" si="162"/>
        <v>157992929.59999999</v>
      </c>
      <c r="D5172" s="39">
        <f t="shared" si="163"/>
        <v>170683536</v>
      </c>
    </row>
    <row r="5173" spans="2:4" x14ac:dyDescent="0.25">
      <c r="B5173" s="89">
        <v>5169</v>
      </c>
      <c r="C5173" s="39">
        <f t="shared" si="162"/>
        <v>157992929.59999999</v>
      </c>
      <c r="D5173" s="39">
        <f t="shared" si="163"/>
        <v>170716563</v>
      </c>
    </row>
    <row r="5174" spans="2:4" x14ac:dyDescent="0.25">
      <c r="B5174" s="89">
        <v>5170</v>
      </c>
      <c r="C5174" s="39">
        <f t="shared" si="162"/>
        <v>157992929.59999999</v>
      </c>
      <c r="D5174" s="39">
        <f t="shared" si="163"/>
        <v>170749590</v>
      </c>
    </row>
    <row r="5175" spans="2:4" x14ac:dyDescent="0.25">
      <c r="B5175" s="89">
        <v>5171</v>
      </c>
      <c r="C5175" s="39">
        <f t="shared" si="162"/>
        <v>157992929.59999999</v>
      </c>
      <c r="D5175" s="39">
        <f t="shared" si="163"/>
        <v>170782617</v>
      </c>
    </row>
    <row r="5176" spans="2:4" x14ac:dyDescent="0.25">
      <c r="B5176" s="89">
        <v>5172</v>
      </c>
      <c r="C5176" s="39">
        <f t="shared" si="162"/>
        <v>157992929.59999999</v>
      </c>
      <c r="D5176" s="39">
        <f t="shared" si="163"/>
        <v>170815644</v>
      </c>
    </row>
    <row r="5177" spans="2:4" x14ac:dyDescent="0.25">
      <c r="B5177" s="89">
        <v>5173</v>
      </c>
      <c r="C5177" s="39">
        <f t="shared" si="162"/>
        <v>157992929.59999999</v>
      </c>
      <c r="D5177" s="39">
        <f t="shared" si="163"/>
        <v>170848671</v>
      </c>
    </row>
    <row r="5178" spans="2:4" x14ac:dyDescent="0.25">
      <c r="B5178" s="89">
        <v>5174</v>
      </c>
      <c r="C5178" s="39">
        <f t="shared" si="162"/>
        <v>157992929.59999999</v>
      </c>
      <c r="D5178" s="39">
        <f t="shared" si="163"/>
        <v>170881698</v>
      </c>
    </row>
    <row r="5179" spans="2:4" x14ac:dyDescent="0.25">
      <c r="B5179" s="89">
        <v>5175</v>
      </c>
      <c r="C5179" s="39">
        <f t="shared" si="162"/>
        <v>157992929.59999999</v>
      </c>
      <c r="D5179" s="39">
        <f t="shared" si="163"/>
        <v>170914725</v>
      </c>
    </row>
    <row r="5180" spans="2:4" x14ac:dyDescent="0.25">
      <c r="B5180" s="89">
        <v>5176</v>
      </c>
      <c r="C5180" s="39">
        <f t="shared" si="162"/>
        <v>157992929.59999999</v>
      </c>
      <c r="D5180" s="39">
        <f t="shared" si="163"/>
        <v>170947752</v>
      </c>
    </row>
    <row r="5181" spans="2:4" x14ac:dyDescent="0.25">
      <c r="B5181" s="89">
        <v>5177</v>
      </c>
      <c r="C5181" s="39">
        <f t="shared" si="162"/>
        <v>157992929.59999999</v>
      </c>
      <c r="D5181" s="39">
        <f t="shared" si="163"/>
        <v>170980779</v>
      </c>
    </row>
    <row r="5182" spans="2:4" x14ac:dyDescent="0.25">
      <c r="B5182" s="89">
        <v>5178</v>
      </c>
      <c r="C5182" s="39">
        <f t="shared" si="162"/>
        <v>157992929.59999999</v>
      </c>
      <c r="D5182" s="39">
        <f t="shared" si="163"/>
        <v>171013806</v>
      </c>
    </row>
    <row r="5183" spans="2:4" x14ac:dyDescent="0.25">
      <c r="B5183" s="89">
        <v>5179</v>
      </c>
      <c r="C5183" s="39">
        <f t="shared" si="162"/>
        <v>157992929.59999999</v>
      </c>
      <c r="D5183" s="39">
        <f t="shared" si="163"/>
        <v>171046833</v>
      </c>
    </row>
    <row r="5184" spans="2:4" x14ac:dyDescent="0.25">
      <c r="B5184" s="89">
        <v>5180</v>
      </c>
      <c r="C5184" s="39">
        <f t="shared" si="162"/>
        <v>157992929.59999999</v>
      </c>
      <c r="D5184" s="39">
        <f t="shared" si="163"/>
        <v>171079860</v>
      </c>
    </row>
    <row r="5185" spans="2:4" x14ac:dyDescent="0.25">
      <c r="B5185" s="89">
        <v>5181</v>
      </c>
      <c r="C5185" s="39">
        <f t="shared" si="162"/>
        <v>157992929.59999999</v>
      </c>
      <c r="D5185" s="39">
        <f t="shared" si="163"/>
        <v>171112887</v>
      </c>
    </row>
    <row r="5186" spans="2:4" x14ac:dyDescent="0.25">
      <c r="B5186" s="89">
        <v>5182</v>
      </c>
      <c r="C5186" s="39">
        <f t="shared" si="162"/>
        <v>157992929.59999999</v>
      </c>
      <c r="D5186" s="39">
        <f t="shared" si="163"/>
        <v>171145914</v>
      </c>
    </row>
    <row r="5187" spans="2:4" x14ac:dyDescent="0.25">
      <c r="B5187" s="89">
        <v>5183</v>
      </c>
      <c r="C5187" s="39">
        <f t="shared" si="162"/>
        <v>157992929.59999999</v>
      </c>
      <c r="D5187" s="39">
        <f t="shared" si="163"/>
        <v>171178941</v>
      </c>
    </row>
    <row r="5188" spans="2:4" x14ac:dyDescent="0.25">
      <c r="B5188" s="89">
        <v>5184</v>
      </c>
      <c r="C5188" s="39">
        <f t="shared" si="162"/>
        <v>157992929.59999999</v>
      </c>
      <c r="D5188" s="39">
        <f t="shared" si="163"/>
        <v>171211968</v>
      </c>
    </row>
    <row r="5189" spans="2:4" x14ac:dyDescent="0.25">
      <c r="B5189" s="89">
        <v>5185</v>
      </c>
      <c r="C5189" s="39">
        <f t="shared" si="162"/>
        <v>157992929.59999999</v>
      </c>
      <c r="D5189" s="39">
        <f t="shared" si="163"/>
        <v>171244995</v>
      </c>
    </row>
    <row r="5190" spans="2:4" x14ac:dyDescent="0.25">
      <c r="B5190" s="89">
        <v>5186</v>
      </c>
      <c r="C5190" s="39">
        <f t="shared" si="162"/>
        <v>157992929.59999999</v>
      </c>
      <c r="D5190" s="39">
        <f t="shared" si="163"/>
        <v>171278022</v>
      </c>
    </row>
    <row r="5191" spans="2:4" x14ac:dyDescent="0.25">
      <c r="B5191" s="89">
        <v>5187</v>
      </c>
      <c r="C5191" s="39">
        <f t="shared" si="162"/>
        <v>157992929.59999999</v>
      </c>
      <c r="D5191" s="39">
        <f t="shared" si="163"/>
        <v>171311049</v>
      </c>
    </row>
    <row r="5192" spans="2:4" x14ac:dyDescent="0.25">
      <c r="B5192" s="89">
        <v>5188</v>
      </c>
      <c r="C5192" s="39">
        <f t="shared" si="162"/>
        <v>157992929.59999999</v>
      </c>
      <c r="D5192" s="39">
        <f t="shared" si="163"/>
        <v>171344076</v>
      </c>
    </row>
    <row r="5193" spans="2:4" x14ac:dyDescent="0.25">
      <c r="B5193" s="89">
        <v>5189</v>
      </c>
      <c r="C5193" s="39">
        <f t="shared" si="162"/>
        <v>157992929.59999999</v>
      </c>
      <c r="D5193" s="39">
        <f t="shared" si="163"/>
        <v>171377103</v>
      </c>
    </row>
    <row r="5194" spans="2:4" x14ac:dyDescent="0.25">
      <c r="B5194" s="89">
        <v>5190</v>
      </c>
      <c r="C5194" s="39">
        <f t="shared" si="162"/>
        <v>157992929.59999999</v>
      </c>
      <c r="D5194" s="39">
        <f t="shared" si="163"/>
        <v>171410130</v>
      </c>
    </row>
    <row r="5195" spans="2:4" x14ac:dyDescent="0.25">
      <c r="B5195" s="89">
        <v>5191</v>
      </c>
      <c r="C5195" s="39">
        <f t="shared" si="162"/>
        <v>157992929.59999999</v>
      </c>
      <c r="D5195" s="39">
        <f t="shared" si="163"/>
        <v>171443157</v>
      </c>
    </row>
    <row r="5196" spans="2:4" x14ac:dyDescent="0.25">
      <c r="B5196" s="89">
        <v>5192</v>
      </c>
      <c r="C5196" s="39">
        <f t="shared" si="162"/>
        <v>157992929.59999999</v>
      </c>
      <c r="D5196" s="39">
        <f t="shared" si="163"/>
        <v>171476184</v>
      </c>
    </row>
    <row r="5197" spans="2:4" x14ac:dyDescent="0.25">
      <c r="B5197" s="89">
        <v>5193</v>
      </c>
      <c r="C5197" s="39">
        <f t="shared" ref="C5197:C5260" si="164">$C5196</f>
        <v>157992929.59999999</v>
      </c>
      <c r="D5197" s="39">
        <f t="shared" ref="D5197:D5260" si="165">$D$2*B5197</f>
        <v>171509211</v>
      </c>
    </row>
    <row r="5198" spans="2:4" x14ac:dyDescent="0.25">
      <c r="B5198" s="89">
        <v>5194</v>
      </c>
      <c r="C5198" s="39">
        <f t="shared" si="164"/>
        <v>157992929.59999999</v>
      </c>
      <c r="D5198" s="39">
        <f t="shared" si="165"/>
        <v>171542238</v>
      </c>
    </row>
    <row r="5199" spans="2:4" x14ac:dyDescent="0.25">
      <c r="B5199" s="89">
        <v>5195</v>
      </c>
      <c r="C5199" s="39">
        <f t="shared" si="164"/>
        <v>157992929.59999999</v>
      </c>
      <c r="D5199" s="39">
        <f t="shared" si="165"/>
        <v>171575265</v>
      </c>
    </row>
    <row r="5200" spans="2:4" x14ac:dyDescent="0.25">
      <c r="B5200" s="89">
        <v>5196</v>
      </c>
      <c r="C5200" s="39">
        <f t="shared" si="164"/>
        <v>157992929.59999999</v>
      </c>
      <c r="D5200" s="39">
        <f t="shared" si="165"/>
        <v>171608292</v>
      </c>
    </row>
    <row r="5201" spans="2:4" x14ac:dyDescent="0.25">
      <c r="B5201" s="89">
        <v>5197</v>
      </c>
      <c r="C5201" s="39">
        <f t="shared" si="164"/>
        <v>157992929.59999999</v>
      </c>
      <c r="D5201" s="39">
        <f t="shared" si="165"/>
        <v>171641319</v>
      </c>
    </row>
    <row r="5202" spans="2:4" x14ac:dyDescent="0.25">
      <c r="B5202" s="89">
        <v>5198</v>
      </c>
      <c r="C5202" s="39">
        <f t="shared" si="164"/>
        <v>157992929.59999999</v>
      </c>
      <c r="D5202" s="39">
        <f t="shared" si="165"/>
        <v>171674346</v>
      </c>
    </row>
    <row r="5203" spans="2:4" x14ac:dyDescent="0.25">
      <c r="B5203" s="89">
        <v>5199</v>
      </c>
      <c r="C5203" s="39">
        <f t="shared" si="164"/>
        <v>157992929.59999999</v>
      </c>
      <c r="D5203" s="39">
        <f t="shared" si="165"/>
        <v>171707373</v>
      </c>
    </row>
    <row r="5204" spans="2:4" x14ac:dyDescent="0.25">
      <c r="B5204" s="89">
        <v>5200</v>
      </c>
      <c r="C5204" s="39">
        <f t="shared" si="164"/>
        <v>157992929.59999999</v>
      </c>
      <c r="D5204" s="39">
        <f t="shared" si="165"/>
        <v>171740400</v>
      </c>
    </row>
    <row r="5205" spans="2:4" x14ac:dyDescent="0.25">
      <c r="B5205" s="89">
        <v>5201</v>
      </c>
      <c r="C5205" s="39">
        <f t="shared" si="164"/>
        <v>157992929.59999999</v>
      </c>
      <c r="D5205" s="39">
        <f t="shared" si="165"/>
        <v>171773427</v>
      </c>
    </row>
    <row r="5206" spans="2:4" x14ac:dyDescent="0.25">
      <c r="B5206" s="89">
        <v>5202</v>
      </c>
      <c r="C5206" s="39">
        <f t="shared" si="164"/>
        <v>157992929.59999999</v>
      </c>
      <c r="D5206" s="39">
        <f t="shared" si="165"/>
        <v>171806454</v>
      </c>
    </row>
    <row r="5207" spans="2:4" x14ac:dyDescent="0.25">
      <c r="B5207" s="89">
        <v>5203</v>
      </c>
      <c r="C5207" s="39">
        <f t="shared" si="164"/>
        <v>157992929.59999999</v>
      </c>
      <c r="D5207" s="39">
        <f t="shared" si="165"/>
        <v>171839481</v>
      </c>
    </row>
    <row r="5208" spans="2:4" x14ac:dyDescent="0.25">
      <c r="B5208" s="89">
        <v>5204</v>
      </c>
      <c r="C5208" s="39">
        <f t="shared" si="164"/>
        <v>157992929.59999999</v>
      </c>
      <c r="D5208" s="39">
        <f t="shared" si="165"/>
        <v>171872508</v>
      </c>
    </row>
    <row r="5209" spans="2:4" x14ac:dyDescent="0.25">
      <c r="B5209" s="89">
        <v>5205</v>
      </c>
      <c r="C5209" s="39">
        <f t="shared" si="164"/>
        <v>157992929.59999999</v>
      </c>
      <c r="D5209" s="39">
        <f t="shared" si="165"/>
        <v>171905535</v>
      </c>
    </row>
    <row r="5210" spans="2:4" x14ac:dyDescent="0.25">
      <c r="B5210" s="89">
        <v>5206</v>
      </c>
      <c r="C5210" s="39">
        <f t="shared" si="164"/>
        <v>157992929.59999999</v>
      </c>
      <c r="D5210" s="39">
        <f t="shared" si="165"/>
        <v>171938562</v>
      </c>
    </row>
    <row r="5211" spans="2:4" x14ac:dyDescent="0.25">
      <c r="B5211" s="89">
        <v>5207</v>
      </c>
      <c r="C5211" s="39">
        <f t="shared" si="164"/>
        <v>157992929.59999999</v>
      </c>
      <c r="D5211" s="39">
        <f t="shared" si="165"/>
        <v>171971589</v>
      </c>
    </row>
    <row r="5212" spans="2:4" x14ac:dyDescent="0.25">
      <c r="B5212" s="89">
        <v>5208</v>
      </c>
      <c r="C5212" s="39">
        <f t="shared" si="164"/>
        <v>157992929.59999999</v>
      </c>
      <c r="D5212" s="39">
        <f t="shared" si="165"/>
        <v>172004616</v>
      </c>
    </row>
    <row r="5213" spans="2:4" x14ac:dyDescent="0.25">
      <c r="B5213" s="89">
        <v>5209</v>
      </c>
      <c r="C5213" s="39">
        <f t="shared" si="164"/>
        <v>157992929.59999999</v>
      </c>
      <c r="D5213" s="39">
        <f t="shared" si="165"/>
        <v>172037643</v>
      </c>
    </row>
    <row r="5214" spans="2:4" x14ac:dyDescent="0.25">
      <c r="B5214" s="89">
        <v>5210</v>
      </c>
      <c r="C5214" s="39">
        <f t="shared" si="164"/>
        <v>157992929.59999999</v>
      </c>
      <c r="D5214" s="39">
        <f t="shared" si="165"/>
        <v>172070670</v>
      </c>
    </row>
    <row r="5215" spans="2:4" x14ac:dyDescent="0.25">
      <c r="B5215" s="89">
        <v>5211</v>
      </c>
      <c r="C5215" s="39">
        <f t="shared" si="164"/>
        <v>157992929.59999999</v>
      </c>
      <c r="D5215" s="39">
        <f t="shared" si="165"/>
        <v>172103697</v>
      </c>
    </row>
    <row r="5216" spans="2:4" x14ac:dyDescent="0.25">
      <c r="B5216" s="89">
        <v>5212</v>
      </c>
      <c r="C5216" s="39">
        <f t="shared" si="164"/>
        <v>157992929.59999999</v>
      </c>
      <c r="D5216" s="39">
        <f t="shared" si="165"/>
        <v>172136724</v>
      </c>
    </row>
    <row r="5217" spans="2:4" x14ac:dyDescent="0.25">
      <c r="B5217" s="89">
        <v>5213</v>
      </c>
      <c r="C5217" s="39">
        <f t="shared" si="164"/>
        <v>157992929.59999999</v>
      </c>
      <c r="D5217" s="39">
        <f t="shared" si="165"/>
        <v>172169751</v>
      </c>
    </row>
    <row r="5218" spans="2:4" x14ac:dyDescent="0.25">
      <c r="B5218" s="89">
        <v>5214</v>
      </c>
      <c r="C5218" s="39">
        <f t="shared" si="164"/>
        <v>157992929.59999999</v>
      </c>
      <c r="D5218" s="39">
        <f t="shared" si="165"/>
        <v>172202778</v>
      </c>
    </row>
    <row r="5219" spans="2:4" x14ac:dyDescent="0.25">
      <c r="B5219" s="89">
        <v>5215</v>
      </c>
      <c r="C5219" s="39">
        <f t="shared" si="164"/>
        <v>157992929.59999999</v>
      </c>
      <c r="D5219" s="39">
        <f t="shared" si="165"/>
        <v>172235805</v>
      </c>
    </row>
    <row r="5220" spans="2:4" x14ac:dyDescent="0.25">
      <c r="B5220" s="89">
        <v>5216</v>
      </c>
      <c r="C5220" s="39">
        <f t="shared" si="164"/>
        <v>157992929.59999999</v>
      </c>
      <c r="D5220" s="39">
        <f t="shared" si="165"/>
        <v>172268832</v>
      </c>
    </row>
    <row r="5221" spans="2:4" x14ac:dyDescent="0.25">
      <c r="B5221" s="89">
        <v>5217</v>
      </c>
      <c r="C5221" s="39">
        <f t="shared" si="164"/>
        <v>157992929.59999999</v>
      </c>
      <c r="D5221" s="39">
        <f t="shared" si="165"/>
        <v>172301859</v>
      </c>
    </row>
    <row r="5222" spans="2:4" x14ac:dyDescent="0.25">
      <c r="B5222" s="89">
        <v>5218</v>
      </c>
      <c r="C5222" s="39">
        <f t="shared" si="164"/>
        <v>157992929.59999999</v>
      </c>
      <c r="D5222" s="39">
        <f t="shared" si="165"/>
        <v>172334886</v>
      </c>
    </row>
    <row r="5223" spans="2:4" x14ac:dyDescent="0.25">
      <c r="B5223" s="89">
        <v>5219</v>
      </c>
      <c r="C5223" s="39">
        <f t="shared" si="164"/>
        <v>157992929.59999999</v>
      </c>
      <c r="D5223" s="39">
        <f t="shared" si="165"/>
        <v>172367913</v>
      </c>
    </row>
    <row r="5224" spans="2:4" x14ac:dyDescent="0.25">
      <c r="B5224" s="89">
        <v>5220</v>
      </c>
      <c r="C5224" s="39">
        <f t="shared" si="164"/>
        <v>157992929.59999999</v>
      </c>
      <c r="D5224" s="39">
        <f t="shared" si="165"/>
        <v>172400940</v>
      </c>
    </row>
    <row r="5225" spans="2:4" x14ac:dyDescent="0.25">
      <c r="B5225" s="89">
        <v>5221</v>
      </c>
      <c r="C5225" s="39">
        <f t="shared" si="164"/>
        <v>157992929.59999999</v>
      </c>
      <c r="D5225" s="39">
        <f t="shared" si="165"/>
        <v>172433967</v>
      </c>
    </row>
    <row r="5226" spans="2:4" x14ac:dyDescent="0.25">
      <c r="B5226" s="89">
        <v>5222</v>
      </c>
      <c r="C5226" s="39">
        <f t="shared" si="164"/>
        <v>157992929.59999999</v>
      </c>
      <c r="D5226" s="39">
        <f t="shared" si="165"/>
        <v>172466994</v>
      </c>
    </row>
    <row r="5227" spans="2:4" x14ac:dyDescent="0.25">
      <c r="B5227" s="89">
        <v>5223</v>
      </c>
      <c r="C5227" s="39">
        <f t="shared" si="164"/>
        <v>157992929.59999999</v>
      </c>
      <c r="D5227" s="39">
        <f t="shared" si="165"/>
        <v>172500021</v>
      </c>
    </row>
    <row r="5228" spans="2:4" x14ac:dyDescent="0.25">
      <c r="B5228" s="89">
        <v>5224</v>
      </c>
      <c r="C5228" s="39">
        <f t="shared" si="164"/>
        <v>157992929.59999999</v>
      </c>
      <c r="D5228" s="39">
        <f t="shared" si="165"/>
        <v>172533048</v>
      </c>
    </row>
    <row r="5229" spans="2:4" x14ac:dyDescent="0.25">
      <c r="B5229" s="89">
        <v>5225</v>
      </c>
      <c r="C5229" s="39">
        <f t="shared" si="164"/>
        <v>157992929.59999999</v>
      </c>
      <c r="D5229" s="39">
        <f t="shared" si="165"/>
        <v>172566075</v>
      </c>
    </row>
    <row r="5230" spans="2:4" x14ac:dyDescent="0.25">
      <c r="B5230" s="89">
        <v>5226</v>
      </c>
      <c r="C5230" s="39">
        <f t="shared" si="164"/>
        <v>157992929.59999999</v>
      </c>
      <c r="D5230" s="39">
        <f t="shared" si="165"/>
        <v>172599102</v>
      </c>
    </row>
    <row r="5231" spans="2:4" x14ac:dyDescent="0.25">
      <c r="B5231" s="89">
        <v>5227</v>
      </c>
      <c r="C5231" s="39">
        <f t="shared" si="164"/>
        <v>157992929.59999999</v>
      </c>
      <c r="D5231" s="39">
        <f t="shared" si="165"/>
        <v>172632129</v>
      </c>
    </row>
    <row r="5232" spans="2:4" x14ac:dyDescent="0.25">
      <c r="B5232" s="89">
        <v>5228</v>
      </c>
      <c r="C5232" s="39">
        <f t="shared" si="164"/>
        <v>157992929.59999999</v>
      </c>
      <c r="D5232" s="39">
        <f t="shared" si="165"/>
        <v>172665156</v>
      </c>
    </row>
    <row r="5233" spans="2:4" x14ac:dyDescent="0.25">
      <c r="B5233" s="89">
        <v>5229</v>
      </c>
      <c r="C5233" s="39">
        <f t="shared" si="164"/>
        <v>157992929.59999999</v>
      </c>
      <c r="D5233" s="39">
        <f t="shared" si="165"/>
        <v>172698183</v>
      </c>
    </row>
    <row r="5234" spans="2:4" x14ac:dyDescent="0.25">
      <c r="B5234" s="89">
        <v>5230</v>
      </c>
      <c r="C5234" s="39">
        <f t="shared" si="164"/>
        <v>157992929.59999999</v>
      </c>
      <c r="D5234" s="39">
        <f t="shared" si="165"/>
        <v>172731210</v>
      </c>
    </row>
    <row r="5235" spans="2:4" x14ac:dyDescent="0.25">
      <c r="B5235" s="89">
        <v>5231</v>
      </c>
      <c r="C5235" s="39">
        <f t="shared" si="164"/>
        <v>157992929.59999999</v>
      </c>
      <c r="D5235" s="39">
        <f t="shared" si="165"/>
        <v>172764237</v>
      </c>
    </row>
    <row r="5236" spans="2:4" x14ac:dyDescent="0.25">
      <c r="B5236" s="89">
        <v>5232</v>
      </c>
      <c r="C5236" s="39">
        <f t="shared" si="164"/>
        <v>157992929.59999999</v>
      </c>
      <c r="D5236" s="39">
        <f t="shared" si="165"/>
        <v>172797264</v>
      </c>
    </row>
    <row r="5237" spans="2:4" x14ac:dyDescent="0.25">
      <c r="B5237" s="89">
        <v>5233</v>
      </c>
      <c r="C5237" s="39">
        <f t="shared" si="164"/>
        <v>157992929.59999999</v>
      </c>
      <c r="D5237" s="39">
        <f t="shared" si="165"/>
        <v>172830291</v>
      </c>
    </row>
    <row r="5238" spans="2:4" x14ac:dyDescent="0.25">
      <c r="B5238" s="89">
        <v>5234</v>
      </c>
      <c r="C5238" s="39">
        <f t="shared" si="164"/>
        <v>157992929.59999999</v>
      </c>
      <c r="D5238" s="39">
        <f t="shared" si="165"/>
        <v>172863318</v>
      </c>
    </row>
    <row r="5239" spans="2:4" x14ac:dyDescent="0.25">
      <c r="B5239" s="89">
        <v>5235</v>
      </c>
      <c r="C5239" s="39">
        <f t="shared" si="164"/>
        <v>157992929.59999999</v>
      </c>
      <c r="D5239" s="39">
        <f t="shared" si="165"/>
        <v>172896345</v>
      </c>
    </row>
    <row r="5240" spans="2:4" x14ac:dyDescent="0.25">
      <c r="B5240" s="89">
        <v>5236</v>
      </c>
      <c r="C5240" s="39">
        <f t="shared" si="164"/>
        <v>157992929.59999999</v>
      </c>
      <c r="D5240" s="39">
        <f t="shared" si="165"/>
        <v>172929372</v>
      </c>
    </row>
    <row r="5241" spans="2:4" x14ac:dyDescent="0.25">
      <c r="B5241" s="89">
        <v>5237</v>
      </c>
      <c r="C5241" s="39">
        <f t="shared" si="164"/>
        <v>157992929.59999999</v>
      </c>
      <c r="D5241" s="39">
        <f t="shared" si="165"/>
        <v>172962399</v>
      </c>
    </row>
    <row r="5242" spans="2:4" x14ac:dyDescent="0.25">
      <c r="B5242" s="89">
        <v>5238</v>
      </c>
      <c r="C5242" s="39">
        <f t="shared" si="164"/>
        <v>157992929.59999999</v>
      </c>
      <c r="D5242" s="39">
        <f t="shared" si="165"/>
        <v>172995426</v>
      </c>
    </row>
    <row r="5243" spans="2:4" x14ac:dyDescent="0.25">
      <c r="B5243" s="89">
        <v>5239</v>
      </c>
      <c r="C5243" s="39">
        <f t="shared" si="164"/>
        <v>157992929.59999999</v>
      </c>
      <c r="D5243" s="39">
        <f t="shared" si="165"/>
        <v>173028453</v>
      </c>
    </row>
    <row r="5244" spans="2:4" x14ac:dyDescent="0.25">
      <c r="B5244" s="89">
        <v>5240</v>
      </c>
      <c r="C5244" s="39">
        <f t="shared" si="164"/>
        <v>157992929.59999999</v>
      </c>
      <c r="D5244" s="39">
        <f t="shared" si="165"/>
        <v>173061480</v>
      </c>
    </row>
    <row r="5245" spans="2:4" x14ac:dyDescent="0.25">
      <c r="B5245" s="89">
        <v>5241</v>
      </c>
      <c r="C5245" s="39">
        <f t="shared" si="164"/>
        <v>157992929.59999999</v>
      </c>
      <c r="D5245" s="39">
        <f t="shared" si="165"/>
        <v>173094507</v>
      </c>
    </row>
    <row r="5246" spans="2:4" x14ac:dyDescent="0.25">
      <c r="B5246" s="89">
        <v>5242</v>
      </c>
      <c r="C5246" s="39">
        <f t="shared" si="164"/>
        <v>157992929.59999999</v>
      </c>
      <c r="D5246" s="39">
        <f t="shared" si="165"/>
        <v>173127534</v>
      </c>
    </row>
    <row r="5247" spans="2:4" x14ac:dyDescent="0.25">
      <c r="B5247" s="89">
        <v>5243</v>
      </c>
      <c r="C5247" s="39">
        <f t="shared" si="164"/>
        <v>157992929.59999999</v>
      </c>
      <c r="D5247" s="39">
        <f t="shared" si="165"/>
        <v>173160561</v>
      </c>
    </row>
    <row r="5248" spans="2:4" x14ac:dyDescent="0.25">
      <c r="B5248" s="89">
        <v>5244</v>
      </c>
      <c r="C5248" s="39">
        <f t="shared" si="164"/>
        <v>157992929.59999999</v>
      </c>
      <c r="D5248" s="39">
        <f t="shared" si="165"/>
        <v>173193588</v>
      </c>
    </row>
    <row r="5249" spans="2:4" x14ac:dyDescent="0.25">
      <c r="B5249" s="89">
        <v>5245</v>
      </c>
      <c r="C5249" s="39">
        <f t="shared" si="164"/>
        <v>157992929.59999999</v>
      </c>
      <c r="D5249" s="39">
        <f t="shared" si="165"/>
        <v>173226615</v>
      </c>
    </row>
    <row r="5250" spans="2:4" x14ac:dyDescent="0.25">
      <c r="B5250" s="89">
        <v>5246</v>
      </c>
      <c r="C5250" s="39">
        <f t="shared" si="164"/>
        <v>157992929.59999999</v>
      </c>
      <c r="D5250" s="39">
        <f t="shared" si="165"/>
        <v>173259642</v>
      </c>
    </row>
    <row r="5251" spans="2:4" x14ac:dyDescent="0.25">
      <c r="B5251" s="89">
        <v>5247</v>
      </c>
      <c r="C5251" s="39">
        <f t="shared" si="164"/>
        <v>157992929.59999999</v>
      </c>
      <c r="D5251" s="39">
        <f t="shared" si="165"/>
        <v>173292669</v>
      </c>
    </row>
    <row r="5252" spans="2:4" x14ac:dyDescent="0.25">
      <c r="B5252" s="89">
        <v>5248</v>
      </c>
      <c r="C5252" s="39">
        <f t="shared" si="164"/>
        <v>157992929.59999999</v>
      </c>
      <c r="D5252" s="39">
        <f t="shared" si="165"/>
        <v>173325696</v>
      </c>
    </row>
    <row r="5253" spans="2:4" x14ac:dyDescent="0.25">
      <c r="B5253" s="89">
        <v>5249</v>
      </c>
      <c r="C5253" s="39">
        <f t="shared" si="164"/>
        <v>157992929.59999999</v>
      </c>
      <c r="D5253" s="39">
        <f t="shared" si="165"/>
        <v>173358723</v>
      </c>
    </row>
    <row r="5254" spans="2:4" x14ac:dyDescent="0.25">
      <c r="B5254" s="89">
        <v>5250</v>
      </c>
      <c r="C5254" s="39">
        <f t="shared" si="164"/>
        <v>157992929.59999999</v>
      </c>
      <c r="D5254" s="39">
        <f t="shared" si="165"/>
        <v>173391750</v>
      </c>
    </row>
    <row r="5255" spans="2:4" x14ac:dyDescent="0.25">
      <c r="B5255" s="89">
        <v>5251</v>
      </c>
      <c r="C5255" s="39">
        <f t="shared" si="164"/>
        <v>157992929.59999999</v>
      </c>
      <c r="D5255" s="39">
        <f t="shared" si="165"/>
        <v>173424777</v>
      </c>
    </row>
    <row r="5256" spans="2:4" x14ac:dyDescent="0.25">
      <c r="B5256" s="89">
        <v>5252</v>
      </c>
      <c r="C5256" s="39">
        <f t="shared" si="164"/>
        <v>157992929.59999999</v>
      </c>
      <c r="D5256" s="39">
        <f t="shared" si="165"/>
        <v>173457804</v>
      </c>
    </row>
    <row r="5257" spans="2:4" x14ac:dyDescent="0.25">
      <c r="B5257" s="89">
        <v>5253</v>
      </c>
      <c r="C5257" s="39">
        <f t="shared" si="164"/>
        <v>157992929.59999999</v>
      </c>
      <c r="D5257" s="39">
        <f t="shared" si="165"/>
        <v>173490831</v>
      </c>
    </row>
    <row r="5258" spans="2:4" x14ac:dyDescent="0.25">
      <c r="B5258" s="89">
        <v>5254</v>
      </c>
      <c r="C5258" s="39">
        <f t="shared" si="164"/>
        <v>157992929.59999999</v>
      </c>
      <c r="D5258" s="39">
        <f t="shared" si="165"/>
        <v>173523858</v>
      </c>
    </row>
    <row r="5259" spans="2:4" x14ac:dyDescent="0.25">
      <c r="B5259" s="89">
        <v>5255</v>
      </c>
      <c r="C5259" s="39">
        <f t="shared" si="164"/>
        <v>157992929.59999999</v>
      </c>
      <c r="D5259" s="39">
        <f t="shared" si="165"/>
        <v>173556885</v>
      </c>
    </row>
    <row r="5260" spans="2:4" x14ac:dyDescent="0.25">
      <c r="B5260" s="89">
        <v>5256</v>
      </c>
      <c r="C5260" s="39">
        <f t="shared" si="164"/>
        <v>157992929.59999999</v>
      </c>
      <c r="D5260" s="39">
        <f t="shared" si="165"/>
        <v>173589912</v>
      </c>
    </row>
    <row r="5261" spans="2:4" x14ac:dyDescent="0.25">
      <c r="B5261" s="89">
        <v>5257</v>
      </c>
      <c r="C5261" s="39">
        <f t="shared" ref="C5261:C5324" si="166">$C5260</f>
        <v>157992929.59999999</v>
      </c>
      <c r="D5261" s="39">
        <f t="shared" ref="D5261:D5324" si="167">$D$2*B5261</f>
        <v>173622939</v>
      </c>
    </row>
    <row r="5262" spans="2:4" x14ac:dyDescent="0.25">
      <c r="B5262" s="89">
        <v>5258</v>
      </c>
      <c r="C5262" s="39">
        <f t="shared" si="166"/>
        <v>157992929.59999999</v>
      </c>
      <c r="D5262" s="39">
        <f t="shared" si="167"/>
        <v>173655966</v>
      </c>
    </row>
    <row r="5263" spans="2:4" x14ac:dyDescent="0.25">
      <c r="B5263" s="89">
        <v>5259</v>
      </c>
      <c r="C5263" s="39">
        <f t="shared" si="166"/>
        <v>157992929.59999999</v>
      </c>
      <c r="D5263" s="39">
        <f t="shared" si="167"/>
        <v>173688993</v>
      </c>
    </row>
    <row r="5264" spans="2:4" x14ac:dyDescent="0.25">
      <c r="B5264" s="89">
        <v>5260</v>
      </c>
      <c r="C5264" s="39">
        <f t="shared" si="166"/>
        <v>157992929.59999999</v>
      </c>
      <c r="D5264" s="39">
        <f t="shared" si="167"/>
        <v>173722020</v>
      </c>
    </row>
    <row r="5265" spans="2:4" x14ac:dyDescent="0.25">
      <c r="B5265" s="89">
        <v>5261</v>
      </c>
      <c r="C5265" s="39">
        <f t="shared" si="166"/>
        <v>157992929.59999999</v>
      </c>
      <c r="D5265" s="39">
        <f t="shared" si="167"/>
        <v>173755047</v>
      </c>
    </row>
    <row r="5266" spans="2:4" x14ac:dyDescent="0.25">
      <c r="B5266" s="89">
        <v>5262</v>
      </c>
      <c r="C5266" s="39">
        <f t="shared" si="166"/>
        <v>157992929.59999999</v>
      </c>
      <c r="D5266" s="39">
        <f t="shared" si="167"/>
        <v>173788074</v>
      </c>
    </row>
    <row r="5267" spans="2:4" x14ac:dyDescent="0.25">
      <c r="B5267" s="89">
        <v>5263</v>
      </c>
      <c r="C5267" s="39">
        <f t="shared" si="166"/>
        <v>157992929.59999999</v>
      </c>
      <c r="D5267" s="39">
        <f t="shared" si="167"/>
        <v>173821101</v>
      </c>
    </row>
    <row r="5268" spans="2:4" x14ac:dyDescent="0.25">
      <c r="B5268" s="89">
        <v>5264</v>
      </c>
      <c r="C5268" s="39">
        <f t="shared" si="166"/>
        <v>157992929.59999999</v>
      </c>
      <c r="D5268" s="39">
        <f t="shared" si="167"/>
        <v>173854128</v>
      </c>
    </row>
    <row r="5269" spans="2:4" x14ac:dyDescent="0.25">
      <c r="B5269" s="89">
        <v>5265</v>
      </c>
      <c r="C5269" s="39">
        <f t="shared" si="166"/>
        <v>157992929.59999999</v>
      </c>
      <c r="D5269" s="39">
        <f t="shared" si="167"/>
        <v>173887155</v>
      </c>
    </row>
    <row r="5270" spans="2:4" x14ac:dyDescent="0.25">
      <c r="B5270" s="89">
        <v>5266</v>
      </c>
      <c r="C5270" s="39">
        <f t="shared" si="166"/>
        <v>157992929.59999999</v>
      </c>
      <c r="D5270" s="39">
        <f t="shared" si="167"/>
        <v>173920182</v>
      </c>
    </row>
    <row r="5271" spans="2:4" x14ac:dyDescent="0.25">
      <c r="B5271" s="89">
        <v>5267</v>
      </c>
      <c r="C5271" s="39">
        <f t="shared" si="166"/>
        <v>157992929.59999999</v>
      </c>
      <c r="D5271" s="39">
        <f t="shared" si="167"/>
        <v>173953209</v>
      </c>
    </row>
    <row r="5272" spans="2:4" x14ac:dyDescent="0.25">
      <c r="B5272" s="89">
        <v>5268</v>
      </c>
      <c r="C5272" s="39">
        <f t="shared" si="166"/>
        <v>157992929.59999999</v>
      </c>
      <c r="D5272" s="39">
        <f t="shared" si="167"/>
        <v>173986236</v>
      </c>
    </row>
    <row r="5273" spans="2:4" x14ac:dyDescent="0.25">
      <c r="B5273" s="89">
        <v>5269</v>
      </c>
      <c r="C5273" s="39">
        <f t="shared" si="166"/>
        <v>157992929.59999999</v>
      </c>
      <c r="D5273" s="39">
        <f t="shared" si="167"/>
        <v>174019263</v>
      </c>
    </row>
    <row r="5274" spans="2:4" x14ac:dyDescent="0.25">
      <c r="B5274" s="89">
        <v>5270</v>
      </c>
      <c r="C5274" s="39">
        <f t="shared" si="166"/>
        <v>157992929.59999999</v>
      </c>
      <c r="D5274" s="39">
        <f t="shared" si="167"/>
        <v>174052290</v>
      </c>
    </row>
    <row r="5275" spans="2:4" x14ac:dyDescent="0.25">
      <c r="B5275" s="89">
        <v>5271</v>
      </c>
      <c r="C5275" s="39">
        <f t="shared" si="166"/>
        <v>157992929.59999999</v>
      </c>
      <c r="D5275" s="39">
        <f t="shared" si="167"/>
        <v>174085317</v>
      </c>
    </row>
    <row r="5276" spans="2:4" x14ac:dyDescent="0.25">
      <c r="B5276" s="89">
        <v>5272</v>
      </c>
      <c r="C5276" s="39">
        <f t="shared" si="166"/>
        <v>157992929.59999999</v>
      </c>
      <c r="D5276" s="39">
        <f t="shared" si="167"/>
        <v>174118344</v>
      </c>
    </row>
    <row r="5277" spans="2:4" x14ac:dyDescent="0.25">
      <c r="B5277" s="89">
        <v>5273</v>
      </c>
      <c r="C5277" s="39">
        <f t="shared" si="166"/>
        <v>157992929.59999999</v>
      </c>
      <c r="D5277" s="39">
        <f t="shared" si="167"/>
        <v>174151371</v>
      </c>
    </row>
    <row r="5278" spans="2:4" x14ac:dyDescent="0.25">
      <c r="B5278" s="89">
        <v>5274</v>
      </c>
      <c r="C5278" s="39">
        <f t="shared" si="166"/>
        <v>157992929.59999999</v>
      </c>
      <c r="D5278" s="39">
        <f t="shared" si="167"/>
        <v>174184398</v>
      </c>
    </row>
    <row r="5279" spans="2:4" x14ac:dyDescent="0.25">
      <c r="B5279" s="89">
        <v>5275</v>
      </c>
      <c r="C5279" s="39">
        <f t="shared" si="166"/>
        <v>157992929.59999999</v>
      </c>
      <c r="D5279" s="39">
        <f t="shared" si="167"/>
        <v>174217425</v>
      </c>
    </row>
    <row r="5280" spans="2:4" x14ac:dyDescent="0.25">
      <c r="B5280" s="89">
        <v>5276</v>
      </c>
      <c r="C5280" s="39">
        <f t="shared" si="166"/>
        <v>157992929.59999999</v>
      </c>
      <c r="D5280" s="39">
        <f t="shared" si="167"/>
        <v>174250452</v>
      </c>
    </row>
    <row r="5281" spans="2:4" x14ac:dyDescent="0.25">
      <c r="B5281" s="89">
        <v>5277</v>
      </c>
      <c r="C5281" s="39">
        <f t="shared" si="166"/>
        <v>157992929.59999999</v>
      </c>
      <c r="D5281" s="39">
        <f t="shared" si="167"/>
        <v>174283479</v>
      </c>
    </row>
    <row r="5282" spans="2:4" x14ac:dyDescent="0.25">
      <c r="B5282" s="89">
        <v>5278</v>
      </c>
      <c r="C5282" s="39">
        <f t="shared" si="166"/>
        <v>157992929.59999999</v>
      </c>
      <c r="D5282" s="39">
        <f t="shared" si="167"/>
        <v>174316506</v>
      </c>
    </row>
    <row r="5283" spans="2:4" x14ac:dyDescent="0.25">
      <c r="B5283" s="89">
        <v>5279</v>
      </c>
      <c r="C5283" s="39">
        <f t="shared" si="166"/>
        <v>157992929.59999999</v>
      </c>
      <c r="D5283" s="39">
        <f t="shared" si="167"/>
        <v>174349533</v>
      </c>
    </row>
    <row r="5284" spans="2:4" x14ac:dyDescent="0.25">
      <c r="B5284" s="89">
        <v>5280</v>
      </c>
      <c r="C5284" s="39">
        <f t="shared" si="166"/>
        <v>157992929.59999999</v>
      </c>
      <c r="D5284" s="39">
        <f t="shared" si="167"/>
        <v>174382560</v>
      </c>
    </row>
    <row r="5285" spans="2:4" x14ac:dyDescent="0.25">
      <c r="B5285" s="89">
        <v>5281</v>
      </c>
      <c r="C5285" s="39">
        <f t="shared" si="166"/>
        <v>157992929.59999999</v>
      </c>
      <c r="D5285" s="39">
        <f t="shared" si="167"/>
        <v>174415587</v>
      </c>
    </row>
    <row r="5286" spans="2:4" x14ac:dyDescent="0.25">
      <c r="B5286" s="89">
        <v>5282</v>
      </c>
      <c r="C5286" s="39">
        <f t="shared" si="166"/>
        <v>157992929.59999999</v>
      </c>
      <c r="D5286" s="39">
        <f t="shared" si="167"/>
        <v>174448614</v>
      </c>
    </row>
    <row r="5287" spans="2:4" x14ac:dyDescent="0.25">
      <c r="B5287" s="89">
        <v>5283</v>
      </c>
      <c r="C5287" s="39">
        <f t="shared" si="166"/>
        <v>157992929.59999999</v>
      </c>
      <c r="D5287" s="39">
        <f t="shared" si="167"/>
        <v>174481641</v>
      </c>
    </row>
    <row r="5288" spans="2:4" x14ac:dyDescent="0.25">
      <c r="B5288" s="89">
        <v>5284</v>
      </c>
      <c r="C5288" s="39">
        <f t="shared" si="166"/>
        <v>157992929.59999999</v>
      </c>
      <c r="D5288" s="39">
        <f t="shared" si="167"/>
        <v>174514668</v>
      </c>
    </row>
    <row r="5289" spans="2:4" x14ac:dyDescent="0.25">
      <c r="B5289" s="89">
        <v>5285</v>
      </c>
      <c r="C5289" s="39">
        <f t="shared" si="166"/>
        <v>157992929.59999999</v>
      </c>
      <c r="D5289" s="39">
        <f t="shared" si="167"/>
        <v>174547695</v>
      </c>
    </row>
    <row r="5290" spans="2:4" x14ac:dyDescent="0.25">
      <c r="B5290" s="89">
        <v>5286</v>
      </c>
      <c r="C5290" s="39">
        <f t="shared" si="166"/>
        <v>157992929.59999999</v>
      </c>
      <c r="D5290" s="39">
        <f t="shared" si="167"/>
        <v>174580722</v>
      </c>
    </row>
    <row r="5291" spans="2:4" x14ac:dyDescent="0.25">
      <c r="B5291" s="89">
        <v>5287</v>
      </c>
      <c r="C5291" s="39">
        <f t="shared" si="166"/>
        <v>157992929.59999999</v>
      </c>
      <c r="D5291" s="39">
        <f t="shared" si="167"/>
        <v>174613749</v>
      </c>
    </row>
    <row r="5292" spans="2:4" x14ac:dyDescent="0.25">
      <c r="B5292" s="89">
        <v>5288</v>
      </c>
      <c r="C5292" s="39">
        <f t="shared" si="166"/>
        <v>157992929.59999999</v>
      </c>
      <c r="D5292" s="39">
        <f t="shared" si="167"/>
        <v>174646776</v>
      </c>
    </row>
    <row r="5293" spans="2:4" x14ac:dyDescent="0.25">
      <c r="B5293" s="89">
        <v>5289</v>
      </c>
      <c r="C5293" s="39">
        <f t="shared" si="166"/>
        <v>157992929.59999999</v>
      </c>
      <c r="D5293" s="39">
        <f t="shared" si="167"/>
        <v>174679803</v>
      </c>
    </row>
    <row r="5294" spans="2:4" x14ac:dyDescent="0.25">
      <c r="B5294" s="89">
        <v>5290</v>
      </c>
      <c r="C5294" s="39">
        <f t="shared" si="166"/>
        <v>157992929.59999999</v>
      </c>
      <c r="D5294" s="39">
        <f t="shared" si="167"/>
        <v>174712830</v>
      </c>
    </row>
    <row r="5295" spans="2:4" x14ac:dyDescent="0.25">
      <c r="B5295" s="89">
        <v>5291</v>
      </c>
      <c r="C5295" s="39">
        <f t="shared" si="166"/>
        <v>157992929.59999999</v>
      </c>
      <c r="D5295" s="39">
        <f t="shared" si="167"/>
        <v>174745857</v>
      </c>
    </row>
    <row r="5296" spans="2:4" x14ac:dyDescent="0.25">
      <c r="B5296" s="89">
        <v>5292</v>
      </c>
      <c r="C5296" s="39">
        <f t="shared" si="166"/>
        <v>157992929.59999999</v>
      </c>
      <c r="D5296" s="39">
        <f t="shared" si="167"/>
        <v>174778884</v>
      </c>
    </row>
    <row r="5297" spans="2:4" x14ac:dyDescent="0.25">
      <c r="B5297" s="89">
        <v>5293</v>
      </c>
      <c r="C5297" s="39">
        <f t="shared" si="166"/>
        <v>157992929.59999999</v>
      </c>
      <c r="D5297" s="39">
        <f t="shared" si="167"/>
        <v>174811911</v>
      </c>
    </row>
    <row r="5298" spans="2:4" x14ac:dyDescent="0.25">
      <c r="B5298" s="89">
        <v>5294</v>
      </c>
      <c r="C5298" s="39">
        <f t="shared" si="166"/>
        <v>157992929.59999999</v>
      </c>
      <c r="D5298" s="39">
        <f t="shared" si="167"/>
        <v>174844938</v>
      </c>
    </row>
    <row r="5299" spans="2:4" x14ac:dyDescent="0.25">
      <c r="B5299" s="89">
        <v>5295</v>
      </c>
      <c r="C5299" s="39">
        <f t="shared" si="166"/>
        <v>157992929.59999999</v>
      </c>
      <c r="D5299" s="39">
        <f t="shared" si="167"/>
        <v>174877965</v>
      </c>
    </row>
    <row r="5300" spans="2:4" x14ac:dyDescent="0.25">
      <c r="B5300" s="89">
        <v>5296</v>
      </c>
      <c r="C5300" s="39">
        <f t="shared" si="166"/>
        <v>157992929.59999999</v>
      </c>
      <c r="D5300" s="39">
        <f t="shared" si="167"/>
        <v>174910992</v>
      </c>
    </row>
    <row r="5301" spans="2:4" x14ac:dyDescent="0.25">
      <c r="B5301" s="89">
        <v>5297</v>
      </c>
      <c r="C5301" s="39">
        <f t="shared" si="166"/>
        <v>157992929.59999999</v>
      </c>
      <c r="D5301" s="39">
        <f t="shared" si="167"/>
        <v>174944019</v>
      </c>
    </row>
    <row r="5302" spans="2:4" x14ac:dyDescent="0.25">
      <c r="B5302" s="89">
        <v>5298</v>
      </c>
      <c r="C5302" s="39">
        <f t="shared" si="166"/>
        <v>157992929.59999999</v>
      </c>
      <c r="D5302" s="39">
        <f t="shared" si="167"/>
        <v>174977046</v>
      </c>
    </row>
    <row r="5303" spans="2:4" x14ac:dyDescent="0.25">
      <c r="B5303" s="89">
        <v>5299</v>
      </c>
      <c r="C5303" s="39">
        <f t="shared" si="166"/>
        <v>157992929.59999999</v>
      </c>
      <c r="D5303" s="39">
        <f t="shared" si="167"/>
        <v>175010073</v>
      </c>
    </row>
    <row r="5304" spans="2:4" x14ac:dyDescent="0.25">
      <c r="B5304" s="89">
        <v>5300</v>
      </c>
      <c r="C5304" s="39">
        <f t="shared" si="166"/>
        <v>157992929.59999999</v>
      </c>
      <c r="D5304" s="39">
        <f t="shared" si="167"/>
        <v>175043100</v>
      </c>
    </row>
    <row r="5305" spans="2:4" x14ac:dyDescent="0.25">
      <c r="B5305" s="89">
        <v>5301</v>
      </c>
      <c r="C5305" s="39">
        <f t="shared" si="166"/>
        <v>157992929.59999999</v>
      </c>
      <c r="D5305" s="39">
        <f t="shared" si="167"/>
        <v>175076127</v>
      </c>
    </row>
    <row r="5306" spans="2:4" x14ac:dyDescent="0.25">
      <c r="B5306" s="89">
        <v>5302</v>
      </c>
      <c r="C5306" s="39">
        <f t="shared" si="166"/>
        <v>157992929.59999999</v>
      </c>
      <c r="D5306" s="39">
        <f t="shared" si="167"/>
        <v>175109154</v>
      </c>
    </row>
    <row r="5307" spans="2:4" x14ac:dyDescent="0.25">
      <c r="B5307" s="89">
        <v>5303</v>
      </c>
      <c r="C5307" s="39">
        <f t="shared" si="166"/>
        <v>157992929.59999999</v>
      </c>
      <c r="D5307" s="39">
        <f t="shared" si="167"/>
        <v>175142181</v>
      </c>
    </row>
    <row r="5308" spans="2:4" x14ac:dyDescent="0.25">
      <c r="B5308" s="89">
        <v>5304</v>
      </c>
      <c r="C5308" s="39">
        <f t="shared" si="166"/>
        <v>157992929.59999999</v>
      </c>
      <c r="D5308" s="39">
        <f t="shared" si="167"/>
        <v>175175208</v>
      </c>
    </row>
    <row r="5309" spans="2:4" x14ac:dyDescent="0.25">
      <c r="B5309" s="89">
        <v>5305</v>
      </c>
      <c r="C5309" s="39">
        <f t="shared" si="166"/>
        <v>157992929.59999999</v>
      </c>
      <c r="D5309" s="39">
        <f t="shared" si="167"/>
        <v>175208235</v>
      </c>
    </row>
    <row r="5310" spans="2:4" x14ac:dyDescent="0.25">
      <c r="B5310" s="89">
        <v>5306</v>
      </c>
      <c r="C5310" s="39">
        <f t="shared" si="166"/>
        <v>157992929.59999999</v>
      </c>
      <c r="D5310" s="39">
        <f t="shared" si="167"/>
        <v>175241262</v>
      </c>
    </row>
    <row r="5311" spans="2:4" x14ac:dyDescent="0.25">
      <c r="B5311" s="89">
        <v>5307</v>
      </c>
      <c r="C5311" s="39">
        <f t="shared" si="166"/>
        <v>157992929.59999999</v>
      </c>
      <c r="D5311" s="39">
        <f t="shared" si="167"/>
        <v>175274289</v>
      </c>
    </row>
    <row r="5312" spans="2:4" x14ac:dyDescent="0.25">
      <c r="B5312" s="89">
        <v>5308</v>
      </c>
      <c r="C5312" s="39">
        <f t="shared" si="166"/>
        <v>157992929.59999999</v>
      </c>
      <c r="D5312" s="39">
        <f t="shared" si="167"/>
        <v>175307316</v>
      </c>
    </row>
    <row r="5313" spans="2:4" x14ac:dyDescent="0.25">
      <c r="B5313" s="89">
        <v>5309</v>
      </c>
      <c r="C5313" s="39">
        <f t="shared" si="166"/>
        <v>157992929.59999999</v>
      </c>
      <c r="D5313" s="39">
        <f t="shared" si="167"/>
        <v>175340343</v>
      </c>
    </row>
    <row r="5314" spans="2:4" x14ac:dyDescent="0.25">
      <c r="B5314" s="89">
        <v>5310</v>
      </c>
      <c r="C5314" s="39">
        <f t="shared" si="166"/>
        <v>157992929.59999999</v>
      </c>
      <c r="D5314" s="39">
        <f t="shared" si="167"/>
        <v>175373370</v>
      </c>
    </row>
    <row r="5315" spans="2:4" x14ac:dyDescent="0.25">
      <c r="B5315" s="89">
        <v>5311</v>
      </c>
      <c r="C5315" s="39">
        <f t="shared" si="166"/>
        <v>157992929.59999999</v>
      </c>
      <c r="D5315" s="39">
        <f t="shared" si="167"/>
        <v>175406397</v>
      </c>
    </row>
    <row r="5316" spans="2:4" x14ac:dyDescent="0.25">
      <c r="B5316" s="89">
        <v>5312</v>
      </c>
      <c r="C5316" s="39">
        <f t="shared" si="166"/>
        <v>157992929.59999999</v>
      </c>
      <c r="D5316" s="39">
        <f t="shared" si="167"/>
        <v>175439424</v>
      </c>
    </row>
    <row r="5317" spans="2:4" x14ac:dyDescent="0.25">
      <c r="B5317" s="89">
        <v>5313</v>
      </c>
      <c r="C5317" s="39">
        <f t="shared" si="166"/>
        <v>157992929.59999999</v>
      </c>
      <c r="D5317" s="39">
        <f t="shared" si="167"/>
        <v>175472451</v>
      </c>
    </row>
    <row r="5318" spans="2:4" x14ac:dyDescent="0.25">
      <c r="B5318" s="89">
        <v>5314</v>
      </c>
      <c r="C5318" s="39">
        <f t="shared" si="166"/>
        <v>157992929.59999999</v>
      </c>
      <c r="D5318" s="39">
        <f t="shared" si="167"/>
        <v>175505478</v>
      </c>
    </row>
    <row r="5319" spans="2:4" x14ac:dyDescent="0.25">
      <c r="B5319" s="89">
        <v>5315</v>
      </c>
      <c r="C5319" s="39">
        <f t="shared" si="166"/>
        <v>157992929.59999999</v>
      </c>
      <c r="D5319" s="39">
        <f t="shared" si="167"/>
        <v>175538505</v>
      </c>
    </row>
    <row r="5320" spans="2:4" x14ac:dyDescent="0.25">
      <c r="B5320" s="89">
        <v>5316</v>
      </c>
      <c r="C5320" s="39">
        <f t="shared" si="166"/>
        <v>157992929.59999999</v>
      </c>
      <c r="D5320" s="39">
        <f t="shared" si="167"/>
        <v>175571532</v>
      </c>
    </row>
    <row r="5321" spans="2:4" x14ac:dyDescent="0.25">
      <c r="B5321" s="89">
        <v>5317</v>
      </c>
      <c r="C5321" s="39">
        <f t="shared" si="166"/>
        <v>157992929.59999999</v>
      </c>
      <c r="D5321" s="39">
        <f t="shared" si="167"/>
        <v>175604559</v>
      </c>
    </row>
    <row r="5322" spans="2:4" x14ac:dyDescent="0.25">
      <c r="B5322" s="89">
        <v>5318</v>
      </c>
      <c r="C5322" s="39">
        <f t="shared" si="166"/>
        <v>157992929.59999999</v>
      </c>
      <c r="D5322" s="39">
        <f t="shared" si="167"/>
        <v>175637586</v>
      </c>
    </row>
    <row r="5323" spans="2:4" x14ac:dyDescent="0.25">
      <c r="B5323" s="89">
        <v>5319</v>
      </c>
      <c r="C5323" s="39">
        <f t="shared" si="166"/>
        <v>157992929.59999999</v>
      </c>
      <c r="D5323" s="39">
        <f t="shared" si="167"/>
        <v>175670613</v>
      </c>
    </row>
    <row r="5324" spans="2:4" x14ac:dyDescent="0.25">
      <c r="B5324" s="89">
        <v>5320</v>
      </c>
      <c r="C5324" s="39">
        <f t="shared" si="166"/>
        <v>157992929.59999999</v>
      </c>
      <c r="D5324" s="39">
        <f t="shared" si="167"/>
        <v>175703640</v>
      </c>
    </row>
    <row r="5325" spans="2:4" x14ac:dyDescent="0.25">
      <c r="B5325" s="89">
        <v>5321</v>
      </c>
      <c r="C5325" s="39">
        <f t="shared" ref="C5325:C5388" si="168">$C5324</f>
        <v>157992929.59999999</v>
      </c>
      <c r="D5325" s="39">
        <f t="shared" ref="D5325:D5388" si="169">$D$2*B5325</f>
        <v>175736667</v>
      </c>
    </row>
    <row r="5326" spans="2:4" x14ac:dyDescent="0.25">
      <c r="B5326" s="89">
        <v>5322</v>
      </c>
      <c r="C5326" s="39">
        <f t="shared" si="168"/>
        <v>157992929.59999999</v>
      </c>
      <c r="D5326" s="39">
        <f t="shared" si="169"/>
        <v>175769694</v>
      </c>
    </row>
    <row r="5327" spans="2:4" x14ac:dyDescent="0.25">
      <c r="B5327" s="89">
        <v>5323</v>
      </c>
      <c r="C5327" s="39">
        <f t="shared" si="168"/>
        <v>157992929.59999999</v>
      </c>
      <c r="D5327" s="39">
        <f t="shared" si="169"/>
        <v>175802721</v>
      </c>
    </row>
    <row r="5328" spans="2:4" x14ac:dyDescent="0.25">
      <c r="B5328" s="89">
        <v>5324</v>
      </c>
      <c r="C5328" s="39">
        <f t="shared" si="168"/>
        <v>157992929.59999999</v>
      </c>
      <c r="D5328" s="39">
        <f t="shared" si="169"/>
        <v>175835748</v>
      </c>
    </row>
    <row r="5329" spans="2:4" x14ac:dyDescent="0.25">
      <c r="B5329" s="89">
        <v>5325</v>
      </c>
      <c r="C5329" s="39">
        <f t="shared" si="168"/>
        <v>157992929.59999999</v>
      </c>
      <c r="D5329" s="39">
        <f t="shared" si="169"/>
        <v>175868775</v>
      </c>
    </row>
    <row r="5330" spans="2:4" x14ac:dyDescent="0.25">
      <c r="B5330" s="89">
        <v>5326</v>
      </c>
      <c r="C5330" s="39">
        <f t="shared" si="168"/>
        <v>157992929.59999999</v>
      </c>
      <c r="D5330" s="39">
        <f t="shared" si="169"/>
        <v>175901802</v>
      </c>
    </row>
    <row r="5331" spans="2:4" x14ac:dyDescent="0.25">
      <c r="B5331" s="89">
        <v>5327</v>
      </c>
      <c r="C5331" s="39">
        <f t="shared" si="168"/>
        <v>157992929.59999999</v>
      </c>
      <c r="D5331" s="39">
        <f t="shared" si="169"/>
        <v>175934829</v>
      </c>
    </row>
    <row r="5332" spans="2:4" x14ac:dyDescent="0.25">
      <c r="B5332" s="89">
        <v>5328</v>
      </c>
      <c r="C5332" s="39">
        <f t="shared" si="168"/>
        <v>157992929.59999999</v>
      </c>
      <c r="D5332" s="39">
        <f t="shared" si="169"/>
        <v>175967856</v>
      </c>
    </row>
    <row r="5333" spans="2:4" x14ac:dyDescent="0.25">
      <c r="B5333" s="89">
        <v>5329</v>
      </c>
      <c r="C5333" s="39">
        <f t="shared" si="168"/>
        <v>157992929.59999999</v>
      </c>
      <c r="D5333" s="39">
        <f t="shared" si="169"/>
        <v>176000883</v>
      </c>
    </row>
    <row r="5334" spans="2:4" x14ac:dyDescent="0.25">
      <c r="B5334" s="89">
        <v>5330</v>
      </c>
      <c r="C5334" s="39">
        <f t="shared" si="168"/>
        <v>157992929.59999999</v>
      </c>
      <c r="D5334" s="39">
        <f t="shared" si="169"/>
        <v>176033910</v>
      </c>
    </row>
    <row r="5335" spans="2:4" x14ac:dyDescent="0.25">
      <c r="B5335" s="89">
        <v>5331</v>
      </c>
      <c r="C5335" s="39">
        <f t="shared" si="168"/>
        <v>157992929.59999999</v>
      </c>
      <c r="D5335" s="39">
        <f t="shared" si="169"/>
        <v>176066937</v>
      </c>
    </row>
    <row r="5336" spans="2:4" x14ac:dyDescent="0.25">
      <c r="B5336" s="89">
        <v>5332</v>
      </c>
      <c r="C5336" s="39">
        <f t="shared" si="168"/>
        <v>157992929.59999999</v>
      </c>
      <c r="D5336" s="39">
        <f t="shared" si="169"/>
        <v>176099964</v>
      </c>
    </row>
    <row r="5337" spans="2:4" x14ac:dyDescent="0.25">
      <c r="B5337" s="89">
        <v>5333</v>
      </c>
      <c r="C5337" s="39">
        <f t="shared" si="168"/>
        <v>157992929.59999999</v>
      </c>
      <c r="D5337" s="39">
        <f t="shared" si="169"/>
        <v>176132991</v>
      </c>
    </row>
    <row r="5338" spans="2:4" x14ac:dyDescent="0.25">
      <c r="B5338" s="89">
        <v>5334</v>
      </c>
      <c r="C5338" s="39">
        <f t="shared" si="168"/>
        <v>157992929.59999999</v>
      </c>
      <c r="D5338" s="39">
        <f t="shared" si="169"/>
        <v>176166018</v>
      </c>
    </row>
    <row r="5339" spans="2:4" x14ac:dyDescent="0.25">
      <c r="B5339" s="89">
        <v>5335</v>
      </c>
      <c r="C5339" s="39">
        <f t="shared" si="168"/>
        <v>157992929.59999999</v>
      </c>
      <c r="D5339" s="39">
        <f t="shared" si="169"/>
        <v>176199045</v>
      </c>
    </row>
    <row r="5340" spans="2:4" x14ac:dyDescent="0.25">
      <c r="B5340" s="89">
        <v>5336</v>
      </c>
      <c r="C5340" s="39">
        <f t="shared" si="168"/>
        <v>157992929.59999999</v>
      </c>
      <c r="D5340" s="39">
        <f t="shared" si="169"/>
        <v>176232072</v>
      </c>
    </row>
    <row r="5341" spans="2:4" x14ac:dyDescent="0.25">
      <c r="B5341" s="89">
        <v>5337</v>
      </c>
      <c r="C5341" s="39">
        <f t="shared" si="168"/>
        <v>157992929.59999999</v>
      </c>
      <c r="D5341" s="39">
        <f t="shared" si="169"/>
        <v>176265099</v>
      </c>
    </row>
    <row r="5342" spans="2:4" x14ac:dyDescent="0.25">
      <c r="B5342" s="89">
        <v>5338</v>
      </c>
      <c r="C5342" s="39">
        <f t="shared" si="168"/>
        <v>157992929.59999999</v>
      </c>
      <c r="D5342" s="39">
        <f t="shared" si="169"/>
        <v>176298126</v>
      </c>
    </row>
    <row r="5343" spans="2:4" x14ac:dyDescent="0.25">
      <c r="B5343" s="89">
        <v>5339</v>
      </c>
      <c r="C5343" s="39">
        <f t="shared" si="168"/>
        <v>157992929.59999999</v>
      </c>
      <c r="D5343" s="39">
        <f t="shared" si="169"/>
        <v>176331153</v>
      </c>
    </row>
    <row r="5344" spans="2:4" x14ac:dyDescent="0.25">
      <c r="B5344" s="89">
        <v>5340</v>
      </c>
      <c r="C5344" s="39">
        <f t="shared" si="168"/>
        <v>157992929.59999999</v>
      </c>
      <c r="D5344" s="39">
        <f t="shared" si="169"/>
        <v>176364180</v>
      </c>
    </row>
    <row r="5345" spans="2:4" x14ac:dyDescent="0.25">
      <c r="B5345" s="89">
        <v>5341</v>
      </c>
      <c r="C5345" s="39">
        <f t="shared" si="168"/>
        <v>157992929.59999999</v>
      </c>
      <c r="D5345" s="39">
        <f t="shared" si="169"/>
        <v>176397207</v>
      </c>
    </row>
    <row r="5346" spans="2:4" x14ac:dyDescent="0.25">
      <c r="B5346" s="89">
        <v>5342</v>
      </c>
      <c r="C5346" s="39">
        <f t="shared" si="168"/>
        <v>157992929.59999999</v>
      </c>
      <c r="D5346" s="39">
        <f t="shared" si="169"/>
        <v>176430234</v>
      </c>
    </row>
    <row r="5347" spans="2:4" x14ac:dyDescent="0.25">
      <c r="B5347" s="89">
        <v>5343</v>
      </c>
      <c r="C5347" s="39">
        <f t="shared" si="168"/>
        <v>157992929.59999999</v>
      </c>
      <c r="D5347" s="39">
        <f t="shared" si="169"/>
        <v>176463261</v>
      </c>
    </row>
    <row r="5348" spans="2:4" x14ac:dyDescent="0.25">
      <c r="B5348" s="89">
        <v>5344</v>
      </c>
      <c r="C5348" s="39">
        <f t="shared" si="168"/>
        <v>157992929.59999999</v>
      </c>
      <c r="D5348" s="39">
        <f t="shared" si="169"/>
        <v>176496288</v>
      </c>
    </row>
    <row r="5349" spans="2:4" x14ac:dyDescent="0.25">
      <c r="B5349" s="89">
        <v>5345</v>
      </c>
      <c r="C5349" s="39">
        <f t="shared" si="168"/>
        <v>157992929.59999999</v>
      </c>
      <c r="D5349" s="39">
        <f t="shared" si="169"/>
        <v>176529315</v>
      </c>
    </row>
    <row r="5350" spans="2:4" x14ac:dyDescent="0.25">
      <c r="B5350" s="89">
        <v>5346</v>
      </c>
      <c r="C5350" s="39">
        <f t="shared" si="168"/>
        <v>157992929.59999999</v>
      </c>
      <c r="D5350" s="39">
        <f t="shared" si="169"/>
        <v>176562342</v>
      </c>
    </row>
    <row r="5351" spans="2:4" x14ac:dyDescent="0.25">
      <c r="B5351" s="89">
        <v>5347</v>
      </c>
      <c r="C5351" s="39">
        <f t="shared" si="168"/>
        <v>157992929.59999999</v>
      </c>
      <c r="D5351" s="39">
        <f t="shared" si="169"/>
        <v>176595369</v>
      </c>
    </row>
    <row r="5352" spans="2:4" x14ac:dyDescent="0.25">
      <c r="B5352" s="89">
        <v>5348</v>
      </c>
      <c r="C5352" s="39">
        <f t="shared" si="168"/>
        <v>157992929.59999999</v>
      </c>
      <c r="D5352" s="39">
        <f t="shared" si="169"/>
        <v>176628396</v>
      </c>
    </row>
    <row r="5353" spans="2:4" x14ac:dyDescent="0.25">
      <c r="B5353" s="89">
        <v>5349</v>
      </c>
      <c r="C5353" s="39">
        <f t="shared" si="168"/>
        <v>157992929.59999999</v>
      </c>
      <c r="D5353" s="39">
        <f t="shared" si="169"/>
        <v>176661423</v>
      </c>
    </row>
    <row r="5354" spans="2:4" x14ac:dyDescent="0.25">
      <c r="B5354" s="89">
        <v>5350</v>
      </c>
      <c r="C5354" s="39">
        <f t="shared" si="168"/>
        <v>157992929.59999999</v>
      </c>
      <c r="D5354" s="39">
        <f t="shared" si="169"/>
        <v>176694450</v>
      </c>
    </row>
    <row r="5355" spans="2:4" x14ac:dyDescent="0.25">
      <c r="B5355" s="89">
        <v>5351</v>
      </c>
      <c r="C5355" s="39">
        <f t="shared" si="168"/>
        <v>157992929.59999999</v>
      </c>
      <c r="D5355" s="39">
        <f t="shared" si="169"/>
        <v>176727477</v>
      </c>
    </row>
    <row r="5356" spans="2:4" x14ac:dyDescent="0.25">
      <c r="B5356" s="89">
        <v>5352</v>
      </c>
      <c r="C5356" s="39">
        <f t="shared" si="168"/>
        <v>157992929.59999999</v>
      </c>
      <c r="D5356" s="39">
        <f t="shared" si="169"/>
        <v>176760504</v>
      </c>
    </row>
    <row r="5357" spans="2:4" x14ac:dyDescent="0.25">
      <c r="B5357" s="89">
        <v>5353</v>
      </c>
      <c r="C5357" s="39">
        <f t="shared" si="168"/>
        <v>157992929.59999999</v>
      </c>
      <c r="D5357" s="39">
        <f t="shared" si="169"/>
        <v>176793531</v>
      </c>
    </row>
    <row r="5358" spans="2:4" x14ac:dyDescent="0.25">
      <c r="B5358" s="89">
        <v>5354</v>
      </c>
      <c r="C5358" s="39">
        <f t="shared" si="168"/>
        <v>157992929.59999999</v>
      </c>
      <c r="D5358" s="39">
        <f t="shared" si="169"/>
        <v>176826558</v>
      </c>
    </row>
    <row r="5359" spans="2:4" x14ac:dyDescent="0.25">
      <c r="B5359" s="89">
        <v>5355</v>
      </c>
      <c r="C5359" s="39">
        <f t="shared" si="168"/>
        <v>157992929.59999999</v>
      </c>
      <c r="D5359" s="39">
        <f t="shared" si="169"/>
        <v>176859585</v>
      </c>
    </row>
    <row r="5360" spans="2:4" x14ac:dyDescent="0.25">
      <c r="B5360" s="89">
        <v>5356</v>
      </c>
      <c r="C5360" s="39">
        <f t="shared" si="168"/>
        <v>157992929.59999999</v>
      </c>
      <c r="D5360" s="39">
        <f t="shared" si="169"/>
        <v>176892612</v>
      </c>
    </row>
    <row r="5361" spans="2:4" x14ac:dyDescent="0.25">
      <c r="B5361" s="89">
        <v>5357</v>
      </c>
      <c r="C5361" s="39">
        <f t="shared" si="168"/>
        <v>157992929.59999999</v>
      </c>
      <c r="D5361" s="39">
        <f t="shared" si="169"/>
        <v>176925639</v>
      </c>
    </row>
    <row r="5362" spans="2:4" x14ac:dyDescent="0.25">
      <c r="B5362" s="89">
        <v>5358</v>
      </c>
      <c r="C5362" s="39">
        <f t="shared" si="168"/>
        <v>157992929.59999999</v>
      </c>
      <c r="D5362" s="39">
        <f t="shared" si="169"/>
        <v>176958666</v>
      </c>
    </row>
    <row r="5363" spans="2:4" x14ac:dyDescent="0.25">
      <c r="B5363" s="89">
        <v>5359</v>
      </c>
      <c r="C5363" s="39">
        <f t="shared" si="168"/>
        <v>157992929.59999999</v>
      </c>
      <c r="D5363" s="39">
        <f t="shared" si="169"/>
        <v>176991693</v>
      </c>
    </row>
    <row r="5364" spans="2:4" x14ac:dyDescent="0.25">
      <c r="B5364" s="89">
        <v>5360</v>
      </c>
      <c r="C5364" s="39">
        <f t="shared" si="168"/>
        <v>157992929.59999999</v>
      </c>
      <c r="D5364" s="39">
        <f t="shared" si="169"/>
        <v>177024720</v>
      </c>
    </row>
    <row r="5365" spans="2:4" x14ac:dyDescent="0.25">
      <c r="B5365" s="89">
        <v>5361</v>
      </c>
      <c r="C5365" s="39">
        <f t="shared" si="168"/>
        <v>157992929.59999999</v>
      </c>
      <c r="D5365" s="39">
        <f t="shared" si="169"/>
        <v>177057747</v>
      </c>
    </row>
    <row r="5366" spans="2:4" x14ac:dyDescent="0.25">
      <c r="B5366" s="89">
        <v>5362</v>
      </c>
      <c r="C5366" s="39">
        <f t="shared" si="168"/>
        <v>157992929.59999999</v>
      </c>
      <c r="D5366" s="39">
        <f t="shared" si="169"/>
        <v>177090774</v>
      </c>
    </row>
    <row r="5367" spans="2:4" x14ac:dyDescent="0.25">
      <c r="B5367" s="89">
        <v>5363</v>
      </c>
      <c r="C5367" s="39">
        <f t="shared" si="168"/>
        <v>157992929.59999999</v>
      </c>
      <c r="D5367" s="39">
        <f t="shared" si="169"/>
        <v>177123801</v>
      </c>
    </row>
    <row r="5368" spans="2:4" x14ac:dyDescent="0.25">
      <c r="B5368" s="89">
        <v>5364</v>
      </c>
      <c r="C5368" s="39">
        <f t="shared" si="168"/>
        <v>157992929.59999999</v>
      </c>
      <c r="D5368" s="39">
        <f t="shared" si="169"/>
        <v>177156828</v>
      </c>
    </row>
    <row r="5369" spans="2:4" x14ac:dyDescent="0.25">
      <c r="B5369" s="89">
        <v>5365</v>
      </c>
      <c r="C5369" s="39">
        <f t="shared" si="168"/>
        <v>157992929.59999999</v>
      </c>
      <c r="D5369" s="39">
        <f t="shared" si="169"/>
        <v>177189855</v>
      </c>
    </row>
    <row r="5370" spans="2:4" x14ac:dyDescent="0.25">
      <c r="B5370" s="89">
        <v>5366</v>
      </c>
      <c r="C5370" s="39">
        <f t="shared" si="168"/>
        <v>157992929.59999999</v>
      </c>
      <c r="D5370" s="39">
        <f t="shared" si="169"/>
        <v>177222882</v>
      </c>
    </row>
    <row r="5371" spans="2:4" x14ac:dyDescent="0.25">
      <c r="B5371" s="89">
        <v>5367</v>
      </c>
      <c r="C5371" s="39">
        <f t="shared" si="168"/>
        <v>157992929.59999999</v>
      </c>
      <c r="D5371" s="39">
        <f t="shared" si="169"/>
        <v>177255909</v>
      </c>
    </row>
    <row r="5372" spans="2:4" x14ac:dyDescent="0.25">
      <c r="B5372" s="89">
        <v>5368</v>
      </c>
      <c r="C5372" s="39">
        <f t="shared" si="168"/>
        <v>157992929.59999999</v>
      </c>
      <c r="D5372" s="39">
        <f t="shared" si="169"/>
        <v>177288936</v>
      </c>
    </row>
    <row r="5373" spans="2:4" x14ac:dyDescent="0.25">
      <c r="B5373" s="89">
        <v>5369</v>
      </c>
      <c r="C5373" s="39">
        <f t="shared" si="168"/>
        <v>157992929.59999999</v>
      </c>
      <c r="D5373" s="39">
        <f t="shared" si="169"/>
        <v>177321963</v>
      </c>
    </row>
    <row r="5374" spans="2:4" x14ac:dyDescent="0.25">
      <c r="B5374" s="89">
        <v>5370</v>
      </c>
      <c r="C5374" s="39">
        <f t="shared" si="168"/>
        <v>157992929.59999999</v>
      </c>
      <c r="D5374" s="39">
        <f t="shared" si="169"/>
        <v>177354990</v>
      </c>
    </row>
    <row r="5375" spans="2:4" x14ac:dyDescent="0.25">
      <c r="B5375" s="89">
        <v>5371</v>
      </c>
      <c r="C5375" s="39">
        <f t="shared" si="168"/>
        <v>157992929.59999999</v>
      </c>
      <c r="D5375" s="39">
        <f t="shared" si="169"/>
        <v>177388017</v>
      </c>
    </row>
    <row r="5376" spans="2:4" x14ac:dyDescent="0.25">
      <c r="B5376" s="89">
        <v>5372</v>
      </c>
      <c r="C5376" s="39">
        <f t="shared" si="168"/>
        <v>157992929.59999999</v>
      </c>
      <c r="D5376" s="39">
        <f t="shared" si="169"/>
        <v>177421044</v>
      </c>
    </row>
    <row r="5377" spans="2:4" x14ac:dyDescent="0.25">
      <c r="B5377" s="89">
        <v>5373</v>
      </c>
      <c r="C5377" s="39">
        <f t="shared" si="168"/>
        <v>157992929.59999999</v>
      </c>
      <c r="D5377" s="39">
        <f t="shared" si="169"/>
        <v>177454071</v>
      </c>
    </row>
    <row r="5378" spans="2:4" x14ac:dyDescent="0.25">
      <c r="B5378" s="89">
        <v>5374</v>
      </c>
      <c r="C5378" s="39">
        <f t="shared" si="168"/>
        <v>157992929.59999999</v>
      </c>
      <c r="D5378" s="39">
        <f t="shared" si="169"/>
        <v>177487098</v>
      </c>
    </row>
    <row r="5379" spans="2:4" x14ac:dyDescent="0.25">
      <c r="B5379" s="89">
        <v>5375</v>
      </c>
      <c r="C5379" s="39">
        <f t="shared" si="168"/>
        <v>157992929.59999999</v>
      </c>
      <c r="D5379" s="39">
        <f t="shared" si="169"/>
        <v>177520125</v>
      </c>
    </row>
    <row r="5380" spans="2:4" x14ac:dyDescent="0.25">
      <c r="B5380" s="89">
        <v>5376</v>
      </c>
      <c r="C5380" s="39">
        <f t="shared" si="168"/>
        <v>157992929.59999999</v>
      </c>
      <c r="D5380" s="39">
        <f t="shared" si="169"/>
        <v>177553152</v>
      </c>
    </row>
    <row r="5381" spans="2:4" x14ac:dyDescent="0.25">
      <c r="B5381" s="89">
        <v>5377</v>
      </c>
      <c r="C5381" s="39">
        <f t="shared" si="168"/>
        <v>157992929.59999999</v>
      </c>
      <c r="D5381" s="39">
        <f t="shared" si="169"/>
        <v>177586179</v>
      </c>
    </row>
    <row r="5382" spans="2:4" x14ac:dyDescent="0.25">
      <c r="B5382" s="89">
        <v>5378</v>
      </c>
      <c r="C5382" s="39">
        <f t="shared" si="168"/>
        <v>157992929.59999999</v>
      </c>
      <c r="D5382" s="39">
        <f t="shared" si="169"/>
        <v>177619206</v>
      </c>
    </row>
    <row r="5383" spans="2:4" x14ac:dyDescent="0.25">
      <c r="B5383" s="89">
        <v>5379</v>
      </c>
      <c r="C5383" s="39">
        <f t="shared" si="168"/>
        <v>157992929.59999999</v>
      </c>
      <c r="D5383" s="39">
        <f t="shared" si="169"/>
        <v>177652233</v>
      </c>
    </row>
    <row r="5384" spans="2:4" x14ac:dyDescent="0.25">
      <c r="B5384" s="89">
        <v>5380</v>
      </c>
      <c r="C5384" s="39">
        <f t="shared" si="168"/>
        <v>157992929.59999999</v>
      </c>
      <c r="D5384" s="39">
        <f t="shared" si="169"/>
        <v>177685260</v>
      </c>
    </row>
    <row r="5385" spans="2:4" x14ac:dyDescent="0.25">
      <c r="B5385" s="89">
        <v>5381</v>
      </c>
      <c r="C5385" s="39">
        <f t="shared" si="168"/>
        <v>157992929.59999999</v>
      </c>
      <c r="D5385" s="39">
        <f t="shared" si="169"/>
        <v>177718287</v>
      </c>
    </row>
    <row r="5386" spans="2:4" x14ac:dyDescent="0.25">
      <c r="B5386" s="89">
        <v>5382</v>
      </c>
      <c r="C5386" s="39">
        <f t="shared" si="168"/>
        <v>157992929.59999999</v>
      </c>
      <c r="D5386" s="39">
        <f t="shared" si="169"/>
        <v>177751314</v>
      </c>
    </row>
    <row r="5387" spans="2:4" x14ac:dyDescent="0.25">
      <c r="B5387" s="89">
        <v>5383</v>
      </c>
      <c r="C5387" s="39">
        <f t="shared" si="168"/>
        <v>157992929.59999999</v>
      </c>
      <c r="D5387" s="39">
        <f t="shared" si="169"/>
        <v>177784341</v>
      </c>
    </row>
    <row r="5388" spans="2:4" x14ac:dyDescent="0.25">
      <c r="B5388" s="89">
        <v>5384</v>
      </c>
      <c r="C5388" s="39">
        <f t="shared" si="168"/>
        <v>157992929.59999999</v>
      </c>
      <c r="D5388" s="39">
        <f t="shared" si="169"/>
        <v>177817368</v>
      </c>
    </row>
    <row r="5389" spans="2:4" x14ac:dyDescent="0.25">
      <c r="B5389" s="89">
        <v>5385</v>
      </c>
      <c r="C5389" s="39">
        <f t="shared" ref="C5389:C5452" si="170">$C5388</f>
        <v>157992929.59999999</v>
      </c>
      <c r="D5389" s="39">
        <f t="shared" ref="D5389:D5452" si="171">$D$2*B5389</f>
        <v>177850395</v>
      </c>
    </row>
    <row r="5390" spans="2:4" x14ac:dyDescent="0.25">
      <c r="B5390" s="89">
        <v>5386</v>
      </c>
      <c r="C5390" s="39">
        <f t="shared" si="170"/>
        <v>157992929.59999999</v>
      </c>
      <c r="D5390" s="39">
        <f t="shared" si="171"/>
        <v>177883422</v>
      </c>
    </row>
    <row r="5391" spans="2:4" x14ac:dyDescent="0.25">
      <c r="B5391" s="89">
        <v>5387</v>
      </c>
      <c r="C5391" s="39">
        <f t="shared" si="170"/>
        <v>157992929.59999999</v>
      </c>
      <c r="D5391" s="39">
        <f t="shared" si="171"/>
        <v>177916449</v>
      </c>
    </row>
    <row r="5392" spans="2:4" x14ac:dyDescent="0.25">
      <c r="B5392" s="89">
        <v>5388</v>
      </c>
      <c r="C5392" s="39">
        <f t="shared" si="170"/>
        <v>157992929.59999999</v>
      </c>
      <c r="D5392" s="39">
        <f t="shared" si="171"/>
        <v>177949476</v>
      </c>
    </row>
    <row r="5393" spans="2:4" x14ac:dyDescent="0.25">
      <c r="B5393" s="89">
        <v>5389</v>
      </c>
      <c r="C5393" s="39">
        <f t="shared" si="170"/>
        <v>157992929.59999999</v>
      </c>
      <c r="D5393" s="39">
        <f t="shared" si="171"/>
        <v>177982503</v>
      </c>
    </row>
    <row r="5394" spans="2:4" x14ac:dyDescent="0.25">
      <c r="B5394" s="89">
        <v>5390</v>
      </c>
      <c r="C5394" s="39">
        <f t="shared" si="170"/>
        <v>157992929.59999999</v>
      </c>
      <c r="D5394" s="39">
        <f t="shared" si="171"/>
        <v>178015530</v>
      </c>
    </row>
    <row r="5395" spans="2:4" x14ac:dyDescent="0.25">
      <c r="B5395" s="89">
        <v>5391</v>
      </c>
      <c r="C5395" s="39">
        <f t="shared" si="170"/>
        <v>157992929.59999999</v>
      </c>
      <c r="D5395" s="39">
        <f t="shared" si="171"/>
        <v>178048557</v>
      </c>
    </row>
    <row r="5396" spans="2:4" x14ac:dyDescent="0.25">
      <c r="B5396" s="89">
        <v>5392</v>
      </c>
      <c r="C5396" s="39">
        <f t="shared" si="170"/>
        <v>157992929.59999999</v>
      </c>
      <c r="D5396" s="39">
        <f t="shared" si="171"/>
        <v>178081584</v>
      </c>
    </row>
    <row r="5397" spans="2:4" x14ac:dyDescent="0.25">
      <c r="B5397" s="89">
        <v>5393</v>
      </c>
      <c r="C5397" s="39">
        <f t="shared" si="170"/>
        <v>157992929.59999999</v>
      </c>
      <c r="D5397" s="39">
        <f t="shared" si="171"/>
        <v>178114611</v>
      </c>
    </row>
    <row r="5398" spans="2:4" x14ac:dyDescent="0.25">
      <c r="B5398" s="89">
        <v>5394</v>
      </c>
      <c r="C5398" s="39">
        <f t="shared" si="170"/>
        <v>157992929.59999999</v>
      </c>
      <c r="D5398" s="39">
        <f t="shared" si="171"/>
        <v>178147638</v>
      </c>
    </row>
    <row r="5399" spans="2:4" x14ac:dyDescent="0.25">
      <c r="B5399" s="89">
        <v>5395</v>
      </c>
      <c r="C5399" s="39">
        <f t="shared" si="170"/>
        <v>157992929.59999999</v>
      </c>
      <c r="D5399" s="39">
        <f t="shared" si="171"/>
        <v>178180665</v>
      </c>
    </row>
    <row r="5400" spans="2:4" x14ac:dyDescent="0.25">
      <c r="B5400" s="89">
        <v>5396</v>
      </c>
      <c r="C5400" s="39">
        <f t="shared" si="170"/>
        <v>157992929.59999999</v>
      </c>
      <c r="D5400" s="39">
        <f t="shared" si="171"/>
        <v>178213692</v>
      </c>
    </row>
    <row r="5401" spans="2:4" x14ac:dyDescent="0.25">
      <c r="B5401" s="89">
        <v>5397</v>
      </c>
      <c r="C5401" s="39">
        <f t="shared" si="170"/>
        <v>157992929.59999999</v>
      </c>
      <c r="D5401" s="39">
        <f t="shared" si="171"/>
        <v>178246719</v>
      </c>
    </row>
    <row r="5402" spans="2:4" x14ac:dyDescent="0.25">
      <c r="B5402" s="89">
        <v>5398</v>
      </c>
      <c r="C5402" s="39">
        <f t="shared" si="170"/>
        <v>157992929.59999999</v>
      </c>
      <c r="D5402" s="39">
        <f t="shared" si="171"/>
        <v>178279746</v>
      </c>
    </row>
    <row r="5403" spans="2:4" x14ac:dyDescent="0.25">
      <c r="B5403" s="89">
        <v>5399</v>
      </c>
      <c r="C5403" s="39">
        <f t="shared" si="170"/>
        <v>157992929.59999999</v>
      </c>
      <c r="D5403" s="39">
        <f t="shared" si="171"/>
        <v>178312773</v>
      </c>
    </row>
    <row r="5404" spans="2:4" x14ac:dyDescent="0.25">
      <c r="B5404" s="89">
        <v>5400</v>
      </c>
      <c r="C5404" s="39">
        <f t="shared" si="170"/>
        <v>157992929.59999999</v>
      </c>
      <c r="D5404" s="39">
        <f t="shared" si="171"/>
        <v>178345800</v>
      </c>
    </row>
    <row r="5405" spans="2:4" x14ac:dyDescent="0.25">
      <c r="B5405" s="89">
        <v>5401</v>
      </c>
      <c r="C5405" s="39">
        <f t="shared" si="170"/>
        <v>157992929.59999999</v>
      </c>
      <c r="D5405" s="39">
        <f t="shared" si="171"/>
        <v>178378827</v>
      </c>
    </row>
    <row r="5406" spans="2:4" x14ac:dyDescent="0.25">
      <c r="B5406" s="89">
        <v>5402</v>
      </c>
      <c r="C5406" s="39">
        <f t="shared" si="170"/>
        <v>157992929.59999999</v>
      </c>
      <c r="D5406" s="39">
        <f t="shared" si="171"/>
        <v>178411854</v>
      </c>
    </row>
    <row r="5407" spans="2:4" x14ac:dyDescent="0.25">
      <c r="B5407" s="89">
        <v>5403</v>
      </c>
      <c r="C5407" s="39">
        <f t="shared" si="170"/>
        <v>157992929.59999999</v>
      </c>
      <c r="D5407" s="39">
        <f t="shared" si="171"/>
        <v>178444881</v>
      </c>
    </row>
    <row r="5408" spans="2:4" x14ac:dyDescent="0.25">
      <c r="B5408" s="89">
        <v>5404</v>
      </c>
      <c r="C5408" s="39">
        <f t="shared" si="170"/>
        <v>157992929.59999999</v>
      </c>
      <c r="D5408" s="39">
        <f t="shared" si="171"/>
        <v>178477908</v>
      </c>
    </row>
    <row r="5409" spans="2:4" x14ac:dyDescent="0.25">
      <c r="B5409" s="89">
        <v>5405</v>
      </c>
      <c r="C5409" s="39">
        <f t="shared" si="170"/>
        <v>157992929.59999999</v>
      </c>
      <c r="D5409" s="39">
        <f t="shared" si="171"/>
        <v>178510935</v>
      </c>
    </row>
    <row r="5410" spans="2:4" x14ac:dyDescent="0.25">
      <c r="B5410" s="89">
        <v>5406</v>
      </c>
      <c r="C5410" s="39">
        <f t="shared" si="170"/>
        <v>157992929.59999999</v>
      </c>
      <c r="D5410" s="39">
        <f t="shared" si="171"/>
        <v>178543962</v>
      </c>
    </row>
    <row r="5411" spans="2:4" x14ac:dyDescent="0.25">
      <c r="B5411" s="89">
        <v>5407</v>
      </c>
      <c r="C5411" s="39">
        <f t="shared" si="170"/>
        <v>157992929.59999999</v>
      </c>
      <c r="D5411" s="39">
        <f t="shared" si="171"/>
        <v>178576989</v>
      </c>
    </row>
    <row r="5412" spans="2:4" x14ac:dyDescent="0.25">
      <c r="B5412" s="89">
        <v>5408</v>
      </c>
      <c r="C5412" s="39">
        <f t="shared" si="170"/>
        <v>157992929.59999999</v>
      </c>
      <c r="D5412" s="39">
        <f t="shared" si="171"/>
        <v>178610016</v>
      </c>
    </row>
    <row r="5413" spans="2:4" x14ac:dyDescent="0.25">
      <c r="B5413" s="89">
        <v>5409</v>
      </c>
      <c r="C5413" s="39">
        <f t="shared" si="170"/>
        <v>157992929.59999999</v>
      </c>
      <c r="D5413" s="39">
        <f t="shared" si="171"/>
        <v>178643043</v>
      </c>
    </row>
    <row r="5414" spans="2:4" x14ac:dyDescent="0.25">
      <c r="B5414" s="89">
        <v>5410</v>
      </c>
      <c r="C5414" s="39">
        <f t="shared" si="170"/>
        <v>157992929.59999999</v>
      </c>
      <c r="D5414" s="39">
        <f t="shared" si="171"/>
        <v>178676070</v>
      </c>
    </row>
    <row r="5415" spans="2:4" x14ac:dyDescent="0.25">
      <c r="B5415" s="89">
        <v>5411</v>
      </c>
      <c r="C5415" s="39">
        <f t="shared" si="170"/>
        <v>157992929.59999999</v>
      </c>
      <c r="D5415" s="39">
        <f t="shared" si="171"/>
        <v>178709097</v>
      </c>
    </row>
    <row r="5416" spans="2:4" x14ac:dyDescent="0.25">
      <c r="B5416" s="89">
        <v>5412</v>
      </c>
      <c r="C5416" s="39">
        <f t="shared" si="170"/>
        <v>157992929.59999999</v>
      </c>
      <c r="D5416" s="39">
        <f t="shared" si="171"/>
        <v>178742124</v>
      </c>
    </row>
    <row r="5417" spans="2:4" x14ac:dyDescent="0.25">
      <c r="B5417" s="89">
        <v>5413</v>
      </c>
      <c r="C5417" s="39">
        <f t="shared" si="170"/>
        <v>157992929.59999999</v>
      </c>
      <c r="D5417" s="39">
        <f t="shared" si="171"/>
        <v>178775151</v>
      </c>
    </row>
    <row r="5418" spans="2:4" x14ac:dyDescent="0.25">
      <c r="B5418" s="89">
        <v>5414</v>
      </c>
      <c r="C5418" s="39">
        <f t="shared" si="170"/>
        <v>157992929.59999999</v>
      </c>
      <c r="D5418" s="39">
        <f t="shared" si="171"/>
        <v>178808178</v>
      </c>
    </row>
    <row r="5419" spans="2:4" x14ac:dyDescent="0.25">
      <c r="B5419" s="89">
        <v>5415</v>
      </c>
      <c r="C5419" s="39">
        <f t="shared" si="170"/>
        <v>157992929.59999999</v>
      </c>
      <c r="D5419" s="39">
        <f t="shared" si="171"/>
        <v>178841205</v>
      </c>
    </row>
    <row r="5420" spans="2:4" x14ac:dyDescent="0.25">
      <c r="B5420" s="89">
        <v>5416</v>
      </c>
      <c r="C5420" s="39">
        <f t="shared" si="170"/>
        <v>157992929.59999999</v>
      </c>
      <c r="D5420" s="39">
        <f t="shared" si="171"/>
        <v>178874232</v>
      </c>
    </row>
    <row r="5421" spans="2:4" x14ac:dyDescent="0.25">
      <c r="B5421" s="89">
        <v>5417</v>
      </c>
      <c r="C5421" s="39">
        <f t="shared" si="170"/>
        <v>157992929.59999999</v>
      </c>
      <c r="D5421" s="39">
        <f t="shared" si="171"/>
        <v>178907259</v>
      </c>
    </row>
    <row r="5422" spans="2:4" x14ac:dyDescent="0.25">
      <c r="B5422" s="89">
        <v>5418</v>
      </c>
      <c r="C5422" s="39">
        <f t="shared" si="170"/>
        <v>157992929.59999999</v>
      </c>
      <c r="D5422" s="39">
        <f t="shared" si="171"/>
        <v>178940286</v>
      </c>
    </row>
    <row r="5423" spans="2:4" x14ac:dyDescent="0.25">
      <c r="B5423" s="89">
        <v>5419</v>
      </c>
      <c r="C5423" s="39">
        <f t="shared" si="170"/>
        <v>157992929.59999999</v>
      </c>
      <c r="D5423" s="39">
        <f t="shared" si="171"/>
        <v>178973313</v>
      </c>
    </row>
    <row r="5424" spans="2:4" x14ac:dyDescent="0.25">
      <c r="B5424" s="89">
        <v>5420</v>
      </c>
      <c r="C5424" s="39">
        <f t="shared" si="170"/>
        <v>157992929.59999999</v>
      </c>
      <c r="D5424" s="39">
        <f t="shared" si="171"/>
        <v>179006340</v>
      </c>
    </row>
    <row r="5425" spans="2:4" x14ac:dyDescent="0.25">
      <c r="B5425" s="89">
        <v>5421</v>
      </c>
      <c r="C5425" s="39">
        <f t="shared" si="170"/>
        <v>157992929.59999999</v>
      </c>
      <c r="D5425" s="39">
        <f t="shared" si="171"/>
        <v>179039367</v>
      </c>
    </row>
    <row r="5426" spans="2:4" x14ac:dyDescent="0.25">
      <c r="B5426" s="89">
        <v>5422</v>
      </c>
      <c r="C5426" s="39">
        <f t="shared" si="170"/>
        <v>157992929.59999999</v>
      </c>
      <c r="D5426" s="39">
        <f t="shared" si="171"/>
        <v>179072394</v>
      </c>
    </row>
    <row r="5427" spans="2:4" x14ac:dyDescent="0.25">
      <c r="B5427" s="89">
        <v>5423</v>
      </c>
      <c r="C5427" s="39">
        <f t="shared" si="170"/>
        <v>157992929.59999999</v>
      </c>
      <c r="D5427" s="39">
        <f t="shared" si="171"/>
        <v>179105421</v>
      </c>
    </row>
    <row r="5428" spans="2:4" x14ac:dyDescent="0.25">
      <c r="B5428" s="89">
        <v>5424</v>
      </c>
      <c r="C5428" s="39">
        <f t="shared" si="170"/>
        <v>157992929.59999999</v>
      </c>
      <c r="D5428" s="39">
        <f t="shared" si="171"/>
        <v>179138448</v>
      </c>
    </row>
    <row r="5429" spans="2:4" x14ac:dyDescent="0.25">
      <c r="B5429" s="89">
        <v>5425</v>
      </c>
      <c r="C5429" s="39">
        <f t="shared" si="170"/>
        <v>157992929.59999999</v>
      </c>
      <c r="D5429" s="39">
        <f t="shared" si="171"/>
        <v>179171475</v>
      </c>
    </row>
    <row r="5430" spans="2:4" x14ac:dyDescent="0.25">
      <c r="B5430" s="89">
        <v>5426</v>
      </c>
      <c r="C5430" s="39">
        <f t="shared" si="170"/>
        <v>157992929.59999999</v>
      </c>
      <c r="D5430" s="39">
        <f t="shared" si="171"/>
        <v>179204502</v>
      </c>
    </row>
    <row r="5431" spans="2:4" x14ac:dyDescent="0.25">
      <c r="B5431" s="89">
        <v>5427</v>
      </c>
      <c r="C5431" s="39">
        <f t="shared" si="170"/>
        <v>157992929.59999999</v>
      </c>
      <c r="D5431" s="39">
        <f t="shared" si="171"/>
        <v>179237529</v>
      </c>
    </row>
    <row r="5432" spans="2:4" x14ac:dyDescent="0.25">
      <c r="B5432" s="89">
        <v>5428</v>
      </c>
      <c r="C5432" s="39">
        <f t="shared" si="170"/>
        <v>157992929.59999999</v>
      </c>
      <c r="D5432" s="39">
        <f t="shared" si="171"/>
        <v>179270556</v>
      </c>
    </row>
    <row r="5433" spans="2:4" x14ac:dyDescent="0.25">
      <c r="B5433" s="89">
        <v>5429</v>
      </c>
      <c r="C5433" s="39">
        <f t="shared" si="170"/>
        <v>157992929.59999999</v>
      </c>
      <c r="D5433" s="39">
        <f t="shared" si="171"/>
        <v>179303583</v>
      </c>
    </row>
    <row r="5434" spans="2:4" x14ac:dyDescent="0.25">
      <c r="B5434" s="89">
        <v>5430</v>
      </c>
      <c r="C5434" s="39">
        <f t="shared" si="170"/>
        <v>157992929.59999999</v>
      </c>
      <c r="D5434" s="39">
        <f t="shared" si="171"/>
        <v>179336610</v>
      </c>
    </row>
    <row r="5435" spans="2:4" x14ac:dyDescent="0.25">
      <c r="B5435" s="89">
        <v>5431</v>
      </c>
      <c r="C5435" s="39">
        <f t="shared" si="170"/>
        <v>157992929.59999999</v>
      </c>
      <c r="D5435" s="39">
        <f t="shared" si="171"/>
        <v>179369637</v>
      </c>
    </row>
    <row r="5436" spans="2:4" x14ac:dyDescent="0.25">
      <c r="B5436" s="89">
        <v>5432</v>
      </c>
      <c r="C5436" s="39">
        <f t="shared" si="170"/>
        <v>157992929.59999999</v>
      </c>
      <c r="D5436" s="39">
        <f t="shared" si="171"/>
        <v>179402664</v>
      </c>
    </row>
    <row r="5437" spans="2:4" x14ac:dyDescent="0.25">
      <c r="B5437" s="89">
        <v>5433</v>
      </c>
      <c r="C5437" s="39">
        <f t="shared" si="170"/>
        <v>157992929.59999999</v>
      </c>
      <c r="D5437" s="39">
        <f t="shared" si="171"/>
        <v>179435691</v>
      </c>
    </row>
    <row r="5438" spans="2:4" x14ac:dyDescent="0.25">
      <c r="B5438" s="89">
        <v>5434</v>
      </c>
      <c r="C5438" s="39">
        <f t="shared" si="170"/>
        <v>157992929.59999999</v>
      </c>
      <c r="D5438" s="39">
        <f t="shared" si="171"/>
        <v>179468718</v>
      </c>
    </row>
    <row r="5439" spans="2:4" x14ac:dyDescent="0.25">
      <c r="B5439" s="89">
        <v>5435</v>
      </c>
      <c r="C5439" s="39">
        <f t="shared" si="170"/>
        <v>157992929.59999999</v>
      </c>
      <c r="D5439" s="39">
        <f t="shared" si="171"/>
        <v>179501745</v>
      </c>
    </row>
    <row r="5440" spans="2:4" x14ac:dyDescent="0.25">
      <c r="B5440" s="89">
        <v>5436</v>
      </c>
      <c r="C5440" s="39">
        <f t="shared" si="170"/>
        <v>157992929.59999999</v>
      </c>
      <c r="D5440" s="39">
        <f t="shared" si="171"/>
        <v>179534772</v>
      </c>
    </row>
    <row r="5441" spans="2:4" x14ac:dyDescent="0.25">
      <c r="B5441" s="89">
        <v>5437</v>
      </c>
      <c r="C5441" s="39">
        <f t="shared" si="170"/>
        <v>157992929.59999999</v>
      </c>
      <c r="D5441" s="39">
        <f t="shared" si="171"/>
        <v>179567799</v>
      </c>
    </row>
    <row r="5442" spans="2:4" x14ac:dyDescent="0.25">
      <c r="B5442" s="89">
        <v>5438</v>
      </c>
      <c r="C5442" s="39">
        <f t="shared" si="170"/>
        <v>157992929.59999999</v>
      </c>
      <c r="D5442" s="39">
        <f t="shared" si="171"/>
        <v>179600826</v>
      </c>
    </row>
    <row r="5443" spans="2:4" x14ac:dyDescent="0.25">
      <c r="B5443" s="89">
        <v>5439</v>
      </c>
      <c r="C5443" s="39">
        <f t="shared" si="170"/>
        <v>157992929.59999999</v>
      </c>
      <c r="D5443" s="39">
        <f t="shared" si="171"/>
        <v>179633853</v>
      </c>
    </row>
    <row r="5444" spans="2:4" x14ac:dyDescent="0.25">
      <c r="B5444" s="89">
        <v>5440</v>
      </c>
      <c r="C5444" s="39">
        <f t="shared" si="170"/>
        <v>157992929.59999999</v>
      </c>
      <c r="D5444" s="39">
        <f t="shared" si="171"/>
        <v>179666880</v>
      </c>
    </row>
    <row r="5445" spans="2:4" x14ac:dyDescent="0.25">
      <c r="B5445" s="89">
        <v>5441</v>
      </c>
      <c r="C5445" s="39">
        <f t="shared" si="170"/>
        <v>157992929.59999999</v>
      </c>
      <c r="D5445" s="39">
        <f t="shared" si="171"/>
        <v>179699907</v>
      </c>
    </row>
    <row r="5446" spans="2:4" x14ac:dyDescent="0.25">
      <c r="B5446" s="89">
        <v>5442</v>
      </c>
      <c r="C5446" s="39">
        <f t="shared" si="170"/>
        <v>157992929.59999999</v>
      </c>
      <c r="D5446" s="39">
        <f t="shared" si="171"/>
        <v>179732934</v>
      </c>
    </row>
    <row r="5447" spans="2:4" x14ac:dyDescent="0.25">
      <c r="B5447" s="89">
        <v>5443</v>
      </c>
      <c r="C5447" s="39">
        <f t="shared" si="170"/>
        <v>157992929.59999999</v>
      </c>
      <c r="D5447" s="39">
        <f t="shared" si="171"/>
        <v>179765961</v>
      </c>
    </row>
    <row r="5448" spans="2:4" x14ac:dyDescent="0.25">
      <c r="B5448" s="89">
        <v>5444</v>
      </c>
      <c r="C5448" s="39">
        <f t="shared" si="170"/>
        <v>157992929.59999999</v>
      </c>
      <c r="D5448" s="39">
        <f t="shared" si="171"/>
        <v>179798988</v>
      </c>
    </row>
    <row r="5449" spans="2:4" x14ac:dyDescent="0.25">
      <c r="B5449" s="89">
        <v>5445</v>
      </c>
      <c r="C5449" s="39">
        <f t="shared" si="170"/>
        <v>157992929.59999999</v>
      </c>
      <c r="D5449" s="39">
        <f t="shared" si="171"/>
        <v>179832015</v>
      </c>
    </row>
    <row r="5450" spans="2:4" x14ac:dyDescent="0.25">
      <c r="B5450" s="89">
        <v>5446</v>
      </c>
      <c r="C5450" s="39">
        <f t="shared" si="170"/>
        <v>157992929.59999999</v>
      </c>
      <c r="D5450" s="39">
        <f t="shared" si="171"/>
        <v>179865042</v>
      </c>
    </row>
    <row r="5451" spans="2:4" x14ac:dyDescent="0.25">
      <c r="B5451" s="89">
        <v>5447</v>
      </c>
      <c r="C5451" s="39">
        <f t="shared" si="170"/>
        <v>157992929.59999999</v>
      </c>
      <c r="D5451" s="39">
        <f t="shared" si="171"/>
        <v>179898069</v>
      </c>
    </row>
    <row r="5452" spans="2:4" x14ac:dyDescent="0.25">
      <c r="B5452" s="89">
        <v>5448</v>
      </c>
      <c r="C5452" s="39">
        <f t="shared" si="170"/>
        <v>157992929.59999999</v>
      </c>
      <c r="D5452" s="39">
        <f t="shared" si="171"/>
        <v>179931096</v>
      </c>
    </row>
    <row r="5453" spans="2:4" x14ac:dyDescent="0.25">
      <c r="B5453" s="89">
        <v>5449</v>
      </c>
      <c r="C5453" s="39">
        <f t="shared" ref="C5453:C5516" si="172">$C5452</f>
        <v>157992929.59999999</v>
      </c>
      <c r="D5453" s="39">
        <f t="shared" ref="D5453:D5516" si="173">$D$2*B5453</f>
        <v>179964123</v>
      </c>
    </row>
    <row r="5454" spans="2:4" x14ac:dyDescent="0.25">
      <c r="B5454" s="89">
        <v>5450</v>
      </c>
      <c r="C5454" s="39">
        <f t="shared" si="172"/>
        <v>157992929.59999999</v>
      </c>
      <c r="D5454" s="39">
        <f t="shared" si="173"/>
        <v>179997150</v>
      </c>
    </row>
    <row r="5455" spans="2:4" x14ac:dyDescent="0.25">
      <c r="B5455" s="89">
        <v>5451</v>
      </c>
      <c r="C5455" s="39">
        <f t="shared" si="172"/>
        <v>157992929.59999999</v>
      </c>
      <c r="D5455" s="39">
        <f t="shared" si="173"/>
        <v>180030177</v>
      </c>
    </row>
    <row r="5456" spans="2:4" x14ac:dyDescent="0.25">
      <c r="B5456" s="89">
        <v>5452</v>
      </c>
      <c r="C5456" s="39">
        <f t="shared" si="172"/>
        <v>157992929.59999999</v>
      </c>
      <c r="D5456" s="39">
        <f t="shared" si="173"/>
        <v>180063204</v>
      </c>
    </row>
    <row r="5457" spans="2:4" x14ac:dyDescent="0.25">
      <c r="B5457" s="89">
        <v>5453</v>
      </c>
      <c r="C5457" s="39">
        <f t="shared" si="172"/>
        <v>157992929.59999999</v>
      </c>
      <c r="D5457" s="39">
        <f t="shared" si="173"/>
        <v>180096231</v>
      </c>
    </row>
    <row r="5458" spans="2:4" x14ac:dyDescent="0.25">
      <c r="B5458" s="89">
        <v>5454</v>
      </c>
      <c r="C5458" s="39">
        <f t="shared" si="172"/>
        <v>157992929.59999999</v>
      </c>
      <c r="D5458" s="39">
        <f t="shared" si="173"/>
        <v>180129258</v>
      </c>
    </row>
    <row r="5459" spans="2:4" x14ac:dyDescent="0.25">
      <c r="B5459" s="89">
        <v>5455</v>
      </c>
      <c r="C5459" s="39">
        <f t="shared" si="172"/>
        <v>157992929.59999999</v>
      </c>
      <c r="D5459" s="39">
        <f t="shared" si="173"/>
        <v>180162285</v>
      </c>
    </row>
    <row r="5460" spans="2:4" x14ac:dyDescent="0.25">
      <c r="B5460" s="89">
        <v>5456</v>
      </c>
      <c r="C5460" s="39">
        <f t="shared" si="172"/>
        <v>157992929.59999999</v>
      </c>
      <c r="D5460" s="39">
        <f t="shared" si="173"/>
        <v>180195312</v>
      </c>
    </row>
    <row r="5461" spans="2:4" x14ac:dyDescent="0.25">
      <c r="B5461" s="89">
        <v>5457</v>
      </c>
      <c r="C5461" s="39">
        <f t="shared" si="172"/>
        <v>157992929.59999999</v>
      </c>
      <c r="D5461" s="39">
        <f t="shared" si="173"/>
        <v>180228339</v>
      </c>
    </row>
    <row r="5462" spans="2:4" x14ac:dyDescent="0.25">
      <c r="B5462" s="89">
        <v>5458</v>
      </c>
      <c r="C5462" s="39">
        <f t="shared" si="172"/>
        <v>157992929.59999999</v>
      </c>
      <c r="D5462" s="39">
        <f t="shared" si="173"/>
        <v>180261366</v>
      </c>
    </row>
    <row r="5463" spans="2:4" x14ac:dyDescent="0.25">
      <c r="B5463" s="89">
        <v>5459</v>
      </c>
      <c r="C5463" s="39">
        <f t="shared" si="172"/>
        <v>157992929.59999999</v>
      </c>
      <c r="D5463" s="39">
        <f t="shared" si="173"/>
        <v>180294393</v>
      </c>
    </row>
    <row r="5464" spans="2:4" x14ac:dyDescent="0.25">
      <c r="B5464" s="89">
        <v>5460</v>
      </c>
      <c r="C5464" s="39">
        <f t="shared" si="172"/>
        <v>157992929.59999999</v>
      </c>
      <c r="D5464" s="39">
        <f t="shared" si="173"/>
        <v>180327420</v>
      </c>
    </row>
    <row r="5465" spans="2:4" x14ac:dyDescent="0.25">
      <c r="B5465" s="89">
        <v>5461</v>
      </c>
      <c r="C5465" s="39">
        <f t="shared" si="172"/>
        <v>157992929.59999999</v>
      </c>
      <c r="D5465" s="39">
        <f t="shared" si="173"/>
        <v>180360447</v>
      </c>
    </row>
    <row r="5466" spans="2:4" x14ac:dyDescent="0.25">
      <c r="B5466" s="89">
        <v>5462</v>
      </c>
      <c r="C5466" s="39">
        <f t="shared" si="172"/>
        <v>157992929.59999999</v>
      </c>
      <c r="D5466" s="39">
        <f t="shared" si="173"/>
        <v>180393474</v>
      </c>
    </row>
    <row r="5467" spans="2:4" x14ac:dyDescent="0.25">
      <c r="B5467" s="89">
        <v>5463</v>
      </c>
      <c r="C5467" s="39">
        <f t="shared" si="172"/>
        <v>157992929.59999999</v>
      </c>
      <c r="D5467" s="39">
        <f t="shared" si="173"/>
        <v>180426501</v>
      </c>
    </row>
    <row r="5468" spans="2:4" x14ac:dyDescent="0.25">
      <c r="B5468" s="89">
        <v>5464</v>
      </c>
      <c r="C5468" s="39">
        <f t="shared" si="172"/>
        <v>157992929.59999999</v>
      </c>
      <c r="D5468" s="39">
        <f t="shared" si="173"/>
        <v>180459528</v>
      </c>
    </row>
    <row r="5469" spans="2:4" x14ac:dyDescent="0.25">
      <c r="B5469" s="89">
        <v>5465</v>
      </c>
      <c r="C5469" s="39">
        <f t="shared" si="172"/>
        <v>157992929.59999999</v>
      </c>
      <c r="D5469" s="39">
        <f t="shared" si="173"/>
        <v>180492555</v>
      </c>
    </row>
    <row r="5470" spans="2:4" x14ac:dyDescent="0.25">
      <c r="B5470" s="89">
        <v>5466</v>
      </c>
      <c r="C5470" s="39">
        <f t="shared" si="172"/>
        <v>157992929.59999999</v>
      </c>
      <c r="D5470" s="39">
        <f t="shared" si="173"/>
        <v>180525582</v>
      </c>
    </row>
    <row r="5471" spans="2:4" x14ac:dyDescent="0.25">
      <c r="B5471" s="89">
        <v>5467</v>
      </c>
      <c r="C5471" s="39">
        <f t="shared" si="172"/>
        <v>157992929.59999999</v>
      </c>
      <c r="D5471" s="39">
        <f t="shared" si="173"/>
        <v>180558609</v>
      </c>
    </row>
    <row r="5472" spans="2:4" x14ac:dyDescent="0.25">
      <c r="B5472" s="89">
        <v>5468</v>
      </c>
      <c r="C5472" s="39">
        <f t="shared" si="172"/>
        <v>157992929.59999999</v>
      </c>
      <c r="D5472" s="39">
        <f t="shared" si="173"/>
        <v>180591636</v>
      </c>
    </row>
    <row r="5473" spans="2:4" x14ac:dyDescent="0.25">
      <c r="B5473" s="89">
        <v>5469</v>
      </c>
      <c r="C5473" s="39">
        <f t="shared" si="172"/>
        <v>157992929.59999999</v>
      </c>
      <c r="D5473" s="39">
        <f t="shared" si="173"/>
        <v>180624663</v>
      </c>
    </row>
    <row r="5474" spans="2:4" x14ac:dyDescent="0.25">
      <c r="B5474" s="89">
        <v>5470</v>
      </c>
      <c r="C5474" s="39">
        <f t="shared" si="172"/>
        <v>157992929.59999999</v>
      </c>
      <c r="D5474" s="39">
        <f t="shared" si="173"/>
        <v>180657690</v>
      </c>
    </row>
    <row r="5475" spans="2:4" x14ac:dyDescent="0.25">
      <c r="B5475" s="89">
        <v>5471</v>
      </c>
      <c r="C5475" s="39">
        <f t="shared" si="172"/>
        <v>157992929.59999999</v>
      </c>
      <c r="D5475" s="39">
        <f t="shared" si="173"/>
        <v>180690717</v>
      </c>
    </row>
    <row r="5476" spans="2:4" x14ac:dyDescent="0.25">
      <c r="B5476" s="89">
        <v>5472</v>
      </c>
      <c r="C5476" s="39">
        <f t="shared" si="172"/>
        <v>157992929.59999999</v>
      </c>
      <c r="D5476" s="39">
        <f t="shared" si="173"/>
        <v>180723744</v>
      </c>
    </row>
    <row r="5477" spans="2:4" x14ac:dyDescent="0.25">
      <c r="B5477" s="89">
        <v>5473</v>
      </c>
      <c r="C5477" s="39">
        <f t="shared" si="172"/>
        <v>157992929.59999999</v>
      </c>
      <c r="D5477" s="39">
        <f t="shared" si="173"/>
        <v>180756771</v>
      </c>
    </row>
    <row r="5478" spans="2:4" x14ac:dyDescent="0.25">
      <c r="B5478" s="89">
        <v>5474</v>
      </c>
      <c r="C5478" s="39">
        <f t="shared" si="172"/>
        <v>157992929.59999999</v>
      </c>
      <c r="D5478" s="39">
        <f t="shared" si="173"/>
        <v>180789798</v>
      </c>
    </row>
    <row r="5479" spans="2:4" x14ac:dyDescent="0.25">
      <c r="B5479" s="89">
        <v>5475</v>
      </c>
      <c r="C5479" s="39">
        <f t="shared" si="172"/>
        <v>157992929.59999999</v>
      </c>
      <c r="D5479" s="39">
        <f t="shared" si="173"/>
        <v>180822825</v>
      </c>
    </row>
    <row r="5480" spans="2:4" x14ac:dyDescent="0.25">
      <c r="B5480" s="89">
        <v>5476</v>
      </c>
      <c r="C5480" s="39">
        <f t="shared" si="172"/>
        <v>157992929.59999999</v>
      </c>
      <c r="D5480" s="39">
        <f t="shared" si="173"/>
        <v>180855852</v>
      </c>
    </row>
    <row r="5481" spans="2:4" x14ac:dyDescent="0.25">
      <c r="B5481" s="89">
        <v>5477</v>
      </c>
      <c r="C5481" s="39">
        <f t="shared" si="172"/>
        <v>157992929.59999999</v>
      </c>
      <c r="D5481" s="39">
        <f t="shared" si="173"/>
        <v>180888879</v>
      </c>
    </row>
    <row r="5482" spans="2:4" x14ac:dyDescent="0.25">
      <c r="B5482" s="89">
        <v>5478</v>
      </c>
      <c r="C5482" s="39">
        <f t="shared" si="172"/>
        <v>157992929.59999999</v>
      </c>
      <c r="D5482" s="39">
        <f t="shared" si="173"/>
        <v>180921906</v>
      </c>
    </row>
    <row r="5483" spans="2:4" x14ac:dyDescent="0.25">
      <c r="B5483" s="89">
        <v>5479</v>
      </c>
      <c r="C5483" s="39">
        <f t="shared" si="172"/>
        <v>157992929.59999999</v>
      </c>
      <c r="D5483" s="39">
        <f t="shared" si="173"/>
        <v>180954933</v>
      </c>
    </row>
    <row r="5484" spans="2:4" x14ac:dyDescent="0.25">
      <c r="B5484" s="89">
        <v>5480</v>
      </c>
      <c r="C5484" s="39">
        <f t="shared" si="172"/>
        <v>157992929.59999999</v>
      </c>
      <c r="D5484" s="39">
        <f t="shared" si="173"/>
        <v>180987960</v>
      </c>
    </row>
    <row r="5485" spans="2:4" x14ac:dyDescent="0.25">
      <c r="B5485" s="89">
        <v>5481</v>
      </c>
      <c r="C5485" s="39">
        <f t="shared" si="172"/>
        <v>157992929.59999999</v>
      </c>
      <c r="D5485" s="39">
        <f t="shared" si="173"/>
        <v>181020987</v>
      </c>
    </row>
    <row r="5486" spans="2:4" x14ac:dyDescent="0.25">
      <c r="B5486" s="89">
        <v>5482</v>
      </c>
      <c r="C5486" s="39">
        <f t="shared" si="172"/>
        <v>157992929.59999999</v>
      </c>
      <c r="D5486" s="39">
        <f t="shared" si="173"/>
        <v>181054014</v>
      </c>
    </row>
    <row r="5487" spans="2:4" x14ac:dyDescent="0.25">
      <c r="B5487" s="89">
        <v>5483</v>
      </c>
      <c r="C5487" s="39">
        <f t="shared" si="172"/>
        <v>157992929.59999999</v>
      </c>
      <c r="D5487" s="39">
        <f t="shared" si="173"/>
        <v>181087041</v>
      </c>
    </row>
    <row r="5488" spans="2:4" x14ac:dyDescent="0.25">
      <c r="B5488" s="89">
        <v>5484</v>
      </c>
      <c r="C5488" s="39">
        <f t="shared" si="172"/>
        <v>157992929.59999999</v>
      </c>
      <c r="D5488" s="39">
        <f t="shared" si="173"/>
        <v>181120068</v>
      </c>
    </row>
    <row r="5489" spans="2:4" x14ac:dyDescent="0.25">
      <c r="B5489" s="89">
        <v>5485</v>
      </c>
      <c r="C5489" s="39">
        <f t="shared" si="172"/>
        <v>157992929.59999999</v>
      </c>
      <c r="D5489" s="39">
        <f t="shared" si="173"/>
        <v>181153095</v>
      </c>
    </row>
    <row r="5490" spans="2:4" x14ac:dyDescent="0.25">
      <c r="B5490" s="89">
        <v>5486</v>
      </c>
      <c r="C5490" s="39">
        <f t="shared" si="172"/>
        <v>157992929.59999999</v>
      </c>
      <c r="D5490" s="39">
        <f t="shared" si="173"/>
        <v>181186122</v>
      </c>
    </row>
    <row r="5491" spans="2:4" x14ac:dyDescent="0.25">
      <c r="B5491" s="89">
        <v>5487</v>
      </c>
      <c r="C5491" s="39">
        <f t="shared" si="172"/>
        <v>157992929.59999999</v>
      </c>
      <c r="D5491" s="39">
        <f t="shared" si="173"/>
        <v>181219149</v>
      </c>
    </row>
    <row r="5492" spans="2:4" x14ac:dyDescent="0.25">
      <c r="B5492" s="89">
        <v>5488</v>
      </c>
      <c r="C5492" s="39">
        <f t="shared" si="172"/>
        <v>157992929.59999999</v>
      </c>
      <c r="D5492" s="39">
        <f t="shared" si="173"/>
        <v>181252176</v>
      </c>
    </row>
    <row r="5493" spans="2:4" x14ac:dyDescent="0.25">
      <c r="B5493" s="89">
        <v>5489</v>
      </c>
      <c r="C5493" s="39">
        <f t="shared" si="172"/>
        <v>157992929.59999999</v>
      </c>
      <c r="D5493" s="39">
        <f t="shared" si="173"/>
        <v>181285203</v>
      </c>
    </row>
    <row r="5494" spans="2:4" x14ac:dyDescent="0.25">
      <c r="B5494" s="89">
        <v>5490</v>
      </c>
      <c r="C5494" s="39">
        <f t="shared" si="172"/>
        <v>157992929.59999999</v>
      </c>
      <c r="D5494" s="39">
        <f t="shared" si="173"/>
        <v>181318230</v>
      </c>
    </row>
    <row r="5495" spans="2:4" x14ac:dyDescent="0.25">
      <c r="B5495" s="89">
        <v>5491</v>
      </c>
      <c r="C5495" s="39">
        <f t="shared" si="172"/>
        <v>157992929.59999999</v>
      </c>
      <c r="D5495" s="39">
        <f t="shared" si="173"/>
        <v>181351257</v>
      </c>
    </row>
    <row r="5496" spans="2:4" x14ac:dyDescent="0.25">
      <c r="B5496" s="89">
        <v>5492</v>
      </c>
      <c r="C5496" s="39">
        <f t="shared" si="172"/>
        <v>157992929.59999999</v>
      </c>
      <c r="D5496" s="39">
        <f t="shared" si="173"/>
        <v>181384284</v>
      </c>
    </row>
    <row r="5497" spans="2:4" x14ac:dyDescent="0.25">
      <c r="B5497" s="89">
        <v>5493</v>
      </c>
      <c r="C5497" s="39">
        <f t="shared" si="172"/>
        <v>157992929.59999999</v>
      </c>
      <c r="D5497" s="39">
        <f t="shared" si="173"/>
        <v>181417311</v>
      </c>
    </row>
    <row r="5498" spans="2:4" x14ac:dyDescent="0.25">
      <c r="B5498" s="89">
        <v>5494</v>
      </c>
      <c r="C5498" s="39">
        <f t="shared" si="172"/>
        <v>157992929.59999999</v>
      </c>
      <c r="D5498" s="39">
        <f t="shared" si="173"/>
        <v>181450338</v>
      </c>
    </row>
    <row r="5499" spans="2:4" x14ac:dyDescent="0.25">
      <c r="B5499" s="89">
        <v>5495</v>
      </c>
      <c r="C5499" s="39">
        <f t="shared" si="172"/>
        <v>157992929.59999999</v>
      </c>
      <c r="D5499" s="39">
        <f t="shared" si="173"/>
        <v>181483365</v>
      </c>
    </row>
    <row r="5500" spans="2:4" x14ac:dyDescent="0.25">
      <c r="B5500" s="89">
        <v>5496</v>
      </c>
      <c r="C5500" s="39">
        <f t="shared" si="172"/>
        <v>157992929.59999999</v>
      </c>
      <c r="D5500" s="39">
        <f t="shared" si="173"/>
        <v>181516392</v>
      </c>
    </row>
    <row r="5501" spans="2:4" x14ac:dyDescent="0.25">
      <c r="B5501" s="89">
        <v>5497</v>
      </c>
      <c r="C5501" s="39">
        <f t="shared" si="172"/>
        <v>157992929.59999999</v>
      </c>
      <c r="D5501" s="39">
        <f t="shared" si="173"/>
        <v>181549419</v>
      </c>
    </row>
    <row r="5502" spans="2:4" x14ac:dyDescent="0.25">
      <c r="B5502" s="89">
        <v>5498</v>
      </c>
      <c r="C5502" s="39">
        <f t="shared" si="172"/>
        <v>157992929.59999999</v>
      </c>
      <c r="D5502" s="39">
        <f t="shared" si="173"/>
        <v>181582446</v>
      </c>
    </row>
    <row r="5503" spans="2:4" x14ac:dyDescent="0.25">
      <c r="B5503" s="89">
        <v>5499</v>
      </c>
      <c r="C5503" s="39">
        <f t="shared" si="172"/>
        <v>157992929.59999999</v>
      </c>
      <c r="D5503" s="39">
        <f t="shared" si="173"/>
        <v>181615473</v>
      </c>
    </row>
    <row r="5504" spans="2:4" x14ac:dyDescent="0.25">
      <c r="B5504" s="89">
        <v>5500</v>
      </c>
      <c r="C5504" s="39">
        <f t="shared" si="172"/>
        <v>157992929.59999999</v>
      </c>
      <c r="D5504" s="39">
        <f t="shared" si="173"/>
        <v>181648500</v>
      </c>
    </row>
    <row r="5505" spans="2:4" x14ac:dyDescent="0.25">
      <c r="B5505" s="89">
        <v>5501</v>
      </c>
      <c r="C5505" s="39">
        <f t="shared" si="172"/>
        <v>157992929.59999999</v>
      </c>
      <c r="D5505" s="39">
        <f t="shared" si="173"/>
        <v>181681527</v>
      </c>
    </row>
    <row r="5506" spans="2:4" x14ac:dyDescent="0.25">
      <c r="B5506" s="89">
        <v>5502</v>
      </c>
      <c r="C5506" s="39">
        <f t="shared" si="172"/>
        <v>157992929.59999999</v>
      </c>
      <c r="D5506" s="39">
        <f t="shared" si="173"/>
        <v>181714554</v>
      </c>
    </row>
    <row r="5507" spans="2:4" x14ac:dyDescent="0.25">
      <c r="B5507" s="89">
        <v>5503</v>
      </c>
      <c r="C5507" s="39">
        <f t="shared" si="172"/>
        <v>157992929.59999999</v>
      </c>
      <c r="D5507" s="39">
        <f t="shared" si="173"/>
        <v>181747581</v>
      </c>
    </row>
    <row r="5508" spans="2:4" x14ac:dyDescent="0.25">
      <c r="B5508" s="89">
        <v>5504</v>
      </c>
      <c r="C5508" s="39">
        <f t="shared" si="172"/>
        <v>157992929.59999999</v>
      </c>
      <c r="D5508" s="39">
        <f t="shared" si="173"/>
        <v>181780608</v>
      </c>
    </row>
    <row r="5509" spans="2:4" x14ac:dyDescent="0.25">
      <c r="B5509" s="89">
        <v>5505</v>
      </c>
      <c r="C5509" s="39">
        <f t="shared" si="172"/>
        <v>157992929.59999999</v>
      </c>
      <c r="D5509" s="39">
        <f t="shared" si="173"/>
        <v>181813635</v>
      </c>
    </row>
    <row r="5510" spans="2:4" x14ac:dyDescent="0.25">
      <c r="B5510" s="89">
        <v>5506</v>
      </c>
      <c r="C5510" s="39">
        <f t="shared" si="172"/>
        <v>157992929.59999999</v>
      </c>
      <c r="D5510" s="39">
        <f t="shared" si="173"/>
        <v>181846662</v>
      </c>
    </row>
    <row r="5511" spans="2:4" x14ac:dyDescent="0.25">
      <c r="B5511" s="89">
        <v>5507</v>
      </c>
      <c r="C5511" s="39">
        <f t="shared" si="172"/>
        <v>157992929.59999999</v>
      </c>
      <c r="D5511" s="39">
        <f t="shared" si="173"/>
        <v>181879689</v>
      </c>
    </row>
    <row r="5512" spans="2:4" x14ac:dyDescent="0.25">
      <c r="B5512" s="89">
        <v>5508</v>
      </c>
      <c r="C5512" s="39">
        <f t="shared" si="172"/>
        <v>157992929.59999999</v>
      </c>
      <c r="D5512" s="39">
        <f t="shared" si="173"/>
        <v>181912716</v>
      </c>
    </row>
    <row r="5513" spans="2:4" x14ac:dyDescent="0.25">
      <c r="B5513" s="89">
        <v>5509</v>
      </c>
      <c r="C5513" s="39">
        <f t="shared" si="172"/>
        <v>157992929.59999999</v>
      </c>
      <c r="D5513" s="39">
        <f t="shared" si="173"/>
        <v>181945743</v>
      </c>
    </row>
    <row r="5514" spans="2:4" x14ac:dyDescent="0.25">
      <c r="B5514" s="89">
        <v>5510</v>
      </c>
      <c r="C5514" s="39">
        <f t="shared" si="172"/>
        <v>157992929.59999999</v>
      </c>
      <c r="D5514" s="39">
        <f t="shared" si="173"/>
        <v>181978770</v>
      </c>
    </row>
    <row r="5515" spans="2:4" x14ac:dyDescent="0.25">
      <c r="B5515" s="89">
        <v>5511</v>
      </c>
      <c r="C5515" s="39">
        <f t="shared" si="172"/>
        <v>157992929.59999999</v>
      </c>
      <c r="D5515" s="39">
        <f t="shared" si="173"/>
        <v>182011797</v>
      </c>
    </row>
    <row r="5516" spans="2:4" x14ac:dyDescent="0.25">
      <c r="B5516" s="89">
        <v>5512</v>
      </c>
      <c r="C5516" s="39">
        <f t="shared" si="172"/>
        <v>157992929.59999999</v>
      </c>
      <c r="D5516" s="39">
        <f t="shared" si="173"/>
        <v>182044824</v>
      </c>
    </row>
    <row r="5517" spans="2:4" x14ac:dyDescent="0.25">
      <c r="B5517" s="89">
        <v>5513</v>
      </c>
      <c r="C5517" s="39">
        <f t="shared" ref="C5517:C5580" si="174">$C5516</f>
        <v>157992929.59999999</v>
      </c>
      <c r="D5517" s="39">
        <f t="shared" ref="D5517:D5580" si="175">$D$2*B5517</f>
        <v>182077851</v>
      </c>
    </row>
    <row r="5518" spans="2:4" x14ac:dyDescent="0.25">
      <c r="B5518" s="89">
        <v>5514</v>
      </c>
      <c r="C5518" s="39">
        <f t="shared" si="174"/>
        <v>157992929.59999999</v>
      </c>
      <c r="D5518" s="39">
        <f t="shared" si="175"/>
        <v>182110878</v>
      </c>
    </row>
    <row r="5519" spans="2:4" x14ac:dyDescent="0.25">
      <c r="B5519" s="89">
        <v>5515</v>
      </c>
      <c r="C5519" s="39">
        <f t="shared" si="174"/>
        <v>157992929.59999999</v>
      </c>
      <c r="D5519" s="39">
        <f t="shared" si="175"/>
        <v>182143905</v>
      </c>
    </row>
    <row r="5520" spans="2:4" x14ac:dyDescent="0.25">
      <c r="B5520" s="89">
        <v>5516</v>
      </c>
      <c r="C5520" s="39">
        <f t="shared" si="174"/>
        <v>157992929.59999999</v>
      </c>
      <c r="D5520" s="39">
        <f t="shared" si="175"/>
        <v>182176932</v>
      </c>
    </row>
    <row r="5521" spans="2:4" x14ac:dyDescent="0.25">
      <c r="B5521" s="89">
        <v>5517</v>
      </c>
      <c r="C5521" s="39">
        <f t="shared" si="174"/>
        <v>157992929.59999999</v>
      </c>
      <c r="D5521" s="39">
        <f t="shared" si="175"/>
        <v>182209959</v>
      </c>
    </row>
    <row r="5522" spans="2:4" x14ac:dyDescent="0.25">
      <c r="B5522" s="89">
        <v>5518</v>
      </c>
      <c r="C5522" s="39">
        <f t="shared" si="174"/>
        <v>157992929.59999999</v>
      </c>
      <c r="D5522" s="39">
        <f t="shared" si="175"/>
        <v>182242986</v>
      </c>
    </row>
    <row r="5523" spans="2:4" x14ac:dyDescent="0.25">
      <c r="B5523" s="89">
        <v>5519</v>
      </c>
      <c r="C5523" s="39">
        <f t="shared" si="174"/>
        <v>157992929.59999999</v>
      </c>
      <c r="D5523" s="39">
        <f t="shared" si="175"/>
        <v>182276013</v>
      </c>
    </row>
    <row r="5524" spans="2:4" x14ac:dyDescent="0.25">
      <c r="B5524" s="89">
        <v>5520</v>
      </c>
      <c r="C5524" s="39">
        <f t="shared" si="174"/>
        <v>157992929.59999999</v>
      </c>
      <c r="D5524" s="39">
        <f t="shared" si="175"/>
        <v>182309040</v>
      </c>
    </row>
    <row r="5525" spans="2:4" x14ac:dyDescent="0.25">
      <c r="B5525" s="89">
        <v>5521</v>
      </c>
      <c r="C5525" s="39">
        <f t="shared" si="174"/>
        <v>157992929.59999999</v>
      </c>
      <c r="D5525" s="39">
        <f t="shared" si="175"/>
        <v>182342067</v>
      </c>
    </row>
    <row r="5526" spans="2:4" x14ac:dyDescent="0.25">
      <c r="B5526" s="89">
        <v>5522</v>
      </c>
      <c r="C5526" s="39">
        <f t="shared" si="174"/>
        <v>157992929.59999999</v>
      </c>
      <c r="D5526" s="39">
        <f t="shared" si="175"/>
        <v>182375094</v>
      </c>
    </row>
    <row r="5527" spans="2:4" x14ac:dyDescent="0.25">
      <c r="B5527" s="89">
        <v>5523</v>
      </c>
      <c r="C5527" s="39">
        <f t="shared" si="174"/>
        <v>157992929.59999999</v>
      </c>
      <c r="D5527" s="39">
        <f t="shared" si="175"/>
        <v>182408121</v>
      </c>
    </row>
    <row r="5528" spans="2:4" x14ac:dyDescent="0.25">
      <c r="B5528" s="89">
        <v>5524</v>
      </c>
      <c r="C5528" s="39">
        <f t="shared" si="174"/>
        <v>157992929.59999999</v>
      </c>
      <c r="D5528" s="39">
        <f t="shared" si="175"/>
        <v>182441148</v>
      </c>
    </row>
    <row r="5529" spans="2:4" x14ac:dyDescent="0.25">
      <c r="B5529" s="89">
        <v>5525</v>
      </c>
      <c r="C5529" s="39">
        <f t="shared" si="174"/>
        <v>157992929.59999999</v>
      </c>
      <c r="D5529" s="39">
        <f t="shared" si="175"/>
        <v>182474175</v>
      </c>
    </row>
    <row r="5530" spans="2:4" x14ac:dyDescent="0.25">
      <c r="B5530" s="89">
        <v>5526</v>
      </c>
      <c r="C5530" s="39">
        <f t="shared" si="174"/>
        <v>157992929.59999999</v>
      </c>
      <c r="D5530" s="39">
        <f t="shared" si="175"/>
        <v>182507202</v>
      </c>
    </row>
    <row r="5531" spans="2:4" x14ac:dyDescent="0.25">
      <c r="B5531" s="89">
        <v>5527</v>
      </c>
      <c r="C5531" s="39">
        <f t="shared" si="174"/>
        <v>157992929.59999999</v>
      </c>
      <c r="D5531" s="39">
        <f t="shared" si="175"/>
        <v>182540229</v>
      </c>
    </row>
    <row r="5532" spans="2:4" x14ac:dyDescent="0.25">
      <c r="B5532" s="89">
        <v>5528</v>
      </c>
      <c r="C5532" s="39">
        <f t="shared" si="174"/>
        <v>157992929.59999999</v>
      </c>
      <c r="D5532" s="39">
        <f t="shared" si="175"/>
        <v>182573256</v>
      </c>
    </row>
    <row r="5533" spans="2:4" x14ac:dyDescent="0.25">
      <c r="B5533" s="89">
        <v>5529</v>
      </c>
      <c r="C5533" s="39">
        <f t="shared" si="174"/>
        <v>157992929.59999999</v>
      </c>
      <c r="D5533" s="39">
        <f t="shared" si="175"/>
        <v>182606283</v>
      </c>
    </row>
    <row r="5534" spans="2:4" x14ac:dyDescent="0.25">
      <c r="B5534" s="89">
        <v>5530</v>
      </c>
      <c r="C5534" s="39">
        <f t="shared" si="174"/>
        <v>157992929.59999999</v>
      </c>
      <c r="D5534" s="39">
        <f t="shared" si="175"/>
        <v>182639310</v>
      </c>
    </row>
    <row r="5535" spans="2:4" x14ac:dyDescent="0.25">
      <c r="B5535" s="89">
        <v>5531</v>
      </c>
      <c r="C5535" s="39">
        <f t="shared" si="174"/>
        <v>157992929.59999999</v>
      </c>
      <c r="D5535" s="39">
        <f t="shared" si="175"/>
        <v>182672337</v>
      </c>
    </row>
    <row r="5536" spans="2:4" x14ac:dyDescent="0.25">
      <c r="B5536" s="89">
        <v>5532</v>
      </c>
      <c r="C5536" s="39">
        <f t="shared" si="174"/>
        <v>157992929.59999999</v>
      </c>
      <c r="D5536" s="39">
        <f t="shared" si="175"/>
        <v>182705364</v>
      </c>
    </row>
    <row r="5537" spans="2:4" x14ac:dyDescent="0.25">
      <c r="B5537" s="89">
        <v>5533</v>
      </c>
      <c r="C5537" s="39">
        <f t="shared" si="174"/>
        <v>157992929.59999999</v>
      </c>
      <c r="D5537" s="39">
        <f t="shared" si="175"/>
        <v>182738391</v>
      </c>
    </row>
    <row r="5538" spans="2:4" x14ac:dyDescent="0.25">
      <c r="B5538" s="89">
        <v>5534</v>
      </c>
      <c r="C5538" s="39">
        <f t="shared" si="174"/>
        <v>157992929.59999999</v>
      </c>
      <c r="D5538" s="39">
        <f t="shared" si="175"/>
        <v>182771418</v>
      </c>
    </row>
    <row r="5539" spans="2:4" x14ac:dyDescent="0.25">
      <c r="B5539" s="89">
        <v>5535</v>
      </c>
      <c r="C5539" s="39">
        <f t="shared" si="174"/>
        <v>157992929.59999999</v>
      </c>
      <c r="D5539" s="39">
        <f t="shared" si="175"/>
        <v>182804445</v>
      </c>
    </row>
    <row r="5540" spans="2:4" x14ac:dyDescent="0.25">
      <c r="B5540" s="89">
        <v>5536</v>
      </c>
      <c r="C5540" s="39">
        <f t="shared" si="174"/>
        <v>157992929.59999999</v>
      </c>
      <c r="D5540" s="39">
        <f t="shared" si="175"/>
        <v>182837472</v>
      </c>
    </row>
    <row r="5541" spans="2:4" x14ac:dyDescent="0.25">
      <c r="B5541" s="89">
        <v>5537</v>
      </c>
      <c r="C5541" s="39">
        <f t="shared" si="174"/>
        <v>157992929.59999999</v>
      </c>
      <c r="D5541" s="39">
        <f t="shared" si="175"/>
        <v>182870499</v>
      </c>
    </row>
    <row r="5542" spans="2:4" x14ac:dyDescent="0.25">
      <c r="B5542" s="89">
        <v>5538</v>
      </c>
      <c r="C5542" s="39">
        <f t="shared" si="174"/>
        <v>157992929.59999999</v>
      </c>
      <c r="D5542" s="39">
        <f t="shared" si="175"/>
        <v>182903526</v>
      </c>
    </row>
    <row r="5543" spans="2:4" x14ac:dyDescent="0.25">
      <c r="B5543" s="89">
        <v>5539</v>
      </c>
      <c r="C5543" s="39">
        <f t="shared" si="174"/>
        <v>157992929.59999999</v>
      </c>
      <c r="D5543" s="39">
        <f t="shared" si="175"/>
        <v>182936553</v>
      </c>
    </row>
    <row r="5544" spans="2:4" x14ac:dyDescent="0.25">
      <c r="B5544" s="89">
        <v>5540</v>
      </c>
      <c r="C5544" s="39">
        <f t="shared" si="174"/>
        <v>157992929.59999999</v>
      </c>
      <c r="D5544" s="39">
        <f t="shared" si="175"/>
        <v>182969580</v>
      </c>
    </row>
    <row r="5545" spans="2:4" x14ac:dyDescent="0.25">
      <c r="B5545" s="89">
        <v>5541</v>
      </c>
      <c r="C5545" s="39">
        <f t="shared" si="174"/>
        <v>157992929.59999999</v>
      </c>
      <c r="D5545" s="39">
        <f t="shared" si="175"/>
        <v>183002607</v>
      </c>
    </row>
    <row r="5546" spans="2:4" x14ac:dyDescent="0.25">
      <c r="B5546" s="89">
        <v>5542</v>
      </c>
      <c r="C5546" s="39">
        <f t="shared" si="174"/>
        <v>157992929.59999999</v>
      </c>
      <c r="D5546" s="39">
        <f t="shared" si="175"/>
        <v>183035634</v>
      </c>
    </row>
    <row r="5547" spans="2:4" x14ac:dyDescent="0.25">
      <c r="B5547" s="89">
        <v>5543</v>
      </c>
      <c r="C5547" s="39">
        <f t="shared" si="174"/>
        <v>157992929.59999999</v>
      </c>
      <c r="D5547" s="39">
        <f t="shared" si="175"/>
        <v>183068661</v>
      </c>
    </row>
    <row r="5548" spans="2:4" x14ac:dyDescent="0.25">
      <c r="B5548" s="89">
        <v>5544</v>
      </c>
      <c r="C5548" s="39">
        <f t="shared" si="174"/>
        <v>157992929.59999999</v>
      </c>
      <c r="D5548" s="39">
        <f t="shared" si="175"/>
        <v>183101688</v>
      </c>
    </row>
    <row r="5549" spans="2:4" x14ac:dyDescent="0.25">
      <c r="B5549" s="89">
        <v>5545</v>
      </c>
      <c r="C5549" s="39">
        <f t="shared" si="174"/>
        <v>157992929.59999999</v>
      </c>
      <c r="D5549" s="39">
        <f t="shared" si="175"/>
        <v>183134715</v>
      </c>
    </row>
    <row r="5550" spans="2:4" x14ac:dyDescent="0.25">
      <c r="B5550" s="89">
        <v>5546</v>
      </c>
      <c r="C5550" s="39">
        <f t="shared" si="174"/>
        <v>157992929.59999999</v>
      </c>
      <c r="D5550" s="39">
        <f t="shared" si="175"/>
        <v>183167742</v>
      </c>
    </row>
    <row r="5551" spans="2:4" x14ac:dyDescent="0.25">
      <c r="B5551" s="89">
        <v>5547</v>
      </c>
      <c r="C5551" s="39">
        <f t="shared" si="174"/>
        <v>157992929.59999999</v>
      </c>
      <c r="D5551" s="39">
        <f t="shared" si="175"/>
        <v>183200769</v>
      </c>
    </row>
    <row r="5552" spans="2:4" x14ac:dyDescent="0.25">
      <c r="B5552" s="89">
        <v>5548</v>
      </c>
      <c r="C5552" s="39">
        <f t="shared" si="174"/>
        <v>157992929.59999999</v>
      </c>
      <c r="D5552" s="39">
        <f t="shared" si="175"/>
        <v>183233796</v>
      </c>
    </row>
    <row r="5553" spans="2:4" x14ac:dyDescent="0.25">
      <c r="B5553" s="89">
        <v>5549</v>
      </c>
      <c r="C5553" s="39">
        <f t="shared" si="174"/>
        <v>157992929.59999999</v>
      </c>
      <c r="D5553" s="39">
        <f t="shared" si="175"/>
        <v>183266823</v>
      </c>
    </row>
    <row r="5554" spans="2:4" x14ac:dyDescent="0.25">
      <c r="B5554" s="89">
        <v>5550</v>
      </c>
      <c r="C5554" s="39">
        <f t="shared" si="174"/>
        <v>157992929.59999999</v>
      </c>
      <c r="D5554" s="39">
        <f t="shared" si="175"/>
        <v>183299850</v>
      </c>
    </row>
    <row r="5555" spans="2:4" x14ac:dyDescent="0.25">
      <c r="B5555" s="89">
        <v>5551</v>
      </c>
      <c r="C5555" s="39">
        <f t="shared" si="174"/>
        <v>157992929.59999999</v>
      </c>
      <c r="D5555" s="39">
        <f t="shared" si="175"/>
        <v>183332877</v>
      </c>
    </row>
    <row r="5556" spans="2:4" x14ac:dyDescent="0.25">
      <c r="B5556" s="89">
        <v>5552</v>
      </c>
      <c r="C5556" s="39">
        <f t="shared" si="174"/>
        <v>157992929.59999999</v>
      </c>
      <c r="D5556" s="39">
        <f t="shared" si="175"/>
        <v>183365904</v>
      </c>
    </row>
    <row r="5557" spans="2:4" x14ac:dyDescent="0.25">
      <c r="B5557" s="89">
        <v>5553</v>
      </c>
      <c r="C5557" s="39">
        <f t="shared" si="174"/>
        <v>157992929.59999999</v>
      </c>
      <c r="D5557" s="39">
        <f t="shared" si="175"/>
        <v>183398931</v>
      </c>
    </row>
    <row r="5558" spans="2:4" x14ac:dyDescent="0.25">
      <c r="B5558" s="89">
        <v>5554</v>
      </c>
      <c r="C5558" s="39">
        <f t="shared" si="174"/>
        <v>157992929.59999999</v>
      </c>
      <c r="D5558" s="39">
        <f t="shared" si="175"/>
        <v>183431958</v>
      </c>
    </row>
    <row r="5559" spans="2:4" x14ac:dyDescent="0.25">
      <c r="B5559" s="89">
        <v>5555</v>
      </c>
      <c r="C5559" s="39">
        <f t="shared" si="174"/>
        <v>157992929.59999999</v>
      </c>
      <c r="D5559" s="39">
        <f t="shared" si="175"/>
        <v>183464985</v>
      </c>
    </row>
    <row r="5560" spans="2:4" x14ac:dyDescent="0.25">
      <c r="B5560" s="89">
        <v>5556</v>
      </c>
      <c r="C5560" s="39">
        <f t="shared" si="174"/>
        <v>157992929.59999999</v>
      </c>
      <c r="D5560" s="39">
        <f t="shared" si="175"/>
        <v>183498012</v>
      </c>
    </row>
    <row r="5561" spans="2:4" x14ac:dyDescent="0.25">
      <c r="B5561" s="89">
        <v>5557</v>
      </c>
      <c r="C5561" s="39">
        <f t="shared" si="174"/>
        <v>157992929.59999999</v>
      </c>
      <c r="D5561" s="39">
        <f t="shared" si="175"/>
        <v>183531039</v>
      </c>
    </row>
    <row r="5562" spans="2:4" x14ac:dyDescent="0.25">
      <c r="B5562" s="89">
        <v>5558</v>
      </c>
      <c r="C5562" s="39">
        <f t="shared" si="174"/>
        <v>157992929.59999999</v>
      </c>
      <c r="D5562" s="39">
        <f t="shared" si="175"/>
        <v>183564066</v>
      </c>
    </row>
    <row r="5563" spans="2:4" x14ac:dyDescent="0.25">
      <c r="B5563" s="89">
        <v>5559</v>
      </c>
      <c r="C5563" s="39">
        <f t="shared" si="174"/>
        <v>157992929.59999999</v>
      </c>
      <c r="D5563" s="39">
        <f t="shared" si="175"/>
        <v>183597093</v>
      </c>
    </row>
    <row r="5564" spans="2:4" x14ac:dyDescent="0.25">
      <c r="B5564" s="89">
        <v>5560</v>
      </c>
      <c r="C5564" s="39">
        <f t="shared" si="174"/>
        <v>157992929.59999999</v>
      </c>
      <c r="D5564" s="39">
        <f t="shared" si="175"/>
        <v>183630120</v>
      </c>
    </row>
    <row r="5565" spans="2:4" x14ac:dyDescent="0.25">
      <c r="B5565" s="89">
        <v>5561</v>
      </c>
      <c r="C5565" s="39">
        <f t="shared" si="174"/>
        <v>157992929.59999999</v>
      </c>
      <c r="D5565" s="39">
        <f t="shared" si="175"/>
        <v>183663147</v>
      </c>
    </row>
    <row r="5566" spans="2:4" x14ac:dyDescent="0.25">
      <c r="B5566" s="89">
        <v>5562</v>
      </c>
      <c r="C5566" s="39">
        <f t="shared" si="174"/>
        <v>157992929.59999999</v>
      </c>
      <c r="D5566" s="39">
        <f t="shared" si="175"/>
        <v>183696174</v>
      </c>
    </row>
    <row r="5567" spans="2:4" x14ac:dyDescent="0.25">
      <c r="B5567" s="89">
        <v>5563</v>
      </c>
      <c r="C5567" s="39">
        <f t="shared" si="174"/>
        <v>157992929.59999999</v>
      </c>
      <c r="D5567" s="39">
        <f t="shared" si="175"/>
        <v>183729201</v>
      </c>
    </row>
    <row r="5568" spans="2:4" x14ac:dyDescent="0.25">
      <c r="B5568" s="89">
        <v>5564</v>
      </c>
      <c r="C5568" s="39">
        <f t="shared" si="174"/>
        <v>157992929.59999999</v>
      </c>
      <c r="D5568" s="39">
        <f t="shared" si="175"/>
        <v>183762228</v>
      </c>
    </row>
    <row r="5569" spans="2:4" x14ac:dyDescent="0.25">
      <c r="B5569" s="89">
        <v>5565</v>
      </c>
      <c r="C5569" s="39">
        <f t="shared" si="174"/>
        <v>157992929.59999999</v>
      </c>
      <c r="D5569" s="39">
        <f t="shared" si="175"/>
        <v>183795255</v>
      </c>
    </row>
    <row r="5570" spans="2:4" x14ac:dyDescent="0.25">
      <c r="B5570" s="89">
        <v>5566</v>
      </c>
      <c r="C5570" s="39">
        <f t="shared" si="174"/>
        <v>157992929.59999999</v>
      </c>
      <c r="D5570" s="39">
        <f t="shared" si="175"/>
        <v>183828282</v>
      </c>
    </row>
    <row r="5571" spans="2:4" x14ac:dyDescent="0.25">
      <c r="B5571" s="89">
        <v>5567</v>
      </c>
      <c r="C5571" s="39">
        <f t="shared" si="174"/>
        <v>157992929.59999999</v>
      </c>
      <c r="D5571" s="39">
        <f t="shared" si="175"/>
        <v>183861309</v>
      </c>
    </row>
    <row r="5572" spans="2:4" x14ac:dyDescent="0.25">
      <c r="B5572" s="89">
        <v>5568</v>
      </c>
      <c r="C5572" s="39">
        <f t="shared" si="174"/>
        <v>157992929.59999999</v>
      </c>
      <c r="D5572" s="39">
        <f t="shared" si="175"/>
        <v>183894336</v>
      </c>
    </row>
    <row r="5573" spans="2:4" x14ac:dyDescent="0.25">
      <c r="B5573" s="89">
        <v>5569</v>
      </c>
      <c r="C5573" s="39">
        <f t="shared" si="174"/>
        <v>157992929.59999999</v>
      </c>
      <c r="D5573" s="39">
        <f t="shared" si="175"/>
        <v>183927363</v>
      </c>
    </row>
    <row r="5574" spans="2:4" x14ac:dyDescent="0.25">
      <c r="B5574" s="89">
        <v>5570</v>
      </c>
      <c r="C5574" s="39">
        <f t="shared" si="174"/>
        <v>157992929.59999999</v>
      </c>
      <c r="D5574" s="39">
        <f t="shared" si="175"/>
        <v>183960390</v>
      </c>
    </row>
    <row r="5575" spans="2:4" x14ac:dyDescent="0.25">
      <c r="B5575" s="89">
        <v>5571</v>
      </c>
      <c r="C5575" s="39">
        <f t="shared" si="174"/>
        <v>157992929.59999999</v>
      </c>
      <c r="D5575" s="39">
        <f t="shared" si="175"/>
        <v>183993417</v>
      </c>
    </row>
    <row r="5576" spans="2:4" x14ac:dyDescent="0.25">
      <c r="B5576" s="89">
        <v>5572</v>
      </c>
      <c r="C5576" s="39">
        <f t="shared" si="174"/>
        <v>157992929.59999999</v>
      </c>
      <c r="D5576" s="39">
        <f t="shared" si="175"/>
        <v>184026444</v>
      </c>
    </row>
    <row r="5577" spans="2:4" x14ac:dyDescent="0.25">
      <c r="B5577" s="89">
        <v>5573</v>
      </c>
      <c r="C5577" s="39">
        <f t="shared" si="174"/>
        <v>157992929.59999999</v>
      </c>
      <c r="D5577" s="39">
        <f t="shared" si="175"/>
        <v>184059471</v>
      </c>
    </row>
    <row r="5578" spans="2:4" x14ac:dyDescent="0.25">
      <c r="B5578" s="89">
        <v>5574</v>
      </c>
      <c r="C5578" s="39">
        <f t="shared" si="174"/>
        <v>157992929.59999999</v>
      </c>
      <c r="D5578" s="39">
        <f t="shared" si="175"/>
        <v>184092498</v>
      </c>
    </row>
    <row r="5579" spans="2:4" x14ac:dyDescent="0.25">
      <c r="B5579" s="89">
        <v>5575</v>
      </c>
      <c r="C5579" s="39">
        <f t="shared" si="174"/>
        <v>157992929.59999999</v>
      </c>
      <c r="D5579" s="39">
        <f t="shared" si="175"/>
        <v>184125525</v>
      </c>
    </row>
    <row r="5580" spans="2:4" x14ac:dyDescent="0.25">
      <c r="B5580" s="89">
        <v>5576</v>
      </c>
      <c r="C5580" s="39">
        <f t="shared" si="174"/>
        <v>157992929.59999999</v>
      </c>
      <c r="D5580" s="39">
        <f t="shared" si="175"/>
        <v>184158552</v>
      </c>
    </row>
    <row r="5581" spans="2:4" x14ac:dyDescent="0.25">
      <c r="B5581" s="89">
        <v>5577</v>
      </c>
      <c r="C5581" s="39">
        <f t="shared" ref="C5581:C5644" si="176">$C5580</f>
        <v>157992929.59999999</v>
      </c>
      <c r="D5581" s="39">
        <f t="shared" ref="D5581:D5644" si="177">$D$2*B5581</f>
        <v>184191579</v>
      </c>
    </row>
    <row r="5582" spans="2:4" x14ac:dyDescent="0.25">
      <c r="B5582" s="89">
        <v>5578</v>
      </c>
      <c r="C5582" s="39">
        <f t="shared" si="176"/>
        <v>157992929.59999999</v>
      </c>
      <c r="D5582" s="39">
        <f t="shared" si="177"/>
        <v>184224606</v>
      </c>
    </row>
    <row r="5583" spans="2:4" x14ac:dyDescent="0.25">
      <c r="B5583" s="89">
        <v>5579</v>
      </c>
      <c r="C5583" s="39">
        <f t="shared" si="176"/>
        <v>157992929.59999999</v>
      </c>
      <c r="D5583" s="39">
        <f t="shared" si="177"/>
        <v>184257633</v>
      </c>
    </row>
    <row r="5584" spans="2:4" x14ac:dyDescent="0.25">
      <c r="B5584" s="89">
        <v>5580</v>
      </c>
      <c r="C5584" s="39">
        <f t="shared" si="176"/>
        <v>157992929.59999999</v>
      </c>
      <c r="D5584" s="39">
        <f t="shared" si="177"/>
        <v>184290660</v>
      </c>
    </row>
    <row r="5585" spans="2:4" x14ac:dyDescent="0.25">
      <c r="B5585" s="89">
        <v>5581</v>
      </c>
      <c r="C5585" s="39">
        <f t="shared" si="176"/>
        <v>157992929.59999999</v>
      </c>
      <c r="D5585" s="39">
        <f t="shared" si="177"/>
        <v>184323687</v>
      </c>
    </row>
    <row r="5586" spans="2:4" x14ac:dyDescent="0.25">
      <c r="B5586" s="89">
        <v>5582</v>
      </c>
      <c r="C5586" s="39">
        <f t="shared" si="176"/>
        <v>157992929.59999999</v>
      </c>
      <c r="D5586" s="39">
        <f t="shared" si="177"/>
        <v>184356714</v>
      </c>
    </row>
    <row r="5587" spans="2:4" x14ac:dyDescent="0.25">
      <c r="B5587" s="89">
        <v>5583</v>
      </c>
      <c r="C5587" s="39">
        <f t="shared" si="176"/>
        <v>157992929.59999999</v>
      </c>
      <c r="D5587" s="39">
        <f t="shared" si="177"/>
        <v>184389741</v>
      </c>
    </row>
    <row r="5588" spans="2:4" x14ac:dyDescent="0.25">
      <c r="B5588" s="89">
        <v>5584</v>
      </c>
      <c r="C5588" s="39">
        <f t="shared" si="176"/>
        <v>157992929.59999999</v>
      </c>
      <c r="D5588" s="39">
        <f t="shared" si="177"/>
        <v>184422768</v>
      </c>
    </row>
    <row r="5589" spans="2:4" x14ac:dyDescent="0.25">
      <c r="B5589" s="89">
        <v>5585</v>
      </c>
      <c r="C5589" s="39">
        <f t="shared" si="176"/>
        <v>157992929.59999999</v>
      </c>
      <c r="D5589" s="39">
        <f t="shared" si="177"/>
        <v>184455795</v>
      </c>
    </row>
    <row r="5590" spans="2:4" x14ac:dyDescent="0.25">
      <c r="B5590" s="89">
        <v>5586</v>
      </c>
      <c r="C5590" s="39">
        <f t="shared" si="176"/>
        <v>157992929.59999999</v>
      </c>
      <c r="D5590" s="39">
        <f t="shared" si="177"/>
        <v>184488822</v>
      </c>
    </row>
    <row r="5591" spans="2:4" x14ac:dyDescent="0.25">
      <c r="B5591" s="89">
        <v>5587</v>
      </c>
      <c r="C5591" s="39">
        <f t="shared" si="176"/>
        <v>157992929.59999999</v>
      </c>
      <c r="D5591" s="39">
        <f t="shared" si="177"/>
        <v>184521849</v>
      </c>
    </row>
    <row r="5592" spans="2:4" x14ac:dyDescent="0.25">
      <c r="B5592" s="89">
        <v>5588</v>
      </c>
      <c r="C5592" s="39">
        <f t="shared" si="176"/>
        <v>157992929.59999999</v>
      </c>
      <c r="D5592" s="39">
        <f t="shared" si="177"/>
        <v>184554876</v>
      </c>
    </row>
    <row r="5593" spans="2:4" x14ac:dyDescent="0.25">
      <c r="B5593" s="89">
        <v>5589</v>
      </c>
      <c r="C5593" s="39">
        <f t="shared" si="176"/>
        <v>157992929.59999999</v>
      </c>
      <c r="D5593" s="39">
        <f t="shared" si="177"/>
        <v>184587903</v>
      </c>
    </row>
    <row r="5594" spans="2:4" x14ac:dyDescent="0.25">
      <c r="B5594" s="89">
        <v>5590</v>
      </c>
      <c r="C5594" s="39">
        <f t="shared" si="176"/>
        <v>157992929.59999999</v>
      </c>
      <c r="D5594" s="39">
        <f t="shared" si="177"/>
        <v>184620930</v>
      </c>
    </row>
    <row r="5595" spans="2:4" x14ac:dyDescent="0.25">
      <c r="B5595" s="89">
        <v>5591</v>
      </c>
      <c r="C5595" s="39">
        <f t="shared" si="176"/>
        <v>157992929.59999999</v>
      </c>
      <c r="D5595" s="39">
        <f t="shared" si="177"/>
        <v>184653957</v>
      </c>
    </row>
    <row r="5596" spans="2:4" x14ac:dyDescent="0.25">
      <c r="B5596" s="89">
        <v>5592</v>
      </c>
      <c r="C5596" s="39">
        <f t="shared" si="176"/>
        <v>157992929.59999999</v>
      </c>
      <c r="D5596" s="39">
        <f t="shared" si="177"/>
        <v>184686984</v>
      </c>
    </row>
    <row r="5597" spans="2:4" x14ac:dyDescent="0.25">
      <c r="B5597" s="89">
        <v>5593</v>
      </c>
      <c r="C5597" s="39">
        <f t="shared" si="176"/>
        <v>157992929.59999999</v>
      </c>
      <c r="D5597" s="39">
        <f t="shared" si="177"/>
        <v>184720011</v>
      </c>
    </row>
    <row r="5598" spans="2:4" x14ac:dyDescent="0.25">
      <c r="B5598" s="89">
        <v>5594</v>
      </c>
      <c r="C5598" s="39">
        <f t="shared" si="176"/>
        <v>157992929.59999999</v>
      </c>
      <c r="D5598" s="39">
        <f t="shared" si="177"/>
        <v>184753038</v>
      </c>
    </row>
    <row r="5599" spans="2:4" x14ac:dyDescent="0.25">
      <c r="B5599" s="89">
        <v>5595</v>
      </c>
      <c r="C5599" s="39">
        <f t="shared" si="176"/>
        <v>157992929.59999999</v>
      </c>
      <c r="D5599" s="39">
        <f t="shared" si="177"/>
        <v>184786065</v>
      </c>
    </row>
    <row r="5600" spans="2:4" x14ac:dyDescent="0.25">
      <c r="B5600" s="89">
        <v>5596</v>
      </c>
      <c r="C5600" s="39">
        <f t="shared" si="176"/>
        <v>157992929.59999999</v>
      </c>
      <c r="D5600" s="39">
        <f t="shared" si="177"/>
        <v>184819092</v>
      </c>
    </row>
    <row r="5601" spans="2:4" x14ac:dyDescent="0.25">
      <c r="B5601" s="89">
        <v>5597</v>
      </c>
      <c r="C5601" s="39">
        <f t="shared" si="176"/>
        <v>157992929.59999999</v>
      </c>
      <c r="D5601" s="39">
        <f t="shared" si="177"/>
        <v>184852119</v>
      </c>
    </row>
    <row r="5602" spans="2:4" x14ac:dyDescent="0.25">
      <c r="B5602" s="89">
        <v>5598</v>
      </c>
      <c r="C5602" s="39">
        <f t="shared" si="176"/>
        <v>157992929.59999999</v>
      </c>
      <c r="D5602" s="39">
        <f t="shared" si="177"/>
        <v>184885146</v>
      </c>
    </row>
    <row r="5603" spans="2:4" x14ac:dyDescent="0.25">
      <c r="B5603" s="89">
        <v>5599</v>
      </c>
      <c r="C5603" s="39">
        <f t="shared" si="176"/>
        <v>157992929.59999999</v>
      </c>
      <c r="D5603" s="39">
        <f t="shared" si="177"/>
        <v>184918173</v>
      </c>
    </row>
    <row r="5604" spans="2:4" x14ac:dyDescent="0.25">
      <c r="B5604" s="89">
        <v>5600</v>
      </c>
      <c r="C5604" s="39">
        <f t="shared" si="176"/>
        <v>157992929.59999999</v>
      </c>
      <c r="D5604" s="39">
        <f t="shared" si="177"/>
        <v>184951200</v>
      </c>
    </row>
    <row r="5605" spans="2:4" x14ac:dyDescent="0.25">
      <c r="B5605" s="89">
        <v>5601</v>
      </c>
      <c r="C5605" s="39">
        <f t="shared" si="176"/>
        <v>157992929.59999999</v>
      </c>
      <c r="D5605" s="39">
        <f t="shared" si="177"/>
        <v>184984227</v>
      </c>
    </row>
    <row r="5606" spans="2:4" x14ac:dyDescent="0.25">
      <c r="B5606" s="89">
        <v>5602</v>
      </c>
      <c r="C5606" s="39">
        <f t="shared" si="176"/>
        <v>157992929.59999999</v>
      </c>
      <c r="D5606" s="39">
        <f t="shared" si="177"/>
        <v>185017254</v>
      </c>
    </row>
    <row r="5607" spans="2:4" x14ac:dyDescent="0.25">
      <c r="B5607" s="89">
        <v>5603</v>
      </c>
      <c r="C5607" s="39">
        <f t="shared" si="176"/>
        <v>157992929.59999999</v>
      </c>
      <c r="D5607" s="39">
        <f t="shared" si="177"/>
        <v>185050281</v>
      </c>
    </row>
    <row r="5608" spans="2:4" x14ac:dyDescent="0.25">
      <c r="B5608" s="89">
        <v>5604</v>
      </c>
      <c r="C5608" s="39">
        <f t="shared" si="176"/>
        <v>157992929.59999999</v>
      </c>
      <c r="D5608" s="39">
        <f t="shared" si="177"/>
        <v>185083308</v>
      </c>
    </row>
    <row r="5609" spans="2:4" x14ac:dyDescent="0.25">
      <c r="B5609" s="89">
        <v>5605</v>
      </c>
      <c r="C5609" s="39">
        <f t="shared" si="176"/>
        <v>157992929.59999999</v>
      </c>
      <c r="D5609" s="39">
        <f t="shared" si="177"/>
        <v>185116335</v>
      </c>
    </row>
    <row r="5610" spans="2:4" x14ac:dyDescent="0.25">
      <c r="B5610" s="89">
        <v>5606</v>
      </c>
      <c r="C5610" s="39">
        <f t="shared" si="176"/>
        <v>157992929.59999999</v>
      </c>
      <c r="D5610" s="39">
        <f t="shared" si="177"/>
        <v>185149362</v>
      </c>
    </row>
    <row r="5611" spans="2:4" x14ac:dyDescent="0.25">
      <c r="B5611" s="89">
        <v>5607</v>
      </c>
      <c r="C5611" s="39">
        <f t="shared" si="176"/>
        <v>157992929.59999999</v>
      </c>
      <c r="D5611" s="39">
        <f t="shared" si="177"/>
        <v>185182389</v>
      </c>
    </row>
    <row r="5612" spans="2:4" x14ac:dyDescent="0.25">
      <c r="B5612" s="89">
        <v>5608</v>
      </c>
      <c r="C5612" s="39">
        <f t="shared" si="176"/>
        <v>157992929.59999999</v>
      </c>
      <c r="D5612" s="39">
        <f t="shared" si="177"/>
        <v>185215416</v>
      </c>
    </row>
    <row r="5613" spans="2:4" x14ac:dyDescent="0.25">
      <c r="B5613" s="89">
        <v>5609</v>
      </c>
      <c r="C5613" s="39">
        <f t="shared" si="176"/>
        <v>157992929.59999999</v>
      </c>
      <c r="D5613" s="39">
        <f t="shared" si="177"/>
        <v>185248443</v>
      </c>
    </row>
    <row r="5614" spans="2:4" x14ac:dyDescent="0.25">
      <c r="B5614" s="89">
        <v>5610</v>
      </c>
      <c r="C5614" s="39">
        <f t="shared" si="176"/>
        <v>157992929.59999999</v>
      </c>
      <c r="D5614" s="39">
        <f t="shared" si="177"/>
        <v>185281470</v>
      </c>
    </row>
    <row r="5615" spans="2:4" x14ac:dyDescent="0.25">
      <c r="B5615" s="89">
        <v>5611</v>
      </c>
      <c r="C5615" s="39">
        <f t="shared" si="176"/>
        <v>157992929.59999999</v>
      </c>
      <c r="D5615" s="39">
        <f t="shared" si="177"/>
        <v>185314497</v>
      </c>
    </row>
    <row r="5616" spans="2:4" x14ac:dyDescent="0.25">
      <c r="B5616" s="89">
        <v>5612</v>
      </c>
      <c r="C5616" s="39">
        <f t="shared" si="176"/>
        <v>157992929.59999999</v>
      </c>
      <c r="D5616" s="39">
        <f t="shared" si="177"/>
        <v>185347524</v>
      </c>
    </row>
    <row r="5617" spans="2:4" x14ac:dyDescent="0.25">
      <c r="B5617" s="89">
        <v>5613</v>
      </c>
      <c r="C5617" s="39">
        <f t="shared" si="176"/>
        <v>157992929.59999999</v>
      </c>
      <c r="D5617" s="39">
        <f t="shared" si="177"/>
        <v>185380551</v>
      </c>
    </row>
    <row r="5618" spans="2:4" x14ac:dyDescent="0.25">
      <c r="B5618" s="89">
        <v>5614</v>
      </c>
      <c r="C5618" s="39">
        <f t="shared" si="176"/>
        <v>157992929.59999999</v>
      </c>
      <c r="D5618" s="39">
        <f t="shared" si="177"/>
        <v>185413578</v>
      </c>
    </row>
    <row r="5619" spans="2:4" x14ac:dyDescent="0.25">
      <c r="B5619" s="89">
        <v>5615</v>
      </c>
      <c r="C5619" s="39">
        <f t="shared" si="176"/>
        <v>157992929.59999999</v>
      </c>
      <c r="D5619" s="39">
        <f t="shared" si="177"/>
        <v>185446605</v>
      </c>
    </row>
    <row r="5620" spans="2:4" x14ac:dyDescent="0.25">
      <c r="B5620" s="89">
        <v>5616</v>
      </c>
      <c r="C5620" s="39">
        <f t="shared" si="176"/>
        <v>157992929.59999999</v>
      </c>
      <c r="D5620" s="39">
        <f t="shared" si="177"/>
        <v>185479632</v>
      </c>
    </row>
    <row r="5621" spans="2:4" x14ac:dyDescent="0.25">
      <c r="B5621" s="89">
        <v>5617</v>
      </c>
      <c r="C5621" s="39">
        <f t="shared" si="176"/>
        <v>157992929.59999999</v>
      </c>
      <c r="D5621" s="39">
        <f t="shared" si="177"/>
        <v>185512659</v>
      </c>
    </row>
    <row r="5622" spans="2:4" x14ac:dyDescent="0.25">
      <c r="B5622" s="89">
        <v>5618</v>
      </c>
      <c r="C5622" s="39">
        <f t="shared" si="176"/>
        <v>157992929.59999999</v>
      </c>
      <c r="D5622" s="39">
        <f t="shared" si="177"/>
        <v>185545686</v>
      </c>
    </row>
    <row r="5623" spans="2:4" x14ac:dyDescent="0.25">
      <c r="B5623" s="89">
        <v>5619</v>
      </c>
      <c r="C5623" s="39">
        <f t="shared" si="176"/>
        <v>157992929.59999999</v>
      </c>
      <c r="D5623" s="39">
        <f t="shared" si="177"/>
        <v>185578713</v>
      </c>
    </row>
    <row r="5624" spans="2:4" x14ac:dyDescent="0.25">
      <c r="B5624" s="89">
        <v>5620</v>
      </c>
      <c r="C5624" s="39">
        <f t="shared" si="176"/>
        <v>157992929.59999999</v>
      </c>
      <c r="D5624" s="39">
        <f t="shared" si="177"/>
        <v>185611740</v>
      </c>
    </row>
    <row r="5625" spans="2:4" x14ac:dyDescent="0.25">
      <c r="B5625" s="89">
        <v>5621</v>
      </c>
      <c r="C5625" s="39">
        <f t="shared" si="176"/>
        <v>157992929.59999999</v>
      </c>
      <c r="D5625" s="39">
        <f t="shared" si="177"/>
        <v>185644767</v>
      </c>
    </row>
    <row r="5626" spans="2:4" x14ac:dyDescent="0.25">
      <c r="B5626" s="89">
        <v>5622</v>
      </c>
      <c r="C5626" s="39">
        <f t="shared" si="176"/>
        <v>157992929.59999999</v>
      </c>
      <c r="D5626" s="39">
        <f t="shared" si="177"/>
        <v>185677794</v>
      </c>
    </row>
    <row r="5627" spans="2:4" x14ac:dyDescent="0.25">
      <c r="B5627" s="89">
        <v>5623</v>
      </c>
      <c r="C5627" s="39">
        <f t="shared" si="176"/>
        <v>157992929.59999999</v>
      </c>
      <c r="D5627" s="39">
        <f t="shared" si="177"/>
        <v>185710821</v>
      </c>
    </row>
    <row r="5628" spans="2:4" x14ac:dyDescent="0.25">
      <c r="B5628" s="89">
        <v>5624</v>
      </c>
      <c r="C5628" s="39">
        <f t="shared" si="176"/>
        <v>157992929.59999999</v>
      </c>
      <c r="D5628" s="39">
        <f t="shared" si="177"/>
        <v>185743848</v>
      </c>
    </row>
    <row r="5629" spans="2:4" x14ac:dyDescent="0.25">
      <c r="B5629" s="89">
        <v>5625</v>
      </c>
      <c r="C5629" s="39">
        <f t="shared" si="176"/>
        <v>157992929.59999999</v>
      </c>
      <c r="D5629" s="39">
        <f t="shared" si="177"/>
        <v>185776875</v>
      </c>
    </row>
    <row r="5630" spans="2:4" x14ac:dyDescent="0.25">
      <c r="B5630" s="89">
        <v>5626</v>
      </c>
      <c r="C5630" s="39">
        <f t="shared" si="176"/>
        <v>157992929.59999999</v>
      </c>
      <c r="D5630" s="39">
        <f t="shared" si="177"/>
        <v>185809902</v>
      </c>
    </row>
    <row r="5631" spans="2:4" x14ac:dyDescent="0.25">
      <c r="B5631" s="89">
        <v>5627</v>
      </c>
      <c r="C5631" s="39">
        <f t="shared" si="176"/>
        <v>157992929.59999999</v>
      </c>
      <c r="D5631" s="39">
        <f t="shared" si="177"/>
        <v>185842929</v>
      </c>
    </row>
    <row r="5632" spans="2:4" x14ac:dyDescent="0.25">
      <c r="B5632" s="89">
        <v>5628</v>
      </c>
      <c r="C5632" s="39">
        <f t="shared" si="176"/>
        <v>157992929.59999999</v>
      </c>
      <c r="D5632" s="39">
        <f t="shared" si="177"/>
        <v>185875956</v>
      </c>
    </row>
    <row r="5633" spans="2:4" x14ac:dyDescent="0.25">
      <c r="B5633" s="89">
        <v>5629</v>
      </c>
      <c r="C5633" s="39">
        <f t="shared" si="176"/>
        <v>157992929.59999999</v>
      </c>
      <c r="D5633" s="39">
        <f t="shared" si="177"/>
        <v>185908983</v>
      </c>
    </row>
    <row r="5634" spans="2:4" x14ac:dyDescent="0.25">
      <c r="B5634" s="89">
        <v>5630</v>
      </c>
      <c r="C5634" s="39">
        <f t="shared" si="176"/>
        <v>157992929.59999999</v>
      </c>
      <c r="D5634" s="39">
        <f t="shared" si="177"/>
        <v>185942010</v>
      </c>
    </row>
    <row r="5635" spans="2:4" x14ac:dyDescent="0.25">
      <c r="B5635" s="89">
        <v>5631</v>
      </c>
      <c r="C5635" s="39">
        <f t="shared" si="176"/>
        <v>157992929.59999999</v>
      </c>
      <c r="D5635" s="39">
        <f t="shared" si="177"/>
        <v>185975037</v>
      </c>
    </row>
    <row r="5636" spans="2:4" x14ac:dyDescent="0.25">
      <c r="B5636" s="89">
        <v>5632</v>
      </c>
      <c r="C5636" s="39">
        <f t="shared" si="176"/>
        <v>157992929.59999999</v>
      </c>
      <c r="D5636" s="39">
        <f t="shared" si="177"/>
        <v>186008064</v>
      </c>
    </row>
    <row r="5637" spans="2:4" x14ac:dyDescent="0.25">
      <c r="B5637" s="89">
        <v>5633</v>
      </c>
      <c r="C5637" s="39">
        <f t="shared" si="176"/>
        <v>157992929.59999999</v>
      </c>
      <c r="D5637" s="39">
        <f t="shared" si="177"/>
        <v>186041091</v>
      </c>
    </row>
    <row r="5638" spans="2:4" x14ac:dyDescent="0.25">
      <c r="B5638" s="89">
        <v>5634</v>
      </c>
      <c r="C5638" s="39">
        <f t="shared" si="176"/>
        <v>157992929.59999999</v>
      </c>
      <c r="D5638" s="39">
        <f t="shared" si="177"/>
        <v>186074118</v>
      </c>
    </row>
    <row r="5639" spans="2:4" x14ac:dyDescent="0.25">
      <c r="B5639" s="89">
        <v>5635</v>
      </c>
      <c r="C5639" s="39">
        <f t="shared" si="176"/>
        <v>157992929.59999999</v>
      </c>
      <c r="D5639" s="39">
        <f t="shared" si="177"/>
        <v>186107145</v>
      </c>
    </row>
    <row r="5640" spans="2:4" x14ac:dyDescent="0.25">
      <c r="B5640" s="89">
        <v>5636</v>
      </c>
      <c r="C5640" s="39">
        <f t="shared" si="176"/>
        <v>157992929.59999999</v>
      </c>
      <c r="D5640" s="39">
        <f t="shared" si="177"/>
        <v>186140172</v>
      </c>
    </row>
    <row r="5641" spans="2:4" x14ac:dyDescent="0.25">
      <c r="B5641" s="89">
        <v>5637</v>
      </c>
      <c r="C5641" s="39">
        <f t="shared" si="176"/>
        <v>157992929.59999999</v>
      </c>
      <c r="D5641" s="39">
        <f t="shared" si="177"/>
        <v>186173199</v>
      </c>
    </row>
    <row r="5642" spans="2:4" x14ac:dyDescent="0.25">
      <c r="B5642" s="89">
        <v>5638</v>
      </c>
      <c r="C5642" s="39">
        <f t="shared" si="176"/>
        <v>157992929.59999999</v>
      </c>
      <c r="D5642" s="39">
        <f t="shared" si="177"/>
        <v>186206226</v>
      </c>
    </row>
    <row r="5643" spans="2:4" x14ac:dyDescent="0.25">
      <c r="B5643" s="89">
        <v>5639</v>
      </c>
      <c r="C5643" s="39">
        <f t="shared" si="176"/>
        <v>157992929.59999999</v>
      </c>
      <c r="D5643" s="39">
        <f t="shared" si="177"/>
        <v>186239253</v>
      </c>
    </row>
    <row r="5644" spans="2:4" x14ac:dyDescent="0.25">
      <c r="B5644" s="89">
        <v>5640</v>
      </c>
      <c r="C5644" s="39">
        <f t="shared" si="176"/>
        <v>157992929.59999999</v>
      </c>
      <c r="D5644" s="39">
        <f t="shared" si="177"/>
        <v>186272280</v>
      </c>
    </row>
    <row r="5645" spans="2:4" x14ac:dyDescent="0.25">
      <c r="B5645" s="89">
        <v>5641</v>
      </c>
      <c r="C5645" s="39">
        <f t="shared" ref="C5645:C5708" si="178">$C5644</f>
        <v>157992929.59999999</v>
      </c>
      <c r="D5645" s="39">
        <f t="shared" ref="D5645:D5708" si="179">$D$2*B5645</f>
        <v>186305307</v>
      </c>
    </row>
    <row r="5646" spans="2:4" x14ac:dyDescent="0.25">
      <c r="B5646" s="89">
        <v>5642</v>
      </c>
      <c r="C5646" s="39">
        <f t="shared" si="178"/>
        <v>157992929.59999999</v>
      </c>
      <c r="D5646" s="39">
        <f t="shared" si="179"/>
        <v>186338334</v>
      </c>
    </row>
    <row r="5647" spans="2:4" x14ac:dyDescent="0.25">
      <c r="B5647" s="89">
        <v>5643</v>
      </c>
      <c r="C5647" s="39">
        <f t="shared" si="178"/>
        <v>157992929.59999999</v>
      </c>
      <c r="D5647" s="39">
        <f t="shared" si="179"/>
        <v>186371361</v>
      </c>
    </row>
    <row r="5648" spans="2:4" x14ac:dyDescent="0.25">
      <c r="B5648" s="89">
        <v>5644</v>
      </c>
      <c r="C5648" s="39">
        <f t="shared" si="178"/>
        <v>157992929.59999999</v>
      </c>
      <c r="D5648" s="39">
        <f t="shared" si="179"/>
        <v>186404388</v>
      </c>
    </row>
    <row r="5649" spans="2:4" x14ac:dyDescent="0.25">
      <c r="B5649" s="89">
        <v>5645</v>
      </c>
      <c r="C5649" s="39">
        <f t="shared" si="178"/>
        <v>157992929.59999999</v>
      </c>
      <c r="D5649" s="39">
        <f t="shared" si="179"/>
        <v>186437415</v>
      </c>
    </row>
    <row r="5650" spans="2:4" x14ac:dyDescent="0.25">
      <c r="B5650" s="89">
        <v>5646</v>
      </c>
      <c r="C5650" s="39">
        <f t="shared" si="178"/>
        <v>157992929.59999999</v>
      </c>
      <c r="D5650" s="39">
        <f t="shared" si="179"/>
        <v>186470442</v>
      </c>
    </row>
    <row r="5651" spans="2:4" x14ac:dyDescent="0.25">
      <c r="B5651" s="89">
        <v>5647</v>
      </c>
      <c r="C5651" s="39">
        <f t="shared" si="178"/>
        <v>157992929.59999999</v>
      </c>
      <c r="D5651" s="39">
        <f t="shared" si="179"/>
        <v>186503469</v>
      </c>
    </row>
    <row r="5652" spans="2:4" x14ac:dyDescent="0.25">
      <c r="B5652" s="89">
        <v>5648</v>
      </c>
      <c r="C5652" s="39">
        <f t="shared" si="178"/>
        <v>157992929.59999999</v>
      </c>
      <c r="D5652" s="39">
        <f t="shared" si="179"/>
        <v>186536496</v>
      </c>
    </row>
    <row r="5653" spans="2:4" x14ac:dyDescent="0.25">
      <c r="B5653" s="89">
        <v>5649</v>
      </c>
      <c r="C5653" s="39">
        <f t="shared" si="178"/>
        <v>157992929.59999999</v>
      </c>
      <c r="D5653" s="39">
        <f t="shared" si="179"/>
        <v>186569523</v>
      </c>
    </row>
    <row r="5654" spans="2:4" x14ac:dyDescent="0.25">
      <c r="B5654" s="89">
        <v>5650</v>
      </c>
      <c r="C5654" s="39">
        <f t="shared" si="178"/>
        <v>157992929.59999999</v>
      </c>
      <c r="D5654" s="39">
        <f t="shared" si="179"/>
        <v>186602550</v>
      </c>
    </row>
    <row r="5655" spans="2:4" x14ac:dyDescent="0.25">
      <c r="B5655" s="89">
        <v>5651</v>
      </c>
      <c r="C5655" s="39">
        <f t="shared" si="178"/>
        <v>157992929.59999999</v>
      </c>
      <c r="D5655" s="39">
        <f t="shared" si="179"/>
        <v>186635577</v>
      </c>
    </row>
    <row r="5656" spans="2:4" x14ac:dyDescent="0.25">
      <c r="B5656" s="89">
        <v>5652</v>
      </c>
      <c r="C5656" s="39">
        <f t="shared" si="178"/>
        <v>157992929.59999999</v>
      </c>
      <c r="D5656" s="39">
        <f t="shared" si="179"/>
        <v>186668604</v>
      </c>
    </row>
    <row r="5657" spans="2:4" x14ac:dyDescent="0.25">
      <c r="B5657" s="89">
        <v>5653</v>
      </c>
      <c r="C5657" s="39">
        <f t="shared" si="178"/>
        <v>157992929.59999999</v>
      </c>
      <c r="D5657" s="39">
        <f t="shared" si="179"/>
        <v>186701631</v>
      </c>
    </row>
    <row r="5658" spans="2:4" x14ac:dyDescent="0.25">
      <c r="B5658" s="89">
        <v>5654</v>
      </c>
      <c r="C5658" s="39">
        <f t="shared" si="178"/>
        <v>157992929.59999999</v>
      </c>
      <c r="D5658" s="39">
        <f t="shared" si="179"/>
        <v>186734658</v>
      </c>
    </row>
    <row r="5659" spans="2:4" x14ac:dyDescent="0.25">
      <c r="B5659" s="89">
        <v>5655</v>
      </c>
      <c r="C5659" s="39">
        <f t="shared" si="178"/>
        <v>157992929.59999999</v>
      </c>
      <c r="D5659" s="39">
        <f t="shared" si="179"/>
        <v>186767685</v>
      </c>
    </row>
    <row r="5660" spans="2:4" x14ac:dyDescent="0.25">
      <c r="B5660" s="89">
        <v>5656</v>
      </c>
      <c r="C5660" s="39">
        <f t="shared" si="178"/>
        <v>157992929.59999999</v>
      </c>
      <c r="D5660" s="39">
        <f t="shared" si="179"/>
        <v>186800712</v>
      </c>
    </row>
    <row r="5661" spans="2:4" x14ac:dyDescent="0.25">
      <c r="B5661" s="89">
        <v>5657</v>
      </c>
      <c r="C5661" s="39">
        <f t="shared" si="178"/>
        <v>157992929.59999999</v>
      </c>
      <c r="D5661" s="39">
        <f t="shared" si="179"/>
        <v>186833739</v>
      </c>
    </row>
    <row r="5662" spans="2:4" x14ac:dyDescent="0.25">
      <c r="B5662" s="89">
        <v>5658</v>
      </c>
      <c r="C5662" s="39">
        <f t="shared" si="178"/>
        <v>157992929.59999999</v>
      </c>
      <c r="D5662" s="39">
        <f t="shared" si="179"/>
        <v>186866766</v>
      </c>
    </row>
    <row r="5663" spans="2:4" x14ac:dyDescent="0.25">
      <c r="B5663" s="89">
        <v>5659</v>
      </c>
      <c r="C5663" s="39">
        <f t="shared" si="178"/>
        <v>157992929.59999999</v>
      </c>
      <c r="D5663" s="39">
        <f t="shared" si="179"/>
        <v>186899793</v>
      </c>
    </row>
    <row r="5664" spans="2:4" x14ac:dyDescent="0.25">
      <c r="B5664" s="89">
        <v>5660</v>
      </c>
      <c r="C5664" s="39">
        <f t="shared" si="178"/>
        <v>157992929.59999999</v>
      </c>
      <c r="D5664" s="39">
        <f t="shared" si="179"/>
        <v>186932820</v>
      </c>
    </row>
    <row r="5665" spans="2:4" x14ac:dyDescent="0.25">
      <c r="B5665" s="89">
        <v>5661</v>
      </c>
      <c r="C5665" s="39">
        <f t="shared" si="178"/>
        <v>157992929.59999999</v>
      </c>
      <c r="D5665" s="39">
        <f t="shared" si="179"/>
        <v>186965847</v>
      </c>
    </row>
    <row r="5666" spans="2:4" x14ac:dyDescent="0.25">
      <c r="B5666" s="89">
        <v>5662</v>
      </c>
      <c r="C5666" s="39">
        <f t="shared" si="178"/>
        <v>157992929.59999999</v>
      </c>
      <c r="D5666" s="39">
        <f t="shared" si="179"/>
        <v>186998874</v>
      </c>
    </row>
    <row r="5667" spans="2:4" x14ac:dyDescent="0.25">
      <c r="B5667" s="89">
        <v>5663</v>
      </c>
      <c r="C5667" s="39">
        <f t="shared" si="178"/>
        <v>157992929.59999999</v>
      </c>
      <c r="D5667" s="39">
        <f t="shared" si="179"/>
        <v>187031901</v>
      </c>
    </row>
    <row r="5668" spans="2:4" x14ac:dyDescent="0.25">
      <c r="B5668" s="89">
        <v>5664</v>
      </c>
      <c r="C5668" s="39">
        <f t="shared" si="178"/>
        <v>157992929.59999999</v>
      </c>
      <c r="D5668" s="39">
        <f t="shared" si="179"/>
        <v>187064928</v>
      </c>
    </row>
    <row r="5669" spans="2:4" x14ac:dyDescent="0.25">
      <c r="B5669" s="89">
        <v>5665</v>
      </c>
      <c r="C5669" s="39">
        <f t="shared" si="178"/>
        <v>157992929.59999999</v>
      </c>
      <c r="D5669" s="39">
        <f t="shared" si="179"/>
        <v>187097955</v>
      </c>
    </row>
    <row r="5670" spans="2:4" x14ac:dyDescent="0.25">
      <c r="B5670" s="89">
        <v>5666</v>
      </c>
      <c r="C5670" s="39">
        <f t="shared" si="178"/>
        <v>157992929.59999999</v>
      </c>
      <c r="D5670" s="39">
        <f t="shared" si="179"/>
        <v>187130982</v>
      </c>
    </row>
    <row r="5671" spans="2:4" x14ac:dyDescent="0.25">
      <c r="B5671" s="89">
        <v>5667</v>
      </c>
      <c r="C5671" s="39">
        <f t="shared" si="178"/>
        <v>157992929.59999999</v>
      </c>
      <c r="D5671" s="39">
        <f t="shared" si="179"/>
        <v>187164009</v>
      </c>
    </row>
    <row r="5672" spans="2:4" x14ac:dyDescent="0.25">
      <c r="B5672" s="89">
        <v>5668</v>
      </c>
      <c r="C5672" s="39">
        <f t="shared" si="178"/>
        <v>157992929.59999999</v>
      </c>
      <c r="D5672" s="39">
        <f t="shared" si="179"/>
        <v>187197036</v>
      </c>
    </row>
    <row r="5673" spans="2:4" x14ac:dyDescent="0.25">
      <c r="B5673" s="89">
        <v>5669</v>
      </c>
      <c r="C5673" s="39">
        <f t="shared" si="178"/>
        <v>157992929.59999999</v>
      </c>
      <c r="D5673" s="39">
        <f t="shared" si="179"/>
        <v>187230063</v>
      </c>
    </row>
    <row r="5674" spans="2:4" x14ac:dyDescent="0.25">
      <c r="B5674" s="89">
        <v>5670</v>
      </c>
      <c r="C5674" s="39">
        <f t="shared" si="178"/>
        <v>157992929.59999999</v>
      </c>
      <c r="D5674" s="39">
        <f t="shared" si="179"/>
        <v>187263090</v>
      </c>
    </row>
    <row r="5675" spans="2:4" x14ac:dyDescent="0.25">
      <c r="B5675" s="89">
        <v>5671</v>
      </c>
      <c r="C5675" s="39">
        <f t="shared" si="178"/>
        <v>157992929.59999999</v>
      </c>
      <c r="D5675" s="39">
        <f t="shared" si="179"/>
        <v>187296117</v>
      </c>
    </row>
    <row r="5676" spans="2:4" x14ac:dyDescent="0.25">
      <c r="B5676" s="89">
        <v>5672</v>
      </c>
      <c r="C5676" s="39">
        <f t="shared" si="178"/>
        <v>157992929.59999999</v>
      </c>
      <c r="D5676" s="39">
        <f t="shared" si="179"/>
        <v>187329144</v>
      </c>
    </row>
    <row r="5677" spans="2:4" x14ac:dyDescent="0.25">
      <c r="B5677" s="89">
        <v>5673</v>
      </c>
      <c r="C5677" s="39">
        <f t="shared" si="178"/>
        <v>157992929.59999999</v>
      </c>
      <c r="D5677" s="39">
        <f t="shared" si="179"/>
        <v>187362171</v>
      </c>
    </row>
    <row r="5678" spans="2:4" x14ac:dyDescent="0.25">
      <c r="B5678" s="89">
        <v>5674</v>
      </c>
      <c r="C5678" s="39">
        <f t="shared" si="178"/>
        <v>157992929.59999999</v>
      </c>
      <c r="D5678" s="39">
        <f t="shared" si="179"/>
        <v>187395198</v>
      </c>
    </row>
    <row r="5679" spans="2:4" x14ac:dyDescent="0.25">
      <c r="B5679" s="89">
        <v>5675</v>
      </c>
      <c r="C5679" s="39">
        <f t="shared" si="178"/>
        <v>157992929.59999999</v>
      </c>
      <c r="D5679" s="39">
        <f t="shared" si="179"/>
        <v>187428225</v>
      </c>
    </row>
    <row r="5680" spans="2:4" x14ac:dyDescent="0.25">
      <c r="B5680" s="89">
        <v>5676</v>
      </c>
      <c r="C5680" s="39">
        <f t="shared" si="178"/>
        <v>157992929.59999999</v>
      </c>
      <c r="D5680" s="39">
        <f t="shared" si="179"/>
        <v>187461252</v>
      </c>
    </row>
    <row r="5681" spans="2:4" x14ac:dyDescent="0.25">
      <c r="B5681" s="89">
        <v>5677</v>
      </c>
      <c r="C5681" s="39">
        <f t="shared" si="178"/>
        <v>157992929.59999999</v>
      </c>
      <c r="D5681" s="39">
        <f t="shared" si="179"/>
        <v>187494279</v>
      </c>
    </row>
    <row r="5682" spans="2:4" x14ac:dyDescent="0.25">
      <c r="B5682" s="89">
        <v>5678</v>
      </c>
      <c r="C5682" s="39">
        <f t="shared" si="178"/>
        <v>157992929.59999999</v>
      </c>
      <c r="D5682" s="39">
        <f t="shared" si="179"/>
        <v>187527306</v>
      </c>
    </row>
    <row r="5683" spans="2:4" x14ac:dyDescent="0.25">
      <c r="B5683" s="89">
        <v>5679</v>
      </c>
      <c r="C5683" s="39">
        <f t="shared" si="178"/>
        <v>157992929.59999999</v>
      </c>
      <c r="D5683" s="39">
        <f t="shared" si="179"/>
        <v>187560333</v>
      </c>
    </row>
    <row r="5684" spans="2:4" x14ac:dyDescent="0.25">
      <c r="B5684" s="89">
        <v>5680</v>
      </c>
      <c r="C5684" s="39">
        <f t="shared" si="178"/>
        <v>157992929.59999999</v>
      </c>
      <c r="D5684" s="39">
        <f t="shared" si="179"/>
        <v>187593360</v>
      </c>
    </row>
    <row r="5685" spans="2:4" x14ac:dyDescent="0.25">
      <c r="B5685" s="89">
        <v>5681</v>
      </c>
      <c r="C5685" s="39">
        <f t="shared" si="178"/>
        <v>157992929.59999999</v>
      </c>
      <c r="D5685" s="39">
        <f t="shared" si="179"/>
        <v>187626387</v>
      </c>
    </row>
    <row r="5686" spans="2:4" x14ac:dyDescent="0.25">
      <c r="B5686" s="89">
        <v>5682</v>
      </c>
      <c r="C5686" s="39">
        <f t="shared" si="178"/>
        <v>157992929.59999999</v>
      </c>
      <c r="D5686" s="39">
        <f t="shared" si="179"/>
        <v>187659414</v>
      </c>
    </row>
    <row r="5687" spans="2:4" x14ac:dyDescent="0.25">
      <c r="B5687" s="89">
        <v>5683</v>
      </c>
      <c r="C5687" s="39">
        <f t="shared" si="178"/>
        <v>157992929.59999999</v>
      </c>
      <c r="D5687" s="39">
        <f t="shared" si="179"/>
        <v>187692441</v>
      </c>
    </row>
    <row r="5688" spans="2:4" x14ac:dyDescent="0.25">
      <c r="B5688" s="89">
        <v>5684</v>
      </c>
      <c r="C5688" s="39">
        <f t="shared" si="178"/>
        <v>157992929.59999999</v>
      </c>
      <c r="D5688" s="39">
        <f t="shared" si="179"/>
        <v>187725468</v>
      </c>
    </row>
    <row r="5689" spans="2:4" x14ac:dyDescent="0.25">
      <c r="B5689" s="89">
        <v>5685</v>
      </c>
      <c r="C5689" s="39">
        <f t="shared" si="178"/>
        <v>157992929.59999999</v>
      </c>
      <c r="D5689" s="39">
        <f t="shared" si="179"/>
        <v>187758495</v>
      </c>
    </row>
    <row r="5690" spans="2:4" x14ac:dyDescent="0.25">
      <c r="B5690" s="89">
        <v>5686</v>
      </c>
      <c r="C5690" s="39">
        <f t="shared" si="178"/>
        <v>157992929.59999999</v>
      </c>
      <c r="D5690" s="39">
        <f t="shared" si="179"/>
        <v>187791522</v>
      </c>
    </row>
    <row r="5691" spans="2:4" x14ac:dyDescent="0.25">
      <c r="B5691" s="89">
        <v>5687</v>
      </c>
      <c r="C5691" s="39">
        <f t="shared" si="178"/>
        <v>157992929.59999999</v>
      </c>
      <c r="D5691" s="39">
        <f t="shared" si="179"/>
        <v>187824549</v>
      </c>
    </row>
    <row r="5692" spans="2:4" x14ac:dyDescent="0.25">
      <c r="B5692" s="89">
        <v>5688</v>
      </c>
      <c r="C5692" s="39">
        <f t="shared" si="178"/>
        <v>157992929.59999999</v>
      </c>
      <c r="D5692" s="39">
        <f t="shared" si="179"/>
        <v>187857576</v>
      </c>
    </row>
    <row r="5693" spans="2:4" x14ac:dyDescent="0.25">
      <c r="B5693" s="89">
        <v>5689</v>
      </c>
      <c r="C5693" s="39">
        <f t="shared" si="178"/>
        <v>157992929.59999999</v>
      </c>
      <c r="D5693" s="39">
        <f t="shared" si="179"/>
        <v>187890603</v>
      </c>
    </row>
    <row r="5694" spans="2:4" x14ac:dyDescent="0.25">
      <c r="B5694" s="89">
        <v>5690</v>
      </c>
      <c r="C5694" s="39">
        <f t="shared" si="178"/>
        <v>157992929.59999999</v>
      </c>
      <c r="D5694" s="39">
        <f t="shared" si="179"/>
        <v>187923630</v>
      </c>
    </row>
    <row r="5695" spans="2:4" x14ac:dyDescent="0.25">
      <c r="B5695" s="89">
        <v>5691</v>
      </c>
      <c r="C5695" s="39">
        <f t="shared" si="178"/>
        <v>157992929.59999999</v>
      </c>
      <c r="D5695" s="39">
        <f t="shared" si="179"/>
        <v>187956657</v>
      </c>
    </row>
    <row r="5696" spans="2:4" x14ac:dyDescent="0.25">
      <c r="B5696" s="89">
        <v>5692</v>
      </c>
      <c r="C5696" s="39">
        <f t="shared" si="178"/>
        <v>157992929.59999999</v>
      </c>
      <c r="D5696" s="39">
        <f t="shared" si="179"/>
        <v>187989684</v>
      </c>
    </row>
    <row r="5697" spans="2:4" x14ac:dyDescent="0.25">
      <c r="B5697" s="89">
        <v>5693</v>
      </c>
      <c r="C5697" s="39">
        <f t="shared" si="178"/>
        <v>157992929.59999999</v>
      </c>
      <c r="D5697" s="39">
        <f t="shared" si="179"/>
        <v>188022711</v>
      </c>
    </row>
    <row r="5698" spans="2:4" x14ac:dyDescent="0.25">
      <c r="B5698" s="89">
        <v>5694</v>
      </c>
      <c r="C5698" s="39">
        <f t="shared" si="178"/>
        <v>157992929.59999999</v>
      </c>
      <c r="D5698" s="39">
        <f t="shared" si="179"/>
        <v>188055738</v>
      </c>
    </row>
    <row r="5699" spans="2:4" x14ac:dyDescent="0.25">
      <c r="B5699" s="89">
        <v>5695</v>
      </c>
      <c r="C5699" s="39">
        <f t="shared" si="178"/>
        <v>157992929.59999999</v>
      </c>
      <c r="D5699" s="39">
        <f t="shared" si="179"/>
        <v>188088765</v>
      </c>
    </row>
    <row r="5700" spans="2:4" x14ac:dyDescent="0.25">
      <c r="B5700" s="89">
        <v>5696</v>
      </c>
      <c r="C5700" s="39">
        <f t="shared" si="178"/>
        <v>157992929.59999999</v>
      </c>
      <c r="D5700" s="39">
        <f t="shared" si="179"/>
        <v>188121792</v>
      </c>
    </row>
    <row r="5701" spans="2:4" x14ac:dyDescent="0.25">
      <c r="B5701" s="89">
        <v>5697</v>
      </c>
      <c r="C5701" s="39">
        <f t="shared" si="178"/>
        <v>157992929.59999999</v>
      </c>
      <c r="D5701" s="39">
        <f t="shared" si="179"/>
        <v>188154819</v>
      </c>
    </row>
    <row r="5702" spans="2:4" x14ac:dyDescent="0.25">
      <c r="B5702" s="89">
        <v>5698</v>
      </c>
      <c r="C5702" s="39">
        <f t="shared" si="178"/>
        <v>157992929.59999999</v>
      </c>
      <c r="D5702" s="39">
        <f t="shared" si="179"/>
        <v>188187846</v>
      </c>
    </row>
    <row r="5703" spans="2:4" x14ac:dyDescent="0.25">
      <c r="B5703" s="89">
        <v>5699</v>
      </c>
      <c r="C5703" s="39">
        <f t="shared" si="178"/>
        <v>157992929.59999999</v>
      </c>
      <c r="D5703" s="39">
        <f t="shared" si="179"/>
        <v>188220873</v>
      </c>
    </row>
    <row r="5704" spans="2:4" x14ac:dyDescent="0.25">
      <c r="B5704" s="89">
        <v>5700</v>
      </c>
      <c r="C5704" s="39">
        <f t="shared" si="178"/>
        <v>157992929.59999999</v>
      </c>
      <c r="D5704" s="39">
        <f t="shared" si="179"/>
        <v>188253900</v>
      </c>
    </row>
    <row r="5705" spans="2:4" x14ac:dyDescent="0.25">
      <c r="B5705" s="89">
        <v>5701</v>
      </c>
      <c r="C5705" s="39">
        <f t="shared" si="178"/>
        <v>157992929.59999999</v>
      </c>
      <c r="D5705" s="39">
        <f t="shared" si="179"/>
        <v>188286927</v>
      </c>
    </row>
    <row r="5706" spans="2:4" x14ac:dyDescent="0.25">
      <c r="B5706" s="89">
        <v>5702</v>
      </c>
      <c r="C5706" s="39">
        <f t="shared" si="178"/>
        <v>157992929.59999999</v>
      </c>
      <c r="D5706" s="39">
        <f t="shared" si="179"/>
        <v>188319954</v>
      </c>
    </row>
    <row r="5707" spans="2:4" x14ac:dyDescent="0.25">
      <c r="B5707" s="89">
        <v>5703</v>
      </c>
      <c r="C5707" s="39">
        <f t="shared" si="178"/>
        <v>157992929.59999999</v>
      </c>
      <c r="D5707" s="39">
        <f t="shared" si="179"/>
        <v>188352981</v>
      </c>
    </row>
    <row r="5708" spans="2:4" x14ac:dyDescent="0.25">
      <c r="B5708" s="89">
        <v>5704</v>
      </c>
      <c r="C5708" s="39">
        <f t="shared" si="178"/>
        <v>157992929.59999999</v>
      </c>
      <c r="D5708" s="39">
        <f t="shared" si="179"/>
        <v>188386008</v>
      </c>
    </row>
    <row r="5709" spans="2:4" x14ac:dyDescent="0.25">
      <c r="B5709" s="89">
        <v>5705</v>
      </c>
      <c r="C5709" s="39">
        <f t="shared" ref="C5709:C5772" si="180">$C5708</f>
        <v>157992929.59999999</v>
      </c>
      <c r="D5709" s="39">
        <f t="shared" ref="D5709:D5772" si="181">$D$2*B5709</f>
        <v>188419035</v>
      </c>
    </row>
    <row r="5710" spans="2:4" x14ac:dyDescent="0.25">
      <c r="B5710" s="89">
        <v>5706</v>
      </c>
      <c r="C5710" s="39">
        <f t="shared" si="180"/>
        <v>157992929.59999999</v>
      </c>
      <c r="D5710" s="39">
        <f t="shared" si="181"/>
        <v>188452062</v>
      </c>
    </row>
    <row r="5711" spans="2:4" x14ac:dyDescent="0.25">
      <c r="B5711" s="89">
        <v>5707</v>
      </c>
      <c r="C5711" s="39">
        <f t="shared" si="180"/>
        <v>157992929.59999999</v>
      </c>
      <c r="D5711" s="39">
        <f t="shared" si="181"/>
        <v>188485089</v>
      </c>
    </row>
    <row r="5712" spans="2:4" x14ac:dyDescent="0.25">
      <c r="B5712" s="89">
        <v>5708</v>
      </c>
      <c r="C5712" s="39">
        <f t="shared" si="180"/>
        <v>157992929.59999999</v>
      </c>
      <c r="D5712" s="39">
        <f t="shared" si="181"/>
        <v>188518116</v>
      </c>
    </row>
    <row r="5713" spans="2:4" x14ac:dyDescent="0.25">
      <c r="B5713" s="89">
        <v>5709</v>
      </c>
      <c r="C5713" s="39">
        <f t="shared" si="180"/>
        <v>157992929.59999999</v>
      </c>
      <c r="D5713" s="39">
        <f t="shared" si="181"/>
        <v>188551143</v>
      </c>
    </row>
    <row r="5714" spans="2:4" x14ac:dyDescent="0.25">
      <c r="B5714" s="89">
        <v>5710</v>
      </c>
      <c r="C5714" s="39">
        <f t="shared" si="180"/>
        <v>157992929.59999999</v>
      </c>
      <c r="D5714" s="39">
        <f t="shared" si="181"/>
        <v>188584170</v>
      </c>
    </row>
    <row r="5715" spans="2:4" x14ac:dyDescent="0.25">
      <c r="B5715" s="89">
        <v>5711</v>
      </c>
      <c r="C5715" s="39">
        <f t="shared" si="180"/>
        <v>157992929.59999999</v>
      </c>
      <c r="D5715" s="39">
        <f t="shared" si="181"/>
        <v>188617197</v>
      </c>
    </row>
    <row r="5716" spans="2:4" x14ac:dyDescent="0.25">
      <c r="B5716" s="89">
        <v>5712</v>
      </c>
      <c r="C5716" s="39">
        <f t="shared" si="180"/>
        <v>157992929.59999999</v>
      </c>
      <c r="D5716" s="39">
        <f t="shared" si="181"/>
        <v>188650224</v>
      </c>
    </row>
    <row r="5717" spans="2:4" x14ac:dyDescent="0.25">
      <c r="B5717" s="89">
        <v>5713</v>
      </c>
      <c r="C5717" s="39">
        <f t="shared" si="180"/>
        <v>157992929.59999999</v>
      </c>
      <c r="D5717" s="39">
        <f t="shared" si="181"/>
        <v>188683251</v>
      </c>
    </row>
    <row r="5718" spans="2:4" x14ac:dyDescent="0.25">
      <c r="B5718" s="89">
        <v>5714</v>
      </c>
      <c r="C5718" s="39">
        <f t="shared" si="180"/>
        <v>157992929.59999999</v>
      </c>
      <c r="D5718" s="39">
        <f t="shared" si="181"/>
        <v>188716278</v>
      </c>
    </row>
    <row r="5719" spans="2:4" x14ac:dyDescent="0.25">
      <c r="B5719" s="89">
        <v>5715</v>
      </c>
      <c r="C5719" s="39">
        <f t="shared" si="180"/>
        <v>157992929.59999999</v>
      </c>
      <c r="D5719" s="39">
        <f t="shared" si="181"/>
        <v>188749305</v>
      </c>
    </row>
    <row r="5720" spans="2:4" x14ac:dyDescent="0.25">
      <c r="B5720" s="89">
        <v>5716</v>
      </c>
      <c r="C5720" s="39">
        <f t="shared" si="180"/>
        <v>157992929.59999999</v>
      </c>
      <c r="D5720" s="39">
        <f t="shared" si="181"/>
        <v>188782332</v>
      </c>
    </row>
    <row r="5721" spans="2:4" x14ac:dyDescent="0.25">
      <c r="B5721" s="89">
        <v>5717</v>
      </c>
      <c r="C5721" s="39">
        <f t="shared" si="180"/>
        <v>157992929.59999999</v>
      </c>
      <c r="D5721" s="39">
        <f t="shared" si="181"/>
        <v>188815359</v>
      </c>
    </row>
    <row r="5722" spans="2:4" x14ac:dyDescent="0.25">
      <c r="B5722" s="89">
        <v>5718</v>
      </c>
      <c r="C5722" s="39">
        <f t="shared" si="180"/>
        <v>157992929.59999999</v>
      </c>
      <c r="D5722" s="39">
        <f t="shared" si="181"/>
        <v>188848386</v>
      </c>
    </row>
    <row r="5723" spans="2:4" x14ac:dyDescent="0.25">
      <c r="B5723" s="89">
        <v>5719</v>
      </c>
      <c r="C5723" s="39">
        <f t="shared" si="180"/>
        <v>157992929.59999999</v>
      </c>
      <c r="D5723" s="39">
        <f t="shared" si="181"/>
        <v>188881413</v>
      </c>
    </row>
    <row r="5724" spans="2:4" x14ac:dyDescent="0.25">
      <c r="B5724" s="89">
        <v>5720</v>
      </c>
      <c r="C5724" s="39">
        <f t="shared" si="180"/>
        <v>157992929.59999999</v>
      </c>
      <c r="D5724" s="39">
        <f t="shared" si="181"/>
        <v>188914440</v>
      </c>
    </row>
    <row r="5725" spans="2:4" x14ac:dyDescent="0.25">
      <c r="B5725" s="89">
        <v>5721</v>
      </c>
      <c r="C5725" s="39">
        <f t="shared" si="180"/>
        <v>157992929.59999999</v>
      </c>
      <c r="D5725" s="39">
        <f t="shared" si="181"/>
        <v>188947467</v>
      </c>
    </row>
    <row r="5726" spans="2:4" x14ac:dyDescent="0.25">
      <c r="B5726" s="89">
        <v>5722</v>
      </c>
      <c r="C5726" s="39">
        <f t="shared" si="180"/>
        <v>157992929.59999999</v>
      </c>
      <c r="D5726" s="39">
        <f t="shared" si="181"/>
        <v>188980494</v>
      </c>
    </row>
    <row r="5727" spans="2:4" x14ac:dyDescent="0.25">
      <c r="B5727" s="89">
        <v>5723</v>
      </c>
      <c r="C5727" s="39">
        <f t="shared" si="180"/>
        <v>157992929.59999999</v>
      </c>
      <c r="D5727" s="39">
        <f t="shared" si="181"/>
        <v>189013521</v>
      </c>
    </row>
    <row r="5728" spans="2:4" x14ac:dyDescent="0.25">
      <c r="B5728" s="89">
        <v>5724</v>
      </c>
      <c r="C5728" s="39">
        <f t="shared" si="180"/>
        <v>157992929.59999999</v>
      </c>
      <c r="D5728" s="39">
        <f t="shared" si="181"/>
        <v>189046548</v>
      </c>
    </row>
    <row r="5729" spans="2:4" x14ac:dyDescent="0.25">
      <c r="B5729" s="89">
        <v>5725</v>
      </c>
      <c r="C5729" s="39">
        <f t="shared" si="180"/>
        <v>157992929.59999999</v>
      </c>
      <c r="D5729" s="39">
        <f t="shared" si="181"/>
        <v>189079575</v>
      </c>
    </row>
    <row r="5730" spans="2:4" x14ac:dyDescent="0.25">
      <c r="B5730" s="89">
        <v>5726</v>
      </c>
      <c r="C5730" s="39">
        <f t="shared" si="180"/>
        <v>157992929.59999999</v>
      </c>
      <c r="D5730" s="39">
        <f t="shared" si="181"/>
        <v>189112602</v>
      </c>
    </row>
    <row r="5731" spans="2:4" x14ac:dyDescent="0.25">
      <c r="B5731" s="89">
        <v>5727</v>
      </c>
      <c r="C5731" s="39">
        <f t="shared" si="180"/>
        <v>157992929.59999999</v>
      </c>
      <c r="D5731" s="39">
        <f t="shared" si="181"/>
        <v>189145629</v>
      </c>
    </row>
    <row r="5732" spans="2:4" x14ac:dyDescent="0.25">
      <c r="B5732" s="89">
        <v>5728</v>
      </c>
      <c r="C5732" s="39">
        <f t="shared" si="180"/>
        <v>157992929.59999999</v>
      </c>
      <c r="D5732" s="39">
        <f t="shared" si="181"/>
        <v>189178656</v>
      </c>
    </row>
    <row r="5733" spans="2:4" x14ac:dyDescent="0.25">
      <c r="B5733" s="89">
        <v>5729</v>
      </c>
      <c r="C5733" s="39">
        <f t="shared" si="180"/>
        <v>157992929.59999999</v>
      </c>
      <c r="D5733" s="39">
        <f t="shared" si="181"/>
        <v>189211683</v>
      </c>
    </row>
    <row r="5734" spans="2:4" x14ac:dyDescent="0.25">
      <c r="B5734" s="89">
        <v>5730</v>
      </c>
      <c r="C5734" s="39">
        <f t="shared" si="180"/>
        <v>157992929.59999999</v>
      </c>
      <c r="D5734" s="39">
        <f t="shared" si="181"/>
        <v>189244710</v>
      </c>
    </row>
    <row r="5735" spans="2:4" x14ac:dyDescent="0.25">
      <c r="B5735" s="89">
        <v>5731</v>
      </c>
      <c r="C5735" s="39">
        <f t="shared" si="180"/>
        <v>157992929.59999999</v>
      </c>
      <c r="D5735" s="39">
        <f t="shared" si="181"/>
        <v>189277737</v>
      </c>
    </row>
    <row r="5736" spans="2:4" x14ac:dyDescent="0.25">
      <c r="B5736" s="89">
        <v>5732</v>
      </c>
      <c r="C5736" s="39">
        <f t="shared" si="180"/>
        <v>157992929.59999999</v>
      </c>
      <c r="D5736" s="39">
        <f t="shared" si="181"/>
        <v>189310764</v>
      </c>
    </row>
    <row r="5737" spans="2:4" x14ac:dyDescent="0.25">
      <c r="B5737" s="89">
        <v>5733</v>
      </c>
      <c r="C5737" s="39">
        <f t="shared" si="180"/>
        <v>157992929.59999999</v>
      </c>
      <c r="D5737" s="39">
        <f t="shared" si="181"/>
        <v>189343791</v>
      </c>
    </row>
    <row r="5738" spans="2:4" x14ac:dyDescent="0.25">
      <c r="B5738" s="89">
        <v>5734</v>
      </c>
      <c r="C5738" s="39">
        <f t="shared" si="180"/>
        <v>157992929.59999999</v>
      </c>
      <c r="D5738" s="39">
        <f t="shared" si="181"/>
        <v>189376818</v>
      </c>
    </row>
    <row r="5739" spans="2:4" x14ac:dyDescent="0.25">
      <c r="B5739" s="89">
        <v>5735</v>
      </c>
      <c r="C5739" s="39">
        <f t="shared" si="180"/>
        <v>157992929.59999999</v>
      </c>
      <c r="D5739" s="39">
        <f t="shared" si="181"/>
        <v>189409845</v>
      </c>
    </row>
    <row r="5740" spans="2:4" x14ac:dyDescent="0.25">
      <c r="B5740" s="89">
        <v>5736</v>
      </c>
      <c r="C5740" s="39">
        <f t="shared" si="180"/>
        <v>157992929.59999999</v>
      </c>
      <c r="D5740" s="39">
        <f t="shared" si="181"/>
        <v>189442872</v>
      </c>
    </row>
    <row r="5741" spans="2:4" x14ac:dyDescent="0.25">
      <c r="B5741" s="89">
        <v>5737</v>
      </c>
      <c r="C5741" s="39">
        <f t="shared" si="180"/>
        <v>157992929.59999999</v>
      </c>
      <c r="D5741" s="39">
        <f t="shared" si="181"/>
        <v>189475899</v>
      </c>
    </row>
    <row r="5742" spans="2:4" x14ac:dyDescent="0.25">
      <c r="B5742" s="89">
        <v>5738</v>
      </c>
      <c r="C5742" s="39">
        <f t="shared" si="180"/>
        <v>157992929.59999999</v>
      </c>
      <c r="D5742" s="39">
        <f t="shared" si="181"/>
        <v>189508926</v>
      </c>
    </row>
    <row r="5743" spans="2:4" x14ac:dyDescent="0.25">
      <c r="B5743" s="89">
        <v>5739</v>
      </c>
      <c r="C5743" s="39">
        <f t="shared" si="180"/>
        <v>157992929.59999999</v>
      </c>
      <c r="D5743" s="39">
        <f t="shared" si="181"/>
        <v>189541953</v>
      </c>
    </row>
    <row r="5744" spans="2:4" x14ac:dyDescent="0.25">
      <c r="B5744" s="89">
        <v>5740</v>
      </c>
      <c r="C5744" s="39">
        <f t="shared" si="180"/>
        <v>157992929.59999999</v>
      </c>
      <c r="D5744" s="39">
        <f t="shared" si="181"/>
        <v>189574980</v>
      </c>
    </row>
    <row r="5745" spans="2:4" x14ac:dyDescent="0.25">
      <c r="B5745" s="89">
        <v>5741</v>
      </c>
      <c r="C5745" s="39">
        <f t="shared" si="180"/>
        <v>157992929.59999999</v>
      </c>
      <c r="D5745" s="39">
        <f t="shared" si="181"/>
        <v>189608007</v>
      </c>
    </row>
    <row r="5746" spans="2:4" x14ac:dyDescent="0.25">
      <c r="B5746" s="89">
        <v>5742</v>
      </c>
      <c r="C5746" s="39">
        <f t="shared" si="180"/>
        <v>157992929.59999999</v>
      </c>
      <c r="D5746" s="39">
        <f t="shared" si="181"/>
        <v>189641034</v>
      </c>
    </row>
    <row r="5747" spans="2:4" x14ac:dyDescent="0.25">
      <c r="B5747" s="89">
        <v>5743</v>
      </c>
      <c r="C5747" s="39">
        <f t="shared" si="180"/>
        <v>157992929.59999999</v>
      </c>
      <c r="D5747" s="39">
        <f t="shared" si="181"/>
        <v>189674061</v>
      </c>
    </row>
    <row r="5748" spans="2:4" x14ac:dyDescent="0.25">
      <c r="B5748" s="89">
        <v>5744</v>
      </c>
      <c r="C5748" s="39">
        <f t="shared" si="180"/>
        <v>157992929.59999999</v>
      </c>
      <c r="D5748" s="39">
        <f t="shared" si="181"/>
        <v>189707088</v>
      </c>
    </row>
    <row r="5749" spans="2:4" x14ac:dyDescent="0.25">
      <c r="B5749" s="89">
        <v>5745</v>
      </c>
      <c r="C5749" s="39">
        <f t="shared" si="180"/>
        <v>157992929.59999999</v>
      </c>
      <c r="D5749" s="39">
        <f t="shared" si="181"/>
        <v>189740115</v>
      </c>
    </row>
    <row r="5750" spans="2:4" x14ac:dyDescent="0.25">
      <c r="B5750" s="89">
        <v>5746</v>
      </c>
      <c r="C5750" s="39">
        <f t="shared" si="180"/>
        <v>157992929.59999999</v>
      </c>
      <c r="D5750" s="39">
        <f t="shared" si="181"/>
        <v>189773142</v>
      </c>
    </row>
    <row r="5751" spans="2:4" x14ac:dyDescent="0.25">
      <c r="B5751" s="89">
        <v>5747</v>
      </c>
      <c r="C5751" s="39">
        <f t="shared" si="180"/>
        <v>157992929.59999999</v>
      </c>
      <c r="D5751" s="39">
        <f t="shared" si="181"/>
        <v>189806169</v>
      </c>
    </row>
    <row r="5752" spans="2:4" x14ac:dyDescent="0.25">
      <c r="B5752" s="89">
        <v>5748</v>
      </c>
      <c r="C5752" s="39">
        <f t="shared" si="180"/>
        <v>157992929.59999999</v>
      </c>
      <c r="D5752" s="39">
        <f t="shared" si="181"/>
        <v>189839196</v>
      </c>
    </row>
    <row r="5753" spans="2:4" x14ac:dyDescent="0.25">
      <c r="B5753" s="89">
        <v>5749</v>
      </c>
      <c r="C5753" s="39">
        <f t="shared" si="180"/>
        <v>157992929.59999999</v>
      </c>
      <c r="D5753" s="39">
        <f t="shared" si="181"/>
        <v>189872223</v>
      </c>
    </row>
    <row r="5754" spans="2:4" x14ac:dyDescent="0.25">
      <c r="B5754" s="89">
        <v>5750</v>
      </c>
      <c r="C5754" s="39">
        <f t="shared" si="180"/>
        <v>157992929.59999999</v>
      </c>
      <c r="D5754" s="39">
        <f t="shared" si="181"/>
        <v>189905250</v>
      </c>
    </row>
    <row r="5755" spans="2:4" x14ac:dyDescent="0.25">
      <c r="B5755" s="89">
        <v>5751</v>
      </c>
      <c r="C5755" s="39">
        <f t="shared" si="180"/>
        <v>157992929.59999999</v>
      </c>
      <c r="D5755" s="39">
        <f t="shared" si="181"/>
        <v>189938277</v>
      </c>
    </row>
    <row r="5756" spans="2:4" x14ac:dyDescent="0.25">
      <c r="B5756" s="89">
        <v>5752</v>
      </c>
      <c r="C5756" s="39">
        <f t="shared" si="180"/>
        <v>157992929.59999999</v>
      </c>
      <c r="D5756" s="39">
        <f t="shared" si="181"/>
        <v>189971304</v>
      </c>
    </row>
    <row r="5757" spans="2:4" x14ac:dyDescent="0.25">
      <c r="B5757" s="89">
        <v>5753</v>
      </c>
      <c r="C5757" s="39">
        <f t="shared" si="180"/>
        <v>157992929.59999999</v>
      </c>
      <c r="D5757" s="39">
        <f t="shared" si="181"/>
        <v>190004331</v>
      </c>
    </row>
    <row r="5758" spans="2:4" x14ac:dyDescent="0.25">
      <c r="B5758" s="89">
        <v>5754</v>
      </c>
      <c r="C5758" s="39">
        <f t="shared" si="180"/>
        <v>157992929.59999999</v>
      </c>
      <c r="D5758" s="39">
        <f t="shared" si="181"/>
        <v>190037358</v>
      </c>
    </row>
    <row r="5759" spans="2:4" x14ac:dyDescent="0.25">
      <c r="B5759" s="89">
        <v>5755</v>
      </c>
      <c r="C5759" s="39">
        <f t="shared" si="180"/>
        <v>157992929.59999999</v>
      </c>
      <c r="D5759" s="39">
        <f t="shared" si="181"/>
        <v>190070385</v>
      </c>
    </row>
    <row r="5760" spans="2:4" x14ac:dyDescent="0.25">
      <c r="B5760" s="89">
        <v>5756</v>
      </c>
      <c r="C5760" s="39">
        <f t="shared" si="180"/>
        <v>157992929.59999999</v>
      </c>
      <c r="D5760" s="39">
        <f t="shared" si="181"/>
        <v>190103412</v>
      </c>
    </row>
    <row r="5761" spans="2:4" x14ac:dyDescent="0.25">
      <c r="B5761" s="89">
        <v>5757</v>
      </c>
      <c r="C5761" s="39">
        <f t="shared" si="180"/>
        <v>157992929.59999999</v>
      </c>
      <c r="D5761" s="39">
        <f t="shared" si="181"/>
        <v>190136439</v>
      </c>
    </row>
    <row r="5762" spans="2:4" x14ac:dyDescent="0.25">
      <c r="B5762" s="89">
        <v>5758</v>
      </c>
      <c r="C5762" s="39">
        <f t="shared" si="180"/>
        <v>157992929.59999999</v>
      </c>
      <c r="D5762" s="39">
        <f t="shared" si="181"/>
        <v>190169466</v>
      </c>
    </row>
    <row r="5763" spans="2:4" x14ac:dyDescent="0.25">
      <c r="B5763" s="89">
        <v>5759</v>
      </c>
      <c r="C5763" s="39">
        <f t="shared" si="180"/>
        <v>157992929.59999999</v>
      </c>
      <c r="D5763" s="39">
        <f t="shared" si="181"/>
        <v>190202493</v>
      </c>
    </row>
    <row r="5764" spans="2:4" x14ac:dyDescent="0.25">
      <c r="B5764" s="89">
        <v>5760</v>
      </c>
      <c r="C5764" s="39">
        <f t="shared" si="180"/>
        <v>157992929.59999999</v>
      </c>
      <c r="D5764" s="39">
        <f t="shared" si="181"/>
        <v>190235520</v>
      </c>
    </row>
    <row r="5765" spans="2:4" x14ac:dyDescent="0.25">
      <c r="B5765" s="89">
        <v>5761</v>
      </c>
      <c r="C5765" s="39">
        <f t="shared" si="180"/>
        <v>157992929.59999999</v>
      </c>
      <c r="D5765" s="39">
        <f t="shared" si="181"/>
        <v>190268547</v>
      </c>
    </row>
    <row r="5766" spans="2:4" x14ac:dyDescent="0.25">
      <c r="B5766" s="89">
        <v>5762</v>
      </c>
      <c r="C5766" s="39">
        <f t="shared" si="180"/>
        <v>157992929.59999999</v>
      </c>
      <c r="D5766" s="39">
        <f t="shared" si="181"/>
        <v>190301574</v>
      </c>
    </row>
    <row r="5767" spans="2:4" x14ac:dyDescent="0.25">
      <c r="B5767" s="89">
        <v>5763</v>
      </c>
      <c r="C5767" s="39">
        <f t="shared" si="180"/>
        <v>157992929.59999999</v>
      </c>
      <c r="D5767" s="39">
        <f t="shared" si="181"/>
        <v>190334601</v>
      </c>
    </row>
    <row r="5768" spans="2:4" x14ac:dyDescent="0.25">
      <c r="B5768" s="89">
        <v>5764</v>
      </c>
      <c r="C5768" s="39">
        <f t="shared" si="180"/>
        <v>157992929.59999999</v>
      </c>
      <c r="D5768" s="39">
        <f t="shared" si="181"/>
        <v>190367628</v>
      </c>
    </row>
    <row r="5769" spans="2:4" x14ac:dyDescent="0.25">
      <c r="B5769" s="89">
        <v>5765</v>
      </c>
      <c r="C5769" s="39">
        <f t="shared" si="180"/>
        <v>157992929.59999999</v>
      </c>
      <c r="D5769" s="39">
        <f t="shared" si="181"/>
        <v>190400655</v>
      </c>
    </row>
    <row r="5770" spans="2:4" x14ac:dyDescent="0.25">
      <c r="B5770" s="89">
        <v>5766</v>
      </c>
      <c r="C5770" s="39">
        <f t="shared" si="180"/>
        <v>157992929.59999999</v>
      </c>
      <c r="D5770" s="39">
        <f t="shared" si="181"/>
        <v>190433682</v>
      </c>
    </row>
    <row r="5771" spans="2:4" x14ac:dyDescent="0.25">
      <c r="B5771" s="89">
        <v>5767</v>
      </c>
      <c r="C5771" s="39">
        <f t="shared" si="180"/>
        <v>157992929.59999999</v>
      </c>
      <c r="D5771" s="39">
        <f t="shared" si="181"/>
        <v>190466709</v>
      </c>
    </row>
    <row r="5772" spans="2:4" x14ac:dyDescent="0.25">
      <c r="B5772" s="89">
        <v>5768</v>
      </c>
      <c r="C5772" s="39">
        <f t="shared" si="180"/>
        <v>157992929.59999999</v>
      </c>
      <c r="D5772" s="39">
        <f t="shared" si="181"/>
        <v>190499736</v>
      </c>
    </row>
    <row r="5773" spans="2:4" x14ac:dyDescent="0.25">
      <c r="B5773" s="89">
        <v>5769</v>
      </c>
      <c r="C5773" s="39">
        <f t="shared" ref="C5773:C5836" si="182">$C5772</f>
        <v>157992929.59999999</v>
      </c>
      <c r="D5773" s="39">
        <f t="shared" ref="D5773:D5836" si="183">$D$2*B5773</f>
        <v>190532763</v>
      </c>
    </row>
    <row r="5774" spans="2:4" x14ac:dyDescent="0.25">
      <c r="B5774" s="89">
        <v>5770</v>
      </c>
      <c r="C5774" s="39">
        <f t="shared" si="182"/>
        <v>157992929.59999999</v>
      </c>
      <c r="D5774" s="39">
        <f t="shared" si="183"/>
        <v>190565790</v>
      </c>
    </row>
    <row r="5775" spans="2:4" x14ac:dyDescent="0.25">
      <c r="B5775" s="89">
        <v>5771</v>
      </c>
      <c r="C5775" s="39">
        <f t="shared" si="182"/>
        <v>157992929.59999999</v>
      </c>
      <c r="D5775" s="39">
        <f t="shared" si="183"/>
        <v>190598817</v>
      </c>
    </row>
    <row r="5776" spans="2:4" x14ac:dyDescent="0.25">
      <c r="B5776" s="89">
        <v>5772</v>
      </c>
      <c r="C5776" s="39">
        <f t="shared" si="182"/>
        <v>157992929.59999999</v>
      </c>
      <c r="D5776" s="39">
        <f t="shared" si="183"/>
        <v>190631844</v>
      </c>
    </row>
    <row r="5777" spans="2:4" x14ac:dyDescent="0.25">
      <c r="B5777" s="89">
        <v>5773</v>
      </c>
      <c r="C5777" s="39">
        <f t="shared" si="182"/>
        <v>157992929.59999999</v>
      </c>
      <c r="D5777" s="39">
        <f t="shared" si="183"/>
        <v>190664871</v>
      </c>
    </row>
    <row r="5778" spans="2:4" x14ac:dyDescent="0.25">
      <c r="B5778" s="89">
        <v>5774</v>
      </c>
      <c r="C5778" s="39">
        <f t="shared" si="182"/>
        <v>157992929.59999999</v>
      </c>
      <c r="D5778" s="39">
        <f t="shared" si="183"/>
        <v>190697898</v>
      </c>
    </row>
    <row r="5779" spans="2:4" x14ac:dyDescent="0.25">
      <c r="B5779" s="89">
        <v>5775</v>
      </c>
      <c r="C5779" s="39">
        <f t="shared" si="182"/>
        <v>157992929.59999999</v>
      </c>
      <c r="D5779" s="39">
        <f t="shared" si="183"/>
        <v>190730925</v>
      </c>
    </row>
    <row r="5780" spans="2:4" x14ac:dyDescent="0.25">
      <c r="B5780" s="89">
        <v>5776</v>
      </c>
      <c r="C5780" s="39">
        <f t="shared" si="182"/>
        <v>157992929.59999999</v>
      </c>
      <c r="D5780" s="39">
        <f t="shared" si="183"/>
        <v>190763952</v>
      </c>
    </row>
    <row r="5781" spans="2:4" x14ac:dyDescent="0.25">
      <c r="B5781" s="89">
        <v>5777</v>
      </c>
      <c r="C5781" s="39">
        <f t="shared" si="182"/>
        <v>157992929.59999999</v>
      </c>
      <c r="D5781" s="39">
        <f t="shared" si="183"/>
        <v>190796979</v>
      </c>
    </row>
    <row r="5782" spans="2:4" x14ac:dyDescent="0.25">
      <c r="B5782" s="89">
        <v>5778</v>
      </c>
      <c r="C5782" s="39">
        <f t="shared" si="182"/>
        <v>157992929.59999999</v>
      </c>
      <c r="D5782" s="39">
        <f t="shared" si="183"/>
        <v>190830006</v>
      </c>
    </row>
    <row r="5783" spans="2:4" x14ac:dyDescent="0.25">
      <c r="B5783" s="89">
        <v>5779</v>
      </c>
      <c r="C5783" s="39">
        <f t="shared" si="182"/>
        <v>157992929.59999999</v>
      </c>
      <c r="D5783" s="39">
        <f t="shared" si="183"/>
        <v>190863033</v>
      </c>
    </row>
    <row r="5784" spans="2:4" x14ac:dyDescent="0.25">
      <c r="B5784" s="89">
        <v>5780</v>
      </c>
      <c r="C5784" s="39">
        <f t="shared" si="182"/>
        <v>157992929.59999999</v>
      </c>
      <c r="D5784" s="39">
        <f t="shared" si="183"/>
        <v>190896060</v>
      </c>
    </row>
    <row r="5785" spans="2:4" x14ac:dyDescent="0.25">
      <c r="B5785" s="89">
        <v>5781</v>
      </c>
      <c r="C5785" s="39">
        <f t="shared" si="182"/>
        <v>157992929.59999999</v>
      </c>
      <c r="D5785" s="39">
        <f t="shared" si="183"/>
        <v>190929087</v>
      </c>
    </row>
    <row r="5786" spans="2:4" x14ac:dyDescent="0.25">
      <c r="B5786" s="89">
        <v>5782</v>
      </c>
      <c r="C5786" s="39">
        <f t="shared" si="182"/>
        <v>157992929.59999999</v>
      </c>
      <c r="D5786" s="39">
        <f t="shared" si="183"/>
        <v>190962114</v>
      </c>
    </row>
    <row r="5787" spans="2:4" x14ac:dyDescent="0.25">
      <c r="B5787" s="89">
        <v>5783</v>
      </c>
      <c r="C5787" s="39">
        <f t="shared" si="182"/>
        <v>157992929.59999999</v>
      </c>
      <c r="D5787" s="39">
        <f t="shared" si="183"/>
        <v>190995141</v>
      </c>
    </row>
    <row r="5788" spans="2:4" x14ac:dyDescent="0.25">
      <c r="B5788" s="89">
        <v>5784</v>
      </c>
      <c r="C5788" s="39">
        <f t="shared" si="182"/>
        <v>157992929.59999999</v>
      </c>
      <c r="D5788" s="39">
        <f t="shared" si="183"/>
        <v>191028168</v>
      </c>
    </row>
    <row r="5789" spans="2:4" x14ac:dyDescent="0.25">
      <c r="B5789" s="89">
        <v>5785</v>
      </c>
      <c r="C5789" s="39">
        <f t="shared" si="182"/>
        <v>157992929.59999999</v>
      </c>
      <c r="D5789" s="39">
        <f t="shared" si="183"/>
        <v>191061195</v>
      </c>
    </row>
    <row r="5790" spans="2:4" x14ac:dyDescent="0.25">
      <c r="B5790" s="89">
        <v>5786</v>
      </c>
      <c r="C5790" s="39">
        <f t="shared" si="182"/>
        <v>157992929.59999999</v>
      </c>
      <c r="D5790" s="39">
        <f t="shared" si="183"/>
        <v>191094222</v>
      </c>
    </row>
    <row r="5791" spans="2:4" x14ac:dyDescent="0.25">
      <c r="B5791" s="89">
        <v>5787</v>
      </c>
      <c r="C5791" s="39">
        <f t="shared" si="182"/>
        <v>157992929.59999999</v>
      </c>
      <c r="D5791" s="39">
        <f t="shared" si="183"/>
        <v>191127249</v>
      </c>
    </row>
    <row r="5792" spans="2:4" x14ac:dyDescent="0.25">
      <c r="B5792" s="89">
        <v>5788</v>
      </c>
      <c r="C5792" s="39">
        <f t="shared" si="182"/>
        <v>157992929.59999999</v>
      </c>
      <c r="D5792" s="39">
        <f t="shared" si="183"/>
        <v>191160276</v>
      </c>
    </row>
    <row r="5793" spans="2:4" x14ac:dyDescent="0.25">
      <c r="B5793" s="89">
        <v>5789</v>
      </c>
      <c r="C5793" s="39">
        <f t="shared" si="182"/>
        <v>157992929.59999999</v>
      </c>
      <c r="D5793" s="39">
        <f t="shared" si="183"/>
        <v>191193303</v>
      </c>
    </row>
    <row r="5794" spans="2:4" x14ac:dyDescent="0.25">
      <c r="B5794" s="89">
        <v>5790</v>
      </c>
      <c r="C5794" s="39">
        <f t="shared" si="182"/>
        <v>157992929.59999999</v>
      </c>
      <c r="D5794" s="39">
        <f t="shared" si="183"/>
        <v>191226330</v>
      </c>
    </row>
    <row r="5795" spans="2:4" x14ac:dyDescent="0.25">
      <c r="B5795" s="89">
        <v>5791</v>
      </c>
      <c r="C5795" s="39">
        <f t="shared" si="182"/>
        <v>157992929.59999999</v>
      </c>
      <c r="D5795" s="39">
        <f t="shared" si="183"/>
        <v>191259357</v>
      </c>
    </row>
    <row r="5796" spans="2:4" x14ac:dyDescent="0.25">
      <c r="B5796" s="89">
        <v>5792</v>
      </c>
      <c r="C5796" s="39">
        <f t="shared" si="182"/>
        <v>157992929.59999999</v>
      </c>
      <c r="D5796" s="39">
        <f t="shared" si="183"/>
        <v>191292384</v>
      </c>
    </row>
    <row r="5797" spans="2:4" x14ac:dyDescent="0.25">
      <c r="B5797" s="89">
        <v>5793</v>
      </c>
      <c r="C5797" s="39">
        <f t="shared" si="182"/>
        <v>157992929.59999999</v>
      </c>
      <c r="D5797" s="39">
        <f t="shared" si="183"/>
        <v>191325411</v>
      </c>
    </row>
    <row r="5798" spans="2:4" x14ac:dyDescent="0.25">
      <c r="B5798" s="89">
        <v>5794</v>
      </c>
      <c r="C5798" s="39">
        <f t="shared" si="182"/>
        <v>157992929.59999999</v>
      </c>
      <c r="D5798" s="39">
        <f t="shared" si="183"/>
        <v>191358438</v>
      </c>
    </row>
    <row r="5799" spans="2:4" x14ac:dyDescent="0.25">
      <c r="B5799" s="89">
        <v>5795</v>
      </c>
      <c r="C5799" s="39">
        <f t="shared" si="182"/>
        <v>157992929.59999999</v>
      </c>
      <c r="D5799" s="39">
        <f t="shared" si="183"/>
        <v>191391465</v>
      </c>
    </row>
    <row r="5800" spans="2:4" x14ac:dyDescent="0.25">
      <c r="B5800" s="89">
        <v>5796</v>
      </c>
      <c r="C5800" s="39">
        <f t="shared" si="182"/>
        <v>157992929.59999999</v>
      </c>
      <c r="D5800" s="39">
        <f t="shared" si="183"/>
        <v>191424492</v>
      </c>
    </row>
    <row r="5801" spans="2:4" x14ac:dyDescent="0.25">
      <c r="B5801" s="89">
        <v>5797</v>
      </c>
      <c r="C5801" s="39">
        <f t="shared" si="182"/>
        <v>157992929.59999999</v>
      </c>
      <c r="D5801" s="39">
        <f t="shared" si="183"/>
        <v>191457519</v>
      </c>
    </row>
    <row r="5802" spans="2:4" x14ac:dyDescent="0.25">
      <c r="B5802" s="89">
        <v>5798</v>
      </c>
      <c r="C5802" s="39">
        <f t="shared" si="182"/>
        <v>157992929.59999999</v>
      </c>
      <c r="D5802" s="39">
        <f t="shared" si="183"/>
        <v>191490546</v>
      </c>
    </row>
    <row r="5803" spans="2:4" x14ac:dyDescent="0.25">
      <c r="B5803" s="89">
        <v>5799</v>
      </c>
      <c r="C5803" s="39">
        <f t="shared" si="182"/>
        <v>157992929.59999999</v>
      </c>
      <c r="D5803" s="39">
        <f t="shared" si="183"/>
        <v>191523573</v>
      </c>
    </row>
    <row r="5804" spans="2:4" x14ac:dyDescent="0.25">
      <c r="B5804" s="89">
        <v>5800</v>
      </c>
      <c r="C5804" s="39">
        <f t="shared" si="182"/>
        <v>157992929.59999999</v>
      </c>
      <c r="D5804" s="39">
        <f t="shared" si="183"/>
        <v>191556600</v>
      </c>
    </row>
    <row r="5805" spans="2:4" x14ac:dyDescent="0.25">
      <c r="B5805" s="89">
        <v>5801</v>
      </c>
      <c r="C5805" s="39">
        <f t="shared" si="182"/>
        <v>157992929.59999999</v>
      </c>
      <c r="D5805" s="39">
        <f t="shared" si="183"/>
        <v>191589627</v>
      </c>
    </row>
    <row r="5806" spans="2:4" x14ac:dyDescent="0.25">
      <c r="B5806" s="89">
        <v>5802</v>
      </c>
      <c r="C5806" s="39">
        <f t="shared" si="182"/>
        <v>157992929.59999999</v>
      </c>
      <c r="D5806" s="39">
        <f t="shared" si="183"/>
        <v>191622654</v>
      </c>
    </row>
    <row r="5807" spans="2:4" x14ac:dyDescent="0.25">
      <c r="B5807" s="89">
        <v>5803</v>
      </c>
      <c r="C5807" s="39">
        <f t="shared" si="182"/>
        <v>157992929.59999999</v>
      </c>
      <c r="D5807" s="39">
        <f t="shared" si="183"/>
        <v>191655681</v>
      </c>
    </row>
    <row r="5808" spans="2:4" x14ac:dyDescent="0.25">
      <c r="B5808" s="89">
        <v>5804</v>
      </c>
      <c r="C5808" s="39">
        <f t="shared" si="182"/>
        <v>157992929.59999999</v>
      </c>
      <c r="D5808" s="39">
        <f t="shared" si="183"/>
        <v>191688708</v>
      </c>
    </row>
    <row r="5809" spans="2:4" x14ac:dyDescent="0.25">
      <c r="B5809" s="89">
        <v>5805</v>
      </c>
      <c r="C5809" s="39">
        <f t="shared" si="182"/>
        <v>157992929.59999999</v>
      </c>
      <c r="D5809" s="39">
        <f t="shared" si="183"/>
        <v>191721735</v>
      </c>
    </row>
    <row r="5810" spans="2:4" x14ac:dyDescent="0.25">
      <c r="B5810" s="89">
        <v>5806</v>
      </c>
      <c r="C5810" s="39">
        <f t="shared" si="182"/>
        <v>157992929.59999999</v>
      </c>
      <c r="D5810" s="39">
        <f t="shared" si="183"/>
        <v>191754762</v>
      </c>
    </row>
    <row r="5811" spans="2:4" x14ac:dyDescent="0.25">
      <c r="B5811" s="89">
        <v>5807</v>
      </c>
      <c r="C5811" s="39">
        <f t="shared" si="182"/>
        <v>157992929.59999999</v>
      </c>
      <c r="D5811" s="39">
        <f t="shared" si="183"/>
        <v>191787789</v>
      </c>
    </row>
    <row r="5812" spans="2:4" x14ac:dyDescent="0.25">
      <c r="B5812" s="89">
        <v>5808</v>
      </c>
      <c r="C5812" s="39">
        <f t="shared" si="182"/>
        <v>157992929.59999999</v>
      </c>
      <c r="D5812" s="39">
        <f t="shared" si="183"/>
        <v>191820816</v>
      </c>
    </row>
    <row r="5813" spans="2:4" x14ac:dyDescent="0.25">
      <c r="B5813" s="89">
        <v>5809</v>
      </c>
      <c r="C5813" s="39">
        <f t="shared" si="182"/>
        <v>157992929.59999999</v>
      </c>
      <c r="D5813" s="39">
        <f t="shared" si="183"/>
        <v>191853843</v>
      </c>
    </row>
    <row r="5814" spans="2:4" x14ac:dyDescent="0.25">
      <c r="B5814" s="89">
        <v>5810</v>
      </c>
      <c r="C5814" s="39">
        <f t="shared" si="182"/>
        <v>157992929.59999999</v>
      </c>
      <c r="D5814" s="39">
        <f t="shared" si="183"/>
        <v>191886870</v>
      </c>
    </row>
    <row r="5815" spans="2:4" x14ac:dyDescent="0.25">
      <c r="B5815" s="89">
        <v>5811</v>
      </c>
      <c r="C5815" s="39">
        <f t="shared" si="182"/>
        <v>157992929.59999999</v>
      </c>
      <c r="D5815" s="39">
        <f t="shared" si="183"/>
        <v>191919897</v>
      </c>
    </row>
    <row r="5816" spans="2:4" x14ac:dyDescent="0.25">
      <c r="B5816" s="89">
        <v>5812</v>
      </c>
      <c r="C5816" s="39">
        <f t="shared" si="182"/>
        <v>157992929.59999999</v>
      </c>
      <c r="D5816" s="39">
        <f t="shared" si="183"/>
        <v>191952924</v>
      </c>
    </row>
    <row r="5817" spans="2:4" x14ac:dyDescent="0.25">
      <c r="B5817" s="89">
        <v>5813</v>
      </c>
      <c r="C5817" s="39">
        <f t="shared" si="182"/>
        <v>157992929.59999999</v>
      </c>
      <c r="D5817" s="39">
        <f t="shared" si="183"/>
        <v>191985951</v>
      </c>
    </row>
    <row r="5818" spans="2:4" x14ac:dyDescent="0.25">
      <c r="B5818" s="89">
        <v>5814</v>
      </c>
      <c r="C5818" s="39">
        <f t="shared" si="182"/>
        <v>157992929.59999999</v>
      </c>
      <c r="D5818" s="39">
        <f t="shared" si="183"/>
        <v>192018978</v>
      </c>
    </row>
    <row r="5819" spans="2:4" x14ac:dyDescent="0.25">
      <c r="B5819" s="89">
        <v>5815</v>
      </c>
      <c r="C5819" s="39">
        <f t="shared" si="182"/>
        <v>157992929.59999999</v>
      </c>
      <c r="D5819" s="39">
        <f t="shared" si="183"/>
        <v>192052005</v>
      </c>
    </row>
    <row r="5820" spans="2:4" x14ac:dyDescent="0.25">
      <c r="B5820" s="89">
        <v>5816</v>
      </c>
      <c r="C5820" s="39">
        <f t="shared" si="182"/>
        <v>157992929.59999999</v>
      </c>
      <c r="D5820" s="39">
        <f t="shared" si="183"/>
        <v>192085032</v>
      </c>
    </row>
    <row r="5821" spans="2:4" x14ac:dyDescent="0.25">
      <c r="B5821" s="89">
        <v>5817</v>
      </c>
      <c r="C5821" s="39">
        <f t="shared" si="182"/>
        <v>157992929.59999999</v>
      </c>
      <c r="D5821" s="39">
        <f t="shared" si="183"/>
        <v>192118059</v>
      </c>
    </row>
    <row r="5822" spans="2:4" x14ac:dyDescent="0.25">
      <c r="B5822" s="89">
        <v>5818</v>
      </c>
      <c r="C5822" s="39">
        <f t="shared" si="182"/>
        <v>157992929.59999999</v>
      </c>
      <c r="D5822" s="39">
        <f t="shared" si="183"/>
        <v>192151086</v>
      </c>
    </row>
    <row r="5823" spans="2:4" x14ac:dyDescent="0.25">
      <c r="B5823" s="89">
        <v>5819</v>
      </c>
      <c r="C5823" s="39">
        <f t="shared" si="182"/>
        <v>157992929.59999999</v>
      </c>
      <c r="D5823" s="39">
        <f t="shared" si="183"/>
        <v>192184113</v>
      </c>
    </row>
    <row r="5824" spans="2:4" x14ac:dyDescent="0.25">
      <c r="B5824" s="89">
        <v>5820</v>
      </c>
      <c r="C5824" s="39">
        <f t="shared" si="182"/>
        <v>157992929.59999999</v>
      </c>
      <c r="D5824" s="39">
        <f t="shared" si="183"/>
        <v>192217140</v>
      </c>
    </row>
    <row r="5825" spans="2:4" x14ac:dyDescent="0.25">
      <c r="B5825" s="89">
        <v>5821</v>
      </c>
      <c r="C5825" s="39">
        <f t="shared" si="182"/>
        <v>157992929.59999999</v>
      </c>
      <c r="D5825" s="39">
        <f t="shared" si="183"/>
        <v>192250167</v>
      </c>
    </row>
    <row r="5826" spans="2:4" x14ac:dyDescent="0.25">
      <c r="B5826" s="89">
        <v>5822</v>
      </c>
      <c r="C5826" s="39">
        <f t="shared" si="182"/>
        <v>157992929.59999999</v>
      </c>
      <c r="D5826" s="39">
        <f t="shared" si="183"/>
        <v>192283194</v>
      </c>
    </row>
    <row r="5827" spans="2:4" x14ac:dyDescent="0.25">
      <c r="B5827" s="89">
        <v>5823</v>
      </c>
      <c r="C5827" s="39">
        <f t="shared" si="182"/>
        <v>157992929.59999999</v>
      </c>
      <c r="D5827" s="39">
        <f t="shared" si="183"/>
        <v>192316221</v>
      </c>
    </row>
    <row r="5828" spans="2:4" x14ac:dyDescent="0.25">
      <c r="B5828" s="89">
        <v>5824</v>
      </c>
      <c r="C5828" s="39">
        <f t="shared" si="182"/>
        <v>157992929.59999999</v>
      </c>
      <c r="D5828" s="39">
        <f t="shared" si="183"/>
        <v>192349248</v>
      </c>
    </row>
    <row r="5829" spans="2:4" x14ac:dyDescent="0.25">
      <c r="B5829" s="89">
        <v>5825</v>
      </c>
      <c r="C5829" s="39">
        <f t="shared" si="182"/>
        <v>157992929.59999999</v>
      </c>
      <c r="D5829" s="39">
        <f t="shared" si="183"/>
        <v>192382275</v>
      </c>
    </row>
    <row r="5830" spans="2:4" x14ac:dyDescent="0.25">
      <c r="B5830" s="89">
        <v>5826</v>
      </c>
      <c r="C5830" s="39">
        <f t="shared" si="182"/>
        <v>157992929.59999999</v>
      </c>
      <c r="D5830" s="39">
        <f t="shared" si="183"/>
        <v>192415302</v>
      </c>
    </row>
    <row r="5831" spans="2:4" x14ac:dyDescent="0.25">
      <c r="B5831" s="89">
        <v>5827</v>
      </c>
      <c r="C5831" s="39">
        <f t="shared" si="182"/>
        <v>157992929.59999999</v>
      </c>
      <c r="D5831" s="39">
        <f t="shared" si="183"/>
        <v>192448329</v>
      </c>
    </row>
    <row r="5832" spans="2:4" x14ac:dyDescent="0.25">
      <c r="B5832" s="89">
        <v>5828</v>
      </c>
      <c r="C5832" s="39">
        <f t="shared" si="182"/>
        <v>157992929.59999999</v>
      </c>
      <c r="D5832" s="39">
        <f t="shared" si="183"/>
        <v>192481356</v>
      </c>
    </row>
    <row r="5833" spans="2:4" x14ac:dyDescent="0.25">
      <c r="B5833" s="89">
        <v>5829</v>
      </c>
      <c r="C5833" s="39">
        <f t="shared" si="182"/>
        <v>157992929.59999999</v>
      </c>
      <c r="D5833" s="39">
        <f t="shared" si="183"/>
        <v>192514383</v>
      </c>
    </row>
    <row r="5834" spans="2:4" x14ac:dyDescent="0.25">
      <c r="B5834" s="89">
        <v>5830</v>
      </c>
      <c r="C5834" s="39">
        <f t="shared" si="182"/>
        <v>157992929.59999999</v>
      </c>
      <c r="D5834" s="39">
        <f t="shared" si="183"/>
        <v>192547410</v>
      </c>
    </row>
    <row r="5835" spans="2:4" x14ac:dyDescent="0.25">
      <c r="B5835" s="89">
        <v>5831</v>
      </c>
      <c r="C5835" s="39">
        <f t="shared" si="182"/>
        <v>157992929.59999999</v>
      </c>
      <c r="D5835" s="39">
        <f t="shared" si="183"/>
        <v>192580437</v>
      </c>
    </row>
    <row r="5836" spans="2:4" x14ac:dyDescent="0.25">
      <c r="B5836" s="89">
        <v>5832</v>
      </c>
      <c r="C5836" s="39">
        <f t="shared" si="182"/>
        <v>157992929.59999999</v>
      </c>
      <c r="D5836" s="39">
        <f t="shared" si="183"/>
        <v>192613464</v>
      </c>
    </row>
    <row r="5837" spans="2:4" x14ac:dyDescent="0.25">
      <c r="B5837" s="89">
        <v>5833</v>
      </c>
      <c r="C5837" s="39">
        <f t="shared" ref="C5837:C5900" si="184">$C5836</f>
        <v>157992929.59999999</v>
      </c>
      <c r="D5837" s="39">
        <f t="shared" ref="D5837:D5900" si="185">$D$2*B5837</f>
        <v>192646491</v>
      </c>
    </row>
    <row r="5838" spans="2:4" x14ac:dyDescent="0.25">
      <c r="B5838" s="89">
        <v>5834</v>
      </c>
      <c r="C5838" s="39">
        <f t="shared" si="184"/>
        <v>157992929.59999999</v>
      </c>
      <c r="D5838" s="39">
        <f t="shared" si="185"/>
        <v>192679518</v>
      </c>
    </row>
    <row r="5839" spans="2:4" x14ac:dyDescent="0.25">
      <c r="B5839" s="89">
        <v>5835</v>
      </c>
      <c r="C5839" s="39">
        <f t="shared" si="184"/>
        <v>157992929.59999999</v>
      </c>
      <c r="D5839" s="39">
        <f t="shared" si="185"/>
        <v>192712545</v>
      </c>
    </row>
    <row r="5840" spans="2:4" x14ac:dyDescent="0.25">
      <c r="B5840" s="89">
        <v>5836</v>
      </c>
      <c r="C5840" s="39">
        <f t="shared" si="184"/>
        <v>157992929.59999999</v>
      </c>
      <c r="D5840" s="39">
        <f t="shared" si="185"/>
        <v>192745572</v>
      </c>
    </row>
    <row r="5841" spans="2:4" x14ac:dyDescent="0.25">
      <c r="B5841" s="89">
        <v>5837</v>
      </c>
      <c r="C5841" s="39">
        <f t="shared" si="184"/>
        <v>157992929.59999999</v>
      </c>
      <c r="D5841" s="39">
        <f t="shared" si="185"/>
        <v>192778599</v>
      </c>
    </row>
    <row r="5842" spans="2:4" x14ac:dyDescent="0.25">
      <c r="B5842" s="89">
        <v>5838</v>
      </c>
      <c r="C5842" s="39">
        <f t="shared" si="184"/>
        <v>157992929.59999999</v>
      </c>
      <c r="D5842" s="39">
        <f t="shared" si="185"/>
        <v>192811626</v>
      </c>
    </row>
    <row r="5843" spans="2:4" x14ac:dyDescent="0.25">
      <c r="B5843" s="89">
        <v>5839</v>
      </c>
      <c r="C5843" s="39">
        <f t="shared" si="184"/>
        <v>157992929.59999999</v>
      </c>
      <c r="D5843" s="39">
        <f t="shared" si="185"/>
        <v>192844653</v>
      </c>
    </row>
    <row r="5844" spans="2:4" x14ac:dyDescent="0.25">
      <c r="B5844" s="89">
        <v>5840</v>
      </c>
      <c r="C5844" s="39">
        <f t="shared" si="184"/>
        <v>157992929.59999999</v>
      </c>
      <c r="D5844" s="39">
        <f t="shared" si="185"/>
        <v>192877680</v>
      </c>
    </row>
    <row r="5845" spans="2:4" x14ac:dyDescent="0.25">
      <c r="B5845" s="89">
        <v>5841</v>
      </c>
      <c r="C5845" s="39">
        <f t="shared" si="184"/>
        <v>157992929.59999999</v>
      </c>
      <c r="D5845" s="39">
        <f t="shared" si="185"/>
        <v>192910707</v>
      </c>
    </row>
    <row r="5846" spans="2:4" x14ac:dyDescent="0.25">
      <c r="B5846" s="89">
        <v>5842</v>
      </c>
      <c r="C5846" s="39">
        <f t="shared" si="184"/>
        <v>157992929.59999999</v>
      </c>
      <c r="D5846" s="39">
        <f t="shared" si="185"/>
        <v>192943734</v>
      </c>
    </row>
    <row r="5847" spans="2:4" x14ac:dyDescent="0.25">
      <c r="B5847" s="89">
        <v>5843</v>
      </c>
      <c r="C5847" s="39">
        <f t="shared" si="184"/>
        <v>157992929.59999999</v>
      </c>
      <c r="D5847" s="39">
        <f t="shared" si="185"/>
        <v>192976761</v>
      </c>
    </row>
    <row r="5848" spans="2:4" x14ac:dyDescent="0.25">
      <c r="B5848" s="89">
        <v>5844</v>
      </c>
      <c r="C5848" s="39">
        <f t="shared" si="184"/>
        <v>157992929.59999999</v>
      </c>
      <c r="D5848" s="39">
        <f t="shared" si="185"/>
        <v>193009788</v>
      </c>
    </row>
    <row r="5849" spans="2:4" x14ac:dyDescent="0.25">
      <c r="B5849" s="89">
        <v>5845</v>
      </c>
      <c r="C5849" s="39">
        <f t="shared" si="184"/>
        <v>157992929.59999999</v>
      </c>
      <c r="D5849" s="39">
        <f t="shared" si="185"/>
        <v>193042815</v>
      </c>
    </row>
    <row r="5850" spans="2:4" x14ac:dyDescent="0.25">
      <c r="B5850" s="89">
        <v>5846</v>
      </c>
      <c r="C5850" s="39">
        <f t="shared" si="184"/>
        <v>157992929.59999999</v>
      </c>
      <c r="D5850" s="39">
        <f t="shared" si="185"/>
        <v>193075842</v>
      </c>
    </row>
    <row r="5851" spans="2:4" x14ac:dyDescent="0.25">
      <c r="B5851" s="89">
        <v>5847</v>
      </c>
      <c r="C5851" s="39">
        <f t="shared" si="184"/>
        <v>157992929.59999999</v>
      </c>
      <c r="D5851" s="39">
        <f t="shared" si="185"/>
        <v>193108869</v>
      </c>
    </row>
    <row r="5852" spans="2:4" x14ac:dyDescent="0.25">
      <c r="B5852" s="89">
        <v>5848</v>
      </c>
      <c r="C5852" s="39">
        <f t="shared" si="184"/>
        <v>157992929.59999999</v>
      </c>
      <c r="D5852" s="39">
        <f t="shared" si="185"/>
        <v>193141896</v>
      </c>
    </row>
    <row r="5853" spans="2:4" x14ac:dyDescent="0.25">
      <c r="B5853" s="89">
        <v>5849</v>
      </c>
      <c r="C5853" s="39">
        <f t="shared" si="184"/>
        <v>157992929.59999999</v>
      </c>
      <c r="D5853" s="39">
        <f t="shared" si="185"/>
        <v>193174923</v>
      </c>
    </row>
    <row r="5854" spans="2:4" x14ac:dyDescent="0.25">
      <c r="B5854" s="89">
        <v>5850</v>
      </c>
      <c r="C5854" s="39">
        <f t="shared" si="184"/>
        <v>157992929.59999999</v>
      </c>
      <c r="D5854" s="39">
        <f t="shared" si="185"/>
        <v>193207950</v>
      </c>
    </row>
    <row r="5855" spans="2:4" x14ac:dyDescent="0.25">
      <c r="B5855" s="89">
        <v>5851</v>
      </c>
      <c r="C5855" s="39">
        <f t="shared" si="184"/>
        <v>157992929.59999999</v>
      </c>
      <c r="D5855" s="39">
        <f t="shared" si="185"/>
        <v>193240977</v>
      </c>
    </row>
    <row r="5856" spans="2:4" x14ac:dyDescent="0.25">
      <c r="B5856" s="89">
        <v>5852</v>
      </c>
      <c r="C5856" s="39">
        <f t="shared" si="184"/>
        <v>157992929.59999999</v>
      </c>
      <c r="D5856" s="39">
        <f t="shared" si="185"/>
        <v>193274004</v>
      </c>
    </row>
    <row r="5857" spans="2:4" x14ac:dyDescent="0.25">
      <c r="B5857" s="89">
        <v>5853</v>
      </c>
      <c r="C5857" s="39">
        <f t="shared" si="184"/>
        <v>157992929.59999999</v>
      </c>
      <c r="D5857" s="39">
        <f t="shared" si="185"/>
        <v>193307031</v>
      </c>
    </row>
    <row r="5858" spans="2:4" x14ac:dyDescent="0.25">
      <c r="B5858" s="89">
        <v>5854</v>
      </c>
      <c r="C5858" s="39">
        <f t="shared" si="184"/>
        <v>157992929.59999999</v>
      </c>
      <c r="D5858" s="39">
        <f t="shared" si="185"/>
        <v>193340058</v>
      </c>
    </row>
    <row r="5859" spans="2:4" x14ac:dyDescent="0.25">
      <c r="B5859" s="89">
        <v>5855</v>
      </c>
      <c r="C5859" s="39">
        <f t="shared" si="184"/>
        <v>157992929.59999999</v>
      </c>
      <c r="D5859" s="39">
        <f t="shared" si="185"/>
        <v>193373085</v>
      </c>
    </row>
    <row r="5860" spans="2:4" x14ac:dyDescent="0.25">
      <c r="B5860" s="89">
        <v>5856</v>
      </c>
      <c r="C5860" s="39">
        <f t="shared" si="184"/>
        <v>157992929.59999999</v>
      </c>
      <c r="D5860" s="39">
        <f t="shared" si="185"/>
        <v>193406112</v>
      </c>
    </row>
    <row r="5861" spans="2:4" x14ac:dyDescent="0.25">
      <c r="B5861" s="89">
        <v>5857</v>
      </c>
      <c r="C5861" s="39">
        <f t="shared" si="184"/>
        <v>157992929.59999999</v>
      </c>
      <c r="D5861" s="39">
        <f t="shared" si="185"/>
        <v>193439139</v>
      </c>
    </row>
    <row r="5862" spans="2:4" x14ac:dyDescent="0.25">
      <c r="B5862" s="89">
        <v>5858</v>
      </c>
      <c r="C5862" s="39">
        <f t="shared" si="184"/>
        <v>157992929.59999999</v>
      </c>
      <c r="D5862" s="39">
        <f t="shared" si="185"/>
        <v>193472166</v>
      </c>
    </row>
    <row r="5863" spans="2:4" x14ac:dyDescent="0.25">
      <c r="B5863" s="89">
        <v>5859</v>
      </c>
      <c r="C5863" s="39">
        <f t="shared" si="184"/>
        <v>157992929.59999999</v>
      </c>
      <c r="D5863" s="39">
        <f t="shared" si="185"/>
        <v>193505193</v>
      </c>
    </row>
    <row r="5864" spans="2:4" x14ac:dyDescent="0.25">
      <c r="B5864" s="89">
        <v>5860</v>
      </c>
      <c r="C5864" s="39">
        <f t="shared" si="184"/>
        <v>157992929.59999999</v>
      </c>
      <c r="D5864" s="39">
        <f t="shared" si="185"/>
        <v>193538220</v>
      </c>
    </row>
    <row r="5865" spans="2:4" x14ac:dyDescent="0.25">
      <c r="B5865" s="89">
        <v>5861</v>
      </c>
      <c r="C5865" s="39">
        <f t="shared" si="184"/>
        <v>157992929.59999999</v>
      </c>
      <c r="D5865" s="39">
        <f t="shared" si="185"/>
        <v>193571247</v>
      </c>
    </row>
    <row r="5866" spans="2:4" x14ac:dyDescent="0.25">
      <c r="B5866" s="89">
        <v>5862</v>
      </c>
      <c r="C5866" s="39">
        <f t="shared" si="184"/>
        <v>157992929.59999999</v>
      </c>
      <c r="D5866" s="39">
        <f t="shared" si="185"/>
        <v>193604274</v>
      </c>
    </row>
    <row r="5867" spans="2:4" x14ac:dyDescent="0.25">
      <c r="B5867" s="89">
        <v>5863</v>
      </c>
      <c r="C5867" s="39">
        <f t="shared" si="184"/>
        <v>157992929.59999999</v>
      </c>
      <c r="D5867" s="39">
        <f t="shared" si="185"/>
        <v>193637301</v>
      </c>
    </row>
    <row r="5868" spans="2:4" x14ac:dyDescent="0.25">
      <c r="B5868" s="89">
        <v>5864</v>
      </c>
      <c r="C5868" s="39">
        <f t="shared" si="184"/>
        <v>157992929.59999999</v>
      </c>
      <c r="D5868" s="39">
        <f t="shared" si="185"/>
        <v>193670328</v>
      </c>
    </row>
    <row r="5869" spans="2:4" x14ac:dyDescent="0.25">
      <c r="B5869" s="89">
        <v>5865</v>
      </c>
      <c r="C5869" s="39">
        <f t="shared" si="184"/>
        <v>157992929.59999999</v>
      </c>
      <c r="D5869" s="39">
        <f t="shared" si="185"/>
        <v>193703355</v>
      </c>
    </row>
    <row r="5870" spans="2:4" x14ac:dyDescent="0.25">
      <c r="B5870" s="89">
        <v>5866</v>
      </c>
      <c r="C5870" s="39">
        <f t="shared" si="184"/>
        <v>157992929.59999999</v>
      </c>
      <c r="D5870" s="39">
        <f t="shared" si="185"/>
        <v>193736382</v>
      </c>
    </row>
    <row r="5871" spans="2:4" x14ac:dyDescent="0.25">
      <c r="B5871" s="89">
        <v>5867</v>
      </c>
      <c r="C5871" s="39">
        <f t="shared" si="184"/>
        <v>157992929.59999999</v>
      </c>
      <c r="D5871" s="39">
        <f t="shared" si="185"/>
        <v>193769409</v>
      </c>
    </row>
    <row r="5872" spans="2:4" x14ac:dyDescent="0.25">
      <c r="B5872" s="89">
        <v>5868</v>
      </c>
      <c r="C5872" s="39">
        <f t="shared" si="184"/>
        <v>157992929.59999999</v>
      </c>
      <c r="D5872" s="39">
        <f t="shared" si="185"/>
        <v>193802436</v>
      </c>
    </row>
    <row r="5873" spans="2:4" x14ac:dyDescent="0.25">
      <c r="B5873" s="89">
        <v>5869</v>
      </c>
      <c r="C5873" s="39">
        <f t="shared" si="184"/>
        <v>157992929.59999999</v>
      </c>
      <c r="D5873" s="39">
        <f t="shared" si="185"/>
        <v>193835463</v>
      </c>
    </row>
    <row r="5874" spans="2:4" x14ac:dyDescent="0.25">
      <c r="B5874" s="89">
        <v>5870</v>
      </c>
      <c r="C5874" s="39">
        <f t="shared" si="184"/>
        <v>157992929.59999999</v>
      </c>
      <c r="D5874" s="39">
        <f t="shared" si="185"/>
        <v>193868490</v>
      </c>
    </row>
    <row r="5875" spans="2:4" x14ac:dyDescent="0.25">
      <c r="B5875" s="89">
        <v>5871</v>
      </c>
      <c r="C5875" s="39">
        <f t="shared" si="184"/>
        <v>157992929.59999999</v>
      </c>
      <c r="D5875" s="39">
        <f t="shared" si="185"/>
        <v>193901517</v>
      </c>
    </row>
    <row r="5876" spans="2:4" x14ac:dyDescent="0.25">
      <c r="B5876" s="89">
        <v>5872</v>
      </c>
      <c r="C5876" s="39">
        <f t="shared" si="184"/>
        <v>157992929.59999999</v>
      </c>
      <c r="D5876" s="39">
        <f t="shared" si="185"/>
        <v>193934544</v>
      </c>
    </row>
    <row r="5877" spans="2:4" x14ac:dyDescent="0.25">
      <c r="B5877" s="89">
        <v>5873</v>
      </c>
      <c r="C5877" s="39">
        <f t="shared" si="184"/>
        <v>157992929.59999999</v>
      </c>
      <c r="D5877" s="39">
        <f t="shared" si="185"/>
        <v>193967571</v>
      </c>
    </row>
    <row r="5878" spans="2:4" x14ac:dyDescent="0.25">
      <c r="B5878" s="89">
        <v>5874</v>
      </c>
      <c r="C5878" s="39">
        <f t="shared" si="184"/>
        <v>157992929.59999999</v>
      </c>
      <c r="D5878" s="39">
        <f t="shared" si="185"/>
        <v>194000598</v>
      </c>
    </row>
    <row r="5879" spans="2:4" x14ac:dyDescent="0.25">
      <c r="B5879" s="89">
        <v>5875</v>
      </c>
      <c r="C5879" s="39">
        <f t="shared" si="184"/>
        <v>157992929.59999999</v>
      </c>
      <c r="D5879" s="39">
        <f t="shared" si="185"/>
        <v>194033625</v>
      </c>
    </row>
    <row r="5880" spans="2:4" x14ac:dyDescent="0.25">
      <c r="B5880" s="89">
        <v>5876</v>
      </c>
      <c r="C5880" s="39">
        <f t="shared" si="184"/>
        <v>157992929.59999999</v>
      </c>
      <c r="D5880" s="39">
        <f t="shared" si="185"/>
        <v>194066652</v>
      </c>
    </row>
    <row r="5881" spans="2:4" x14ac:dyDescent="0.25">
      <c r="B5881" s="89">
        <v>5877</v>
      </c>
      <c r="C5881" s="39">
        <f t="shared" si="184"/>
        <v>157992929.59999999</v>
      </c>
      <c r="D5881" s="39">
        <f t="shared" si="185"/>
        <v>194099679</v>
      </c>
    </row>
    <row r="5882" spans="2:4" x14ac:dyDescent="0.25">
      <c r="B5882" s="89">
        <v>5878</v>
      </c>
      <c r="C5882" s="39">
        <f t="shared" si="184"/>
        <v>157992929.59999999</v>
      </c>
      <c r="D5882" s="39">
        <f t="shared" si="185"/>
        <v>194132706</v>
      </c>
    </row>
    <row r="5883" spans="2:4" x14ac:dyDescent="0.25">
      <c r="B5883" s="89">
        <v>5879</v>
      </c>
      <c r="C5883" s="39">
        <f t="shared" si="184"/>
        <v>157992929.59999999</v>
      </c>
      <c r="D5883" s="39">
        <f t="shared" si="185"/>
        <v>194165733</v>
      </c>
    </row>
    <row r="5884" spans="2:4" x14ac:dyDescent="0.25">
      <c r="B5884" s="89">
        <v>5880</v>
      </c>
      <c r="C5884" s="39">
        <f t="shared" si="184"/>
        <v>157992929.59999999</v>
      </c>
      <c r="D5884" s="39">
        <f t="shared" si="185"/>
        <v>194198760</v>
      </c>
    </row>
    <row r="5885" spans="2:4" x14ac:dyDescent="0.25">
      <c r="B5885" s="89">
        <v>5881</v>
      </c>
      <c r="C5885" s="39">
        <f t="shared" si="184"/>
        <v>157992929.59999999</v>
      </c>
      <c r="D5885" s="39">
        <f t="shared" si="185"/>
        <v>194231787</v>
      </c>
    </row>
    <row r="5886" spans="2:4" x14ac:dyDescent="0.25">
      <c r="B5886" s="89">
        <v>5882</v>
      </c>
      <c r="C5886" s="39">
        <f t="shared" si="184"/>
        <v>157992929.59999999</v>
      </c>
      <c r="D5886" s="39">
        <f t="shared" si="185"/>
        <v>194264814</v>
      </c>
    </row>
    <row r="5887" spans="2:4" x14ac:dyDescent="0.25">
      <c r="B5887" s="89">
        <v>5883</v>
      </c>
      <c r="C5887" s="39">
        <f t="shared" si="184"/>
        <v>157992929.59999999</v>
      </c>
      <c r="D5887" s="39">
        <f t="shared" si="185"/>
        <v>194297841</v>
      </c>
    </row>
    <row r="5888" spans="2:4" x14ac:dyDescent="0.25">
      <c r="B5888" s="89">
        <v>5884</v>
      </c>
      <c r="C5888" s="39">
        <f t="shared" si="184"/>
        <v>157992929.59999999</v>
      </c>
      <c r="D5888" s="39">
        <f t="shared" si="185"/>
        <v>194330868</v>
      </c>
    </row>
    <row r="5889" spans="2:4" x14ac:dyDescent="0.25">
      <c r="B5889" s="89">
        <v>5885</v>
      </c>
      <c r="C5889" s="39">
        <f t="shared" si="184"/>
        <v>157992929.59999999</v>
      </c>
      <c r="D5889" s="39">
        <f t="shared" si="185"/>
        <v>194363895</v>
      </c>
    </row>
    <row r="5890" spans="2:4" x14ac:dyDescent="0.25">
      <c r="B5890" s="89">
        <v>5886</v>
      </c>
      <c r="C5890" s="39">
        <f t="shared" si="184"/>
        <v>157992929.59999999</v>
      </c>
      <c r="D5890" s="39">
        <f t="shared" si="185"/>
        <v>194396922</v>
      </c>
    </row>
    <row r="5891" spans="2:4" x14ac:dyDescent="0.25">
      <c r="B5891" s="89">
        <v>5887</v>
      </c>
      <c r="C5891" s="39">
        <f t="shared" si="184"/>
        <v>157992929.59999999</v>
      </c>
      <c r="D5891" s="39">
        <f t="shared" si="185"/>
        <v>194429949</v>
      </c>
    </row>
    <row r="5892" spans="2:4" x14ac:dyDescent="0.25">
      <c r="B5892" s="89">
        <v>5888</v>
      </c>
      <c r="C5892" s="39">
        <f t="shared" si="184"/>
        <v>157992929.59999999</v>
      </c>
      <c r="D5892" s="39">
        <f t="shared" si="185"/>
        <v>194462976</v>
      </c>
    </row>
    <row r="5893" spans="2:4" x14ac:dyDescent="0.25">
      <c r="B5893" s="89">
        <v>5889</v>
      </c>
      <c r="C5893" s="39">
        <f t="shared" si="184"/>
        <v>157992929.59999999</v>
      </c>
      <c r="D5893" s="39">
        <f t="shared" si="185"/>
        <v>194496003</v>
      </c>
    </row>
    <row r="5894" spans="2:4" x14ac:dyDescent="0.25">
      <c r="B5894" s="89">
        <v>5890</v>
      </c>
      <c r="C5894" s="39">
        <f t="shared" si="184"/>
        <v>157992929.59999999</v>
      </c>
      <c r="D5894" s="39">
        <f t="shared" si="185"/>
        <v>194529030</v>
      </c>
    </row>
    <row r="5895" spans="2:4" x14ac:dyDescent="0.25">
      <c r="B5895" s="89">
        <v>5891</v>
      </c>
      <c r="C5895" s="39">
        <f t="shared" si="184"/>
        <v>157992929.59999999</v>
      </c>
      <c r="D5895" s="39">
        <f t="shared" si="185"/>
        <v>194562057</v>
      </c>
    </row>
    <row r="5896" spans="2:4" x14ac:dyDescent="0.25">
      <c r="B5896" s="89">
        <v>5892</v>
      </c>
      <c r="C5896" s="39">
        <f t="shared" si="184"/>
        <v>157992929.59999999</v>
      </c>
      <c r="D5896" s="39">
        <f t="shared" si="185"/>
        <v>194595084</v>
      </c>
    </row>
    <row r="5897" spans="2:4" x14ac:dyDescent="0.25">
      <c r="B5897" s="89">
        <v>5893</v>
      </c>
      <c r="C5897" s="39">
        <f t="shared" si="184"/>
        <v>157992929.59999999</v>
      </c>
      <c r="D5897" s="39">
        <f t="shared" si="185"/>
        <v>194628111</v>
      </c>
    </row>
    <row r="5898" spans="2:4" x14ac:dyDescent="0.25">
      <c r="B5898" s="89">
        <v>5894</v>
      </c>
      <c r="C5898" s="39">
        <f t="shared" si="184"/>
        <v>157992929.59999999</v>
      </c>
      <c r="D5898" s="39">
        <f t="shared" si="185"/>
        <v>194661138</v>
      </c>
    </row>
    <row r="5899" spans="2:4" x14ac:dyDescent="0.25">
      <c r="B5899" s="89">
        <v>5895</v>
      </c>
      <c r="C5899" s="39">
        <f t="shared" si="184"/>
        <v>157992929.59999999</v>
      </c>
      <c r="D5899" s="39">
        <f t="shared" si="185"/>
        <v>194694165</v>
      </c>
    </row>
    <row r="5900" spans="2:4" x14ac:dyDescent="0.25">
      <c r="B5900" s="89">
        <v>5896</v>
      </c>
      <c r="C5900" s="39">
        <f t="shared" si="184"/>
        <v>157992929.59999999</v>
      </c>
      <c r="D5900" s="39">
        <f t="shared" si="185"/>
        <v>194727192</v>
      </c>
    </row>
    <row r="5901" spans="2:4" x14ac:dyDescent="0.25">
      <c r="B5901" s="89">
        <v>5897</v>
      </c>
      <c r="C5901" s="39">
        <f t="shared" ref="C5901:C5964" si="186">$C5900</f>
        <v>157992929.59999999</v>
      </c>
      <c r="D5901" s="39">
        <f t="shared" ref="D5901:D5964" si="187">$D$2*B5901</f>
        <v>194760219</v>
      </c>
    </row>
    <row r="5902" spans="2:4" x14ac:dyDescent="0.25">
      <c r="B5902" s="89">
        <v>5898</v>
      </c>
      <c r="C5902" s="39">
        <f t="shared" si="186"/>
        <v>157992929.59999999</v>
      </c>
      <c r="D5902" s="39">
        <f t="shared" si="187"/>
        <v>194793246</v>
      </c>
    </row>
    <row r="5903" spans="2:4" x14ac:dyDescent="0.25">
      <c r="B5903" s="89">
        <v>5899</v>
      </c>
      <c r="C5903" s="39">
        <f t="shared" si="186"/>
        <v>157992929.59999999</v>
      </c>
      <c r="D5903" s="39">
        <f t="shared" si="187"/>
        <v>194826273</v>
      </c>
    </row>
    <row r="5904" spans="2:4" x14ac:dyDescent="0.25">
      <c r="B5904" s="89">
        <v>5900</v>
      </c>
      <c r="C5904" s="39">
        <f t="shared" si="186"/>
        <v>157992929.59999999</v>
      </c>
      <c r="D5904" s="39">
        <f t="shared" si="187"/>
        <v>194859300</v>
      </c>
    </row>
    <row r="5905" spans="2:4" x14ac:dyDescent="0.25">
      <c r="B5905" s="89">
        <v>5901</v>
      </c>
      <c r="C5905" s="39">
        <f t="shared" si="186"/>
        <v>157992929.59999999</v>
      </c>
      <c r="D5905" s="39">
        <f t="shared" si="187"/>
        <v>194892327</v>
      </c>
    </row>
    <row r="5906" spans="2:4" x14ac:dyDescent="0.25">
      <c r="B5906" s="89">
        <v>5902</v>
      </c>
      <c r="C5906" s="39">
        <f t="shared" si="186"/>
        <v>157992929.59999999</v>
      </c>
      <c r="D5906" s="39">
        <f t="shared" si="187"/>
        <v>194925354</v>
      </c>
    </row>
    <row r="5907" spans="2:4" x14ac:dyDescent="0.25">
      <c r="B5907" s="89">
        <v>5903</v>
      </c>
      <c r="C5907" s="39">
        <f t="shared" si="186"/>
        <v>157992929.59999999</v>
      </c>
      <c r="D5907" s="39">
        <f t="shared" si="187"/>
        <v>194958381</v>
      </c>
    </row>
    <row r="5908" spans="2:4" x14ac:dyDescent="0.25">
      <c r="B5908" s="89">
        <v>5904</v>
      </c>
      <c r="C5908" s="39">
        <f t="shared" si="186"/>
        <v>157992929.59999999</v>
      </c>
      <c r="D5908" s="39">
        <f t="shared" si="187"/>
        <v>194991408</v>
      </c>
    </row>
    <row r="5909" spans="2:4" x14ac:dyDescent="0.25">
      <c r="B5909" s="89">
        <v>5905</v>
      </c>
      <c r="C5909" s="39">
        <f t="shared" si="186"/>
        <v>157992929.59999999</v>
      </c>
      <c r="D5909" s="39">
        <f t="shared" si="187"/>
        <v>195024435</v>
      </c>
    </row>
    <row r="5910" spans="2:4" x14ac:dyDescent="0.25">
      <c r="B5910" s="89">
        <v>5906</v>
      </c>
      <c r="C5910" s="39">
        <f t="shared" si="186"/>
        <v>157992929.59999999</v>
      </c>
      <c r="D5910" s="39">
        <f t="shared" si="187"/>
        <v>195057462</v>
      </c>
    </row>
    <row r="5911" spans="2:4" x14ac:dyDescent="0.25">
      <c r="B5911" s="89">
        <v>5907</v>
      </c>
      <c r="C5911" s="39">
        <f t="shared" si="186"/>
        <v>157992929.59999999</v>
      </c>
      <c r="D5911" s="39">
        <f t="shared" si="187"/>
        <v>195090489</v>
      </c>
    </row>
    <row r="5912" spans="2:4" x14ac:dyDescent="0.25">
      <c r="B5912" s="89">
        <v>5908</v>
      </c>
      <c r="C5912" s="39">
        <f t="shared" si="186"/>
        <v>157992929.59999999</v>
      </c>
      <c r="D5912" s="39">
        <f t="shared" si="187"/>
        <v>195123516</v>
      </c>
    </row>
    <row r="5913" spans="2:4" x14ac:dyDescent="0.25">
      <c r="B5913" s="89">
        <v>5909</v>
      </c>
      <c r="C5913" s="39">
        <f t="shared" si="186"/>
        <v>157992929.59999999</v>
      </c>
      <c r="D5913" s="39">
        <f t="shared" si="187"/>
        <v>195156543</v>
      </c>
    </row>
    <row r="5914" spans="2:4" x14ac:dyDescent="0.25">
      <c r="B5914" s="89">
        <v>5910</v>
      </c>
      <c r="C5914" s="39">
        <f t="shared" si="186"/>
        <v>157992929.59999999</v>
      </c>
      <c r="D5914" s="39">
        <f t="shared" si="187"/>
        <v>195189570</v>
      </c>
    </row>
    <row r="5915" spans="2:4" x14ac:dyDescent="0.25">
      <c r="B5915" s="89">
        <v>5911</v>
      </c>
      <c r="C5915" s="39">
        <f t="shared" si="186"/>
        <v>157992929.59999999</v>
      </c>
      <c r="D5915" s="39">
        <f t="shared" si="187"/>
        <v>195222597</v>
      </c>
    </row>
    <row r="5916" spans="2:4" x14ac:dyDescent="0.25">
      <c r="B5916" s="89">
        <v>5912</v>
      </c>
      <c r="C5916" s="39">
        <f t="shared" si="186"/>
        <v>157992929.59999999</v>
      </c>
      <c r="D5916" s="39">
        <f t="shared" si="187"/>
        <v>195255624</v>
      </c>
    </row>
    <row r="5917" spans="2:4" x14ac:dyDescent="0.25">
      <c r="B5917" s="89">
        <v>5913</v>
      </c>
      <c r="C5917" s="39">
        <f t="shared" si="186"/>
        <v>157992929.59999999</v>
      </c>
      <c r="D5917" s="39">
        <f t="shared" si="187"/>
        <v>195288651</v>
      </c>
    </row>
    <row r="5918" spans="2:4" x14ac:dyDescent="0.25">
      <c r="B5918" s="89">
        <v>5914</v>
      </c>
      <c r="C5918" s="39">
        <f t="shared" si="186"/>
        <v>157992929.59999999</v>
      </c>
      <c r="D5918" s="39">
        <f t="shared" si="187"/>
        <v>195321678</v>
      </c>
    </row>
    <row r="5919" spans="2:4" x14ac:dyDescent="0.25">
      <c r="B5919" s="89">
        <v>5915</v>
      </c>
      <c r="C5919" s="39">
        <f t="shared" si="186"/>
        <v>157992929.59999999</v>
      </c>
      <c r="D5919" s="39">
        <f t="shared" si="187"/>
        <v>195354705</v>
      </c>
    </row>
    <row r="5920" spans="2:4" x14ac:dyDescent="0.25">
      <c r="B5920" s="89">
        <v>5916</v>
      </c>
      <c r="C5920" s="39">
        <f t="shared" si="186"/>
        <v>157992929.59999999</v>
      </c>
      <c r="D5920" s="39">
        <f t="shared" si="187"/>
        <v>195387732</v>
      </c>
    </row>
    <row r="5921" spans="2:4" x14ac:dyDescent="0.25">
      <c r="B5921" s="89">
        <v>5917</v>
      </c>
      <c r="C5921" s="39">
        <f t="shared" si="186"/>
        <v>157992929.59999999</v>
      </c>
      <c r="D5921" s="39">
        <f t="shared" si="187"/>
        <v>195420759</v>
      </c>
    </row>
    <row r="5922" spans="2:4" x14ac:dyDescent="0.25">
      <c r="B5922" s="89">
        <v>5918</v>
      </c>
      <c r="C5922" s="39">
        <f t="shared" si="186"/>
        <v>157992929.59999999</v>
      </c>
      <c r="D5922" s="39">
        <f t="shared" si="187"/>
        <v>195453786</v>
      </c>
    </row>
    <row r="5923" spans="2:4" x14ac:dyDescent="0.25">
      <c r="B5923" s="89">
        <v>5919</v>
      </c>
      <c r="C5923" s="39">
        <f t="shared" si="186"/>
        <v>157992929.59999999</v>
      </c>
      <c r="D5923" s="39">
        <f t="shared" si="187"/>
        <v>195486813</v>
      </c>
    </row>
    <row r="5924" spans="2:4" x14ac:dyDescent="0.25">
      <c r="B5924" s="89">
        <v>5920</v>
      </c>
      <c r="C5924" s="39">
        <f t="shared" si="186"/>
        <v>157992929.59999999</v>
      </c>
      <c r="D5924" s="39">
        <f t="shared" si="187"/>
        <v>195519840</v>
      </c>
    </row>
    <row r="5925" spans="2:4" x14ac:dyDescent="0.25">
      <c r="B5925" s="89">
        <v>5921</v>
      </c>
      <c r="C5925" s="39">
        <f t="shared" si="186"/>
        <v>157992929.59999999</v>
      </c>
      <c r="D5925" s="39">
        <f t="shared" si="187"/>
        <v>195552867</v>
      </c>
    </row>
    <row r="5926" spans="2:4" x14ac:dyDescent="0.25">
      <c r="B5926" s="89">
        <v>5922</v>
      </c>
      <c r="C5926" s="39">
        <f t="shared" si="186"/>
        <v>157992929.59999999</v>
      </c>
      <c r="D5926" s="39">
        <f t="shared" si="187"/>
        <v>195585894</v>
      </c>
    </row>
    <row r="5927" spans="2:4" x14ac:dyDescent="0.25">
      <c r="B5927" s="89">
        <v>5923</v>
      </c>
      <c r="C5927" s="39">
        <f t="shared" si="186"/>
        <v>157992929.59999999</v>
      </c>
      <c r="D5927" s="39">
        <f t="shared" si="187"/>
        <v>195618921</v>
      </c>
    </row>
    <row r="5928" spans="2:4" x14ac:dyDescent="0.25">
      <c r="B5928" s="89">
        <v>5924</v>
      </c>
      <c r="C5928" s="39">
        <f t="shared" si="186"/>
        <v>157992929.59999999</v>
      </c>
      <c r="D5928" s="39">
        <f t="shared" si="187"/>
        <v>195651948</v>
      </c>
    </row>
    <row r="5929" spans="2:4" x14ac:dyDescent="0.25">
      <c r="B5929" s="89">
        <v>5925</v>
      </c>
      <c r="C5929" s="39">
        <f t="shared" si="186"/>
        <v>157992929.59999999</v>
      </c>
      <c r="D5929" s="39">
        <f t="shared" si="187"/>
        <v>195684975</v>
      </c>
    </row>
    <row r="5930" spans="2:4" x14ac:dyDescent="0.25">
      <c r="B5930" s="89">
        <v>5926</v>
      </c>
      <c r="C5930" s="39">
        <f t="shared" si="186"/>
        <v>157992929.59999999</v>
      </c>
      <c r="D5930" s="39">
        <f t="shared" si="187"/>
        <v>195718002</v>
      </c>
    </row>
    <row r="5931" spans="2:4" x14ac:dyDescent="0.25">
      <c r="B5931" s="89">
        <v>5927</v>
      </c>
      <c r="C5931" s="39">
        <f t="shared" si="186"/>
        <v>157992929.59999999</v>
      </c>
      <c r="D5931" s="39">
        <f t="shared" si="187"/>
        <v>195751029</v>
      </c>
    </row>
    <row r="5932" spans="2:4" x14ac:dyDescent="0.25">
      <c r="B5932" s="89">
        <v>5928</v>
      </c>
      <c r="C5932" s="39">
        <f t="shared" si="186"/>
        <v>157992929.59999999</v>
      </c>
      <c r="D5932" s="39">
        <f t="shared" si="187"/>
        <v>195784056</v>
      </c>
    </row>
    <row r="5933" spans="2:4" x14ac:dyDescent="0.25">
      <c r="B5933" s="89">
        <v>5929</v>
      </c>
      <c r="C5933" s="39">
        <f t="shared" si="186"/>
        <v>157992929.59999999</v>
      </c>
      <c r="D5933" s="39">
        <f t="shared" si="187"/>
        <v>195817083</v>
      </c>
    </row>
    <row r="5934" spans="2:4" x14ac:dyDescent="0.25">
      <c r="B5934" s="89">
        <v>5930</v>
      </c>
      <c r="C5934" s="39">
        <f t="shared" si="186"/>
        <v>157992929.59999999</v>
      </c>
      <c r="D5934" s="39">
        <f t="shared" si="187"/>
        <v>195850110</v>
      </c>
    </row>
    <row r="5935" spans="2:4" x14ac:dyDescent="0.25">
      <c r="B5935" s="89">
        <v>5931</v>
      </c>
      <c r="C5935" s="39">
        <f t="shared" si="186"/>
        <v>157992929.59999999</v>
      </c>
      <c r="D5935" s="39">
        <f t="shared" si="187"/>
        <v>195883137</v>
      </c>
    </row>
    <row r="5936" spans="2:4" x14ac:dyDescent="0.25">
      <c r="B5936" s="89">
        <v>5932</v>
      </c>
      <c r="C5936" s="39">
        <f t="shared" si="186"/>
        <v>157992929.59999999</v>
      </c>
      <c r="D5936" s="39">
        <f t="shared" si="187"/>
        <v>195916164</v>
      </c>
    </row>
    <row r="5937" spans="2:4" x14ac:dyDescent="0.25">
      <c r="B5937" s="89">
        <v>5933</v>
      </c>
      <c r="C5937" s="39">
        <f t="shared" si="186"/>
        <v>157992929.59999999</v>
      </c>
      <c r="D5937" s="39">
        <f t="shared" si="187"/>
        <v>195949191</v>
      </c>
    </row>
    <row r="5938" spans="2:4" x14ac:dyDescent="0.25">
      <c r="B5938" s="89">
        <v>5934</v>
      </c>
      <c r="C5938" s="39">
        <f t="shared" si="186"/>
        <v>157992929.59999999</v>
      </c>
      <c r="D5938" s="39">
        <f t="shared" si="187"/>
        <v>195982218</v>
      </c>
    </row>
    <row r="5939" spans="2:4" x14ac:dyDescent="0.25">
      <c r="B5939" s="89">
        <v>5935</v>
      </c>
      <c r="C5939" s="39">
        <f t="shared" si="186"/>
        <v>157992929.59999999</v>
      </c>
      <c r="D5939" s="39">
        <f t="shared" si="187"/>
        <v>196015245</v>
      </c>
    </row>
    <row r="5940" spans="2:4" x14ac:dyDescent="0.25">
      <c r="B5940" s="89">
        <v>5936</v>
      </c>
      <c r="C5940" s="39">
        <f t="shared" si="186"/>
        <v>157992929.59999999</v>
      </c>
      <c r="D5940" s="39">
        <f t="shared" si="187"/>
        <v>196048272</v>
      </c>
    </row>
    <row r="5941" spans="2:4" x14ac:dyDescent="0.25">
      <c r="B5941" s="89">
        <v>5937</v>
      </c>
      <c r="C5941" s="39">
        <f t="shared" si="186"/>
        <v>157992929.59999999</v>
      </c>
      <c r="D5941" s="39">
        <f t="shared" si="187"/>
        <v>196081299</v>
      </c>
    </row>
    <row r="5942" spans="2:4" x14ac:dyDescent="0.25">
      <c r="B5942" s="89">
        <v>5938</v>
      </c>
      <c r="C5942" s="39">
        <f t="shared" si="186"/>
        <v>157992929.59999999</v>
      </c>
      <c r="D5942" s="39">
        <f t="shared" si="187"/>
        <v>196114326</v>
      </c>
    </row>
    <row r="5943" spans="2:4" x14ac:dyDescent="0.25">
      <c r="B5943" s="89">
        <v>5939</v>
      </c>
      <c r="C5943" s="39">
        <f t="shared" si="186"/>
        <v>157992929.59999999</v>
      </c>
      <c r="D5943" s="39">
        <f t="shared" si="187"/>
        <v>196147353</v>
      </c>
    </row>
    <row r="5944" spans="2:4" x14ac:dyDescent="0.25">
      <c r="B5944" s="89">
        <v>5940</v>
      </c>
      <c r="C5944" s="39">
        <f t="shared" si="186"/>
        <v>157992929.59999999</v>
      </c>
      <c r="D5944" s="39">
        <f t="shared" si="187"/>
        <v>196180380</v>
      </c>
    </row>
    <row r="5945" spans="2:4" x14ac:dyDescent="0.25">
      <c r="B5945" s="89">
        <v>5941</v>
      </c>
      <c r="C5945" s="39">
        <f t="shared" si="186"/>
        <v>157992929.59999999</v>
      </c>
      <c r="D5945" s="39">
        <f t="shared" si="187"/>
        <v>196213407</v>
      </c>
    </row>
    <row r="5946" spans="2:4" x14ac:dyDescent="0.25">
      <c r="B5946" s="89">
        <v>5942</v>
      </c>
      <c r="C5946" s="39">
        <f t="shared" si="186"/>
        <v>157992929.59999999</v>
      </c>
      <c r="D5946" s="39">
        <f t="shared" si="187"/>
        <v>196246434</v>
      </c>
    </row>
    <row r="5947" spans="2:4" x14ac:dyDescent="0.25">
      <c r="B5947" s="89">
        <v>5943</v>
      </c>
      <c r="C5947" s="39">
        <f t="shared" si="186"/>
        <v>157992929.59999999</v>
      </c>
      <c r="D5947" s="39">
        <f t="shared" si="187"/>
        <v>196279461</v>
      </c>
    </row>
    <row r="5948" spans="2:4" x14ac:dyDescent="0.25">
      <c r="B5948" s="89">
        <v>5944</v>
      </c>
      <c r="C5948" s="39">
        <f t="shared" si="186"/>
        <v>157992929.59999999</v>
      </c>
      <c r="D5948" s="39">
        <f t="shared" si="187"/>
        <v>196312488</v>
      </c>
    </row>
    <row r="5949" spans="2:4" x14ac:dyDescent="0.25">
      <c r="B5949" s="89">
        <v>5945</v>
      </c>
      <c r="C5949" s="39">
        <f t="shared" si="186"/>
        <v>157992929.59999999</v>
      </c>
      <c r="D5949" s="39">
        <f t="shared" si="187"/>
        <v>196345515</v>
      </c>
    </row>
    <row r="5950" spans="2:4" x14ac:dyDescent="0.25">
      <c r="B5950" s="89">
        <v>5946</v>
      </c>
      <c r="C5950" s="39">
        <f t="shared" si="186"/>
        <v>157992929.59999999</v>
      </c>
      <c r="D5950" s="39">
        <f t="shared" si="187"/>
        <v>196378542</v>
      </c>
    </row>
    <row r="5951" spans="2:4" x14ac:dyDescent="0.25">
      <c r="B5951" s="89">
        <v>5947</v>
      </c>
      <c r="C5951" s="39">
        <f t="shared" si="186"/>
        <v>157992929.59999999</v>
      </c>
      <c r="D5951" s="39">
        <f t="shared" si="187"/>
        <v>196411569</v>
      </c>
    </row>
    <row r="5952" spans="2:4" x14ac:dyDescent="0.25">
      <c r="B5952" s="89">
        <v>5948</v>
      </c>
      <c r="C5952" s="39">
        <f t="shared" si="186"/>
        <v>157992929.59999999</v>
      </c>
      <c r="D5952" s="39">
        <f t="shared" si="187"/>
        <v>196444596</v>
      </c>
    </row>
    <row r="5953" spans="2:4" x14ac:dyDescent="0.25">
      <c r="B5953" s="89">
        <v>5949</v>
      </c>
      <c r="C5953" s="39">
        <f t="shared" si="186"/>
        <v>157992929.59999999</v>
      </c>
      <c r="D5953" s="39">
        <f t="shared" si="187"/>
        <v>196477623</v>
      </c>
    </row>
    <row r="5954" spans="2:4" x14ac:dyDescent="0.25">
      <c r="B5954" s="89">
        <v>5950</v>
      </c>
      <c r="C5954" s="39">
        <f t="shared" si="186"/>
        <v>157992929.59999999</v>
      </c>
      <c r="D5954" s="39">
        <f t="shared" si="187"/>
        <v>196510650</v>
      </c>
    </row>
    <row r="5955" spans="2:4" x14ac:dyDescent="0.25">
      <c r="B5955" s="89">
        <v>5951</v>
      </c>
      <c r="C5955" s="39">
        <f t="shared" si="186"/>
        <v>157992929.59999999</v>
      </c>
      <c r="D5955" s="39">
        <f t="shared" si="187"/>
        <v>196543677</v>
      </c>
    </row>
    <row r="5956" spans="2:4" x14ac:dyDescent="0.25">
      <c r="B5956" s="89">
        <v>5952</v>
      </c>
      <c r="C5956" s="39">
        <f t="shared" si="186"/>
        <v>157992929.59999999</v>
      </c>
      <c r="D5956" s="39">
        <f t="shared" si="187"/>
        <v>196576704</v>
      </c>
    </row>
    <row r="5957" spans="2:4" x14ac:dyDescent="0.25">
      <c r="B5957" s="89">
        <v>5953</v>
      </c>
      <c r="C5957" s="39">
        <f t="shared" si="186"/>
        <v>157992929.59999999</v>
      </c>
      <c r="D5957" s="39">
        <f t="shared" si="187"/>
        <v>196609731</v>
      </c>
    </row>
    <row r="5958" spans="2:4" x14ac:dyDescent="0.25">
      <c r="B5958" s="89">
        <v>5954</v>
      </c>
      <c r="C5958" s="39">
        <f t="shared" si="186"/>
        <v>157992929.59999999</v>
      </c>
      <c r="D5958" s="39">
        <f t="shared" si="187"/>
        <v>196642758</v>
      </c>
    </row>
    <row r="5959" spans="2:4" x14ac:dyDescent="0.25">
      <c r="B5959" s="89">
        <v>5955</v>
      </c>
      <c r="C5959" s="39">
        <f t="shared" si="186"/>
        <v>157992929.59999999</v>
      </c>
      <c r="D5959" s="39">
        <f t="shared" si="187"/>
        <v>196675785</v>
      </c>
    </row>
    <row r="5960" spans="2:4" x14ac:dyDescent="0.25">
      <c r="B5960" s="89">
        <v>5956</v>
      </c>
      <c r="C5960" s="39">
        <f t="shared" si="186"/>
        <v>157992929.59999999</v>
      </c>
      <c r="D5960" s="39">
        <f t="shared" si="187"/>
        <v>196708812</v>
      </c>
    </row>
    <row r="5961" spans="2:4" x14ac:dyDescent="0.25">
      <c r="B5961" s="89">
        <v>5957</v>
      </c>
      <c r="C5961" s="39">
        <f t="shared" si="186"/>
        <v>157992929.59999999</v>
      </c>
      <c r="D5961" s="39">
        <f t="shared" si="187"/>
        <v>196741839</v>
      </c>
    </row>
    <row r="5962" spans="2:4" x14ac:dyDescent="0.25">
      <c r="B5962" s="89">
        <v>5958</v>
      </c>
      <c r="C5962" s="39">
        <f t="shared" si="186"/>
        <v>157992929.59999999</v>
      </c>
      <c r="D5962" s="39">
        <f t="shared" si="187"/>
        <v>196774866</v>
      </c>
    </row>
    <row r="5963" spans="2:4" x14ac:dyDescent="0.25">
      <c r="B5963" s="89">
        <v>5959</v>
      </c>
      <c r="C5963" s="39">
        <f t="shared" si="186"/>
        <v>157992929.59999999</v>
      </c>
      <c r="D5963" s="39">
        <f t="shared" si="187"/>
        <v>196807893</v>
      </c>
    </row>
    <row r="5964" spans="2:4" x14ac:dyDescent="0.25">
      <c r="B5964" s="89">
        <v>5960</v>
      </c>
      <c r="C5964" s="39">
        <f t="shared" si="186"/>
        <v>157992929.59999999</v>
      </c>
      <c r="D5964" s="39">
        <f t="shared" si="187"/>
        <v>196840920</v>
      </c>
    </row>
    <row r="5965" spans="2:4" x14ac:dyDescent="0.25">
      <c r="B5965" s="89">
        <v>5961</v>
      </c>
      <c r="C5965" s="39">
        <f t="shared" ref="C5965:C6004" si="188">$C5964</f>
        <v>157992929.59999999</v>
      </c>
      <c r="D5965" s="39">
        <f t="shared" ref="D5965:D6004" si="189">$D$2*B5965</f>
        <v>196873947</v>
      </c>
    </row>
    <row r="5966" spans="2:4" x14ac:dyDescent="0.25">
      <c r="B5966" s="89">
        <v>5962</v>
      </c>
      <c r="C5966" s="39">
        <f t="shared" si="188"/>
        <v>157992929.59999999</v>
      </c>
      <c r="D5966" s="39">
        <f t="shared" si="189"/>
        <v>196906974</v>
      </c>
    </row>
    <row r="5967" spans="2:4" x14ac:dyDescent="0.25">
      <c r="B5967" s="89">
        <v>5963</v>
      </c>
      <c r="C5967" s="39">
        <f t="shared" si="188"/>
        <v>157992929.59999999</v>
      </c>
      <c r="D5967" s="39">
        <f t="shared" si="189"/>
        <v>196940001</v>
      </c>
    </row>
    <row r="5968" spans="2:4" x14ac:dyDescent="0.25">
      <c r="B5968" s="89">
        <v>5964</v>
      </c>
      <c r="C5968" s="39">
        <f t="shared" si="188"/>
        <v>157992929.59999999</v>
      </c>
      <c r="D5968" s="39">
        <f t="shared" si="189"/>
        <v>196973028</v>
      </c>
    </row>
    <row r="5969" spans="2:4" x14ac:dyDescent="0.25">
      <c r="B5969" s="89">
        <v>5965</v>
      </c>
      <c r="C5969" s="39">
        <f t="shared" si="188"/>
        <v>157992929.59999999</v>
      </c>
      <c r="D5969" s="39">
        <f t="shared" si="189"/>
        <v>197006055</v>
      </c>
    </row>
    <row r="5970" spans="2:4" x14ac:dyDescent="0.25">
      <c r="B5970" s="89">
        <v>5966</v>
      </c>
      <c r="C5970" s="39">
        <f t="shared" si="188"/>
        <v>157992929.59999999</v>
      </c>
      <c r="D5970" s="39">
        <f t="shared" si="189"/>
        <v>197039082</v>
      </c>
    </row>
    <row r="5971" spans="2:4" x14ac:dyDescent="0.25">
      <c r="B5971" s="89">
        <v>5967</v>
      </c>
      <c r="C5971" s="39">
        <f t="shared" si="188"/>
        <v>157992929.59999999</v>
      </c>
      <c r="D5971" s="39">
        <f t="shared" si="189"/>
        <v>197072109</v>
      </c>
    </row>
    <row r="5972" spans="2:4" x14ac:dyDescent="0.25">
      <c r="B5972" s="89">
        <v>5968</v>
      </c>
      <c r="C5972" s="39">
        <f t="shared" si="188"/>
        <v>157992929.59999999</v>
      </c>
      <c r="D5972" s="39">
        <f t="shared" si="189"/>
        <v>197105136</v>
      </c>
    </row>
    <row r="5973" spans="2:4" x14ac:dyDescent="0.25">
      <c r="B5973" s="89">
        <v>5969</v>
      </c>
      <c r="C5973" s="39">
        <f t="shared" si="188"/>
        <v>157992929.59999999</v>
      </c>
      <c r="D5973" s="39">
        <f t="shared" si="189"/>
        <v>197138163</v>
      </c>
    </row>
    <row r="5974" spans="2:4" x14ac:dyDescent="0.25">
      <c r="B5974" s="89">
        <v>5970</v>
      </c>
      <c r="C5974" s="39">
        <f t="shared" si="188"/>
        <v>157992929.59999999</v>
      </c>
      <c r="D5974" s="39">
        <f t="shared" si="189"/>
        <v>197171190</v>
      </c>
    </row>
    <row r="5975" spans="2:4" x14ac:dyDescent="0.25">
      <c r="B5975" s="89">
        <v>5971</v>
      </c>
      <c r="C5975" s="39">
        <f t="shared" si="188"/>
        <v>157992929.59999999</v>
      </c>
      <c r="D5975" s="39">
        <f t="shared" si="189"/>
        <v>197204217</v>
      </c>
    </row>
    <row r="5976" spans="2:4" x14ac:dyDescent="0.25">
      <c r="B5976" s="89">
        <v>5972</v>
      </c>
      <c r="C5976" s="39">
        <f t="shared" si="188"/>
        <v>157992929.59999999</v>
      </c>
      <c r="D5976" s="39">
        <f t="shared" si="189"/>
        <v>197237244</v>
      </c>
    </row>
    <row r="5977" spans="2:4" x14ac:dyDescent="0.25">
      <c r="B5977" s="89">
        <v>5973</v>
      </c>
      <c r="C5977" s="39">
        <f t="shared" si="188"/>
        <v>157992929.59999999</v>
      </c>
      <c r="D5977" s="39">
        <f t="shared" si="189"/>
        <v>197270271</v>
      </c>
    </row>
    <row r="5978" spans="2:4" x14ac:dyDescent="0.25">
      <c r="B5978" s="89">
        <v>5974</v>
      </c>
      <c r="C5978" s="39">
        <f t="shared" si="188"/>
        <v>157992929.59999999</v>
      </c>
      <c r="D5978" s="39">
        <f t="shared" si="189"/>
        <v>197303298</v>
      </c>
    </row>
    <row r="5979" spans="2:4" x14ac:dyDescent="0.25">
      <c r="B5979" s="89">
        <v>5975</v>
      </c>
      <c r="C5979" s="39">
        <f t="shared" si="188"/>
        <v>157992929.59999999</v>
      </c>
      <c r="D5979" s="39">
        <f t="shared" si="189"/>
        <v>197336325</v>
      </c>
    </row>
    <row r="5980" spans="2:4" x14ac:dyDescent="0.25">
      <c r="B5980" s="89">
        <v>5976</v>
      </c>
      <c r="C5980" s="39">
        <f t="shared" si="188"/>
        <v>157992929.59999999</v>
      </c>
      <c r="D5980" s="39">
        <f t="shared" si="189"/>
        <v>197369352</v>
      </c>
    </row>
    <row r="5981" spans="2:4" x14ac:dyDescent="0.25">
      <c r="B5981" s="89">
        <v>5977</v>
      </c>
      <c r="C5981" s="39">
        <f t="shared" si="188"/>
        <v>157992929.59999999</v>
      </c>
      <c r="D5981" s="39">
        <f t="shared" si="189"/>
        <v>197402379</v>
      </c>
    </row>
    <row r="5982" spans="2:4" x14ac:dyDescent="0.25">
      <c r="B5982" s="89">
        <v>5978</v>
      </c>
      <c r="C5982" s="39">
        <f t="shared" si="188"/>
        <v>157992929.59999999</v>
      </c>
      <c r="D5982" s="39">
        <f t="shared" si="189"/>
        <v>197435406</v>
      </c>
    </row>
    <row r="5983" spans="2:4" x14ac:dyDescent="0.25">
      <c r="B5983" s="89">
        <v>5979</v>
      </c>
      <c r="C5983" s="39">
        <f t="shared" si="188"/>
        <v>157992929.59999999</v>
      </c>
      <c r="D5983" s="39">
        <f t="shared" si="189"/>
        <v>197468433</v>
      </c>
    </row>
    <row r="5984" spans="2:4" x14ac:dyDescent="0.25">
      <c r="B5984" s="89">
        <v>5980</v>
      </c>
      <c r="C5984" s="39">
        <f t="shared" si="188"/>
        <v>157992929.59999999</v>
      </c>
      <c r="D5984" s="39">
        <f t="shared" si="189"/>
        <v>197501460</v>
      </c>
    </row>
    <row r="5985" spans="2:4" x14ac:dyDescent="0.25">
      <c r="B5985" s="89">
        <v>5981</v>
      </c>
      <c r="C5985" s="39">
        <f t="shared" si="188"/>
        <v>157992929.59999999</v>
      </c>
      <c r="D5985" s="39">
        <f t="shared" si="189"/>
        <v>197534487</v>
      </c>
    </row>
    <row r="5986" spans="2:4" x14ac:dyDescent="0.25">
      <c r="B5986" s="89">
        <v>5982</v>
      </c>
      <c r="C5986" s="39">
        <f t="shared" si="188"/>
        <v>157992929.59999999</v>
      </c>
      <c r="D5986" s="39">
        <f t="shared" si="189"/>
        <v>197567514</v>
      </c>
    </row>
    <row r="5987" spans="2:4" x14ac:dyDescent="0.25">
      <c r="B5987" s="89">
        <v>5983</v>
      </c>
      <c r="C5987" s="39">
        <f t="shared" si="188"/>
        <v>157992929.59999999</v>
      </c>
      <c r="D5987" s="39">
        <f t="shared" si="189"/>
        <v>197600541</v>
      </c>
    </row>
    <row r="5988" spans="2:4" x14ac:dyDescent="0.25">
      <c r="B5988" s="89">
        <v>5984</v>
      </c>
      <c r="C5988" s="39">
        <f t="shared" si="188"/>
        <v>157992929.59999999</v>
      </c>
      <c r="D5988" s="39">
        <f t="shared" si="189"/>
        <v>197633568</v>
      </c>
    </row>
    <row r="5989" spans="2:4" x14ac:dyDescent="0.25">
      <c r="B5989" s="89">
        <v>5985</v>
      </c>
      <c r="C5989" s="39">
        <f t="shared" si="188"/>
        <v>157992929.59999999</v>
      </c>
      <c r="D5989" s="39">
        <f t="shared" si="189"/>
        <v>197666595</v>
      </c>
    </row>
    <row r="5990" spans="2:4" x14ac:dyDescent="0.25">
      <c r="B5990" s="89">
        <v>5986</v>
      </c>
      <c r="C5990" s="39">
        <f t="shared" si="188"/>
        <v>157992929.59999999</v>
      </c>
      <c r="D5990" s="39">
        <f t="shared" si="189"/>
        <v>197699622</v>
      </c>
    </row>
    <row r="5991" spans="2:4" x14ac:dyDescent="0.25">
      <c r="B5991" s="89">
        <v>5987</v>
      </c>
      <c r="C5991" s="39">
        <f t="shared" si="188"/>
        <v>157992929.59999999</v>
      </c>
      <c r="D5991" s="39">
        <f t="shared" si="189"/>
        <v>197732649</v>
      </c>
    </row>
    <row r="5992" spans="2:4" x14ac:dyDescent="0.25">
      <c r="B5992" s="89">
        <v>5988</v>
      </c>
      <c r="C5992" s="39">
        <f t="shared" si="188"/>
        <v>157992929.59999999</v>
      </c>
      <c r="D5992" s="39">
        <f t="shared" si="189"/>
        <v>197765676</v>
      </c>
    </row>
    <row r="5993" spans="2:4" x14ac:dyDescent="0.25">
      <c r="B5993" s="89">
        <v>5989</v>
      </c>
      <c r="C5993" s="39">
        <f t="shared" si="188"/>
        <v>157992929.59999999</v>
      </c>
      <c r="D5993" s="39">
        <f t="shared" si="189"/>
        <v>197798703</v>
      </c>
    </row>
    <row r="5994" spans="2:4" x14ac:dyDescent="0.25">
      <c r="B5994" s="89">
        <v>5990</v>
      </c>
      <c r="C5994" s="39">
        <f t="shared" si="188"/>
        <v>157992929.59999999</v>
      </c>
      <c r="D5994" s="39">
        <f t="shared" si="189"/>
        <v>197831730</v>
      </c>
    </row>
    <row r="5995" spans="2:4" x14ac:dyDescent="0.25">
      <c r="B5995" s="89">
        <v>5991</v>
      </c>
      <c r="C5995" s="39">
        <f t="shared" si="188"/>
        <v>157992929.59999999</v>
      </c>
      <c r="D5995" s="39">
        <f t="shared" si="189"/>
        <v>197864757</v>
      </c>
    </row>
    <row r="5996" spans="2:4" x14ac:dyDescent="0.25">
      <c r="B5996" s="89">
        <v>5992</v>
      </c>
      <c r="C5996" s="39">
        <f t="shared" si="188"/>
        <v>157992929.59999999</v>
      </c>
      <c r="D5996" s="39">
        <f t="shared" si="189"/>
        <v>197897784</v>
      </c>
    </row>
    <row r="5997" spans="2:4" x14ac:dyDescent="0.25">
      <c r="B5997" s="89">
        <v>5993</v>
      </c>
      <c r="C5997" s="39">
        <f t="shared" si="188"/>
        <v>157992929.59999999</v>
      </c>
      <c r="D5997" s="39">
        <f t="shared" si="189"/>
        <v>197930811</v>
      </c>
    </row>
    <row r="5998" spans="2:4" x14ac:dyDescent="0.25">
      <c r="B5998" s="89">
        <v>5994</v>
      </c>
      <c r="C5998" s="39">
        <f t="shared" si="188"/>
        <v>157992929.59999999</v>
      </c>
      <c r="D5998" s="39">
        <f t="shared" si="189"/>
        <v>197963838</v>
      </c>
    </row>
    <row r="5999" spans="2:4" x14ac:dyDescent="0.25">
      <c r="B5999" s="89">
        <v>5995</v>
      </c>
      <c r="C5999" s="39">
        <f t="shared" si="188"/>
        <v>157992929.59999999</v>
      </c>
      <c r="D5999" s="39">
        <f t="shared" si="189"/>
        <v>197996865</v>
      </c>
    </row>
    <row r="6000" spans="2:4" x14ac:dyDescent="0.25">
      <c r="B6000" s="89">
        <v>5996</v>
      </c>
      <c r="C6000" s="39">
        <f t="shared" si="188"/>
        <v>157992929.59999999</v>
      </c>
      <c r="D6000" s="39">
        <f t="shared" si="189"/>
        <v>198029892</v>
      </c>
    </row>
    <row r="6001" spans="2:4" x14ac:dyDescent="0.25">
      <c r="B6001" s="89">
        <v>5997</v>
      </c>
      <c r="C6001" s="39">
        <f t="shared" si="188"/>
        <v>157992929.59999999</v>
      </c>
      <c r="D6001" s="39">
        <f t="shared" si="189"/>
        <v>198062919</v>
      </c>
    </row>
    <row r="6002" spans="2:4" x14ac:dyDescent="0.25">
      <c r="B6002" s="89">
        <v>5998</v>
      </c>
      <c r="C6002" s="39">
        <f t="shared" si="188"/>
        <v>157992929.59999999</v>
      </c>
      <c r="D6002" s="39">
        <f t="shared" si="189"/>
        <v>198095946</v>
      </c>
    </row>
    <row r="6003" spans="2:4" x14ac:dyDescent="0.25">
      <c r="B6003" s="89">
        <v>5999</v>
      </c>
      <c r="C6003" s="39">
        <f t="shared" si="188"/>
        <v>157992929.59999999</v>
      </c>
      <c r="D6003" s="39">
        <f t="shared" si="189"/>
        <v>198128973</v>
      </c>
    </row>
    <row r="6004" spans="2:4" x14ac:dyDescent="0.25">
      <c r="B6004" s="89">
        <v>6000</v>
      </c>
      <c r="C6004" s="39">
        <f t="shared" si="188"/>
        <v>157992929.59999999</v>
      </c>
      <c r="D6004" s="39">
        <f t="shared" si="189"/>
        <v>198162000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zoomScale="130" zoomScaleNormal="130" workbookViewId="0">
      <selection activeCell="C5" sqref="C5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52" t="s">
        <v>145</v>
      </c>
      <c r="C2" s="253"/>
      <c r="D2" s="253"/>
      <c r="E2" s="253"/>
      <c r="F2" s="253"/>
      <c r="G2" s="254"/>
      <c r="I2" s="255" t="s">
        <v>146</v>
      </c>
      <c r="J2" s="256"/>
      <c r="L2" s="255" t="s">
        <v>147</v>
      </c>
      <c r="M2" s="256"/>
    </row>
    <row r="3" spans="2:13" x14ac:dyDescent="0.25">
      <c r="B3" s="76" t="s">
        <v>75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50</v>
      </c>
      <c r="I3" s="98" t="s">
        <v>75</v>
      </c>
      <c r="J3" s="98" t="s">
        <v>66</v>
      </c>
      <c r="L3" s="98" t="s">
        <v>152</v>
      </c>
      <c r="M3" s="98" t="s">
        <v>2</v>
      </c>
    </row>
    <row r="4" spans="2:13" x14ac:dyDescent="0.25">
      <c r="B4" s="94" t="s">
        <v>140</v>
      </c>
      <c r="C4" s="92">
        <f>'Balance General'!D8/'Balance General'!D21</f>
        <v>1.1500533389915748</v>
      </c>
      <c r="D4" s="92">
        <f>'Balance General'!E8/'Balance General'!E21</f>
        <v>1.3462769121646407</v>
      </c>
      <c r="E4" s="92">
        <f>'Balance General'!F8/'Balance General'!F21</f>
        <v>1.5757787835936141</v>
      </c>
      <c r="F4" s="92">
        <f>'Balance General'!G8/'Balance General'!G21</f>
        <v>1.8988345904187378</v>
      </c>
      <c r="G4" s="92">
        <f>'Balance General'!H8/'Balance General'!H21</f>
        <v>2.3727053111819334</v>
      </c>
      <c r="I4" s="97" t="s">
        <v>45</v>
      </c>
      <c r="J4" s="3">
        <f>'Flujo de Caja'!C27</f>
        <v>-35091000</v>
      </c>
      <c r="L4" s="97" t="s">
        <v>148</v>
      </c>
      <c r="M4" s="59">
        <v>0.15</v>
      </c>
    </row>
    <row r="5" spans="2:13" x14ac:dyDescent="0.25">
      <c r="B5" s="94" t="s">
        <v>141</v>
      </c>
      <c r="C5" s="93">
        <f>'Balance General'!D27/'Balance General'!D16</f>
        <v>0.86222677049059604</v>
      </c>
      <c r="D5" s="93">
        <f>'Balance General'!E27/'Balance General'!E16</f>
        <v>0.74168933750333543</v>
      </c>
      <c r="E5" s="93">
        <f>'Balance General'!F27/'Balance General'!F16</f>
        <v>0.63692415316611006</v>
      </c>
      <c r="F5" s="93">
        <f>'Balance General'!G27/'Balance General'!G16</f>
        <v>0.53081240895639747</v>
      </c>
      <c r="G5" s="93">
        <f>'Balance General'!H27/'Balance General'!H16</f>
        <v>0.41456542537454411</v>
      </c>
      <c r="I5" s="97" t="s">
        <v>46</v>
      </c>
      <c r="J5" s="3">
        <f>'Flujo de Caja'!D27</f>
        <v>11076987.107918859</v>
      </c>
      <c r="L5" s="97" t="s">
        <v>149</v>
      </c>
      <c r="M5" s="3">
        <f>NPV(M4,J5:J9)</f>
        <v>219867224.99021494</v>
      </c>
    </row>
    <row r="6" spans="2:13" x14ac:dyDescent="0.25">
      <c r="B6" s="94" t="s">
        <v>142</v>
      </c>
      <c r="C6" s="93">
        <f>'Estado de Resultados'!D15/'Estado de Resultados'!D6</f>
        <v>0.13936081716637272</v>
      </c>
      <c r="D6" s="93">
        <f>'Estado de Resultados'!E15/'Estado de Resultados'!E6</f>
        <v>0.26463526104113866</v>
      </c>
      <c r="E6" s="93">
        <f>'Estado de Resultados'!F15/'Estado de Resultados'!F6</f>
        <v>0.37150812740394901</v>
      </c>
      <c r="F6" s="93">
        <f>'Estado de Resultados'!G15/'Estado de Resultados'!G6</f>
        <v>0.47825316102025661</v>
      </c>
      <c r="G6" s="93">
        <f>'Estado de Resultados'!H15/'Estado de Resultados'!H6</f>
        <v>0.58231417444561817</v>
      </c>
      <c r="I6" s="97" t="s">
        <v>47</v>
      </c>
      <c r="J6" s="3">
        <f>'Flujo de Caja'!E27</f>
        <v>30122573.867918849</v>
      </c>
      <c r="L6" s="97" t="s">
        <v>150</v>
      </c>
      <c r="M6" s="59">
        <f>IRR(J4:J9)</f>
        <v>0.94950712466037723</v>
      </c>
    </row>
    <row r="7" spans="2:13" x14ac:dyDescent="0.25">
      <c r="B7" s="95" t="s">
        <v>143</v>
      </c>
      <c r="C7" s="96">
        <f>'Estado de Resultados'!D24/'Estado de Resultados'!D6</f>
        <v>6.7833793282865804E-2</v>
      </c>
      <c r="D7" s="96">
        <f>'Estado de Resultados'!E24/'Estado de Resultados'!E6</f>
        <v>0.15394243685285097</v>
      </c>
      <c r="E7" s="96">
        <f>'Estado de Resultados'!F24/'Estado de Resultados'!F6</f>
        <v>0.2274395036176258</v>
      </c>
      <c r="F7" s="96">
        <f>'Estado de Resultados'!G24/'Estado de Resultados'!G6</f>
        <v>0.30026774017641883</v>
      </c>
      <c r="G7" s="96">
        <f>'Estado de Resultados'!H24/'Estado de Resultados'!H6</f>
        <v>0.37850421338965179</v>
      </c>
      <c r="I7" s="97" t="s">
        <v>48</v>
      </c>
      <c r="J7" s="3">
        <f>'Flujo de Caja'!F27</f>
        <v>58561120.723118812</v>
      </c>
      <c r="L7" s="97" t="s">
        <v>151</v>
      </c>
      <c r="M7" s="141">
        <f>-NPV(M4,J5:J9)/J4</f>
        <v>6.265630075809038</v>
      </c>
    </row>
    <row r="8" spans="2:13" x14ac:dyDescent="0.25">
      <c r="B8" s="94" t="s">
        <v>144</v>
      </c>
      <c r="C8" s="93">
        <f>'Estado de Resultados'!D24/'Balance General'!C36</f>
        <v>0.31566461793391054</v>
      </c>
      <c r="D8" s="93">
        <f>'Estado de Resultados'!E24/'Balance General'!D36</f>
        <v>0.1847500322764038</v>
      </c>
      <c r="E8" s="93">
        <f>'Estado de Resultados'!F24/'Balance General'!E36</f>
        <v>0.28173650606300399</v>
      </c>
      <c r="F8" s="93">
        <f>'Estado de Resultados'!G24/'Balance General'!F36</f>
        <v>0.38616305561345521</v>
      </c>
      <c r="G8" s="93">
        <f>'Estado de Resultados'!H24/'Balance General'!G36</f>
        <v>0.50844665416088042</v>
      </c>
      <c r="I8" s="97" t="s">
        <v>49</v>
      </c>
      <c r="J8" s="3">
        <f>'Flujo de Caja'!G27</f>
        <v>103554877.44555879</v>
      </c>
    </row>
    <row r="9" spans="2:13" x14ac:dyDescent="0.25">
      <c r="I9" s="97" t="s">
        <v>50</v>
      </c>
      <c r="J9" s="3">
        <f>'Flujo de Caja'!H27</f>
        <v>180509942.84674048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2026-07-18T16:59:48Z</dcterms:modified>
</cp:coreProperties>
</file>