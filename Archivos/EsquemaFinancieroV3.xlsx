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4785E725-AB39-4CCF-BEF5-C780906EE955}" xr6:coauthVersionLast="47" xr6:coauthVersionMax="47" xr10:uidLastSave="{00000000-0000-0000-0000-000000000000}"/>
  <bookViews>
    <workbookView xWindow="510" yWindow="795" windowWidth="18525" windowHeight="14715" firstSheet="4" activeTab="4" xr2:uid="{9E9169EE-EF7E-4FAC-A692-4639F69214FE}"/>
  </bookViews>
  <sheets>
    <sheet name="Inversión Inicial" sheetId="2" r:id="rId1"/>
    <sheet name="Costos de Operación Gravables" sheetId="3" r:id="rId2"/>
    <sheet name="Proyección de Ventas e Incremen" sheetId="4" r:id="rId3"/>
    <sheet name="Amortización y Depreciación" sheetId="5" r:id="rId4"/>
    <sheet name="Balance General" sheetId="6" r:id="rId5"/>
    <sheet name="Hoja1" sheetId="13" r:id="rId6"/>
    <sheet name="Estado de Resultados" sheetId="7" r:id="rId7"/>
    <sheet name="Flujo de Caja" sheetId="8" r:id="rId8"/>
    <sheet name="Flujo de Efectivo" sheetId="9" r:id="rId9"/>
    <sheet name="Costos Fijos y Punto de Equil." sheetId="10" r:id="rId10"/>
    <sheet name="Grafica Punto de Equilibrio" sheetId="11" r:id="rId11"/>
    <sheet name="Indicadores Financieros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3" i="6" l="1"/>
  <c r="D15" i="7"/>
  <c r="E15" i="7"/>
  <c r="F15" i="7"/>
  <c r="G15" i="7"/>
  <c r="H15" i="7"/>
  <c r="C15" i="7"/>
  <c r="C16" i="7"/>
  <c r="D11" i="7"/>
  <c r="E11" i="7"/>
  <c r="F11" i="7"/>
  <c r="G11" i="7"/>
  <c r="H11" i="7"/>
  <c r="C11" i="7"/>
  <c r="D42" i="6"/>
  <c r="E42" i="6"/>
  <c r="F42" i="6"/>
  <c r="G42" i="6"/>
  <c r="H42" i="6" s="1"/>
  <c r="C13" i="7"/>
  <c r="D13" i="7"/>
  <c r="E13" i="7"/>
  <c r="F13" i="7"/>
  <c r="G13" i="7"/>
  <c r="D28" i="6"/>
  <c r="C42" i="6"/>
  <c r="C14" i="8" s="1"/>
  <c r="C17" i="8" s="1"/>
  <c r="J7" i="4"/>
  <c r="D19" i="9"/>
  <c r="E19" i="9"/>
  <c r="F19" i="9"/>
  <c r="G19" i="9"/>
  <c r="H19" i="9"/>
  <c r="C19" i="9"/>
  <c r="C14" i="9"/>
  <c r="C9" i="9"/>
  <c r="C21" i="9" s="1"/>
  <c r="H14" i="9"/>
  <c r="H15" i="9" s="1"/>
  <c r="G14" i="9"/>
  <c r="G15" i="9" s="1"/>
  <c r="F14" i="9"/>
  <c r="F15" i="9" s="1"/>
  <c r="E14" i="9"/>
  <c r="E15" i="9" s="1"/>
  <c r="D14" i="9"/>
  <c r="D15" i="9" s="1"/>
  <c r="C15" i="9"/>
  <c r="C28" i="8"/>
  <c r="C29" i="8" s="1"/>
  <c r="C7" i="9" s="1"/>
  <c r="H22" i="8"/>
  <c r="H9" i="9" s="1"/>
  <c r="H21" i="9" s="1"/>
  <c r="G22" i="8"/>
  <c r="G9" i="9" s="1"/>
  <c r="G21" i="9" s="1"/>
  <c r="F22" i="8"/>
  <c r="F9" i="9" s="1"/>
  <c r="F21" i="9" s="1"/>
  <c r="E22" i="8"/>
  <c r="E9" i="9" s="1"/>
  <c r="E21" i="9" s="1"/>
  <c r="D22" i="8"/>
  <c r="D9" i="9" s="1"/>
  <c r="D21" i="9" s="1"/>
  <c r="C20" i="8"/>
  <c r="C16" i="8"/>
  <c r="C15" i="8"/>
  <c r="C10" i="8"/>
  <c r="C9" i="8"/>
  <c r="C6" i="8"/>
  <c r="H24" i="8"/>
  <c r="G24" i="8"/>
  <c r="F24" i="8"/>
  <c r="E24" i="8"/>
  <c r="D24" i="8"/>
  <c r="C24" i="8"/>
  <c r="H15" i="8"/>
  <c r="G15" i="8"/>
  <c r="F15" i="8"/>
  <c r="E15" i="8"/>
  <c r="D15" i="8"/>
  <c r="H14" i="8"/>
  <c r="G14" i="8"/>
  <c r="F14" i="8"/>
  <c r="E14" i="8"/>
  <c r="D14" i="8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C8" i="8"/>
  <c r="H7" i="8"/>
  <c r="G7" i="8"/>
  <c r="F7" i="8"/>
  <c r="E7" i="8"/>
  <c r="D7" i="8"/>
  <c r="C7" i="8"/>
  <c r="D14" i="7"/>
  <c r="D28" i="8" s="1"/>
  <c r="D29" i="8" s="1"/>
  <c r="D7" i="9" s="1"/>
  <c r="E14" i="7"/>
  <c r="E28" i="8" s="1"/>
  <c r="E29" i="8" s="1"/>
  <c r="E7" i="9" s="1"/>
  <c r="F14" i="7"/>
  <c r="F28" i="8" s="1"/>
  <c r="F29" i="8" s="1"/>
  <c r="F7" i="9" s="1"/>
  <c r="G14" i="7"/>
  <c r="G28" i="8" s="1"/>
  <c r="G29" i="8" s="1"/>
  <c r="G7" i="9" s="1"/>
  <c r="H14" i="7"/>
  <c r="H28" i="8" s="1"/>
  <c r="H29" i="8" s="1"/>
  <c r="H7" i="9" s="1"/>
  <c r="C7" i="6"/>
  <c r="C6" i="7" s="1"/>
  <c r="H25" i="7"/>
  <c r="G25" i="7"/>
  <c r="F25" i="7"/>
  <c r="E25" i="7"/>
  <c r="D25" i="7"/>
  <c r="C25" i="7"/>
  <c r="H24" i="7"/>
  <c r="G24" i="7"/>
  <c r="F24" i="7"/>
  <c r="E24" i="7"/>
  <c r="D24" i="7"/>
  <c r="C24" i="7"/>
  <c r="H13" i="7"/>
  <c r="C7" i="7"/>
  <c r="C11" i="4"/>
  <c r="C10" i="4"/>
  <c r="C36" i="6"/>
  <c r="C37" i="6" s="1"/>
  <c r="C31" i="6"/>
  <c r="H30" i="6"/>
  <c r="H21" i="8" s="1"/>
  <c r="H8" i="9" s="1"/>
  <c r="H20" i="9" s="1"/>
  <c r="C30" i="6"/>
  <c r="C21" i="8" s="1"/>
  <c r="C8" i="9" s="1"/>
  <c r="C20" i="9" s="1"/>
  <c r="C29" i="6"/>
  <c r="C28" i="6"/>
  <c r="C14" i="6"/>
  <c r="E16" i="6"/>
  <c r="E14" i="6" s="1"/>
  <c r="F16" i="6"/>
  <c r="F14" i="6" s="1"/>
  <c r="G16" i="6"/>
  <c r="G14" i="6" s="1"/>
  <c r="H16" i="6"/>
  <c r="H14" i="6" s="1"/>
  <c r="D16" i="6"/>
  <c r="E7" i="10" s="1"/>
  <c r="H37" i="6"/>
  <c r="G37" i="6"/>
  <c r="F37" i="6"/>
  <c r="E37" i="6"/>
  <c r="D37" i="6"/>
  <c r="H23" i="6"/>
  <c r="G23" i="6"/>
  <c r="F23" i="6"/>
  <c r="E23" i="6"/>
  <c r="D23" i="6"/>
  <c r="C23" i="6"/>
  <c r="C8" i="6"/>
  <c r="G21" i="5"/>
  <c r="F24" i="5"/>
  <c r="F23" i="5"/>
  <c r="F22" i="5"/>
  <c r="F21" i="5"/>
  <c r="F15" i="5"/>
  <c r="F14" i="5"/>
  <c r="J14" i="5" s="1"/>
  <c r="F13" i="5"/>
  <c r="G13" i="5" s="1"/>
  <c r="F12" i="5"/>
  <c r="G12" i="5"/>
  <c r="B4" i="5"/>
  <c r="E3" i="5" s="1"/>
  <c r="I3" i="5" s="1"/>
  <c r="E4" i="5" s="1"/>
  <c r="F4" i="5" s="1"/>
  <c r="K24" i="5"/>
  <c r="J23" i="5"/>
  <c r="K22" i="5"/>
  <c r="K21" i="5"/>
  <c r="K15" i="5"/>
  <c r="G7" i="5"/>
  <c r="G30" i="6" s="1"/>
  <c r="G6" i="5"/>
  <c r="F30" i="6" s="1"/>
  <c r="G5" i="5"/>
  <c r="E30" i="6" s="1"/>
  <c r="G4" i="5"/>
  <c r="D30" i="6" s="1"/>
  <c r="J6" i="4"/>
  <c r="K6" i="4"/>
  <c r="D11" i="4"/>
  <c r="F11" i="4" s="1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G21" i="8" l="1"/>
  <c r="G8" i="9" s="1"/>
  <c r="G20" i="9" s="1"/>
  <c r="D14" i="6"/>
  <c r="C11" i="6"/>
  <c r="C18" i="9"/>
  <c r="E21" i="8"/>
  <c r="E8" i="9" s="1"/>
  <c r="E20" i="9" s="1"/>
  <c r="C12" i="7"/>
  <c r="F21" i="8"/>
  <c r="F8" i="9" s="1"/>
  <c r="F20" i="9" s="1"/>
  <c r="D21" i="8"/>
  <c r="D8" i="9" s="1"/>
  <c r="D20" i="9" s="1"/>
  <c r="C23" i="8"/>
  <c r="C25" i="8" s="1"/>
  <c r="C22" i="9"/>
  <c r="C11" i="8"/>
  <c r="D11" i="8"/>
  <c r="E11" i="8"/>
  <c r="F11" i="8"/>
  <c r="G11" i="8"/>
  <c r="H11" i="8"/>
  <c r="C8" i="7"/>
  <c r="C12" i="4"/>
  <c r="I14" i="5"/>
  <c r="K13" i="5"/>
  <c r="J13" i="5"/>
  <c r="I13" i="5"/>
  <c r="H14" i="5"/>
  <c r="K12" i="5"/>
  <c r="J12" i="5"/>
  <c r="I12" i="5"/>
  <c r="H12" i="5"/>
  <c r="G14" i="5"/>
  <c r="H13" i="5"/>
  <c r="K14" i="5"/>
  <c r="K16" i="5" s="1"/>
  <c r="H23" i="5"/>
  <c r="I23" i="5"/>
  <c r="K23" i="5"/>
  <c r="K25" i="5" s="1"/>
  <c r="G23" i="5"/>
  <c r="H4" i="5"/>
  <c r="I4" i="5" s="1"/>
  <c r="E5" i="5" s="1"/>
  <c r="F5" i="5" s="1"/>
  <c r="H21" i="5"/>
  <c r="I21" i="5"/>
  <c r="G24" i="5"/>
  <c r="J21" i="5"/>
  <c r="H24" i="5"/>
  <c r="I24" i="5"/>
  <c r="G15" i="5"/>
  <c r="J24" i="5"/>
  <c r="H15" i="5"/>
  <c r="G22" i="5"/>
  <c r="I15" i="5"/>
  <c r="H22" i="5"/>
  <c r="J15" i="5"/>
  <c r="I22" i="5"/>
  <c r="J22" i="5"/>
  <c r="D10" i="4"/>
  <c r="D12" i="4" s="1"/>
  <c r="E11" i="4"/>
  <c r="E9" i="4"/>
  <c r="D18" i="9" l="1"/>
  <c r="D22" i="9" s="1"/>
  <c r="F10" i="4"/>
  <c r="F12" i="4" s="1"/>
  <c r="D16" i="8" s="1"/>
  <c r="D17" i="8" s="1"/>
  <c r="E10" i="4"/>
  <c r="E12" i="4" s="1"/>
  <c r="G25" i="5"/>
  <c r="G16" i="5"/>
  <c r="H16" i="5"/>
  <c r="H5" i="5"/>
  <c r="I5" i="5" s="1"/>
  <c r="E6" i="5" s="1"/>
  <c r="H25" i="5"/>
  <c r="J16" i="5"/>
  <c r="J25" i="5"/>
  <c r="I25" i="5"/>
  <c r="I16" i="5"/>
  <c r="E18" i="9" l="1"/>
  <c r="E22" i="9" s="1"/>
  <c r="K7" i="4"/>
  <c r="E16" i="8" s="1"/>
  <c r="E17" i="8" s="1"/>
  <c r="D7" i="6"/>
  <c r="L7" i="4"/>
  <c r="F16" i="8" s="1"/>
  <c r="F17" i="8" s="1"/>
  <c r="E7" i="6"/>
  <c r="F6" i="5"/>
  <c r="H6" i="5" s="1"/>
  <c r="I6" i="5" s="1"/>
  <c r="E7" i="5" s="1"/>
  <c r="F18" i="9" l="1"/>
  <c r="F22" i="9" s="1"/>
  <c r="E11" i="6"/>
  <c r="E6" i="7"/>
  <c r="E8" i="7" s="1"/>
  <c r="D11" i="6"/>
  <c r="D6" i="7"/>
  <c r="D8" i="7" s="1"/>
  <c r="M7" i="4"/>
  <c r="G16" i="8" s="1"/>
  <c r="G17" i="8" s="1"/>
  <c r="F7" i="6"/>
  <c r="F7" i="5"/>
  <c r="H7" i="5" s="1"/>
  <c r="I7" i="5" s="1"/>
  <c r="E8" i="5" s="1"/>
  <c r="G18" i="9" l="1"/>
  <c r="G22" i="9" s="1"/>
  <c r="F11" i="6"/>
  <c r="F6" i="7"/>
  <c r="F8" i="7" s="1"/>
  <c r="N7" i="4"/>
  <c r="G7" i="6"/>
  <c r="F8" i="5"/>
  <c r="H8" i="5" s="1"/>
  <c r="I8" i="5" s="1"/>
  <c r="H18" i="9" l="1"/>
  <c r="H22" i="9" s="1"/>
  <c r="H7" i="6"/>
  <c r="H16" i="8"/>
  <c r="H17" i="8" s="1"/>
  <c r="G11" i="6"/>
  <c r="G6" i="7"/>
  <c r="G8" i="7" s="1"/>
  <c r="H11" i="6" l="1"/>
  <c r="H6" i="7"/>
  <c r="H8" i="7" s="1"/>
  <c r="B40" i="3"/>
  <c r="C6" i="3"/>
  <c r="B36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60" i="2"/>
  <c r="B8" i="2" s="1"/>
  <c r="B52" i="2"/>
  <c r="B45" i="2"/>
  <c r="B37" i="2"/>
  <c r="B4" i="2" s="1"/>
  <c r="B29" i="2"/>
  <c r="B3" i="2" s="1"/>
  <c r="D16" i="2"/>
  <c r="D15" i="2"/>
  <c r="D14" i="2"/>
  <c r="D13" i="2"/>
  <c r="D17" i="2" s="1"/>
  <c r="B5" i="2" s="1"/>
  <c r="B7" i="2"/>
  <c r="B6" i="2"/>
  <c r="B41" i="3" l="1"/>
  <c r="B42" i="3" s="1"/>
  <c r="C15" i="6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B9" i="2"/>
  <c r="B22" i="2" s="1"/>
  <c r="J15" i="3" l="1"/>
  <c r="D31" i="6"/>
  <c r="K7" i="3"/>
  <c r="K10" i="3"/>
  <c r="D29" i="6"/>
  <c r="D20" i="8"/>
  <c r="D15" i="6"/>
  <c r="D17" i="6" s="1"/>
  <c r="C19" i="7"/>
  <c r="C21" i="7" s="1"/>
  <c r="C26" i="7" s="1"/>
  <c r="C17" i="6"/>
  <c r="C25" i="6" s="1"/>
  <c r="C32" i="6" s="1"/>
  <c r="B17" i="4"/>
  <c r="B16" i="4"/>
  <c r="K4" i="3"/>
  <c r="L4" i="3"/>
  <c r="D25" i="3"/>
  <c r="D26" i="3" s="1"/>
  <c r="F13" i="3" s="1"/>
  <c r="I13" i="3" s="1"/>
  <c r="I15" i="3" s="1"/>
  <c r="C26" i="3"/>
  <c r="B21" i="2"/>
  <c r="B18" i="4" l="1"/>
  <c r="C29" i="7"/>
  <c r="C33" i="6"/>
  <c r="C39" i="6" s="1"/>
  <c r="E15" i="6"/>
  <c r="D25" i="6"/>
  <c r="E4" i="10"/>
  <c r="D19" i="7"/>
  <c r="L10" i="3"/>
  <c r="E20" i="8"/>
  <c r="E29" i="6"/>
  <c r="E19" i="7" s="1"/>
  <c r="E31" i="6"/>
  <c r="K15" i="3"/>
  <c r="D12" i="7"/>
  <c r="D16" i="7" s="1"/>
  <c r="D21" i="7" s="1"/>
  <c r="L7" i="3"/>
  <c r="E28" i="6"/>
  <c r="D23" i="8"/>
  <c r="D25" i="8" s="1"/>
  <c r="F31" i="6"/>
  <c r="M4" i="3"/>
  <c r="M7" i="3" l="1"/>
  <c r="F28" i="6"/>
  <c r="D26" i="7"/>
  <c r="C6" i="12"/>
  <c r="E12" i="7"/>
  <c r="E16" i="7" s="1"/>
  <c r="E21" i="7" s="1"/>
  <c r="E23" i="8"/>
  <c r="E25" i="8" s="1"/>
  <c r="M10" i="3"/>
  <c r="F20" i="8"/>
  <c r="F29" i="6"/>
  <c r="F19" i="7" s="1"/>
  <c r="E9" i="10"/>
  <c r="C5" i="10"/>
  <c r="D32" i="6"/>
  <c r="D33" i="6" s="1"/>
  <c r="D39" i="6" s="1"/>
  <c r="M15" i="3"/>
  <c r="G31" i="6"/>
  <c r="F15" i="6"/>
  <c r="E17" i="6"/>
  <c r="E25" i="6" s="1"/>
  <c r="L15" i="3"/>
  <c r="C30" i="7"/>
  <c r="C32" i="7" s="1"/>
  <c r="C32" i="8"/>
  <c r="N4" i="3"/>
  <c r="C6" i="9" l="1"/>
  <c r="C45" i="6"/>
  <c r="C47" i="6" s="1"/>
  <c r="D29" i="7"/>
  <c r="H31" i="6"/>
  <c r="E10" i="10"/>
  <c r="E11" i="10" s="1"/>
  <c r="C15" i="10" s="1"/>
  <c r="N10" i="3"/>
  <c r="G20" i="8"/>
  <c r="G29" i="6"/>
  <c r="G19" i="7" s="1"/>
  <c r="G23" i="8"/>
  <c r="F25" i="8"/>
  <c r="C10" i="9"/>
  <c r="C11" i="9" s="1"/>
  <c r="C33" i="8"/>
  <c r="C35" i="8" s="1"/>
  <c r="J4" i="12" s="1"/>
  <c r="G15" i="6"/>
  <c r="F17" i="6"/>
  <c r="F25" i="6" s="1"/>
  <c r="F12" i="7"/>
  <c r="F16" i="7" s="1"/>
  <c r="F21" i="7" s="1"/>
  <c r="D6" i="12"/>
  <c r="E26" i="7"/>
  <c r="E32" i="6"/>
  <c r="F23" i="8"/>
  <c r="N7" i="3"/>
  <c r="H28" i="6" s="1"/>
  <c r="G28" i="6"/>
  <c r="G12" i="7" l="1"/>
  <c r="G16" i="7" s="1"/>
  <c r="G21" i="7" s="1"/>
  <c r="F32" i="6"/>
  <c r="G25" i="8"/>
  <c r="N15" i="3"/>
  <c r="H15" i="6"/>
  <c r="H17" i="6" s="1"/>
  <c r="H25" i="6" s="1"/>
  <c r="G17" i="6"/>
  <c r="G25" i="6" s="1"/>
  <c r="H12" i="7"/>
  <c r="H16" i="7" s="1"/>
  <c r="C4" i="12"/>
  <c r="H20" i="8"/>
  <c r="H29" i="6"/>
  <c r="H19" i="7" s="1"/>
  <c r="E29" i="7"/>
  <c r="E33" i="6"/>
  <c r="H23" i="8"/>
  <c r="F26" i="7"/>
  <c r="E6" i="12"/>
  <c r="D6" i="10"/>
  <c r="D9" i="10" s="1"/>
  <c r="D32" i="8"/>
  <c r="D30" i="7"/>
  <c r="D32" i="7" s="1"/>
  <c r="D43" i="6" l="1"/>
  <c r="D45" i="6" s="1"/>
  <c r="D47" i="6" s="1"/>
  <c r="H25" i="8"/>
  <c r="H21" i="7"/>
  <c r="E30" i="7"/>
  <c r="E32" i="7" s="1"/>
  <c r="E43" i="6" s="1"/>
  <c r="E45" i="6" s="1"/>
  <c r="E32" i="8"/>
  <c r="G32" i="6"/>
  <c r="H32" i="6"/>
  <c r="H29" i="7" s="1"/>
  <c r="D10" i="9"/>
  <c r="D33" i="8"/>
  <c r="D35" i="8" s="1"/>
  <c r="J5" i="12" s="1"/>
  <c r="F29" i="7"/>
  <c r="F33" i="6"/>
  <c r="G26" i="7"/>
  <c r="F6" i="12"/>
  <c r="C5" i="12"/>
  <c r="C8" i="12"/>
  <c r="C7" i="12"/>
  <c r="D6" i="9"/>
  <c r="D10" i="10"/>
  <c r="D11" i="10" s="1"/>
  <c r="E39" i="6"/>
  <c r="D4" i="12"/>
  <c r="H33" i="6" l="1"/>
  <c r="E47" i="6"/>
  <c r="C16" i="10"/>
  <c r="C1" i="11"/>
  <c r="E4" i="12"/>
  <c r="F39" i="6"/>
  <c r="H39" i="6"/>
  <c r="G4" i="12"/>
  <c r="F32" i="8"/>
  <c r="F30" i="7"/>
  <c r="F32" i="7" s="1"/>
  <c r="G29" i="7"/>
  <c r="G33" i="6"/>
  <c r="H30" i="7"/>
  <c r="H32" i="8"/>
  <c r="E33" i="8"/>
  <c r="E35" i="8" s="1"/>
  <c r="J6" i="12" s="1"/>
  <c r="E10" i="9"/>
  <c r="E11" i="9" s="1"/>
  <c r="D11" i="9"/>
  <c r="D5" i="12"/>
  <c r="D8" i="12"/>
  <c r="E6" i="9"/>
  <c r="D7" i="12"/>
  <c r="G6" i="12"/>
  <c r="H26" i="7"/>
  <c r="F43" i="6" l="1"/>
  <c r="F45" i="6" s="1"/>
  <c r="F47" i="6" s="1"/>
  <c r="H32" i="7"/>
  <c r="H43" i="6" s="1"/>
  <c r="H45" i="6" s="1"/>
  <c r="G30" i="7"/>
  <c r="G32" i="7" s="1"/>
  <c r="G43" i="6" s="1"/>
  <c r="G45" i="6" s="1"/>
  <c r="G32" i="8"/>
  <c r="H10" i="9"/>
  <c r="H33" i="8"/>
  <c r="H35" i="8" s="1"/>
  <c r="J9" i="12" s="1"/>
  <c r="E5" i="12"/>
  <c r="F4" i="12"/>
  <c r="G39" i="6"/>
  <c r="F10" i="9"/>
  <c r="F33" i="8"/>
  <c r="F35" i="8" s="1"/>
  <c r="J7" i="12" s="1"/>
  <c r="G5" i="12"/>
  <c r="E7" i="12"/>
  <c r="F6" i="9"/>
  <c r="F11" i="9" s="1"/>
  <c r="E8" i="12"/>
  <c r="C2" i="11"/>
  <c r="C17" i="10"/>
  <c r="C18" i="10" s="1"/>
  <c r="C19" i="10" s="1"/>
  <c r="G7" i="12" l="1"/>
  <c r="H6" i="9"/>
  <c r="G47" i="6"/>
  <c r="F5" i="12"/>
  <c r="F8" i="12"/>
  <c r="D2" i="11"/>
  <c r="C22" i="10"/>
  <c r="C24" i="10" s="1"/>
  <c r="C198" i="11"/>
  <c r="C221" i="11"/>
  <c r="C241" i="11"/>
  <c r="C204" i="11"/>
  <c r="C262" i="11"/>
  <c r="C304" i="11"/>
  <c r="C30" i="11"/>
  <c r="C257" i="11"/>
  <c r="C140" i="11"/>
  <c r="C276" i="11"/>
  <c r="C157" i="11"/>
  <c r="C114" i="11"/>
  <c r="C99" i="11"/>
  <c r="C292" i="11"/>
  <c r="C214" i="11"/>
  <c r="C9" i="11"/>
  <c r="C32" i="11"/>
  <c r="C58" i="11"/>
  <c r="C218" i="11"/>
  <c r="C201" i="11"/>
  <c r="C73" i="11"/>
  <c r="C281" i="11"/>
  <c r="C272" i="11"/>
  <c r="C291" i="11"/>
  <c r="C235" i="11"/>
  <c r="C270" i="11"/>
  <c r="C224" i="11"/>
  <c r="C27" i="11"/>
  <c r="C220" i="11"/>
  <c r="C240" i="11"/>
  <c r="C260" i="11"/>
  <c r="C223" i="11"/>
  <c r="C284" i="11"/>
  <c r="C29" i="11"/>
  <c r="C50" i="11"/>
  <c r="C31" i="11"/>
  <c r="C33" i="11"/>
  <c r="C5" i="11"/>
  <c r="C274" i="11"/>
  <c r="C133" i="11"/>
  <c r="C197" i="11"/>
  <c r="C195" i="11"/>
  <c r="C255" i="11"/>
  <c r="C139" i="11"/>
  <c r="C217" i="11"/>
  <c r="C42" i="11"/>
  <c r="C26" i="11"/>
  <c r="C61" i="11"/>
  <c r="C171" i="11"/>
  <c r="C153" i="11"/>
  <c r="C216" i="11"/>
  <c r="C156" i="11"/>
  <c r="C15" i="11"/>
  <c r="C252" i="11"/>
  <c r="C285" i="11"/>
  <c r="C25" i="11"/>
  <c r="C239" i="11"/>
  <c r="C259" i="11"/>
  <c r="C279" i="11"/>
  <c r="C242" i="11"/>
  <c r="C28" i="11"/>
  <c r="C49" i="11"/>
  <c r="C69" i="11"/>
  <c r="C51" i="11"/>
  <c r="C52" i="11"/>
  <c r="C34" i="11"/>
  <c r="C18" i="11"/>
  <c r="C152" i="11"/>
  <c r="C12" i="11"/>
  <c r="C236" i="11"/>
  <c r="C186" i="11"/>
  <c r="C75" i="11"/>
  <c r="C191" i="11"/>
  <c r="C251" i="11"/>
  <c r="C91" i="11"/>
  <c r="C234" i="11"/>
  <c r="C258" i="11"/>
  <c r="C278" i="11"/>
  <c r="C301" i="11"/>
  <c r="C261" i="11"/>
  <c r="C48" i="11"/>
  <c r="C68" i="11"/>
  <c r="C88" i="11"/>
  <c r="C70" i="11"/>
  <c r="C71" i="11"/>
  <c r="C53" i="11"/>
  <c r="C98" i="11"/>
  <c r="C174" i="11"/>
  <c r="C36" i="11"/>
  <c r="C60" i="11"/>
  <c r="C295" i="11"/>
  <c r="C233" i="11"/>
  <c r="C138" i="11"/>
  <c r="C266" i="11"/>
  <c r="C123" i="11"/>
  <c r="C219" i="11"/>
  <c r="C41" i="11"/>
  <c r="C107" i="11"/>
  <c r="C105" i="11"/>
  <c r="C37" i="11"/>
  <c r="C122" i="11"/>
  <c r="C78" i="11"/>
  <c r="C54" i="11"/>
  <c r="C199" i="11"/>
  <c r="C277" i="11"/>
  <c r="C300" i="11"/>
  <c r="C205" i="11"/>
  <c r="C280" i="11"/>
  <c r="C67" i="11"/>
  <c r="C87" i="11"/>
  <c r="C110" i="11"/>
  <c r="C92" i="11"/>
  <c r="C93" i="11"/>
  <c r="C72" i="11"/>
  <c r="C158" i="11"/>
  <c r="C193" i="11"/>
  <c r="C55" i="11"/>
  <c r="C117" i="11"/>
  <c r="C155" i="11"/>
  <c r="C14" i="11"/>
  <c r="C43" i="11"/>
  <c r="C190" i="11"/>
  <c r="C35" i="11"/>
  <c r="C196" i="11"/>
  <c r="C39" i="11"/>
  <c r="C273" i="11"/>
  <c r="C296" i="11"/>
  <c r="C22" i="11"/>
  <c r="C243" i="11"/>
  <c r="C302" i="11"/>
  <c r="C86" i="11"/>
  <c r="C109" i="11"/>
  <c r="C129" i="11"/>
  <c r="C111" i="11"/>
  <c r="C112" i="11"/>
  <c r="C94" i="11"/>
  <c r="C215" i="11"/>
  <c r="C212" i="11"/>
  <c r="C77" i="11"/>
  <c r="C177" i="11"/>
  <c r="C202" i="11"/>
  <c r="C16" i="11"/>
  <c r="C121" i="11"/>
  <c r="C17" i="11"/>
  <c r="C8" i="11"/>
  <c r="C7" i="11"/>
  <c r="C21" i="11"/>
  <c r="C45" i="11"/>
  <c r="C303" i="11"/>
  <c r="C24" i="11"/>
  <c r="C108" i="11"/>
  <c r="C128" i="11"/>
  <c r="C148" i="11"/>
  <c r="C130" i="11"/>
  <c r="C131" i="11"/>
  <c r="C113" i="11"/>
  <c r="C256" i="11"/>
  <c r="C231" i="11"/>
  <c r="C96" i="11"/>
  <c r="C237" i="11"/>
  <c r="C249" i="11"/>
  <c r="C169" i="11"/>
  <c r="C188" i="11"/>
  <c r="C293" i="11"/>
  <c r="C232" i="11"/>
  <c r="C90" i="11"/>
  <c r="C182" i="11"/>
  <c r="C20" i="11"/>
  <c r="C44" i="11"/>
  <c r="C64" i="11"/>
  <c r="C23" i="11"/>
  <c r="C47" i="11"/>
  <c r="C127" i="11"/>
  <c r="C147" i="11"/>
  <c r="C167" i="11"/>
  <c r="C149" i="11"/>
  <c r="C150" i="11"/>
  <c r="C132" i="11"/>
  <c r="C19" i="11"/>
  <c r="C253" i="11"/>
  <c r="C115" i="11"/>
  <c r="C80" i="11"/>
  <c r="C10" i="11"/>
  <c r="C13" i="11"/>
  <c r="C185" i="11"/>
  <c r="C265" i="11"/>
  <c r="C170" i="11"/>
  <c r="C178" i="11"/>
  <c r="C74" i="11"/>
  <c r="C137" i="11"/>
  <c r="C203" i="11"/>
  <c r="C213" i="11"/>
  <c r="C97" i="11"/>
  <c r="C187" i="11"/>
  <c r="C222" i="11"/>
  <c r="C40" i="11"/>
  <c r="C63" i="11"/>
  <c r="C83" i="11"/>
  <c r="C46" i="11"/>
  <c r="C66" i="11"/>
  <c r="C146" i="11"/>
  <c r="C166" i="11"/>
  <c r="C189" i="11"/>
  <c r="C168" i="11"/>
  <c r="C172" i="11"/>
  <c r="C151" i="11"/>
  <c r="C118" i="11"/>
  <c r="C134" i="11"/>
  <c r="C173" i="11"/>
  <c r="C106" i="11"/>
  <c r="C11" i="11"/>
  <c r="C56" i="11"/>
  <c r="C59" i="11"/>
  <c r="C136" i="11"/>
  <c r="C179" i="11"/>
  <c r="C62" i="11"/>
  <c r="C82" i="11"/>
  <c r="C102" i="11"/>
  <c r="C65" i="11"/>
  <c r="C85" i="11"/>
  <c r="C165" i="11"/>
  <c r="C208" i="11"/>
  <c r="C154" i="11"/>
  <c r="C194" i="11"/>
  <c r="C57" i="11"/>
  <c r="C283" i="11"/>
  <c r="C298" i="11"/>
  <c r="C4" i="11"/>
  <c r="C81" i="11"/>
  <c r="C101" i="11"/>
  <c r="C124" i="11"/>
  <c r="C84" i="11"/>
  <c r="C104" i="11"/>
  <c r="C184" i="11"/>
  <c r="C207" i="11"/>
  <c r="C227" i="11"/>
  <c r="C209" i="11"/>
  <c r="C210" i="11"/>
  <c r="C192" i="11"/>
  <c r="C238" i="11"/>
  <c r="C135" i="11"/>
  <c r="C175" i="11"/>
  <c r="C89" i="11"/>
  <c r="C287" i="11"/>
  <c r="C95" i="11"/>
  <c r="C176" i="11"/>
  <c r="C100" i="11"/>
  <c r="C120" i="11"/>
  <c r="C143" i="11"/>
  <c r="C103" i="11"/>
  <c r="C126" i="11"/>
  <c r="C206" i="11"/>
  <c r="C226" i="11"/>
  <c r="C246" i="11"/>
  <c r="C228" i="11"/>
  <c r="C229" i="11"/>
  <c r="C211" i="11"/>
  <c r="C6" i="11"/>
  <c r="C250" i="11"/>
  <c r="C297" i="11"/>
  <c r="C267" i="11"/>
  <c r="C38" i="11"/>
  <c r="C119" i="11"/>
  <c r="C142" i="11"/>
  <c r="C162" i="11"/>
  <c r="C125" i="11"/>
  <c r="C145" i="11"/>
  <c r="C225" i="11"/>
  <c r="C245" i="11"/>
  <c r="C268" i="11"/>
  <c r="C247" i="11"/>
  <c r="C248" i="11"/>
  <c r="C230" i="11"/>
  <c r="C79" i="11"/>
  <c r="C254" i="11"/>
  <c r="C159" i="11"/>
  <c r="C282" i="11"/>
  <c r="C141" i="11"/>
  <c r="C161" i="11"/>
  <c r="C181" i="11"/>
  <c r="C144" i="11"/>
  <c r="C164" i="11"/>
  <c r="C244" i="11"/>
  <c r="C264" i="11"/>
  <c r="C269" i="11"/>
  <c r="C299" i="11"/>
  <c r="C275" i="11"/>
  <c r="C160" i="11"/>
  <c r="C180" i="11"/>
  <c r="C200" i="11"/>
  <c r="C163" i="11"/>
  <c r="C183" i="11"/>
  <c r="C263" i="11"/>
  <c r="C286" i="11"/>
  <c r="C294" i="11"/>
  <c r="C288" i="11"/>
  <c r="C289" i="11"/>
  <c r="C271" i="11"/>
  <c r="C76" i="11"/>
  <c r="C116" i="11"/>
  <c r="C290" i="11"/>
  <c r="G10" i="9"/>
  <c r="G33" i="8"/>
  <c r="G35" i="8" s="1"/>
  <c r="J8" i="12" s="1"/>
  <c r="M7" i="12" s="1"/>
  <c r="H11" i="9"/>
  <c r="G6" i="9"/>
  <c r="F7" i="12"/>
  <c r="G11" i="9" l="1"/>
  <c r="D181" i="11"/>
  <c r="D164" i="11"/>
  <c r="D147" i="11"/>
  <c r="D112" i="11"/>
  <c r="D95" i="11"/>
  <c r="D96" i="11"/>
  <c r="D60" i="11"/>
  <c r="D7" i="11"/>
  <c r="D27" i="11"/>
  <c r="D191" i="11"/>
  <c r="D138" i="11"/>
  <c r="D64" i="11"/>
  <c r="D11" i="11"/>
  <c r="D176" i="11"/>
  <c r="D250" i="11"/>
  <c r="D32" i="11"/>
  <c r="D178" i="11"/>
  <c r="D152" i="11"/>
  <c r="D56" i="11"/>
  <c r="D196" i="11"/>
  <c r="D58" i="11"/>
  <c r="D61" i="11"/>
  <c r="D101" i="11"/>
  <c r="D66" i="11"/>
  <c r="D200" i="11"/>
  <c r="D59" i="11"/>
  <c r="D105" i="11"/>
  <c r="D118" i="11"/>
  <c r="D291" i="11"/>
  <c r="D211" i="11"/>
  <c r="D234" i="11"/>
  <c r="D29" i="11"/>
  <c r="D104" i="11"/>
  <c r="D143" i="11"/>
  <c r="D117" i="11"/>
  <c r="D4" i="11"/>
  <c r="D217" i="11"/>
  <c r="D46" i="11"/>
  <c r="D201" i="11"/>
  <c r="D183" i="11"/>
  <c r="D165" i="11"/>
  <c r="D130" i="11"/>
  <c r="D113" i="11"/>
  <c r="D114" i="11"/>
  <c r="D79" i="11"/>
  <c r="D23" i="11"/>
  <c r="D43" i="11"/>
  <c r="D209" i="11"/>
  <c r="D156" i="11"/>
  <c r="D83" i="11"/>
  <c r="D125" i="11"/>
  <c r="D194" i="11"/>
  <c r="D51" i="11"/>
  <c r="D48" i="11"/>
  <c r="D86" i="11"/>
  <c r="D97" i="11"/>
  <c r="D227" i="11"/>
  <c r="D212" i="11"/>
  <c r="D13" i="11"/>
  <c r="D136" i="11"/>
  <c r="D68" i="11"/>
  <c r="D246" i="11"/>
  <c r="D182" i="11"/>
  <c r="D175" i="11"/>
  <c r="D294" i="11"/>
  <c r="D296" i="11"/>
  <c r="D276" i="11"/>
  <c r="D292" i="11"/>
  <c r="D245" i="11"/>
  <c r="D67" i="11"/>
  <c r="D45" i="11"/>
  <c r="D87" i="11"/>
  <c r="D10" i="11"/>
  <c r="D293" i="11"/>
  <c r="D140" i="11"/>
  <c r="D77" i="11"/>
  <c r="D219" i="11"/>
  <c r="D202" i="11"/>
  <c r="D185" i="11"/>
  <c r="D148" i="11"/>
  <c r="D131" i="11"/>
  <c r="D132" i="11"/>
  <c r="D8" i="11"/>
  <c r="D174" i="11"/>
  <c r="D179" i="11"/>
  <c r="D215" i="11"/>
  <c r="D232" i="11"/>
  <c r="D139" i="11"/>
  <c r="D199" i="11"/>
  <c r="D280" i="11"/>
  <c r="D159" i="11"/>
  <c r="D16" i="11"/>
  <c r="D271" i="11"/>
  <c r="D103" i="11"/>
  <c r="D50" i="11"/>
  <c r="D88" i="11"/>
  <c r="D146" i="11"/>
  <c r="D235" i="11"/>
  <c r="D220" i="11"/>
  <c r="D203" i="11"/>
  <c r="D167" i="11"/>
  <c r="D149" i="11"/>
  <c r="D151" i="11"/>
  <c r="D115" i="11"/>
  <c r="D80" i="11"/>
  <c r="D24" i="11"/>
  <c r="D243" i="11"/>
  <c r="D192" i="11"/>
  <c r="D121" i="11"/>
  <c r="D233" i="11"/>
  <c r="D230" i="11"/>
  <c r="D85" i="11"/>
  <c r="D72" i="11"/>
  <c r="D107" i="11"/>
  <c r="D71" i="11"/>
  <c r="D216" i="11"/>
  <c r="D278" i="11"/>
  <c r="D193" i="11"/>
  <c r="D44" i="11"/>
  <c r="D241" i="11"/>
  <c r="D214" i="11"/>
  <c r="D242" i="11"/>
  <c r="D122" i="11"/>
  <c r="D279" i="11"/>
  <c r="D94" i="11"/>
  <c r="D251" i="11"/>
  <c r="D236" i="11"/>
  <c r="D221" i="11"/>
  <c r="D186" i="11"/>
  <c r="D169" i="11"/>
  <c r="D170" i="11"/>
  <c r="D133" i="11"/>
  <c r="D98" i="11"/>
  <c r="D15" i="11"/>
  <c r="D259" i="11"/>
  <c r="D210" i="11"/>
  <c r="D297" i="11"/>
  <c r="D248" i="11"/>
  <c r="D141" i="11"/>
  <c r="D265" i="11"/>
  <c r="D282" i="11"/>
  <c r="D35" i="11"/>
  <c r="D12" i="11"/>
  <c r="D261" i="11"/>
  <c r="D249" i="11"/>
  <c r="D289" i="11"/>
  <c r="D281" i="11"/>
  <c r="D22" i="11"/>
  <c r="D267" i="11"/>
  <c r="D252" i="11"/>
  <c r="D237" i="11"/>
  <c r="D204" i="11"/>
  <c r="D187" i="11"/>
  <c r="D188" i="11"/>
  <c r="D153" i="11"/>
  <c r="D116" i="11"/>
  <c r="D108" i="11"/>
  <c r="D275" i="11"/>
  <c r="D228" i="11"/>
  <c r="D157" i="11"/>
  <c r="D90" i="11"/>
  <c r="D262" i="11"/>
  <c r="D123" i="11"/>
  <c r="D161" i="11"/>
  <c r="D264" i="11"/>
  <c r="D162" i="11"/>
  <c r="D197" i="11"/>
  <c r="D260" i="11"/>
  <c r="D31" i="11"/>
  <c r="D33" i="11"/>
  <c r="D47" i="11"/>
  <c r="D208" i="11"/>
  <c r="D304" i="11"/>
  <c r="D134" i="11"/>
  <c r="D30" i="11"/>
  <c r="D144" i="11"/>
  <c r="D102" i="11"/>
  <c r="D283" i="11"/>
  <c r="D268" i="11"/>
  <c r="D253" i="11"/>
  <c r="D222" i="11"/>
  <c r="D205" i="11"/>
  <c r="D206" i="11"/>
  <c r="D171" i="11"/>
  <c r="D135" i="11"/>
  <c r="D244" i="11"/>
  <c r="D150" i="11"/>
  <c r="D172" i="11"/>
  <c r="D57" i="11"/>
  <c r="D25" i="11"/>
  <c r="D231" i="11"/>
  <c r="D273" i="11"/>
  <c r="D274" i="11"/>
  <c r="D158" i="11"/>
  <c r="D160" i="11"/>
  <c r="D299" i="11"/>
  <c r="D284" i="11"/>
  <c r="D269" i="11"/>
  <c r="D238" i="11"/>
  <c r="D223" i="11"/>
  <c r="D224" i="11"/>
  <c r="D189" i="11"/>
  <c r="D154" i="11"/>
  <c r="D266" i="11"/>
  <c r="D28" i="11"/>
  <c r="D218" i="11"/>
  <c r="D184" i="11"/>
  <c r="D34" i="11"/>
  <c r="D120" i="11"/>
  <c r="D9" i="11"/>
  <c r="D49" i="11"/>
  <c r="D213" i="11"/>
  <c r="D99" i="11"/>
  <c r="D63" i="11"/>
  <c r="D166" i="11"/>
  <c r="D124" i="11"/>
  <c r="D100" i="11"/>
  <c r="D119" i="11"/>
  <c r="D180" i="11"/>
  <c r="D36" i="11"/>
  <c r="D300" i="11"/>
  <c r="D285" i="11"/>
  <c r="D254" i="11"/>
  <c r="D239" i="11"/>
  <c r="D240" i="11"/>
  <c r="D207" i="11"/>
  <c r="D177" i="11"/>
  <c r="D195" i="11"/>
  <c r="D65" i="11"/>
  <c r="D14" i="11"/>
  <c r="D226" i="11"/>
  <c r="D126" i="11"/>
  <c r="D137" i="11"/>
  <c r="D69" i="11"/>
  <c r="D290" i="11"/>
  <c r="D295" i="11"/>
  <c r="D70" i="11"/>
  <c r="D52" i="11"/>
  <c r="D37" i="11"/>
  <c r="D301" i="11"/>
  <c r="D270" i="11"/>
  <c r="D255" i="11"/>
  <c r="D256" i="11"/>
  <c r="D225" i="11"/>
  <c r="D190" i="11"/>
  <c r="D62" i="11"/>
  <c r="D229" i="11"/>
  <c r="D81" i="11"/>
  <c r="D298" i="11"/>
  <c r="D89" i="11"/>
  <c r="D247" i="11"/>
  <c r="D82" i="11"/>
  <c r="D142" i="11"/>
  <c r="D173" i="11"/>
  <c r="D73" i="11"/>
  <c r="D17" i="11"/>
  <c r="D53" i="11"/>
  <c r="D38" i="11"/>
  <c r="D286" i="11"/>
  <c r="D272" i="11"/>
  <c r="D40" i="11"/>
  <c r="D129" i="11"/>
  <c r="D91" i="11"/>
  <c r="D74" i="11"/>
  <c r="D18" i="11"/>
  <c r="D54" i="11"/>
  <c r="D302" i="11"/>
  <c r="D287" i="11"/>
  <c r="D288" i="11"/>
  <c r="D257" i="11"/>
  <c r="D84" i="11"/>
  <c r="D106" i="11"/>
  <c r="D41" i="11"/>
  <c r="D163" i="11"/>
  <c r="D109" i="11"/>
  <c r="D92" i="11"/>
  <c r="D75" i="11"/>
  <c r="D19" i="11"/>
  <c r="D39" i="11"/>
  <c r="D303" i="11"/>
  <c r="D277" i="11"/>
  <c r="D263" i="11"/>
  <c r="D168" i="11"/>
  <c r="D42" i="11"/>
  <c r="D198" i="11"/>
  <c r="D127" i="11"/>
  <c r="D110" i="11"/>
  <c r="D93" i="11"/>
  <c r="D5" i="11"/>
  <c r="D55" i="11"/>
  <c r="D258" i="11"/>
  <c r="D145" i="11"/>
  <c r="D128" i="11"/>
  <c r="D111" i="11"/>
  <c r="D76" i="11"/>
  <c r="D20" i="11"/>
  <c r="D21" i="11"/>
  <c r="D6" i="11"/>
  <c r="D26" i="11"/>
  <c r="D155" i="11"/>
  <c r="D78" i="11"/>
  <c r="M8" i="12"/>
  <c r="M6" i="12"/>
  <c r="M5" i="12" s="1"/>
  <c r="G8" i="12" l="1"/>
  <c r="H47" i="6"/>
</calcChain>
</file>

<file path=xl/sharedStrings.xml><?xml version="1.0" encoding="utf-8"?>
<sst xmlns="http://schemas.openxmlformats.org/spreadsheetml/2006/main" count="457" uniqueCount="277">
  <si>
    <t>Inversión Inicial</t>
  </si>
  <si>
    <t>Tipo de inversión</t>
  </si>
  <si>
    <t>Valor</t>
  </si>
  <si>
    <t>Diseño UX/UI</t>
  </si>
  <si>
    <t>Producción de contenidos interactivos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</si>
  <si>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</si>
  <si>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</si>
  <si>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</si>
  <si>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</si>
  <si>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</si>
  <si>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Activos Tangibles</t>
  </si>
  <si>
    <t>Concepto</t>
  </si>
  <si>
    <t>Cantidad</t>
  </si>
  <si>
    <t>Valor Unitario</t>
  </si>
  <si>
    <t>Valor Total</t>
  </si>
  <si>
    <t>Computadoras/Laptops</t>
  </si>
  <si>
    <t>Monitores</t>
  </si>
  <si>
    <t>Perifericos (Mouse, Teclados, Audifonos)</t>
  </si>
  <si>
    <t>Accesorios (Papeleria, etc)</t>
  </si>
  <si>
    <t>Capital Social</t>
  </si>
  <si>
    <t>Financiamiento por Deuda</t>
  </si>
  <si>
    <t>Inversión en Diseño UX/UI</t>
  </si>
  <si>
    <t>Investigación UX (Tesis y Entrevistas)</t>
  </si>
  <si>
    <t>Diseño UI (Mockups y Prototipos)</t>
  </si>
  <si>
    <t>Prubeas de Usabilidad y Ajustes</t>
  </si>
  <si>
    <t>Inversión en Producción de Contenidos Interactivos</t>
  </si>
  <si>
    <t>Guión y Diseño</t>
  </si>
  <si>
    <t>Desarrollo de Simuladores</t>
  </si>
  <si>
    <t>Licencias y Recursos (Stock y Assets)</t>
  </si>
  <si>
    <t>Producción Multimedia (Audios y Videos)</t>
  </si>
  <si>
    <t>Inversión en Marketing, Lanzamiento y Proyección</t>
  </si>
  <si>
    <t>Estrategia y Branding (Diseño y Marca)</t>
  </si>
  <si>
    <t>Campañas digitales (Google Ads o RRSS)</t>
  </si>
  <si>
    <t>Producción Audiovisual Promocional</t>
  </si>
  <si>
    <t>Eventos y Demostraciones (Material Físico)</t>
  </si>
  <si>
    <t>Inversión en Consultoría Especializada</t>
  </si>
  <si>
    <t>Asesoría Legal y Cumplimiento</t>
  </si>
  <si>
    <t>Seguridad de la Información / Datos</t>
  </si>
  <si>
    <t>Mentoría Estratégica y Producto</t>
  </si>
  <si>
    <t>Inversión en Creación de Infraestructura y Arquitectura de Software</t>
  </si>
  <si>
    <t>Setup Inicial de la Nube (Arquitectura y Deploy)</t>
  </si>
  <si>
    <t>Licencias de Software (Herramientas)</t>
  </si>
  <si>
    <t>Dominios y Certificados de SSL</t>
  </si>
  <si>
    <t>Implementación / DevOPS</t>
  </si>
  <si>
    <t>Costos de Operación Gravables</t>
  </si>
  <si>
    <t>Costos de Operación Gravables (valor trimestral)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</si>
  <si>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</si>
  <si>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</si>
  <si>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</si>
  <si>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</si>
  <si>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</si>
  <si>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</si>
  <si>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</si>
  <si>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</si>
  <si>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</si>
  <si>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</si>
  <si>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</si>
  <si>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</si>
  <si>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</si>
  <si>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</si>
  <si>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</si>
  <si>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Otros</t>
  </si>
  <si>
    <t>Pensiones (AFP)</t>
  </si>
  <si>
    <t>Salud (EPS)</t>
  </si>
  <si>
    <t>Riesgos Laborales (ARL)</t>
  </si>
  <si>
    <t>TOTAL</t>
  </si>
  <si>
    <t>Caja de Compensación Familiar</t>
  </si>
  <si>
    <t>Infraestructuras</t>
  </si>
  <si>
    <t>Internet</t>
  </si>
  <si>
    <t>Servicios de Infraestructura/Hosting</t>
  </si>
  <si>
    <t>Registros y Estatos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</si>
  <si>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</si>
  <si>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</si>
  <si>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</si>
  <si>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</si>
  <si>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</si>
  <si>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</si>
  <si>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</si>
  <si>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Activos Fijos Tangibles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</si>
  <si>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</si>
  <si>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</si>
  <si>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</si>
  <si>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</si>
  <si>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</si>
  <si>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</si>
  <si>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</si>
  <si>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</si>
  <si>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</si>
  <si>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</si>
  <si>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</si>
  <si>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</si>
  <si>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</si>
  <si>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</si>
  <si>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</si>
  <si>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</si>
  <si>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</si>
  <si>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</si>
  <si>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</si>
  <si>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</si>
  <si>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</si>
  <si>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</si>
  <si>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</si>
  <si>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</si>
  <si>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</si>
  <si>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</si>
  <si>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</si>
  <si>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</si>
  <si>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</si>
  <si>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Financiamiento Externo</t>
  </si>
  <si>
    <t>Aportes Sociales</t>
  </si>
  <si>
    <t>Amortización y Depreciación</t>
  </si>
  <si>
    <t>Amortización de Crédito</t>
  </si>
  <si>
    <t>Préstamo (en Banco GNB Sudameris)</t>
  </si>
  <si>
    <t>Período</t>
  </si>
  <si>
    <t>Saldo</t>
  </si>
  <si>
    <t>Interes</t>
  </si>
  <si>
    <t>Amortización</t>
  </si>
  <si>
    <t xml:space="preserve">Pago al Crédito </t>
  </si>
  <si>
    <t>Saldo Final</t>
  </si>
  <si>
    <t>Valor del Préstamo</t>
  </si>
  <si>
    <t>Cuota Inicial</t>
  </si>
  <si>
    <t>Plazo</t>
  </si>
  <si>
    <t>Tasa de Interés (trimestralmente)</t>
  </si>
  <si>
    <t>Pago Mensual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</si>
  <si>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</si>
  <si>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</si>
  <si>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</si>
  <si>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</si>
  <si>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</si>
  <si>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</si>
  <si>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</si>
  <si>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</si>
  <si>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</si>
  <si>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</si>
  <si>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</si>
  <si>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</si>
  <si>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</si>
  <si>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</si>
  <si>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</si>
  <si>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</si>
  <si>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</si>
  <si>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</si>
  <si>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</si>
  <si>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</si>
  <si>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</si>
  <si>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</si>
  <si>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</si>
  <si>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Inmuebles y Equipos (neto)</t>
  </si>
  <si>
    <t>Intangibles (neto)</t>
  </si>
  <si>
    <t>Depreciación de Equipos</t>
  </si>
  <si>
    <t>Total Activos No Corrientes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</si>
  <si>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</si>
  <si>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</si>
  <si>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</si>
  <si>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</si>
  <si>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</si>
  <si>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</si>
  <si>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</si>
  <si>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</si>
  <si>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</si>
  <si>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</si>
  <si>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</si>
  <si>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</si>
  <si>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</si>
  <si>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</si>
  <si>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</si>
  <si>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</si>
  <si>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</si>
  <si>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</si>
  <si>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</si>
  <si>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</si>
  <si>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</si>
  <si>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</si>
  <si>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</si>
  <si>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ESTADO DE RESULTADOS</t>
  </si>
  <si>
    <t>EFECTIVO</t>
  </si>
  <si>
    <t>Efectivo y equivalente de efectivo</t>
  </si>
  <si>
    <t>Devoluciones</t>
  </si>
  <si>
    <t>Total Ventas Netas</t>
  </si>
  <si>
    <t>UTILIDAD</t>
  </si>
  <si>
    <t>Mano de Obra Fija</t>
  </si>
  <si>
    <t>Diferidos</t>
  </si>
  <si>
    <t>Total Costo de Ventas</t>
  </si>
  <si>
    <t>Utilidad Bruta (Ventas - Costo de Ventas)</t>
  </si>
  <si>
    <t>UTILIDAD OPERACIONAL</t>
  </si>
  <si>
    <t>Gastos Administrativos</t>
  </si>
  <si>
    <t>Gastos de Ventas</t>
  </si>
  <si>
    <t>Total Utilidad Operacional</t>
  </si>
  <si>
    <t>OTRAS UTILIDADES</t>
  </si>
  <si>
    <t>Otros Egresos</t>
  </si>
  <si>
    <t>Gastos Financieros</t>
  </si>
  <si>
    <t>Total Otras Utilidades</t>
  </si>
  <si>
    <t>IMPUESTOS</t>
  </si>
  <si>
    <t>Impuestos</t>
  </si>
  <si>
    <t>Total Impuestos</t>
  </si>
  <si>
    <t>UTILIDAD NETA</t>
  </si>
  <si>
    <t>FLUJO DE CAJA</t>
  </si>
  <si>
    <t>INVERSIÓN INICIAL</t>
  </si>
  <si>
    <t>Equipos de Cómputo</t>
  </si>
  <si>
    <t>Equipos de Oficina</t>
  </si>
  <si>
    <t>Capital de Trabajo</t>
  </si>
  <si>
    <t>Preoperativos</t>
  </si>
  <si>
    <t>Costos de Infraestructura Iniciales</t>
  </si>
  <si>
    <t>Total de Inversión Inicial</t>
  </si>
  <si>
    <t>ENTRADAS E INGRESOS</t>
  </si>
  <si>
    <t>Aportaciones de Socios</t>
  </si>
  <si>
    <t>Aportes de Financiamiento</t>
  </si>
  <si>
    <t>Total de Entradas</t>
  </si>
  <si>
    <t>EGRESOS</t>
  </si>
  <si>
    <t>Mantenimiento de Infraestructura</t>
  </si>
  <si>
    <t>Intereses</t>
  </si>
  <si>
    <t>Nómina y Prestaciones</t>
  </si>
  <si>
    <t>Remuneraciones y Participaciones por Pagar</t>
  </si>
  <si>
    <t>DEPRECIACIÓN</t>
  </si>
  <si>
    <t>Total Depreciación</t>
  </si>
  <si>
    <t>FLUJO DE OPERACIÓN</t>
  </si>
  <si>
    <t>Total Flujo de Operación</t>
  </si>
  <si>
    <t>FLUJO DE CAJA LIBRE</t>
  </si>
  <si>
    <t>FLUJO DE EFECTIVO</t>
  </si>
  <si>
    <t>FLUJO DE CAJA DE OPERACIÓN</t>
  </si>
  <si>
    <t>Utilidad del Ejercicio</t>
  </si>
  <si>
    <t>Depreciaciones</t>
  </si>
  <si>
    <t>Impuestos de la Renta</t>
  </si>
  <si>
    <t>Flujo de Caja Operativo Neto</t>
  </si>
  <si>
    <t>FLUJO DE CAJA DE INVERSIÓN</t>
  </si>
  <si>
    <t>Inversión de Equipos de Computación</t>
  </si>
  <si>
    <t>Flujo de Caja de Inversión Neto</t>
  </si>
  <si>
    <t>FLUJO DE CAJA DE FINANCIAMIENTO</t>
  </si>
  <si>
    <t>Desembolso Pasivo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</si>
  <si>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</si>
  <si>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</si>
  <si>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</si>
  <si>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</si>
  <si>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</si>
  <si>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</si>
  <si>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</si>
  <si>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</si>
  <si>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</si>
  <si>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</si>
  <si>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</si>
  <si>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</si>
  <si>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</si>
  <si>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</si>
  <si>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</si>
  <si>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</si>
  <si>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</si>
  <si>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</si>
  <si>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</si>
  <si>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</si>
  <si>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</si>
  <si>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</si>
  <si>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</si>
  <si>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</si>
  <si>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</si>
  <si>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</si>
  <si>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</si>
  <si>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</si>
  <si>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</si>
  <si>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</si>
  <si>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</si>
  <si>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</si>
  <si>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</si>
  <si>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</si>
  <si>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</si>
  <si>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</si>
  <si>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</si>
  <si>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</si>
  <si>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</si>
  <si>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</si>
  <si>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</si>
  <si>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</si>
  <si>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</si>
  <si>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</si>
  <si>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</si>
  <si>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</si>
  <si>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</si>
  <si>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Inversion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</si>
</sst>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64" fontId="0" fillId="6" borderId="4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7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6" xfId="0" applyFont="1" applyFill="1" applyBorder="1" applyAlignment="1">
      <alignment horizontal="center"/>
    </xf>
    <xf numFmtId="0" fontId="1" fillId="0" borderId="4" xfId="0" applyFont="1" applyBorder="1"/>
    <xf numFmtId="0" fontId="1" fillId="0" borderId="17" xfId="0" applyFont="1" applyBorder="1"/>
    <xf numFmtId="164" fontId="0" fillId="0" borderId="17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6" xfId="0" applyNumberFormat="1" applyFont="1" applyFill="1" applyBorder="1" applyAlignment="1">
      <alignment horizontal="center"/>
    </xf>
    <xf numFmtId="0" fontId="2" fillId="15" borderId="17" xfId="0" applyFont="1" applyFill="1" applyBorder="1"/>
    <xf numFmtId="164" fontId="3" fillId="15" borderId="17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14" borderId="16" xfId="0" applyNumberFormat="1" applyFont="1" applyFill="1" applyBorder="1" applyAlignment="1">
      <alignment horizontal="center"/>
    </xf>
    <xf numFmtId="0" fontId="1" fillId="0" borderId="3" xfId="0" applyFont="1" applyBorder="1"/>
    <xf numFmtId="0" fontId="7" fillId="4" borderId="17" xfId="0" applyFont="1" applyFill="1" applyBorder="1"/>
    <xf numFmtId="164" fontId="0" fillId="4" borderId="17" xfId="0" applyNumberForma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/>
    </xf>
    <xf numFmtId="0" fontId="1" fillId="13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14592463.560000002</c:v>
                </c:pt>
                <c:pt idx="1">
                  <c:v>15039709.721333336</c:v>
                </c:pt>
                <c:pt idx="2">
                  <c:v>15486955.88266667</c:v>
                </c:pt>
                <c:pt idx="3">
                  <c:v>15934202.044000003</c:v>
                </c:pt>
                <c:pt idx="4">
                  <c:v>16381448.205333335</c:v>
                </c:pt>
                <c:pt idx="5">
                  <c:v>16828694.366666667</c:v>
                </c:pt>
                <c:pt idx="6">
                  <c:v>17275940.528000005</c:v>
                </c:pt>
                <c:pt idx="7">
                  <c:v>17723186.689333335</c:v>
                </c:pt>
                <c:pt idx="8">
                  <c:v>18170432.850666668</c:v>
                </c:pt>
                <c:pt idx="9">
                  <c:v>18617679.012000002</c:v>
                </c:pt>
                <c:pt idx="10">
                  <c:v>19064925.173333336</c:v>
                </c:pt>
                <c:pt idx="11">
                  <c:v>19512171.334666669</c:v>
                </c:pt>
                <c:pt idx="12">
                  <c:v>19959417.496000003</c:v>
                </c:pt>
                <c:pt idx="13">
                  <c:v>20406663.657333337</c:v>
                </c:pt>
                <c:pt idx="14">
                  <c:v>20853909.81866667</c:v>
                </c:pt>
                <c:pt idx="15">
                  <c:v>21301155.980000004</c:v>
                </c:pt>
                <c:pt idx="16">
                  <c:v>21748402.141333334</c:v>
                </c:pt>
                <c:pt idx="17">
                  <c:v>22195648.302666672</c:v>
                </c:pt>
                <c:pt idx="18">
                  <c:v>22642894.464000002</c:v>
                </c:pt>
                <c:pt idx="19">
                  <c:v>23090140.625333335</c:v>
                </c:pt>
                <c:pt idx="20">
                  <c:v>23537386.786666669</c:v>
                </c:pt>
                <c:pt idx="21">
                  <c:v>23984632.948000003</c:v>
                </c:pt>
                <c:pt idx="22">
                  <c:v>24431879.109333336</c:v>
                </c:pt>
                <c:pt idx="23">
                  <c:v>24879125.27066667</c:v>
                </c:pt>
                <c:pt idx="24">
                  <c:v>25326371.432000004</c:v>
                </c:pt>
                <c:pt idx="25">
                  <c:v>25773617.593333334</c:v>
                </c:pt>
                <c:pt idx="26">
                  <c:v>26220863.754666671</c:v>
                </c:pt>
                <c:pt idx="27">
                  <c:v>26668109.916000001</c:v>
                </c:pt>
                <c:pt idx="28">
                  <c:v>27115356.077333339</c:v>
                </c:pt>
                <c:pt idx="29">
                  <c:v>27562602.238666669</c:v>
                </c:pt>
                <c:pt idx="30">
                  <c:v>28009848.400000002</c:v>
                </c:pt>
                <c:pt idx="31">
                  <c:v>28457094.561333336</c:v>
                </c:pt>
                <c:pt idx="32">
                  <c:v>28904340.72266667</c:v>
                </c:pt>
                <c:pt idx="33">
                  <c:v>29351586.884000003</c:v>
                </c:pt>
                <c:pt idx="34">
                  <c:v>29798833.045333337</c:v>
                </c:pt>
                <c:pt idx="35">
                  <c:v>30246079.206666671</c:v>
                </c:pt>
                <c:pt idx="36">
                  <c:v>30693325.368000001</c:v>
                </c:pt>
                <c:pt idx="37">
                  <c:v>31140571.529333338</c:v>
                </c:pt>
                <c:pt idx="38">
                  <c:v>31587817.690666668</c:v>
                </c:pt>
                <c:pt idx="39">
                  <c:v>32035063.852000002</c:v>
                </c:pt>
                <c:pt idx="40">
                  <c:v>32482310.013333336</c:v>
                </c:pt>
                <c:pt idx="41">
                  <c:v>32929556.174666669</c:v>
                </c:pt>
                <c:pt idx="42">
                  <c:v>33376802.336000003</c:v>
                </c:pt>
                <c:pt idx="43">
                  <c:v>33824048.497333333</c:v>
                </c:pt>
                <c:pt idx="44">
                  <c:v>34271294.65866667</c:v>
                </c:pt>
                <c:pt idx="45">
                  <c:v>34718540.820000008</c:v>
                </c:pt>
                <c:pt idx="46">
                  <c:v>35165786.981333338</c:v>
                </c:pt>
                <c:pt idx="47">
                  <c:v>35613033.142666668</c:v>
                </c:pt>
                <c:pt idx="48">
                  <c:v>36060279.304000005</c:v>
                </c:pt>
                <c:pt idx="49">
                  <c:v>36507525.465333335</c:v>
                </c:pt>
                <c:pt idx="50">
                  <c:v>36954771.626666665</c:v>
                </c:pt>
                <c:pt idx="51">
                  <c:v>37402017.788000003</c:v>
                </c:pt>
                <c:pt idx="52">
                  <c:v>37849263.94933334</c:v>
                </c:pt>
                <c:pt idx="53">
                  <c:v>38296510.11066667</c:v>
                </c:pt>
                <c:pt idx="54">
                  <c:v>38743756.272</c:v>
                </c:pt>
                <c:pt idx="55">
                  <c:v>39191002.433333337</c:v>
                </c:pt>
                <c:pt idx="56">
                  <c:v>39638248.594666675</c:v>
                </c:pt>
                <c:pt idx="57">
                  <c:v>40085494.756000005</c:v>
                </c:pt>
                <c:pt idx="58">
                  <c:v>40532740.917333335</c:v>
                </c:pt>
                <c:pt idx="59">
                  <c:v>40979987.078666672</c:v>
                </c:pt>
                <c:pt idx="60">
                  <c:v>41427233.240000002</c:v>
                </c:pt>
                <c:pt idx="61">
                  <c:v>41874479.401333332</c:v>
                </c:pt>
                <c:pt idx="62">
                  <c:v>42321725.562666669</c:v>
                </c:pt>
                <c:pt idx="63">
                  <c:v>42768971.724000007</c:v>
                </c:pt>
                <c:pt idx="64">
                  <c:v>43216217.885333337</c:v>
                </c:pt>
                <c:pt idx="65">
                  <c:v>43663464.046666667</c:v>
                </c:pt>
                <c:pt idx="66">
                  <c:v>44110710.208000004</c:v>
                </c:pt>
                <c:pt idx="67">
                  <c:v>44557956.369333342</c:v>
                </c:pt>
                <c:pt idx="68">
                  <c:v>45005202.530666672</c:v>
                </c:pt>
                <c:pt idx="69">
                  <c:v>45452448.692000002</c:v>
                </c:pt>
                <c:pt idx="70">
                  <c:v>45899694.853333339</c:v>
                </c:pt>
                <c:pt idx="71">
                  <c:v>46346941.014666669</c:v>
                </c:pt>
                <c:pt idx="72">
                  <c:v>46794187.175999999</c:v>
                </c:pt>
                <c:pt idx="73">
                  <c:v>47241433.337333336</c:v>
                </c:pt>
                <c:pt idx="74">
                  <c:v>47688679.498666674</c:v>
                </c:pt>
                <c:pt idx="75">
                  <c:v>48135925.660000004</c:v>
                </c:pt>
                <c:pt idx="76">
                  <c:v>48583171.821333334</c:v>
                </c:pt>
                <c:pt idx="77">
                  <c:v>49030417.982666671</c:v>
                </c:pt>
                <c:pt idx="78">
                  <c:v>49477664.144000001</c:v>
                </c:pt>
                <c:pt idx="79">
                  <c:v>49924910.305333339</c:v>
                </c:pt>
                <c:pt idx="80">
                  <c:v>50372156.466666669</c:v>
                </c:pt>
                <c:pt idx="81">
                  <c:v>50819402.628000006</c:v>
                </c:pt>
                <c:pt idx="82">
                  <c:v>51266648.789333336</c:v>
                </c:pt>
                <c:pt idx="83">
                  <c:v>51713894.950666673</c:v>
                </c:pt>
                <c:pt idx="84">
                  <c:v>52161141.112000003</c:v>
                </c:pt>
                <c:pt idx="85">
                  <c:v>52608387.273333341</c:v>
                </c:pt>
                <c:pt idx="86">
                  <c:v>53055633.434666671</c:v>
                </c:pt>
                <c:pt idx="87">
                  <c:v>53502879.596000001</c:v>
                </c:pt>
                <c:pt idx="88">
                  <c:v>53950125.757333338</c:v>
                </c:pt>
                <c:pt idx="89">
                  <c:v>54397371.918666668</c:v>
                </c:pt>
                <c:pt idx="90">
                  <c:v>54844618.080000006</c:v>
                </c:pt>
                <c:pt idx="91">
                  <c:v>55291864.241333336</c:v>
                </c:pt>
                <c:pt idx="92">
                  <c:v>55739110.402666673</c:v>
                </c:pt>
                <c:pt idx="93">
                  <c:v>56186356.564000003</c:v>
                </c:pt>
                <c:pt idx="94">
                  <c:v>56633602.72533334</c:v>
                </c:pt>
                <c:pt idx="95">
                  <c:v>57080848.88666667</c:v>
                </c:pt>
                <c:pt idx="96">
                  <c:v>57528095.048000008</c:v>
                </c:pt>
                <c:pt idx="97">
                  <c:v>57975341.209333338</c:v>
                </c:pt>
                <c:pt idx="98">
                  <c:v>58422587.370666668</c:v>
                </c:pt>
                <c:pt idx="99">
                  <c:v>58869833.532000005</c:v>
                </c:pt>
                <c:pt idx="100">
                  <c:v>59317079.693333335</c:v>
                </c:pt>
                <c:pt idx="101">
                  <c:v>59764325.854666673</c:v>
                </c:pt>
                <c:pt idx="102">
                  <c:v>60211572.016000003</c:v>
                </c:pt>
                <c:pt idx="103">
                  <c:v>60658818.17733334</c:v>
                </c:pt>
                <c:pt idx="104">
                  <c:v>61106064.33866667</c:v>
                </c:pt>
                <c:pt idx="105">
                  <c:v>61553310.500000007</c:v>
                </c:pt>
                <c:pt idx="106">
                  <c:v>62000556.661333337</c:v>
                </c:pt>
                <c:pt idx="107">
                  <c:v>62447802.822666667</c:v>
                </c:pt>
                <c:pt idx="108">
                  <c:v>62895048.984000005</c:v>
                </c:pt>
                <c:pt idx="109">
                  <c:v>63342295.145333335</c:v>
                </c:pt>
                <c:pt idx="110">
                  <c:v>63789541.306666672</c:v>
                </c:pt>
                <c:pt idx="111">
                  <c:v>64236787.468000002</c:v>
                </c:pt>
                <c:pt idx="112">
                  <c:v>64684033.62933334</c:v>
                </c:pt>
                <c:pt idx="113">
                  <c:v>65131279.79066667</c:v>
                </c:pt>
                <c:pt idx="114">
                  <c:v>65578525.952000007</c:v>
                </c:pt>
                <c:pt idx="115">
                  <c:v>66025772.113333337</c:v>
                </c:pt>
                <c:pt idx="116">
                  <c:v>66473018.274666674</c:v>
                </c:pt>
                <c:pt idx="117">
                  <c:v>66920264.436000004</c:v>
                </c:pt>
                <c:pt idx="118">
                  <c:v>67367510.597333342</c:v>
                </c:pt>
                <c:pt idx="119">
                  <c:v>67814756.758666664</c:v>
                </c:pt>
                <c:pt idx="120">
                  <c:v>68262002.920000002</c:v>
                </c:pt>
                <c:pt idx="121">
                  <c:v>68709249.081333339</c:v>
                </c:pt>
                <c:pt idx="122">
                  <c:v>69156495.242666662</c:v>
                </c:pt>
                <c:pt idx="123">
                  <c:v>69603741.404000014</c:v>
                </c:pt>
                <c:pt idx="124">
                  <c:v>70050987.565333337</c:v>
                </c:pt>
                <c:pt idx="125">
                  <c:v>70498233.726666674</c:v>
                </c:pt>
                <c:pt idx="126">
                  <c:v>70945479.888000011</c:v>
                </c:pt>
                <c:pt idx="127">
                  <c:v>71392726.049333334</c:v>
                </c:pt>
                <c:pt idx="128">
                  <c:v>71839972.210666671</c:v>
                </c:pt>
                <c:pt idx="129">
                  <c:v>72287218.372000009</c:v>
                </c:pt>
                <c:pt idx="130">
                  <c:v>72734464.533333331</c:v>
                </c:pt>
                <c:pt idx="131">
                  <c:v>73181710.694666669</c:v>
                </c:pt>
                <c:pt idx="132">
                  <c:v>73628956.856000006</c:v>
                </c:pt>
                <c:pt idx="133">
                  <c:v>74076203.017333329</c:v>
                </c:pt>
                <c:pt idx="134">
                  <c:v>74523449.178666681</c:v>
                </c:pt>
                <c:pt idx="135">
                  <c:v>74970695.340000004</c:v>
                </c:pt>
                <c:pt idx="136">
                  <c:v>75417941.501333341</c:v>
                </c:pt>
                <c:pt idx="137">
                  <c:v>75865187.662666678</c:v>
                </c:pt>
                <c:pt idx="138">
                  <c:v>76312433.824000001</c:v>
                </c:pt>
                <c:pt idx="139">
                  <c:v>76759679.985333338</c:v>
                </c:pt>
                <c:pt idx="140">
                  <c:v>77206926.146666676</c:v>
                </c:pt>
                <c:pt idx="141">
                  <c:v>77654172.307999998</c:v>
                </c:pt>
                <c:pt idx="142">
                  <c:v>78101418.469333336</c:v>
                </c:pt>
                <c:pt idx="143">
                  <c:v>78548664.630666673</c:v>
                </c:pt>
                <c:pt idx="144">
                  <c:v>78995910.791999996</c:v>
                </c:pt>
                <c:pt idx="145">
                  <c:v>79443156.953333348</c:v>
                </c:pt>
                <c:pt idx="146">
                  <c:v>79890403.114666671</c:v>
                </c:pt>
                <c:pt idx="147">
                  <c:v>80337649.276000008</c:v>
                </c:pt>
                <c:pt idx="148">
                  <c:v>80784895.437333345</c:v>
                </c:pt>
                <c:pt idx="149">
                  <c:v>81232141.598666668</c:v>
                </c:pt>
                <c:pt idx="150">
                  <c:v>81679387.760000005</c:v>
                </c:pt>
                <c:pt idx="151">
                  <c:v>82126633.921333343</c:v>
                </c:pt>
                <c:pt idx="152">
                  <c:v>82573880.082666665</c:v>
                </c:pt>
                <c:pt idx="153">
                  <c:v>83021126.244000003</c:v>
                </c:pt>
                <c:pt idx="154">
                  <c:v>83468372.40533334</c:v>
                </c:pt>
                <c:pt idx="155">
                  <c:v>83915618.566666678</c:v>
                </c:pt>
                <c:pt idx="156">
                  <c:v>84362864.728</c:v>
                </c:pt>
                <c:pt idx="157">
                  <c:v>84810110.889333338</c:v>
                </c:pt>
                <c:pt idx="158">
                  <c:v>85257357.050666675</c:v>
                </c:pt>
                <c:pt idx="159">
                  <c:v>85704603.212000012</c:v>
                </c:pt>
                <c:pt idx="160">
                  <c:v>86151849.373333335</c:v>
                </c:pt>
                <c:pt idx="161">
                  <c:v>86599095.534666672</c:v>
                </c:pt>
                <c:pt idx="162">
                  <c:v>87046341.69600001</c:v>
                </c:pt>
                <c:pt idx="163">
                  <c:v>87493587.857333332</c:v>
                </c:pt>
                <c:pt idx="164">
                  <c:v>87940834.01866667</c:v>
                </c:pt>
                <c:pt idx="165">
                  <c:v>88388080.180000007</c:v>
                </c:pt>
                <c:pt idx="166">
                  <c:v>88835326.341333345</c:v>
                </c:pt>
                <c:pt idx="167">
                  <c:v>89282572.502666667</c:v>
                </c:pt>
                <c:pt idx="168">
                  <c:v>89729818.664000005</c:v>
                </c:pt>
                <c:pt idx="169">
                  <c:v>90177064.825333342</c:v>
                </c:pt>
                <c:pt idx="170">
                  <c:v>90624310.986666679</c:v>
                </c:pt>
                <c:pt idx="171">
                  <c:v>91071557.148000002</c:v>
                </c:pt>
                <c:pt idx="172">
                  <c:v>91518803.309333339</c:v>
                </c:pt>
                <c:pt idx="173">
                  <c:v>91966049.470666677</c:v>
                </c:pt>
                <c:pt idx="174">
                  <c:v>92413295.631999999</c:v>
                </c:pt>
                <c:pt idx="175">
                  <c:v>92860541.793333337</c:v>
                </c:pt>
                <c:pt idx="176">
                  <c:v>93307787.954666674</c:v>
                </c:pt>
                <c:pt idx="177">
                  <c:v>93755034.116000012</c:v>
                </c:pt>
                <c:pt idx="178">
                  <c:v>94202280.277333334</c:v>
                </c:pt>
                <c:pt idx="179">
                  <c:v>94649526.438666672</c:v>
                </c:pt>
                <c:pt idx="180">
                  <c:v>95096772.600000009</c:v>
                </c:pt>
                <c:pt idx="181">
                  <c:v>95544018.761333346</c:v>
                </c:pt>
                <c:pt idx="182">
                  <c:v>95991264.922666669</c:v>
                </c:pt>
                <c:pt idx="183">
                  <c:v>96438511.084000006</c:v>
                </c:pt>
                <c:pt idx="184">
                  <c:v>96885757.245333344</c:v>
                </c:pt>
                <c:pt idx="185">
                  <c:v>97333003.406666666</c:v>
                </c:pt>
                <c:pt idx="186">
                  <c:v>97780249.568000004</c:v>
                </c:pt>
                <c:pt idx="187">
                  <c:v>98227495.729333341</c:v>
                </c:pt>
                <c:pt idx="188">
                  <c:v>98674741.890666679</c:v>
                </c:pt>
                <c:pt idx="189">
                  <c:v>99121988.052000001</c:v>
                </c:pt>
                <c:pt idx="190">
                  <c:v>99569234.213333338</c:v>
                </c:pt>
                <c:pt idx="191">
                  <c:v>100016480.37466668</c:v>
                </c:pt>
                <c:pt idx="192">
                  <c:v>100463726.53600001</c:v>
                </c:pt>
                <c:pt idx="193">
                  <c:v>100910972.69733334</c:v>
                </c:pt>
                <c:pt idx="194">
                  <c:v>101358218.85866667</c:v>
                </c:pt>
                <c:pt idx="195">
                  <c:v>101805465.02000001</c:v>
                </c:pt>
                <c:pt idx="196">
                  <c:v>102252711.18133333</c:v>
                </c:pt>
                <c:pt idx="197">
                  <c:v>102699957.34266667</c:v>
                </c:pt>
                <c:pt idx="198">
                  <c:v>103147203.50400001</c:v>
                </c:pt>
                <c:pt idx="199">
                  <c:v>103594449.66533335</c:v>
                </c:pt>
                <c:pt idx="200">
                  <c:v>104041695.82666667</c:v>
                </c:pt>
                <c:pt idx="201">
                  <c:v>104488941.98800001</c:v>
                </c:pt>
                <c:pt idx="202">
                  <c:v>104936188.14933334</c:v>
                </c:pt>
                <c:pt idx="203">
                  <c:v>105383434.31066667</c:v>
                </c:pt>
                <c:pt idx="204">
                  <c:v>105830680.472</c:v>
                </c:pt>
                <c:pt idx="205">
                  <c:v>106277926.63333334</c:v>
                </c:pt>
                <c:pt idx="206">
                  <c:v>106725172.79466668</c:v>
                </c:pt>
                <c:pt idx="207">
                  <c:v>107172418.956</c:v>
                </c:pt>
                <c:pt idx="208">
                  <c:v>107619665.11733334</c:v>
                </c:pt>
                <c:pt idx="209">
                  <c:v>108066911.27866668</c:v>
                </c:pt>
                <c:pt idx="210">
                  <c:v>108514157.44000001</c:v>
                </c:pt>
                <c:pt idx="211">
                  <c:v>108961403.60133334</c:v>
                </c:pt>
                <c:pt idx="212">
                  <c:v>109408649.76266667</c:v>
                </c:pt>
                <c:pt idx="213">
                  <c:v>109855895.92400001</c:v>
                </c:pt>
                <c:pt idx="214">
                  <c:v>110303142.08533333</c:v>
                </c:pt>
                <c:pt idx="215">
                  <c:v>110750388.24666667</c:v>
                </c:pt>
                <c:pt idx="216">
                  <c:v>111197634.40800001</c:v>
                </c:pt>
                <c:pt idx="217">
                  <c:v>111644880.56933334</c:v>
                </c:pt>
                <c:pt idx="218">
                  <c:v>112092126.73066667</c:v>
                </c:pt>
                <c:pt idx="219">
                  <c:v>112539372.892</c:v>
                </c:pt>
                <c:pt idx="220">
                  <c:v>112986619.05333334</c:v>
                </c:pt>
                <c:pt idx="221">
                  <c:v>113433865.21466668</c:v>
                </c:pt>
                <c:pt idx="222">
                  <c:v>113881111.376</c:v>
                </c:pt>
                <c:pt idx="223">
                  <c:v>114328357.53733334</c:v>
                </c:pt>
                <c:pt idx="224">
                  <c:v>114775603.69866668</c:v>
                </c:pt>
                <c:pt idx="225">
                  <c:v>115222849.86</c:v>
                </c:pt>
                <c:pt idx="226">
                  <c:v>115670096.02133334</c:v>
                </c:pt>
                <c:pt idx="227">
                  <c:v>116117342.18266667</c:v>
                </c:pt>
                <c:pt idx="228">
                  <c:v>116564588.34400001</c:v>
                </c:pt>
                <c:pt idx="229">
                  <c:v>117011834.50533333</c:v>
                </c:pt>
                <c:pt idx="230">
                  <c:v>117459080.66666667</c:v>
                </c:pt>
                <c:pt idx="231">
                  <c:v>117906326.82800001</c:v>
                </c:pt>
                <c:pt idx="232">
                  <c:v>118353572.98933335</c:v>
                </c:pt>
                <c:pt idx="233">
                  <c:v>118800819.15066667</c:v>
                </c:pt>
                <c:pt idx="234">
                  <c:v>119248065.31200001</c:v>
                </c:pt>
                <c:pt idx="235">
                  <c:v>119695311.47333334</c:v>
                </c:pt>
                <c:pt idx="236">
                  <c:v>120142557.63466667</c:v>
                </c:pt>
                <c:pt idx="237">
                  <c:v>120589803.796</c:v>
                </c:pt>
                <c:pt idx="238">
                  <c:v>121037049.95733334</c:v>
                </c:pt>
                <c:pt idx="239">
                  <c:v>121484296.11866668</c:v>
                </c:pt>
                <c:pt idx="240">
                  <c:v>121931542.28</c:v>
                </c:pt>
                <c:pt idx="241">
                  <c:v>122378788.44133334</c:v>
                </c:pt>
                <c:pt idx="242">
                  <c:v>122826034.60266668</c:v>
                </c:pt>
                <c:pt idx="243">
                  <c:v>123273280.76400001</c:v>
                </c:pt>
                <c:pt idx="244">
                  <c:v>123720526.92533334</c:v>
                </c:pt>
                <c:pt idx="245">
                  <c:v>124167773.08666667</c:v>
                </c:pt>
                <c:pt idx="246">
                  <c:v>124615019.24800001</c:v>
                </c:pt>
                <c:pt idx="247">
                  <c:v>125062265.40933333</c:v>
                </c:pt>
                <c:pt idx="248">
                  <c:v>125509511.57066667</c:v>
                </c:pt>
                <c:pt idx="249">
                  <c:v>125956757.73200001</c:v>
                </c:pt>
                <c:pt idx="250">
                  <c:v>126404003.89333335</c:v>
                </c:pt>
                <c:pt idx="251">
                  <c:v>126851250.05466667</c:v>
                </c:pt>
                <c:pt idx="252">
                  <c:v>127298496.21600001</c:v>
                </c:pt>
                <c:pt idx="253">
                  <c:v>127745742.37733334</c:v>
                </c:pt>
                <c:pt idx="254">
                  <c:v>128192988.53866668</c:v>
                </c:pt>
                <c:pt idx="255">
                  <c:v>128640234.7</c:v>
                </c:pt>
                <c:pt idx="256">
                  <c:v>129087480.86133334</c:v>
                </c:pt>
                <c:pt idx="257">
                  <c:v>129534727.02266668</c:v>
                </c:pt>
                <c:pt idx="258">
                  <c:v>129981973.184</c:v>
                </c:pt>
                <c:pt idx="259">
                  <c:v>130429219.34533334</c:v>
                </c:pt>
                <c:pt idx="260">
                  <c:v>130876465.50666668</c:v>
                </c:pt>
                <c:pt idx="261">
                  <c:v>131323711.66800001</c:v>
                </c:pt>
                <c:pt idx="262">
                  <c:v>131770957.82933334</c:v>
                </c:pt>
                <c:pt idx="263">
                  <c:v>132218203.99066667</c:v>
                </c:pt>
                <c:pt idx="264">
                  <c:v>132665450.15200001</c:v>
                </c:pt>
                <c:pt idx="265">
                  <c:v>133112696.31333335</c:v>
                </c:pt>
                <c:pt idx="266">
                  <c:v>133559942.47466667</c:v>
                </c:pt>
                <c:pt idx="267">
                  <c:v>134007188.63600001</c:v>
                </c:pt>
                <c:pt idx="268">
                  <c:v>134454434.79733336</c:v>
                </c:pt>
                <c:pt idx="269">
                  <c:v>134901680.95866668</c:v>
                </c:pt>
                <c:pt idx="270">
                  <c:v>135348927.12</c:v>
                </c:pt>
                <c:pt idx="271">
                  <c:v>135796173.28133333</c:v>
                </c:pt>
                <c:pt idx="272">
                  <c:v>136243419.44266668</c:v>
                </c:pt>
                <c:pt idx="273">
                  <c:v>136690665.604</c:v>
                </c:pt>
                <c:pt idx="274">
                  <c:v>137137911.76533335</c:v>
                </c:pt>
                <c:pt idx="275">
                  <c:v>137585157.92666668</c:v>
                </c:pt>
                <c:pt idx="276">
                  <c:v>138032404.088</c:v>
                </c:pt>
                <c:pt idx="277">
                  <c:v>138479650.24933332</c:v>
                </c:pt>
                <c:pt idx="278">
                  <c:v>138926896.41066667</c:v>
                </c:pt>
                <c:pt idx="279">
                  <c:v>139374142.57200003</c:v>
                </c:pt>
                <c:pt idx="280">
                  <c:v>139821388.73333335</c:v>
                </c:pt>
                <c:pt idx="281">
                  <c:v>140268634.89466667</c:v>
                </c:pt>
                <c:pt idx="282">
                  <c:v>140715881.05599999</c:v>
                </c:pt>
                <c:pt idx="283">
                  <c:v>141163127.21733335</c:v>
                </c:pt>
                <c:pt idx="284">
                  <c:v>141610373.37866667</c:v>
                </c:pt>
                <c:pt idx="285">
                  <c:v>142057619.54000002</c:v>
                </c:pt>
                <c:pt idx="286">
                  <c:v>142504865.70133334</c:v>
                </c:pt>
                <c:pt idx="287">
                  <c:v>142952111.86266667</c:v>
                </c:pt>
                <c:pt idx="288">
                  <c:v>143399358.02399999</c:v>
                </c:pt>
                <c:pt idx="289">
                  <c:v>143846604.18533334</c:v>
                </c:pt>
                <c:pt idx="290">
                  <c:v>144293850.34666669</c:v>
                </c:pt>
                <c:pt idx="291">
                  <c:v>144741096.50800002</c:v>
                </c:pt>
                <c:pt idx="292">
                  <c:v>145188342.66933334</c:v>
                </c:pt>
                <c:pt idx="293">
                  <c:v>145635588.83066666</c:v>
                </c:pt>
                <c:pt idx="294">
                  <c:v>146082834.99200001</c:v>
                </c:pt>
                <c:pt idx="295">
                  <c:v>146530081.15333334</c:v>
                </c:pt>
                <c:pt idx="296">
                  <c:v>146977327.31466669</c:v>
                </c:pt>
                <c:pt idx="297">
                  <c:v>147424573.47600001</c:v>
                </c:pt>
                <c:pt idx="298">
                  <c:v>147871819.63733333</c:v>
                </c:pt>
                <c:pt idx="299">
                  <c:v>148319065.79866666</c:v>
                </c:pt>
                <c:pt idx="300">
                  <c:v>148766311.96000001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532222.93198666675</c:v>
                </c:pt>
                <c:pt idx="2">
                  <c:v>1064445.8639733335</c:v>
                </c:pt>
                <c:pt idx="3">
                  <c:v>1596668.7959600003</c:v>
                </c:pt>
                <c:pt idx="4">
                  <c:v>2128891.727946667</c:v>
                </c:pt>
                <c:pt idx="5">
                  <c:v>2661114.6599333338</c:v>
                </c:pt>
                <c:pt idx="6">
                  <c:v>3193337.5919200005</c:v>
                </c:pt>
                <c:pt idx="7">
                  <c:v>3725560.5239066673</c:v>
                </c:pt>
                <c:pt idx="8">
                  <c:v>4257783.455893334</c:v>
                </c:pt>
                <c:pt idx="9">
                  <c:v>4790006.3878800012</c:v>
                </c:pt>
                <c:pt idx="10">
                  <c:v>5322229.3198666675</c:v>
                </c:pt>
                <c:pt idx="11">
                  <c:v>5854452.2518533338</c:v>
                </c:pt>
                <c:pt idx="12">
                  <c:v>6386675.183840001</c:v>
                </c:pt>
                <c:pt idx="13">
                  <c:v>6918898.1158266682</c:v>
                </c:pt>
                <c:pt idx="14">
                  <c:v>7451121.0478133345</c:v>
                </c:pt>
                <c:pt idx="15">
                  <c:v>7983343.9798000008</c:v>
                </c:pt>
                <c:pt idx="16">
                  <c:v>8515566.911786668</c:v>
                </c:pt>
                <c:pt idx="17">
                  <c:v>9047789.8437733352</c:v>
                </c:pt>
                <c:pt idx="18">
                  <c:v>9580012.7757600024</c:v>
                </c:pt>
                <c:pt idx="19">
                  <c:v>10112235.707746668</c:v>
                </c:pt>
                <c:pt idx="20">
                  <c:v>10644458.639733335</c:v>
                </c:pt>
                <c:pt idx="21">
                  <c:v>11176681.571720002</c:v>
                </c:pt>
                <c:pt idx="22">
                  <c:v>11708904.503706668</c:v>
                </c:pt>
                <c:pt idx="23">
                  <c:v>12241127.435693335</c:v>
                </c:pt>
                <c:pt idx="24">
                  <c:v>12773350.367680002</c:v>
                </c:pt>
                <c:pt idx="25">
                  <c:v>13305573.299666669</c:v>
                </c:pt>
                <c:pt idx="26">
                  <c:v>13837796.231653336</c:v>
                </c:pt>
                <c:pt idx="27">
                  <c:v>14370019.163640002</c:v>
                </c:pt>
                <c:pt idx="28">
                  <c:v>14902242.095626669</c:v>
                </c:pt>
                <c:pt idx="29">
                  <c:v>15434465.027613336</c:v>
                </c:pt>
                <c:pt idx="30">
                  <c:v>15966687.959600002</c:v>
                </c:pt>
                <c:pt idx="31">
                  <c:v>16498910.891586669</c:v>
                </c:pt>
                <c:pt idx="32">
                  <c:v>17031133.823573336</c:v>
                </c:pt>
                <c:pt idx="33">
                  <c:v>17563356.755560003</c:v>
                </c:pt>
                <c:pt idx="34">
                  <c:v>18095579.68754667</c:v>
                </c:pt>
                <c:pt idx="35">
                  <c:v>18627802.619533338</c:v>
                </c:pt>
                <c:pt idx="36">
                  <c:v>19160025.551520005</c:v>
                </c:pt>
                <c:pt idx="37">
                  <c:v>19692248.483506668</c:v>
                </c:pt>
                <c:pt idx="38">
                  <c:v>20224471.415493336</c:v>
                </c:pt>
                <c:pt idx="39">
                  <c:v>20756694.347480003</c:v>
                </c:pt>
                <c:pt idx="40">
                  <c:v>21288917.27946667</c:v>
                </c:pt>
                <c:pt idx="41">
                  <c:v>21821140.211453337</c:v>
                </c:pt>
                <c:pt idx="42">
                  <c:v>22353363.143440004</c:v>
                </c:pt>
                <c:pt idx="43">
                  <c:v>22885586.075426672</c:v>
                </c:pt>
                <c:pt idx="44">
                  <c:v>23417809.007413335</c:v>
                </c:pt>
                <c:pt idx="45">
                  <c:v>23950031.939400002</c:v>
                </c:pt>
                <c:pt idx="46">
                  <c:v>24482254.87138667</c:v>
                </c:pt>
                <c:pt idx="47">
                  <c:v>25014477.803373337</c:v>
                </c:pt>
                <c:pt idx="48">
                  <c:v>25546700.735360004</c:v>
                </c:pt>
                <c:pt idx="49">
                  <c:v>26078923.667346671</c:v>
                </c:pt>
                <c:pt idx="50">
                  <c:v>26611146.599333338</c:v>
                </c:pt>
                <c:pt idx="51">
                  <c:v>27143369.531320006</c:v>
                </c:pt>
                <c:pt idx="52">
                  <c:v>27675592.463306673</c:v>
                </c:pt>
                <c:pt idx="53">
                  <c:v>28207815.395293336</c:v>
                </c:pt>
                <c:pt idx="54">
                  <c:v>28740038.327280004</c:v>
                </c:pt>
                <c:pt idx="55">
                  <c:v>29272261.259266671</c:v>
                </c:pt>
                <c:pt idx="56">
                  <c:v>29804484.191253338</c:v>
                </c:pt>
                <c:pt idx="57">
                  <c:v>30336707.123240005</c:v>
                </c:pt>
                <c:pt idx="58">
                  <c:v>30868930.055226672</c:v>
                </c:pt>
                <c:pt idx="59">
                  <c:v>31401152.98721334</c:v>
                </c:pt>
                <c:pt idx="60">
                  <c:v>31933375.919200003</c:v>
                </c:pt>
                <c:pt idx="61">
                  <c:v>32465598.85118667</c:v>
                </c:pt>
                <c:pt idx="62">
                  <c:v>32997821.783173338</c:v>
                </c:pt>
                <c:pt idx="63">
                  <c:v>33530044.715160005</c:v>
                </c:pt>
                <c:pt idx="64">
                  <c:v>34062267.647146672</c:v>
                </c:pt>
                <c:pt idx="65">
                  <c:v>34594490.579133339</c:v>
                </c:pt>
                <c:pt idx="66">
                  <c:v>35126713.511120006</c:v>
                </c:pt>
                <c:pt idx="67">
                  <c:v>35658936.443106674</c:v>
                </c:pt>
                <c:pt idx="68">
                  <c:v>36191159.375093341</c:v>
                </c:pt>
                <c:pt idx="69">
                  <c:v>36723382.307080008</c:v>
                </c:pt>
                <c:pt idx="70">
                  <c:v>37255605.239066675</c:v>
                </c:pt>
                <c:pt idx="71">
                  <c:v>37787828.171053343</c:v>
                </c:pt>
                <c:pt idx="72">
                  <c:v>38320051.10304001</c:v>
                </c:pt>
                <c:pt idx="73">
                  <c:v>38852274.03502667</c:v>
                </c:pt>
                <c:pt idx="74">
                  <c:v>39384496.967013337</c:v>
                </c:pt>
                <c:pt idx="75">
                  <c:v>39916719.899000004</c:v>
                </c:pt>
                <c:pt idx="76">
                  <c:v>40448942.830986671</c:v>
                </c:pt>
                <c:pt idx="77">
                  <c:v>40981165.762973338</c:v>
                </c:pt>
                <c:pt idx="78">
                  <c:v>41513388.694960006</c:v>
                </c:pt>
                <c:pt idx="79">
                  <c:v>42045611.626946673</c:v>
                </c:pt>
                <c:pt idx="80">
                  <c:v>42577834.55893334</c:v>
                </c:pt>
                <c:pt idx="81">
                  <c:v>43110057.490920007</c:v>
                </c:pt>
                <c:pt idx="82">
                  <c:v>43642280.422906674</c:v>
                </c:pt>
                <c:pt idx="83">
                  <c:v>44174503.354893342</c:v>
                </c:pt>
                <c:pt idx="84">
                  <c:v>44706726.286880009</c:v>
                </c:pt>
                <c:pt idx="85">
                  <c:v>45238949.218866676</c:v>
                </c:pt>
                <c:pt idx="86">
                  <c:v>45771172.150853343</c:v>
                </c:pt>
                <c:pt idx="87">
                  <c:v>46303395.082840011</c:v>
                </c:pt>
                <c:pt idx="88">
                  <c:v>46835618.01482667</c:v>
                </c:pt>
                <c:pt idx="89">
                  <c:v>47367840.946813338</c:v>
                </c:pt>
                <c:pt idx="90">
                  <c:v>47900063.878800005</c:v>
                </c:pt>
                <c:pt idx="91">
                  <c:v>48432286.810786672</c:v>
                </c:pt>
                <c:pt idx="92">
                  <c:v>48964509.742773339</c:v>
                </c:pt>
                <c:pt idx="93">
                  <c:v>49496732.674760006</c:v>
                </c:pt>
                <c:pt idx="94">
                  <c:v>50028955.606746674</c:v>
                </c:pt>
                <c:pt idx="95">
                  <c:v>50561178.538733341</c:v>
                </c:pt>
                <c:pt idx="96">
                  <c:v>51093401.470720008</c:v>
                </c:pt>
                <c:pt idx="97">
                  <c:v>51625624.402706675</c:v>
                </c:pt>
                <c:pt idx="98">
                  <c:v>52157847.334693342</c:v>
                </c:pt>
                <c:pt idx="99">
                  <c:v>52690070.26668001</c:v>
                </c:pt>
                <c:pt idx="100">
                  <c:v>53222293.198666677</c:v>
                </c:pt>
                <c:pt idx="101">
                  <c:v>53754516.130653344</c:v>
                </c:pt>
                <c:pt idx="102">
                  <c:v>54286739.062640011</c:v>
                </c:pt>
                <c:pt idx="103">
                  <c:v>54818961.994626679</c:v>
                </c:pt>
                <c:pt idx="104">
                  <c:v>55351184.926613346</c:v>
                </c:pt>
                <c:pt idx="105">
                  <c:v>55883407.858600006</c:v>
                </c:pt>
                <c:pt idx="106">
                  <c:v>56415630.790586673</c:v>
                </c:pt>
                <c:pt idx="107">
                  <c:v>56947853.72257334</c:v>
                </c:pt>
                <c:pt idx="108">
                  <c:v>57480076.654560007</c:v>
                </c:pt>
                <c:pt idx="109">
                  <c:v>58012299.586546674</c:v>
                </c:pt>
                <c:pt idx="110">
                  <c:v>58544522.518533342</c:v>
                </c:pt>
                <c:pt idx="111">
                  <c:v>59076745.450520009</c:v>
                </c:pt>
                <c:pt idx="112">
                  <c:v>59608968.382506676</c:v>
                </c:pt>
                <c:pt idx="113">
                  <c:v>60141191.314493343</c:v>
                </c:pt>
                <c:pt idx="114">
                  <c:v>60673414.24648001</c:v>
                </c:pt>
                <c:pt idx="115">
                  <c:v>61205637.178466678</c:v>
                </c:pt>
                <c:pt idx="116">
                  <c:v>61737860.110453345</c:v>
                </c:pt>
                <c:pt idx="117">
                  <c:v>62270083.042440012</c:v>
                </c:pt>
                <c:pt idx="118">
                  <c:v>62802305.974426679</c:v>
                </c:pt>
                <c:pt idx="119">
                  <c:v>63334528.906413347</c:v>
                </c:pt>
                <c:pt idx="120">
                  <c:v>63866751.838400006</c:v>
                </c:pt>
                <c:pt idx="121">
                  <c:v>64398974.770386674</c:v>
                </c:pt>
                <c:pt idx="122">
                  <c:v>64931197.702373341</c:v>
                </c:pt>
                <c:pt idx="123">
                  <c:v>65463420.634360008</c:v>
                </c:pt>
                <c:pt idx="124">
                  <c:v>65995643.566346675</c:v>
                </c:pt>
                <c:pt idx="125">
                  <c:v>66527866.498333342</c:v>
                </c:pt>
                <c:pt idx="126">
                  <c:v>67060089.43032001</c:v>
                </c:pt>
                <c:pt idx="127">
                  <c:v>67592312.362306684</c:v>
                </c:pt>
                <c:pt idx="128">
                  <c:v>68124535.294293344</c:v>
                </c:pt>
                <c:pt idx="129">
                  <c:v>68656758.226280004</c:v>
                </c:pt>
                <c:pt idx="130">
                  <c:v>69188981.158266678</c:v>
                </c:pt>
                <c:pt idx="131">
                  <c:v>69721204.090253338</c:v>
                </c:pt>
                <c:pt idx="132">
                  <c:v>70253427.022240013</c:v>
                </c:pt>
                <c:pt idx="133">
                  <c:v>70785649.954226673</c:v>
                </c:pt>
                <c:pt idx="134">
                  <c:v>71317872.886213347</c:v>
                </c:pt>
                <c:pt idx="135">
                  <c:v>71850095.818200007</c:v>
                </c:pt>
                <c:pt idx="136">
                  <c:v>72382318.750186682</c:v>
                </c:pt>
                <c:pt idx="137">
                  <c:v>72914541.682173342</c:v>
                </c:pt>
                <c:pt idx="138">
                  <c:v>73446764.614160016</c:v>
                </c:pt>
                <c:pt idx="139">
                  <c:v>73978987.546146676</c:v>
                </c:pt>
                <c:pt idx="140">
                  <c:v>74511210.478133351</c:v>
                </c:pt>
                <c:pt idx="141">
                  <c:v>75043433.41012001</c:v>
                </c:pt>
                <c:pt idx="142">
                  <c:v>75575656.342106685</c:v>
                </c:pt>
                <c:pt idx="143">
                  <c:v>76107879.274093345</c:v>
                </c:pt>
                <c:pt idx="144">
                  <c:v>76640102.206080019</c:v>
                </c:pt>
                <c:pt idx="145">
                  <c:v>77172325.138066679</c:v>
                </c:pt>
                <c:pt idx="146">
                  <c:v>77704548.070053339</c:v>
                </c:pt>
                <c:pt idx="147">
                  <c:v>78236771.002040014</c:v>
                </c:pt>
                <c:pt idx="148">
                  <c:v>78768993.934026673</c:v>
                </c:pt>
                <c:pt idx="149">
                  <c:v>79301216.866013348</c:v>
                </c:pt>
                <c:pt idx="150">
                  <c:v>79833439.798000008</c:v>
                </c:pt>
                <c:pt idx="151">
                  <c:v>80365662.729986683</c:v>
                </c:pt>
                <c:pt idx="152">
                  <c:v>80897885.661973342</c:v>
                </c:pt>
                <c:pt idx="153">
                  <c:v>81430108.593960017</c:v>
                </c:pt>
                <c:pt idx="154">
                  <c:v>81962331.525946677</c:v>
                </c:pt>
                <c:pt idx="155">
                  <c:v>82494554.457933351</c:v>
                </c:pt>
                <c:pt idx="156">
                  <c:v>83026777.389920011</c:v>
                </c:pt>
                <c:pt idx="157">
                  <c:v>83559000.321906686</c:v>
                </c:pt>
                <c:pt idx="158">
                  <c:v>84091223.253893346</c:v>
                </c:pt>
                <c:pt idx="159">
                  <c:v>84623446.18588002</c:v>
                </c:pt>
                <c:pt idx="160">
                  <c:v>85155669.11786668</c:v>
                </c:pt>
                <c:pt idx="161">
                  <c:v>85687892.04985334</c:v>
                </c:pt>
                <c:pt idx="162">
                  <c:v>86220114.981840014</c:v>
                </c:pt>
                <c:pt idx="163">
                  <c:v>86752337.913826674</c:v>
                </c:pt>
                <c:pt idx="164">
                  <c:v>87284560.845813349</c:v>
                </c:pt>
                <c:pt idx="165">
                  <c:v>87816783.777800009</c:v>
                </c:pt>
                <c:pt idx="166">
                  <c:v>88349006.709786683</c:v>
                </c:pt>
                <c:pt idx="167">
                  <c:v>88881229.641773343</c:v>
                </c:pt>
                <c:pt idx="168">
                  <c:v>89413452.573760018</c:v>
                </c:pt>
                <c:pt idx="169">
                  <c:v>89945675.505746678</c:v>
                </c:pt>
                <c:pt idx="170">
                  <c:v>90477898.437733352</c:v>
                </c:pt>
                <c:pt idx="171">
                  <c:v>91010121.369720012</c:v>
                </c:pt>
                <c:pt idx="172">
                  <c:v>91542344.301706687</c:v>
                </c:pt>
                <c:pt idx="173">
                  <c:v>92074567.233693346</c:v>
                </c:pt>
                <c:pt idx="174">
                  <c:v>92606790.165680021</c:v>
                </c:pt>
                <c:pt idx="175">
                  <c:v>93139013.097666681</c:v>
                </c:pt>
                <c:pt idx="176">
                  <c:v>93671236.029653341</c:v>
                </c:pt>
                <c:pt idx="177">
                  <c:v>94203458.961640015</c:v>
                </c:pt>
                <c:pt idx="178">
                  <c:v>94735681.893626675</c:v>
                </c:pt>
                <c:pt idx="179">
                  <c:v>95267904.82561335</c:v>
                </c:pt>
                <c:pt idx="180">
                  <c:v>95800127.757600009</c:v>
                </c:pt>
                <c:pt idx="181">
                  <c:v>96332350.689586684</c:v>
                </c:pt>
                <c:pt idx="182">
                  <c:v>96864573.621573344</c:v>
                </c:pt>
                <c:pt idx="183">
                  <c:v>97396796.553560019</c:v>
                </c:pt>
                <c:pt idx="184">
                  <c:v>97929019.485546678</c:v>
                </c:pt>
                <c:pt idx="185">
                  <c:v>98461242.417533353</c:v>
                </c:pt>
                <c:pt idx="186">
                  <c:v>98993465.349520013</c:v>
                </c:pt>
                <c:pt idx="187">
                  <c:v>99525688.281506687</c:v>
                </c:pt>
                <c:pt idx="188">
                  <c:v>100057911.21349335</c:v>
                </c:pt>
                <c:pt idx="189">
                  <c:v>100590134.14548002</c:v>
                </c:pt>
                <c:pt idx="190">
                  <c:v>101122357.07746668</c:v>
                </c:pt>
                <c:pt idx="191">
                  <c:v>101654580.00945336</c:v>
                </c:pt>
                <c:pt idx="192">
                  <c:v>102186802.94144002</c:v>
                </c:pt>
                <c:pt idx="193">
                  <c:v>102719025.87342668</c:v>
                </c:pt>
                <c:pt idx="194">
                  <c:v>103251248.80541335</c:v>
                </c:pt>
                <c:pt idx="195">
                  <c:v>103783471.73740001</c:v>
                </c:pt>
                <c:pt idx="196">
                  <c:v>104315694.66938668</c:v>
                </c:pt>
                <c:pt idx="197">
                  <c:v>104847917.60137334</c:v>
                </c:pt>
                <c:pt idx="198">
                  <c:v>105380140.53336002</c:v>
                </c:pt>
                <c:pt idx="199">
                  <c:v>105912363.46534668</c:v>
                </c:pt>
                <c:pt idx="200">
                  <c:v>106444586.39733335</c:v>
                </c:pt>
                <c:pt idx="201">
                  <c:v>106976809.32932001</c:v>
                </c:pt>
                <c:pt idx="202">
                  <c:v>107509032.26130669</c:v>
                </c:pt>
                <c:pt idx="203">
                  <c:v>108041255.19329335</c:v>
                </c:pt>
                <c:pt idx="204">
                  <c:v>108573478.12528002</c:v>
                </c:pt>
                <c:pt idx="205">
                  <c:v>109105701.05726668</c:v>
                </c:pt>
                <c:pt idx="206">
                  <c:v>109637923.98925336</c:v>
                </c:pt>
                <c:pt idx="207">
                  <c:v>110170146.92124002</c:v>
                </c:pt>
                <c:pt idx="208">
                  <c:v>110702369.85322669</c:v>
                </c:pt>
                <c:pt idx="209">
                  <c:v>111234592.78521335</c:v>
                </c:pt>
                <c:pt idx="210">
                  <c:v>111766815.71720001</c:v>
                </c:pt>
                <c:pt idx="211">
                  <c:v>112299038.64918669</c:v>
                </c:pt>
                <c:pt idx="212">
                  <c:v>112831261.58117335</c:v>
                </c:pt>
                <c:pt idx="213">
                  <c:v>113363484.51316002</c:v>
                </c:pt>
                <c:pt idx="214">
                  <c:v>113895707.44514668</c:v>
                </c:pt>
                <c:pt idx="215">
                  <c:v>114427930.37713335</c:v>
                </c:pt>
                <c:pt idx="216">
                  <c:v>114960153.30912001</c:v>
                </c:pt>
                <c:pt idx="217">
                  <c:v>115492376.24110669</c:v>
                </c:pt>
                <c:pt idx="218">
                  <c:v>116024599.17309335</c:v>
                </c:pt>
                <c:pt idx="219">
                  <c:v>116556822.10508002</c:v>
                </c:pt>
                <c:pt idx="220">
                  <c:v>117089045.03706668</c:v>
                </c:pt>
                <c:pt idx="221">
                  <c:v>117621267.96905336</c:v>
                </c:pt>
                <c:pt idx="222">
                  <c:v>118153490.90104002</c:v>
                </c:pt>
                <c:pt idx="223">
                  <c:v>118685713.83302669</c:v>
                </c:pt>
                <c:pt idx="224">
                  <c:v>119217936.76501335</c:v>
                </c:pt>
                <c:pt idx="225">
                  <c:v>119750159.69700001</c:v>
                </c:pt>
                <c:pt idx="226">
                  <c:v>120282382.62898669</c:v>
                </c:pt>
                <c:pt idx="227">
                  <c:v>120814605.56097335</c:v>
                </c:pt>
                <c:pt idx="228">
                  <c:v>121346828.49296002</c:v>
                </c:pt>
                <c:pt idx="229">
                  <c:v>121879051.42494668</c:v>
                </c:pt>
                <c:pt idx="230">
                  <c:v>122411274.35693336</c:v>
                </c:pt>
                <c:pt idx="231">
                  <c:v>122943497.28892002</c:v>
                </c:pt>
                <c:pt idx="232">
                  <c:v>123475720.22090669</c:v>
                </c:pt>
                <c:pt idx="233">
                  <c:v>124007943.15289335</c:v>
                </c:pt>
                <c:pt idx="234">
                  <c:v>124540166.08488002</c:v>
                </c:pt>
                <c:pt idx="235">
                  <c:v>125072389.01686668</c:v>
                </c:pt>
                <c:pt idx="236">
                  <c:v>125604611.94885336</c:v>
                </c:pt>
                <c:pt idx="237">
                  <c:v>126136834.88084002</c:v>
                </c:pt>
                <c:pt idx="238">
                  <c:v>126669057.81282669</c:v>
                </c:pt>
                <c:pt idx="239">
                  <c:v>127201280.74481335</c:v>
                </c:pt>
                <c:pt idx="240">
                  <c:v>127733503.67680001</c:v>
                </c:pt>
                <c:pt idx="241">
                  <c:v>128265726.60878669</c:v>
                </c:pt>
                <c:pt idx="242">
                  <c:v>128797949.54077335</c:v>
                </c:pt>
                <c:pt idx="243">
                  <c:v>129330172.47276002</c:v>
                </c:pt>
                <c:pt idx="244">
                  <c:v>129862395.40474668</c:v>
                </c:pt>
                <c:pt idx="245">
                  <c:v>130394618.33673336</c:v>
                </c:pt>
                <c:pt idx="246">
                  <c:v>130926841.26872002</c:v>
                </c:pt>
                <c:pt idx="247">
                  <c:v>131459064.20070669</c:v>
                </c:pt>
                <c:pt idx="248">
                  <c:v>131991287.13269335</c:v>
                </c:pt>
                <c:pt idx="249">
                  <c:v>132523510.06468002</c:v>
                </c:pt>
                <c:pt idx="250">
                  <c:v>133055732.99666668</c:v>
                </c:pt>
                <c:pt idx="251">
                  <c:v>133587955.92865336</c:v>
                </c:pt>
                <c:pt idx="252">
                  <c:v>134120178.86064002</c:v>
                </c:pt>
                <c:pt idx="253">
                  <c:v>134652401.79262668</c:v>
                </c:pt>
                <c:pt idx="254">
                  <c:v>135184624.72461337</c:v>
                </c:pt>
                <c:pt idx="255">
                  <c:v>135716847.65660003</c:v>
                </c:pt>
                <c:pt idx="256">
                  <c:v>136249070.58858669</c:v>
                </c:pt>
                <c:pt idx="257">
                  <c:v>136781293.52057335</c:v>
                </c:pt>
                <c:pt idx="258">
                  <c:v>137313516.45256001</c:v>
                </c:pt>
                <c:pt idx="259">
                  <c:v>137845739.3845467</c:v>
                </c:pt>
                <c:pt idx="260">
                  <c:v>138377962.31653336</c:v>
                </c:pt>
                <c:pt idx="261">
                  <c:v>138910185.24852002</c:v>
                </c:pt>
                <c:pt idx="262">
                  <c:v>139442408.18050668</c:v>
                </c:pt>
                <c:pt idx="263">
                  <c:v>139974631.11249337</c:v>
                </c:pt>
                <c:pt idx="264">
                  <c:v>140506854.04448003</c:v>
                </c:pt>
                <c:pt idx="265">
                  <c:v>141039076.97646669</c:v>
                </c:pt>
                <c:pt idx="266">
                  <c:v>141571299.90845335</c:v>
                </c:pt>
                <c:pt idx="267">
                  <c:v>142103522.84044003</c:v>
                </c:pt>
                <c:pt idx="268">
                  <c:v>142635745.77242669</c:v>
                </c:pt>
                <c:pt idx="269">
                  <c:v>143167968.70441335</c:v>
                </c:pt>
                <c:pt idx="270">
                  <c:v>143700191.63640001</c:v>
                </c:pt>
                <c:pt idx="271">
                  <c:v>144232414.5683867</c:v>
                </c:pt>
                <c:pt idx="272">
                  <c:v>144764637.50037336</c:v>
                </c:pt>
                <c:pt idx="273">
                  <c:v>145296860.43236002</c:v>
                </c:pt>
                <c:pt idx="274">
                  <c:v>145829083.36434668</c:v>
                </c:pt>
                <c:pt idx="275">
                  <c:v>146361306.29633334</c:v>
                </c:pt>
                <c:pt idx="276">
                  <c:v>146893529.22832003</c:v>
                </c:pt>
                <c:pt idx="277">
                  <c:v>147425752.16030669</c:v>
                </c:pt>
                <c:pt idx="278">
                  <c:v>147957975.09229335</c:v>
                </c:pt>
                <c:pt idx="279">
                  <c:v>148490198.02428001</c:v>
                </c:pt>
                <c:pt idx="280">
                  <c:v>149022420.9562667</c:v>
                </c:pt>
                <c:pt idx="281">
                  <c:v>149554643.88825336</c:v>
                </c:pt>
                <c:pt idx="282">
                  <c:v>150086866.82024002</c:v>
                </c:pt>
                <c:pt idx="283">
                  <c:v>150619089.75222668</c:v>
                </c:pt>
                <c:pt idx="284">
                  <c:v>151151312.68421337</c:v>
                </c:pt>
                <c:pt idx="285">
                  <c:v>151683535.61620003</c:v>
                </c:pt>
                <c:pt idx="286">
                  <c:v>152215758.54818669</c:v>
                </c:pt>
                <c:pt idx="287">
                  <c:v>152747981.48017335</c:v>
                </c:pt>
                <c:pt idx="288">
                  <c:v>153280204.41216004</c:v>
                </c:pt>
                <c:pt idx="289">
                  <c:v>153812427.3441467</c:v>
                </c:pt>
                <c:pt idx="290">
                  <c:v>154344650.27613336</c:v>
                </c:pt>
                <c:pt idx="291">
                  <c:v>154876873.20812002</c:v>
                </c:pt>
                <c:pt idx="292">
                  <c:v>155409096.14010668</c:v>
                </c:pt>
                <c:pt idx="293">
                  <c:v>155941319.07209337</c:v>
                </c:pt>
                <c:pt idx="294">
                  <c:v>156473542.00408003</c:v>
                </c:pt>
                <c:pt idx="295">
                  <c:v>157005764.93606669</c:v>
                </c:pt>
                <c:pt idx="296">
                  <c:v>157537987.86805335</c:v>
                </c:pt>
                <c:pt idx="297">
                  <c:v>158070210.80004004</c:v>
                </c:pt>
                <c:pt idx="298">
                  <c:v>158602433.7320267</c:v>
                </c:pt>
                <c:pt idx="299">
                  <c:v>159134656.66401336</c:v>
                </c:pt>
                <c:pt idx="300">
                  <c:v>159666879.59600002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Estado de Resultados"/>
      <sheetName val="Flujo de Caja"/>
      <sheetName val="Flujo de Efectivo"/>
      <sheetName val="Costos Fijos y ETC"/>
      <sheetName val="Inversión Inicial"/>
      <sheetName val="Costos de Operación Gravables"/>
      <sheetName val="Proyección de Ventas e Incremen"/>
      <sheetName val="Amortización y Depreciación"/>
    </sheetNames>
    <sheetDataSet>
      <sheetData sheetId="0">
        <row r="23">
          <cell r="B23" t="str">
            <v>Total Activos Diferidos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0"/>
  <sheetViews>
    <sheetView showGridLines="0" zoomScale="145" zoomScaleNormal="145" workbookViewId="0">
      <selection activeCell="B2" sqref="B2:B4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13" t="s">
        <v>0</v>
      </c>
      <c r="B1" s="114"/>
    </row>
    <row r="2" spans="1:4" x14ac:dyDescent="0.25">
      <c r="A2" s="1" t="s">
        <v>1</v>
      </c>
      <c r="B2" s="1" t="s">
        <v>2</v>
      </c>
    </row>
    <row r="3" spans="1:4" x14ac:dyDescent="0.25">
      <c r="A3" s="2" t="s">
        <v>3</v>
      </c>
      <c r="B3" s="3">
        <f>B29</f>
        <v>5000000</v>
      </c>
    </row>
    <row r="4" spans="1:4" x14ac:dyDescent="0.25">
      <c r="A4" s="2" t="s">
        <v>4</v>
      </c>
      <c r="B4" s="3">
        <f>B37</f>
        <v>3740000</v>
      </c>
    </row>
    <row r="5" spans="1:4" x14ac:dyDescent="0.25">
      <c r="A5" s="2" t="s">
        <v>5</v>
      </c>
      <c r="B5" s="3">
        <f>D17</f>
        <v>9100000</v>
      </c>
    </row>
    <row r="6" spans="1:4" x14ac:dyDescent="0.25">
      <c r="A6" s="2" t="s">
        <v>6</v>
      </c>
      <c r="B6" s="3">
        <f>B45</f>
        <v>16000000</v>
      </c>
    </row>
    <row r="7" spans="1:4" x14ac:dyDescent="0.25">
      <c r="A7" s="2" t="s">
        <v>7</v>
      </c>
      <c r="B7" s="3">
        <f>B52</f>
        <v>6000000</v>
      </c>
    </row>
    <row r="8" spans="1:4" x14ac:dyDescent="0.25">
      <c r="A8" s="2" t="s">
        <v>8</v>
      </c>
      <c r="B8" s="3">
        <f>B60</f>
        <v>3700000</v>
      </c>
    </row>
    <row r="9" spans="1:4" x14ac:dyDescent="0.25">
      <c r="A9" s="4" t="s">
        <v>9</v>
      </c>
      <c r="B9" s="5">
        <f>SUM(B3:B8)</f>
        <v>43540000</v>
      </c>
    </row>
    <row r="10" spans="1:4" ht="15.75" thickBot="1" x14ac:dyDescent="0.3"/>
    <row r="11" spans="1:4" ht="15.75" thickBot="1" x14ac:dyDescent="0.3">
      <c r="A11" s="115" t="s">
        <v>10</v>
      </c>
      <c r="B11" s="116"/>
      <c r="C11" s="116"/>
      <c r="D11" s="117"/>
    </row>
    <row r="12" spans="1:4" x14ac:dyDescent="0.25">
      <c r="A12" s="1" t="s">
        <v>11</v>
      </c>
      <c r="B12" s="1" t="s">
        <v>12</v>
      </c>
      <c r="C12" s="1" t="s">
        <v>13</v>
      </c>
      <c r="D12" s="1" t="s">
        <v>14</v>
      </c>
    </row>
    <row r="13" spans="1:4" x14ac:dyDescent="0.25">
      <c r="A13" s="6" t="s">
        <v>15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16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17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6" t="s">
        <v>18</v>
      </c>
      <c r="B16" s="6">
        <v>2</v>
      </c>
      <c r="C16" s="7">
        <v>450000</v>
      </c>
      <c r="D16" s="7">
        <f>C16*B16</f>
        <v>900000</v>
      </c>
    </row>
    <row r="17" spans="1:4" x14ac:dyDescent="0.25">
      <c r="A17" s="118" t="s">
        <v>9</v>
      </c>
      <c r="B17" s="119"/>
      <c r="C17" s="120"/>
      <c r="D17" s="5">
        <f>SUM(D13:D16)</f>
        <v>9100000</v>
      </c>
    </row>
    <row r="18" spans="1:4" ht="15.75" thickBot="1" x14ac:dyDescent="0.3"/>
    <row r="19" spans="1:4" ht="15.75" thickBot="1" x14ac:dyDescent="0.3">
      <c r="A19" s="113" t="s">
        <v>19</v>
      </c>
      <c r="B19" s="114"/>
    </row>
    <row r="20" spans="1:4" x14ac:dyDescent="0.25">
      <c r="A20" s="1" t="s">
        <v>1</v>
      </c>
      <c r="B20" s="1" t="s">
        <v>2</v>
      </c>
    </row>
    <row r="21" spans="1:4" x14ac:dyDescent="0.25">
      <c r="A21" s="8" t="s">
        <v>20</v>
      </c>
      <c r="B21" s="3">
        <f>B9*0.65</f>
        <v>28301000</v>
      </c>
    </row>
    <row r="22" spans="1:4" x14ac:dyDescent="0.25">
      <c r="A22" s="8" t="s">
        <v>19</v>
      </c>
      <c r="B22" s="3">
        <f>B9*0.35</f>
        <v>15238999.999999998</v>
      </c>
    </row>
    <row r="23" spans="1:4" ht="15.75" thickBot="1" x14ac:dyDescent="0.3"/>
    <row r="24" spans="1:4" ht="15.75" thickBot="1" x14ac:dyDescent="0.3">
      <c r="A24" s="113" t="s">
        <v>21</v>
      </c>
      <c r="B24" s="114"/>
    </row>
    <row r="25" spans="1:4" x14ac:dyDescent="0.25">
      <c r="A25" s="1" t="s">
        <v>11</v>
      </c>
      <c r="B25" s="1" t="s">
        <v>2</v>
      </c>
    </row>
    <row r="26" spans="1:4" x14ac:dyDescent="0.25">
      <c r="A26" s="8" t="s">
        <v>22</v>
      </c>
      <c r="B26" s="7">
        <v>1500000</v>
      </c>
    </row>
    <row r="27" spans="1:4" x14ac:dyDescent="0.25">
      <c r="A27" s="8" t="s">
        <v>23</v>
      </c>
      <c r="B27" s="7">
        <v>2000000</v>
      </c>
    </row>
    <row r="28" spans="1:4" x14ac:dyDescent="0.25">
      <c r="A28" s="8" t="s">
        <v>24</v>
      </c>
      <c r="B28" s="7">
        <v>1500000</v>
      </c>
    </row>
    <row r="29" spans="1:4" x14ac:dyDescent="0.25">
      <c r="A29" s="9" t="s">
        <v>9</v>
      </c>
      <c r="B29" s="10">
        <f>SUM(B26:B28)</f>
        <v>5000000</v>
      </c>
    </row>
    <row r="30" spans="1:4" ht="15.75" thickBot="1" x14ac:dyDescent="0.3"/>
    <row r="31" spans="1:4" ht="15.75" thickBot="1" x14ac:dyDescent="0.3">
      <c r="A31" s="113" t="s">
        <v>25</v>
      </c>
      <c r="B31" s="114"/>
    </row>
    <row r="32" spans="1:4" x14ac:dyDescent="0.25">
      <c r="A32" s="1" t="s">
        <v>11</v>
      </c>
      <c r="B32" s="1" t="s">
        <v>2</v>
      </c>
    </row>
    <row r="33" spans="1:2" x14ac:dyDescent="0.25">
      <c r="A33" s="8" t="s">
        <v>26</v>
      </c>
      <c r="B33" s="7">
        <v>920000</v>
      </c>
    </row>
    <row r="34" spans="1:2" x14ac:dyDescent="0.25">
      <c r="A34" s="8" t="s">
        <v>27</v>
      </c>
      <c r="B34" s="7">
        <v>1300000</v>
      </c>
    </row>
    <row r="35" spans="1:2" x14ac:dyDescent="0.25">
      <c r="A35" s="8" t="s">
        <v>28</v>
      </c>
      <c r="B35" s="7">
        <v>600000</v>
      </c>
    </row>
    <row r="36" spans="1:2" x14ac:dyDescent="0.25">
      <c r="A36" s="8" t="s">
        <v>29</v>
      </c>
      <c r="B36" s="7">
        <v>920000</v>
      </c>
    </row>
    <row r="37" spans="1:2" x14ac:dyDescent="0.25">
      <c r="A37" s="9" t="s">
        <v>9</v>
      </c>
      <c r="B37" s="10">
        <f>SUM(B33:B36)</f>
        <v>3740000</v>
      </c>
    </row>
    <row r="38" spans="1:2" ht="15.75" thickBot="1" x14ac:dyDescent="0.3"/>
    <row r="39" spans="1:2" ht="15.75" thickBot="1" x14ac:dyDescent="0.3">
      <c r="A39" s="113" t="s">
        <v>30</v>
      </c>
      <c r="B39" s="114"/>
    </row>
    <row r="40" spans="1:2" x14ac:dyDescent="0.25">
      <c r="A40" s="1" t="s">
        <v>11</v>
      </c>
      <c r="B40" s="1" t="s">
        <v>2</v>
      </c>
    </row>
    <row r="41" spans="1:2" x14ac:dyDescent="0.25">
      <c r="A41" s="8" t="s">
        <v>31</v>
      </c>
      <c r="B41" s="7">
        <v>3500000</v>
      </c>
    </row>
    <row r="42" spans="1:2" x14ac:dyDescent="0.25">
      <c r="A42" s="8" t="s">
        <v>32</v>
      </c>
      <c r="B42" s="7">
        <v>7000000</v>
      </c>
    </row>
    <row r="43" spans="1:2" x14ac:dyDescent="0.25">
      <c r="A43" s="8" t="s">
        <v>33</v>
      </c>
      <c r="B43" s="7">
        <v>3500000</v>
      </c>
    </row>
    <row r="44" spans="1:2" x14ac:dyDescent="0.25">
      <c r="A44" s="8" t="s">
        <v>34</v>
      </c>
      <c r="B44" s="7">
        <v>2000000</v>
      </c>
    </row>
    <row r="45" spans="1:2" x14ac:dyDescent="0.25">
      <c r="A45" s="9" t="s">
        <v>9</v>
      </c>
      <c r="B45" s="10">
        <f>SUM(B41:B44)</f>
        <v>16000000</v>
      </c>
    </row>
    <row r="46" spans="1:2" ht="15.75" thickBot="1" x14ac:dyDescent="0.3"/>
    <row r="47" spans="1:2" ht="15.75" thickBot="1" x14ac:dyDescent="0.3">
      <c r="A47" s="113" t="s">
        <v>35</v>
      </c>
      <c r="B47" s="114"/>
    </row>
    <row r="48" spans="1:2" x14ac:dyDescent="0.25">
      <c r="A48" s="1" t="s">
        <v>11</v>
      </c>
      <c r="B48" s="1" t="s">
        <v>2</v>
      </c>
    </row>
    <row r="49" spans="1:2" x14ac:dyDescent="0.25">
      <c r="A49" s="8" t="s">
        <v>36</v>
      </c>
      <c r="B49" s="7">
        <v>2000000</v>
      </c>
    </row>
    <row r="50" spans="1:2" x14ac:dyDescent="0.25">
      <c r="A50" s="8" t="s">
        <v>37</v>
      </c>
      <c r="B50" s="7">
        <v>2000000</v>
      </c>
    </row>
    <row r="51" spans="1:2" x14ac:dyDescent="0.25">
      <c r="A51" s="8" t="s">
        <v>38</v>
      </c>
      <c r="B51" s="7">
        <v>2000000</v>
      </c>
    </row>
    <row r="52" spans="1:2" x14ac:dyDescent="0.25">
      <c r="A52" s="9" t="s">
        <v>9</v>
      </c>
      <c r="B52" s="10">
        <f>SUM(B49:B51)</f>
        <v>6000000</v>
      </c>
    </row>
    <row r="53" spans="1:2" ht="15.75" thickBot="1" x14ac:dyDescent="0.3"/>
    <row r="54" spans="1:2" ht="15.75" thickBot="1" x14ac:dyDescent="0.3">
      <c r="A54" s="113" t="s">
        <v>39</v>
      </c>
      <c r="B54" s="114"/>
    </row>
    <row r="55" spans="1:2" x14ac:dyDescent="0.25">
      <c r="A55" s="1" t="s">
        <v>11</v>
      </c>
      <c r="B55" s="1" t="s">
        <v>2</v>
      </c>
    </row>
    <row r="56" spans="1:2" x14ac:dyDescent="0.25">
      <c r="A56" s="8" t="s">
        <v>40</v>
      </c>
      <c r="B56" s="7">
        <v>1500000</v>
      </c>
    </row>
    <row r="57" spans="1:2" x14ac:dyDescent="0.25">
      <c r="A57" s="8" t="s">
        <v>41</v>
      </c>
      <c r="B57" s="7">
        <v>1000000</v>
      </c>
    </row>
    <row r="58" spans="1:2" x14ac:dyDescent="0.25">
      <c r="A58" s="8" t="s">
        <v>42</v>
      </c>
      <c r="B58" s="7">
        <v>200000</v>
      </c>
    </row>
    <row r="59" spans="1:2" x14ac:dyDescent="0.25">
      <c r="A59" s="8" t="s">
        <v>43</v>
      </c>
      <c r="B59" s="7">
        <v>1000000</v>
      </c>
    </row>
    <row r="60" spans="1:2" x14ac:dyDescent="0.25">
      <c r="A60" s="9" t="s">
        <v>9</v>
      </c>
      <c r="B60" s="10">
        <f>SUM(B56:B59)</f>
        <v>3700000</v>
      </c>
    </row>
  </sheetData>
  <mergeCells count="9">
    <mergeCell ref="A39:B39"/>
    <mergeCell ref="A47:B47"/>
    <mergeCell ref="A54:B54"/>
    <mergeCell ref="A1:B1"/>
    <mergeCell ref="A11:D11"/>
    <mergeCell ref="A17:C17"/>
    <mergeCell ref="A19:B19"/>
    <mergeCell ref="A24:B24"/>
    <mergeCell ref="A31:B3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42"/>
  <sheetViews>
    <sheetView showGridLines="0" topLeftCell="A10" zoomScale="130" zoomScaleNormal="130" workbookViewId="0">
      <selection activeCell="A9" sqref="A9:D16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23" t="s">
        <v>44</v>
      </c>
      <c r="B1" s="124"/>
      <c r="C1" s="124"/>
      <c r="D1" s="125"/>
      <c r="F1" s="121" t="s">
        <v>45</v>
      </c>
      <c r="G1" s="124"/>
      <c r="H1" s="124"/>
      <c r="I1" s="124"/>
      <c r="J1" s="124"/>
      <c r="K1" s="124"/>
      <c r="L1" s="124"/>
      <c r="M1" s="124"/>
      <c r="N1" s="122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26" t="s">
        <v>46</v>
      </c>
      <c r="B2" s="126"/>
      <c r="C2" s="126"/>
      <c r="D2" s="126"/>
      <c r="F2" s="131" t="s">
        <v>46</v>
      </c>
      <c r="G2" s="132"/>
      <c r="H2" s="132"/>
      <c r="I2" s="132"/>
      <c r="J2" s="132"/>
      <c r="K2" s="132"/>
      <c r="L2" s="132"/>
      <c r="M2" s="132"/>
      <c r="N2" s="13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47</v>
      </c>
      <c r="C3" s="1" t="s">
        <v>48</v>
      </c>
      <c r="D3" s="1" t="s">
        <v>49</v>
      </c>
      <c r="F3" s="4" t="s">
        <v>50</v>
      </c>
      <c r="G3" s="9" t="s">
        <v>79</v>
      </c>
      <c r="H3" s="9" t="s">
        <v>51</v>
      </c>
      <c r="I3" s="4" t="s">
        <v>80</v>
      </c>
      <c r="J3" s="4" t="s">
        <v>81</v>
      </c>
      <c r="K3" s="4" t="s">
        <v>82</v>
      </c>
      <c r="L3" s="4" t="s">
        <v>83</v>
      </c>
      <c r="M3" s="4" t="s">
        <v>84</v>
      </c>
      <c r="N3" s="4" t="s">
        <v>85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54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55</v>
      </c>
      <c r="B5" s="8">
        <v>1</v>
      </c>
      <c r="C5" s="3">
        <v>3000000</v>
      </c>
      <c r="D5" s="12">
        <f>C5*B5</f>
        <v>3000000</v>
      </c>
      <c r="F5" s="133" t="s">
        <v>53</v>
      </c>
      <c r="G5" s="133"/>
      <c r="H5" s="133"/>
      <c r="I5" s="133"/>
      <c r="J5" s="133"/>
      <c r="K5" s="133"/>
      <c r="L5" s="133"/>
      <c r="M5" s="133"/>
      <c r="N5" s="133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30" t="s">
        <v>56</v>
      </c>
      <c r="B6" s="130"/>
      <c r="C6" s="5">
        <f>SUM(C4:C5)</f>
        <v>6000000</v>
      </c>
      <c r="D6" s="14">
        <f>SUM(D4:D5)</f>
        <v>6000000</v>
      </c>
      <c r="F6" s="4" t="s">
        <v>50</v>
      </c>
      <c r="G6" s="9" t="s">
        <v>79</v>
      </c>
      <c r="H6" s="9" t="s">
        <v>51</v>
      </c>
      <c r="I6" s="4" t="s">
        <v>80</v>
      </c>
      <c r="J6" s="4" t="s">
        <v>81</v>
      </c>
      <c r="K6" s="4" t="s">
        <v>82</v>
      </c>
      <c r="L6" s="4" t="s">
        <v>83</v>
      </c>
      <c r="M6" s="4" t="s">
        <v>84</v>
      </c>
      <c r="N6" s="4" t="s">
        <v>85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27" t="s">
        <v>53</v>
      </c>
      <c r="B7" s="128"/>
      <c r="C7" s="128"/>
      <c r="D7" s="129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47</v>
      </c>
      <c r="C8" s="1" t="s">
        <v>48</v>
      </c>
      <c r="D8" s="1" t="s">
        <v>49</v>
      </c>
      <c r="F8" s="133" t="s">
        <v>67</v>
      </c>
      <c r="G8" s="133"/>
      <c r="H8" s="133"/>
      <c r="I8" s="133"/>
      <c r="J8" s="133"/>
      <c r="K8" s="133"/>
      <c r="L8" s="133"/>
      <c r="M8" s="133"/>
      <c r="N8" s="133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57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50</v>
      </c>
      <c r="G9" s="9" t="s">
        <v>79</v>
      </c>
      <c r="H9" s="9" t="s">
        <v>51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58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59</v>
      </c>
      <c r="B11" s="6">
        <f t="shared" si="1"/>
        <v>2</v>
      </c>
      <c r="C11" s="3">
        <v>166600</v>
      </c>
      <c r="D11" s="12">
        <f t="shared" si="2"/>
        <v>333200</v>
      </c>
      <c r="F11" s="133" t="s">
        <v>61</v>
      </c>
      <c r="G11" s="133"/>
      <c r="H11" s="133"/>
      <c r="I11" s="133"/>
      <c r="J11" s="133"/>
      <c r="K11" s="133"/>
      <c r="L11" s="133"/>
      <c r="M11" s="133"/>
      <c r="N11" s="133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60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50</v>
      </c>
      <c r="G12" s="9" t="s">
        <v>79</v>
      </c>
      <c r="H12" s="9" t="s">
        <v>51</v>
      </c>
      <c r="I12" s="4" t="s">
        <v>80</v>
      </c>
      <c r="J12" s="4" t="s">
        <v>81</v>
      </c>
      <c r="K12" s="4" t="s">
        <v>82</v>
      </c>
      <c r="L12" s="4" t="s">
        <v>83</v>
      </c>
      <c r="M12" s="4" t="s">
        <v>84</v>
      </c>
      <c r="N12" s="4" t="s">
        <v>85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6"/>
      <c r="AD12" s="26"/>
    </row>
    <row r="13" spans="1:30" x14ac:dyDescent="0.25">
      <c r="A13" s="15" t="s">
        <v>62</v>
      </c>
      <c r="B13" s="6">
        <f t="shared" si="1"/>
        <v>2</v>
      </c>
      <c r="C13" s="3">
        <v>210109</v>
      </c>
      <c r="D13" s="12">
        <f t="shared" si="2"/>
        <v>420218</v>
      </c>
      <c r="F13" s="3">
        <f>D26</f>
        <v>1451000</v>
      </c>
      <c r="G13" s="7" t="s">
        <v>52</v>
      </c>
      <c r="H13" s="13" t="s">
        <v>52</v>
      </c>
      <c r="I13" s="3">
        <f>F13</f>
        <v>1451000</v>
      </c>
      <c r="J13" s="25"/>
      <c r="K13" s="25"/>
      <c r="L13" s="25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6"/>
      <c r="AD13" s="26"/>
    </row>
    <row r="14" spans="1:30" x14ac:dyDescent="0.25">
      <c r="A14" s="15" t="s">
        <v>63</v>
      </c>
      <c r="B14" s="6">
        <f t="shared" si="1"/>
        <v>2</v>
      </c>
      <c r="C14" s="3">
        <v>148827</v>
      </c>
      <c r="D14" s="12">
        <f t="shared" si="2"/>
        <v>297654</v>
      </c>
      <c r="F14" s="134" t="s">
        <v>65</v>
      </c>
      <c r="G14" s="135"/>
      <c r="H14" s="135"/>
      <c r="I14" s="135"/>
      <c r="J14" s="135"/>
      <c r="K14" s="135"/>
      <c r="L14" s="135"/>
      <c r="M14" s="135"/>
      <c r="N14" s="135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6"/>
      <c r="AD14" s="26"/>
    </row>
    <row r="15" spans="1:30" ht="15.75" thickBot="1" x14ac:dyDescent="0.3">
      <c r="A15" s="15" t="s">
        <v>64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6"/>
      <c r="AD15" s="26"/>
    </row>
    <row r="16" spans="1:30" x14ac:dyDescent="0.25">
      <c r="A16" s="15" t="s">
        <v>66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6"/>
      <c r="AD16" s="26"/>
    </row>
    <row r="17" spans="1:30" x14ac:dyDescent="0.25">
      <c r="A17" s="118" t="s">
        <v>56</v>
      </c>
      <c r="B17" s="120"/>
      <c r="C17" s="5">
        <f>SUM(C9:C16)</f>
        <v>894289</v>
      </c>
      <c r="D17" s="14">
        <f>SUM(D9:D16)</f>
        <v>1788578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6"/>
      <c r="AD17" s="26"/>
    </row>
    <row r="18" spans="1:30" x14ac:dyDescent="0.25">
      <c r="A18" s="136" t="s">
        <v>67</v>
      </c>
      <c r="B18" s="136"/>
      <c r="C18" s="136"/>
      <c r="D18" s="13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</row>
    <row r="19" spans="1:30" x14ac:dyDescent="0.25">
      <c r="A19" s="11" t="s">
        <v>1</v>
      </c>
      <c r="B19" s="1" t="s">
        <v>47</v>
      </c>
      <c r="C19" s="1" t="s">
        <v>48</v>
      </c>
      <c r="D19" s="1" t="s">
        <v>49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</row>
    <row r="20" spans="1:30" x14ac:dyDescent="0.25">
      <c r="A20" s="15" t="s">
        <v>68</v>
      </c>
      <c r="B20" s="8">
        <v>1</v>
      </c>
      <c r="C20" s="3">
        <v>220000</v>
      </c>
      <c r="D20" s="12">
        <f>C20*B20</f>
        <v>220000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</row>
    <row r="21" spans="1:30" x14ac:dyDescent="0.25">
      <c r="A21" s="15" t="s">
        <v>69</v>
      </c>
      <c r="B21" s="8">
        <v>1</v>
      </c>
      <c r="C21" s="3">
        <v>3500000</v>
      </c>
      <c r="D21" s="12">
        <f t="shared" ref="D21" si="4">C21*B21</f>
        <v>3500000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6"/>
      <c r="AD21" s="26"/>
    </row>
    <row r="22" spans="1:30" x14ac:dyDescent="0.25">
      <c r="A22" s="118" t="s">
        <v>56</v>
      </c>
      <c r="B22" s="120"/>
      <c r="C22" s="5">
        <f>SUM(C20:C21)</f>
        <v>3720000</v>
      </c>
      <c r="D22" s="14">
        <f>SUM(D20:D21)</f>
        <v>3720000</v>
      </c>
    </row>
    <row r="23" spans="1:30" x14ac:dyDescent="0.25">
      <c r="A23" s="136" t="s">
        <v>61</v>
      </c>
      <c r="B23" s="136"/>
      <c r="C23" s="136"/>
      <c r="D23" s="136"/>
    </row>
    <row r="24" spans="1:30" x14ac:dyDescent="0.25">
      <c r="A24" s="11" t="s">
        <v>1</v>
      </c>
      <c r="B24" s="1" t="s">
        <v>47</v>
      </c>
      <c r="C24" s="1" t="s">
        <v>48</v>
      </c>
      <c r="D24" s="1" t="s">
        <v>49</v>
      </c>
    </row>
    <row r="25" spans="1:30" x14ac:dyDescent="0.25">
      <c r="A25" s="15" t="s">
        <v>70</v>
      </c>
      <c r="B25" s="8">
        <v>1</v>
      </c>
      <c r="C25" s="3">
        <f>B36</f>
        <v>1451000</v>
      </c>
      <c r="D25" s="12">
        <f>C25*B25</f>
        <v>1451000</v>
      </c>
    </row>
    <row r="26" spans="1:30" x14ac:dyDescent="0.25">
      <c r="A26" s="118" t="s">
        <v>56</v>
      </c>
      <c r="B26" s="120"/>
      <c r="C26" s="5">
        <f>SUM(C25)</f>
        <v>1451000</v>
      </c>
      <c r="D26" s="14">
        <f>SUM(D25)</f>
        <v>1451000</v>
      </c>
    </row>
    <row r="27" spans="1:30" ht="15.75" thickBot="1" x14ac:dyDescent="0.3"/>
    <row r="28" spans="1:30" ht="15.75" thickBot="1" x14ac:dyDescent="0.3">
      <c r="A28" s="121" t="s">
        <v>71</v>
      </c>
      <c r="B28" s="122"/>
    </row>
    <row r="29" spans="1:30" x14ac:dyDescent="0.25">
      <c r="A29" s="1" t="s">
        <v>11</v>
      </c>
      <c r="B29" s="1" t="s">
        <v>2</v>
      </c>
    </row>
    <row r="30" spans="1:30" x14ac:dyDescent="0.25">
      <c r="A30" s="15" t="s">
        <v>72</v>
      </c>
      <c r="B30" s="12">
        <v>1288000</v>
      </c>
    </row>
    <row r="31" spans="1:30" x14ac:dyDescent="0.25">
      <c r="A31" s="15" t="s">
        <v>73</v>
      </c>
      <c r="B31" s="12">
        <v>30000</v>
      </c>
    </row>
    <row r="32" spans="1:30" x14ac:dyDescent="0.25">
      <c r="A32" s="15" t="s">
        <v>74</v>
      </c>
      <c r="B32" s="12">
        <v>69000</v>
      </c>
    </row>
    <row r="33" spans="1:4" x14ac:dyDescent="0.25">
      <c r="A33" s="15" t="s">
        <v>75</v>
      </c>
      <c r="B33" s="12">
        <v>64000</v>
      </c>
      <c r="C33" s="17"/>
      <c r="D33" s="17"/>
    </row>
    <row r="34" spans="1:4" x14ac:dyDescent="0.25">
      <c r="A34" s="15" t="s">
        <v>76</v>
      </c>
      <c r="B34" s="12" t="s">
        <v>52</v>
      </c>
      <c r="C34" s="18"/>
      <c r="D34" s="18"/>
    </row>
    <row r="35" spans="1:4" x14ac:dyDescent="0.25">
      <c r="A35" s="15" t="s">
        <v>77</v>
      </c>
      <c r="B35" s="12" t="s">
        <v>52</v>
      </c>
    </row>
    <row r="36" spans="1:4" x14ac:dyDescent="0.25">
      <c r="A36" s="19" t="s">
        <v>56</v>
      </c>
      <c r="B36" s="5">
        <f>SUM(B30:B33)</f>
        <v>1451000</v>
      </c>
    </row>
    <row r="37" spans="1:4" ht="15.75" thickBot="1" x14ac:dyDescent="0.3"/>
    <row r="38" spans="1:4" ht="15.75" thickBot="1" x14ac:dyDescent="0.3">
      <c r="A38" s="121" t="s">
        <v>125</v>
      </c>
      <c r="B38" s="122"/>
    </row>
    <row r="39" spans="1:4" x14ac:dyDescent="0.25">
      <c r="A39" s="86" t="s">
        <v>11</v>
      </c>
      <c r="B39" s="86" t="s">
        <v>2</v>
      </c>
    </row>
    <row r="40" spans="1:4" x14ac:dyDescent="0.25">
      <c r="A40" s="15" t="s">
        <v>78</v>
      </c>
      <c r="B40" s="12">
        <f>'Inversión Inicial'!D17</f>
        <v>9100000</v>
      </c>
    </row>
    <row r="41" spans="1:4" x14ac:dyDescent="0.25">
      <c r="A41" s="15" t="s">
        <v>71</v>
      </c>
      <c r="B41" s="12">
        <f>B36</f>
        <v>1451000</v>
      </c>
    </row>
    <row r="42" spans="1:4" x14ac:dyDescent="0.25">
      <c r="A42" s="19" t="s">
        <v>56</v>
      </c>
      <c r="B42" s="5">
        <f>SUM(B40:B41)</f>
        <v>10551000</v>
      </c>
    </row>
  </sheetData>
  <mergeCells count="17">
    <mergeCell ref="F14:N14"/>
    <mergeCell ref="A17:B17"/>
    <mergeCell ref="A18:D18"/>
    <mergeCell ref="A22:B22"/>
    <mergeCell ref="A23:D23"/>
    <mergeCell ref="F1:N1"/>
    <mergeCell ref="F2:N2"/>
    <mergeCell ref="F5:N5"/>
    <mergeCell ref="F8:N8"/>
    <mergeCell ref="F11:N11"/>
    <mergeCell ref="A38:B38"/>
    <mergeCell ref="A1:D1"/>
    <mergeCell ref="A2:D2"/>
    <mergeCell ref="A7:D7"/>
    <mergeCell ref="A28:B28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N31"/>
  <sheetViews>
    <sheetView showGridLines="0" zoomScale="160" zoomScaleNormal="160" workbookViewId="0">
      <selection activeCell="C9" sqref="C9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</cols>
  <sheetData>
    <row r="1" spans="1:14" ht="15.75" thickBot="1" x14ac:dyDescent="0.3">
      <c r="A1" s="137" t="s">
        <v>86</v>
      </c>
      <c r="B1" s="138"/>
      <c r="C1" s="138"/>
      <c r="D1" s="138"/>
      <c r="E1" s="138"/>
      <c r="F1" s="139"/>
      <c r="H1" s="140" t="s">
        <v>87</v>
      </c>
      <c r="I1" s="141"/>
      <c r="J1" s="141"/>
      <c r="K1" s="141"/>
      <c r="L1" s="141"/>
      <c r="M1" s="141"/>
      <c r="N1" s="142"/>
    </row>
    <row r="2" spans="1:14" x14ac:dyDescent="0.25">
      <c r="A2" s="143" t="s">
        <v>88</v>
      </c>
      <c r="B2" s="143"/>
      <c r="C2" s="143"/>
      <c r="D2" s="143"/>
      <c r="E2" s="143"/>
      <c r="F2" s="143"/>
      <c r="H2" s="144" t="s">
        <v>89</v>
      </c>
      <c r="I2" s="145"/>
      <c r="J2" s="145"/>
      <c r="K2" s="145"/>
      <c r="L2" s="145"/>
      <c r="M2" s="145"/>
      <c r="N2" s="146"/>
    </row>
    <row r="3" spans="1:14" x14ac:dyDescent="0.25">
      <c r="A3" s="147" t="s">
        <v>11</v>
      </c>
      <c r="B3" s="147"/>
      <c r="C3" s="1" t="s">
        <v>47</v>
      </c>
      <c r="D3" s="1" t="s">
        <v>90</v>
      </c>
      <c r="E3" s="1" t="s">
        <v>91</v>
      </c>
      <c r="F3" s="1" t="s">
        <v>92</v>
      </c>
      <c r="H3" s="20" t="s">
        <v>93</v>
      </c>
      <c r="I3" s="20" t="s">
        <v>80</v>
      </c>
      <c r="J3" s="20" t="s">
        <v>269</v>
      </c>
      <c r="K3" s="20" t="s">
        <v>270</v>
      </c>
      <c r="L3" s="20" t="s">
        <v>271</v>
      </c>
      <c r="M3" s="20" t="s">
        <v>272</v>
      </c>
      <c r="N3" s="20" t="s">
        <v>273</v>
      </c>
    </row>
    <row r="4" spans="1:14" x14ac:dyDescent="0.25">
      <c r="A4" s="148" t="s">
        <v>94</v>
      </c>
      <c r="B4" s="148"/>
      <c r="C4" s="8" t="s">
        <v>52</v>
      </c>
      <c r="D4" s="3">
        <v>0</v>
      </c>
      <c r="E4" s="12">
        <f>D4*3</f>
        <v>0</v>
      </c>
      <c r="F4" s="12">
        <f>D4*12</f>
        <v>0</v>
      </c>
      <c r="H4" s="28" t="s">
        <v>95</v>
      </c>
      <c r="I4" s="32"/>
      <c r="J4" s="29">
        <v>4.5999999999999999E-2</v>
      </c>
      <c r="K4" s="29">
        <v>3.9E-2</v>
      </c>
      <c r="L4" s="29">
        <v>3.6999999999999998E-2</v>
      </c>
      <c r="M4" s="29">
        <v>3.5000000000000003E-2</v>
      </c>
      <c r="N4" s="29">
        <v>3.4000000000000002E-2</v>
      </c>
    </row>
    <row r="5" spans="1:14" x14ac:dyDescent="0.25">
      <c r="A5" s="148" t="s">
        <v>96</v>
      </c>
      <c r="B5" s="148"/>
      <c r="C5" s="8" t="s">
        <v>52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97</v>
      </c>
      <c r="I5" s="53"/>
      <c r="J5" s="51">
        <v>0.25</v>
      </c>
      <c r="K5" s="51">
        <v>0.22</v>
      </c>
      <c r="L5" s="51">
        <v>0.25</v>
      </c>
      <c r="M5" s="51">
        <v>0.28999999999999998</v>
      </c>
      <c r="N5" s="51">
        <v>0.34</v>
      </c>
    </row>
    <row r="6" spans="1:14" x14ac:dyDescent="0.25">
      <c r="A6" s="148" t="s">
        <v>98</v>
      </c>
      <c r="B6" s="148"/>
      <c r="C6" s="8" t="s">
        <v>52</v>
      </c>
      <c r="D6" s="3">
        <v>300</v>
      </c>
      <c r="E6" s="12">
        <f t="shared" si="0"/>
        <v>900</v>
      </c>
      <c r="F6" s="12">
        <f>D6*12</f>
        <v>3600</v>
      </c>
      <c r="H6" s="2" t="s">
        <v>99</v>
      </c>
      <c r="I6" s="32"/>
      <c r="J6" s="54">
        <f t="shared" ref="J6:K6" si="1">SUM(J4:J5)</f>
        <v>0.29599999999999999</v>
      </c>
      <c r="K6" s="54">
        <f t="shared" si="1"/>
        <v>0.25900000000000001</v>
      </c>
      <c r="L6" s="52">
        <f>SUM(L4:L5)</f>
        <v>0.28699999999999998</v>
      </c>
      <c r="M6" s="30">
        <f t="shared" ref="M6:N6" si="2">SUM(M4:M5)</f>
        <v>0.32499999999999996</v>
      </c>
      <c r="N6" s="30">
        <f t="shared" si="2"/>
        <v>0.374</v>
      </c>
    </row>
    <row r="7" spans="1:14" x14ac:dyDescent="0.25">
      <c r="A7" s="149" t="s">
        <v>100</v>
      </c>
      <c r="B7" s="149"/>
      <c r="C7" s="149"/>
      <c r="D7" s="149"/>
      <c r="E7" s="149"/>
      <c r="F7" s="149"/>
      <c r="H7" s="31" t="s">
        <v>101</v>
      </c>
      <c r="I7" s="32"/>
      <c r="J7" s="55">
        <f>F12*(1+J6)</f>
        <v>139968000</v>
      </c>
      <c r="K7" s="55">
        <f>J7*(1+K6)</f>
        <v>176219712</v>
      </c>
      <c r="L7" s="55">
        <f>K7*(1+L6)</f>
        <v>226794769.34399998</v>
      </c>
      <c r="M7" s="55">
        <f>L7*(1+M6)</f>
        <v>300503069.38079995</v>
      </c>
      <c r="N7" s="55">
        <f>M7*(1+N6)</f>
        <v>412891217.32921916</v>
      </c>
    </row>
    <row r="8" spans="1:14" x14ac:dyDescent="0.25">
      <c r="A8" s="11" t="s">
        <v>102</v>
      </c>
      <c r="B8" s="1" t="s">
        <v>90</v>
      </c>
      <c r="C8" s="1" t="s">
        <v>103</v>
      </c>
      <c r="D8" s="1" t="s">
        <v>104</v>
      </c>
      <c r="E8" s="1" t="s">
        <v>105</v>
      </c>
      <c r="F8" s="1" t="s">
        <v>106</v>
      </c>
      <c r="G8" s="34"/>
      <c r="H8" s="150"/>
      <c r="I8" s="150"/>
      <c r="J8" s="150"/>
      <c r="K8" s="150"/>
      <c r="L8" s="150"/>
      <c r="M8" s="150"/>
      <c r="N8" s="150"/>
    </row>
    <row r="9" spans="1:14" x14ac:dyDescent="0.25">
      <c r="A9" s="35" t="s">
        <v>94</v>
      </c>
      <c r="B9" s="7">
        <f>D4</f>
        <v>0</v>
      </c>
      <c r="C9" s="36">
        <v>3000</v>
      </c>
      <c r="D9" s="37">
        <f>B9*$C$9</f>
        <v>0</v>
      </c>
      <c r="E9" s="12">
        <f t="shared" ref="E9:E11" si="3">D9*3</f>
        <v>0</v>
      </c>
      <c r="F9" s="37">
        <f>D9*12</f>
        <v>0</v>
      </c>
      <c r="H9" s="18"/>
      <c r="I9" s="18"/>
      <c r="J9" s="18"/>
      <c r="K9" s="18"/>
      <c r="L9" s="18"/>
      <c r="M9" s="18"/>
      <c r="N9" s="18"/>
    </row>
    <row r="10" spans="1:14" x14ac:dyDescent="0.25">
      <c r="A10" s="38" t="s">
        <v>96</v>
      </c>
      <c r="B10" s="7">
        <f>D5</f>
        <v>30000</v>
      </c>
      <c r="C10" s="36">
        <f>C9*0.09</f>
        <v>270</v>
      </c>
      <c r="D10" s="37">
        <f>B10*$C$10</f>
        <v>8100000</v>
      </c>
      <c r="E10" s="12">
        <f t="shared" si="3"/>
        <v>24300000</v>
      </c>
      <c r="F10" s="37">
        <f>D10*12</f>
        <v>97200000</v>
      </c>
      <c r="H10" s="39"/>
      <c r="I10" s="40"/>
      <c r="J10" s="40"/>
      <c r="K10" s="40"/>
      <c r="L10" s="40"/>
    </row>
    <row r="11" spans="1:14" x14ac:dyDescent="0.25">
      <c r="A11" s="38" t="s">
        <v>98</v>
      </c>
      <c r="B11" s="3">
        <v>300</v>
      </c>
      <c r="C11" s="36">
        <f>C9</f>
        <v>3000</v>
      </c>
      <c r="D11" s="37">
        <f>B11*$C$11</f>
        <v>900000</v>
      </c>
      <c r="E11" s="12">
        <f t="shared" si="3"/>
        <v>2700000</v>
      </c>
      <c r="F11" s="37">
        <f>D11*12</f>
        <v>10800000</v>
      </c>
      <c r="H11" s="150"/>
      <c r="I11" s="150"/>
      <c r="J11" s="150"/>
      <c r="K11" s="150"/>
      <c r="L11" s="150"/>
      <c r="M11" s="150"/>
      <c r="N11" s="150"/>
    </row>
    <row r="12" spans="1:14" x14ac:dyDescent="0.25">
      <c r="A12" s="130" t="s">
        <v>56</v>
      </c>
      <c r="B12" s="130"/>
      <c r="C12" s="41">
        <f>SUM(C10:C11)</f>
        <v>3270</v>
      </c>
      <c r="D12" s="10">
        <f>SUM(D9:D11)</f>
        <v>9000000</v>
      </c>
      <c r="E12" s="10">
        <f t="shared" ref="E12:F12" si="4">SUM(E9:E11)</f>
        <v>27000000</v>
      </c>
      <c r="F12" s="33">
        <f t="shared" si="4"/>
        <v>108000000</v>
      </c>
      <c r="H12" s="18"/>
      <c r="I12" s="18"/>
      <c r="J12" s="18"/>
      <c r="K12" s="18"/>
      <c r="L12" s="18"/>
      <c r="M12" s="18"/>
      <c r="N12" s="18"/>
    </row>
    <row r="13" spans="1:14" ht="15.75" thickBot="1" x14ac:dyDescent="0.3">
      <c r="A13" s="42"/>
      <c r="B13" s="18"/>
      <c r="C13" s="18"/>
      <c r="D13" s="18"/>
      <c r="E13" s="18"/>
      <c r="H13" s="39"/>
      <c r="I13" s="40"/>
      <c r="L13" s="40"/>
      <c r="M13" s="40"/>
      <c r="N13" s="40"/>
    </row>
    <row r="14" spans="1:14" ht="15.75" thickBot="1" x14ac:dyDescent="0.3">
      <c r="A14" s="151" t="s">
        <v>107</v>
      </c>
      <c r="B14" s="152"/>
      <c r="C14" s="39"/>
      <c r="D14" s="43"/>
      <c r="E14" s="43"/>
      <c r="H14" s="150"/>
      <c r="I14" s="150"/>
      <c r="J14" s="150"/>
      <c r="K14" s="150"/>
      <c r="L14" s="150"/>
      <c r="M14" s="150"/>
      <c r="N14" s="150"/>
    </row>
    <row r="15" spans="1:14" x14ac:dyDescent="0.25">
      <c r="A15" s="11" t="s">
        <v>11</v>
      </c>
      <c r="B15" s="1" t="s">
        <v>2</v>
      </c>
      <c r="C15" s="39"/>
      <c r="D15" s="43"/>
      <c r="E15" s="43"/>
      <c r="H15" s="18"/>
      <c r="I15" s="18"/>
      <c r="J15" s="18"/>
      <c r="K15" s="18"/>
      <c r="L15" s="18"/>
      <c r="M15" s="18"/>
      <c r="N15" s="18"/>
    </row>
    <row r="16" spans="1:14" x14ac:dyDescent="0.25">
      <c r="A16" s="2" t="s">
        <v>108</v>
      </c>
      <c r="B16" s="3">
        <f>'Costos de Operación Gravables'!$B$42*0.65</f>
        <v>6858150</v>
      </c>
      <c r="C16" s="39"/>
      <c r="D16" s="43"/>
      <c r="E16" s="43"/>
      <c r="H16" s="39"/>
      <c r="I16" s="40"/>
      <c r="L16" s="40"/>
      <c r="M16" s="40"/>
      <c r="N16" s="40"/>
    </row>
    <row r="17" spans="1:14" x14ac:dyDescent="0.25">
      <c r="A17" s="2" t="s">
        <v>109</v>
      </c>
      <c r="B17" s="3">
        <f>'Costos de Operación Gravables'!$B$42*0.35</f>
        <v>3692849.9999999995</v>
      </c>
      <c r="C17" s="39"/>
      <c r="D17" s="43"/>
      <c r="E17" s="43"/>
      <c r="H17" s="150"/>
      <c r="I17" s="150"/>
      <c r="J17" s="150"/>
      <c r="K17" s="150"/>
      <c r="L17" s="150"/>
      <c r="M17" s="150"/>
      <c r="N17" s="150"/>
    </row>
    <row r="18" spans="1:14" x14ac:dyDescent="0.25">
      <c r="A18" s="9" t="s">
        <v>56</v>
      </c>
      <c r="B18" s="10">
        <f>SUM(B16:B17)</f>
        <v>10551000</v>
      </c>
      <c r="C18" s="39"/>
      <c r="D18" s="43"/>
      <c r="E18" s="43"/>
      <c r="H18" s="18"/>
      <c r="I18" s="18"/>
      <c r="J18" s="18"/>
      <c r="K18" s="18"/>
      <c r="L18" s="18"/>
      <c r="M18" s="18"/>
      <c r="N18" s="18"/>
    </row>
    <row r="19" spans="1:14" x14ac:dyDescent="0.25">
      <c r="B19" s="44"/>
      <c r="C19" s="39"/>
      <c r="D19" s="43"/>
      <c r="E19" s="43"/>
      <c r="H19" s="39"/>
      <c r="I19" s="40"/>
    </row>
    <row r="20" spans="1:14" x14ac:dyDescent="0.25">
      <c r="B20" s="44"/>
      <c r="C20" s="39"/>
      <c r="D20" s="43"/>
      <c r="E20" s="43"/>
      <c r="H20" s="150"/>
      <c r="I20" s="150"/>
      <c r="J20" s="150"/>
      <c r="K20" s="150"/>
      <c r="L20" s="150"/>
      <c r="M20" s="150"/>
      <c r="N20" s="150"/>
    </row>
    <row r="21" spans="1:14" x14ac:dyDescent="0.25">
      <c r="B21" s="44"/>
      <c r="C21" s="39"/>
      <c r="D21" s="43"/>
      <c r="E21" s="43"/>
      <c r="I21" s="45"/>
      <c r="J21" s="45"/>
      <c r="K21" s="45"/>
      <c r="L21" s="45"/>
      <c r="M21" s="45"/>
      <c r="N21" s="45"/>
    </row>
    <row r="22" spans="1:14" x14ac:dyDescent="0.25">
      <c r="A22" s="46"/>
      <c r="B22" s="46"/>
      <c r="C22" s="45"/>
      <c r="D22" s="47"/>
      <c r="E22" s="47"/>
    </row>
    <row r="23" spans="1:14" x14ac:dyDescent="0.25">
      <c r="A23" s="48"/>
      <c r="B23" s="48"/>
      <c r="C23" s="48"/>
      <c r="D23" s="48"/>
      <c r="E23" s="49"/>
    </row>
    <row r="24" spans="1:14" x14ac:dyDescent="0.25">
      <c r="A24" s="42"/>
      <c r="B24" s="18"/>
      <c r="C24" s="18"/>
      <c r="D24" s="18"/>
      <c r="E24" s="18"/>
    </row>
    <row r="25" spans="1:14" x14ac:dyDescent="0.25">
      <c r="B25" s="50"/>
      <c r="C25" s="39"/>
      <c r="D25" s="43"/>
      <c r="E25" s="43"/>
    </row>
    <row r="26" spans="1:14" x14ac:dyDescent="0.25">
      <c r="B26" s="50"/>
      <c r="C26" s="39"/>
      <c r="D26" s="43"/>
      <c r="E26" s="43"/>
    </row>
    <row r="27" spans="1:14" x14ac:dyDescent="0.25">
      <c r="A27" s="46"/>
      <c r="B27" s="46"/>
      <c r="C27" s="45"/>
      <c r="D27" s="47"/>
      <c r="E27" s="47"/>
    </row>
    <row r="28" spans="1:14" x14ac:dyDescent="0.25">
      <c r="A28" s="48"/>
      <c r="B28" s="48"/>
      <c r="C28" s="48"/>
      <c r="D28" s="48"/>
      <c r="E28" s="49"/>
    </row>
    <row r="29" spans="1:14" x14ac:dyDescent="0.25">
      <c r="A29" s="42"/>
      <c r="B29" s="18"/>
      <c r="C29" s="18"/>
      <c r="D29" s="18"/>
      <c r="E29" s="18"/>
    </row>
    <row r="30" spans="1:14" x14ac:dyDescent="0.25">
      <c r="B30" s="50"/>
      <c r="C30" s="39"/>
      <c r="D30" s="39"/>
      <c r="E30" s="39"/>
    </row>
    <row r="31" spans="1:14" x14ac:dyDescent="0.25">
      <c r="A31" s="153"/>
      <c r="B31" s="153"/>
      <c r="C31" s="45"/>
      <c r="D31" s="47"/>
      <c r="E31" s="47"/>
    </row>
  </sheetData>
  <mergeCells count="17">
    <mergeCell ref="A14:B14"/>
    <mergeCell ref="H14:N14"/>
    <mergeCell ref="H17:N17"/>
    <mergeCell ref="H20:N20"/>
    <mergeCell ref="A31:B31"/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H11:N11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topLeftCell="E8" zoomScale="145" zoomScaleNormal="145" workbookViewId="0">
      <selection activeCell="D25" sqref="D25:F25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54" t="s">
        <v>110</v>
      </c>
      <c r="B1" s="155"/>
      <c r="D1" s="156" t="s">
        <v>111</v>
      </c>
      <c r="E1" s="157"/>
      <c r="F1" s="157"/>
      <c r="G1" s="157"/>
      <c r="H1" s="157"/>
      <c r="I1" s="157"/>
      <c r="J1" s="17"/>
      <c r="K1" s="17"/>
      <c r="L1" s="17"/>
      <c r="M1" s="17"/>
      <c r="N1" s="17"/>
      <c r="O1" s="17"/>
      <c r="P1" s="17"/>
    </row>
    <row r="2" spans="1:16" x14ac:dyDescent="0.25">
      <c r="A2" s="158" t="s">
        <v>112</v>
      </c>
      <c r="B2" s="158"/>
      <c r="D2" s="56" t="s">
        <v>113</v>
      </c>
      <c r="E2" s="56" t="s">
        <v>114</v>
      </c>
      <c r="F2" s="56" t="s">
        <v>115</v>
      </c>
      <c r="G2" s="56" t="s">
        <v>116</v>
      </c>
      <c r="H2" s="56" t="s">
        <v>117</v>
      </c>
      <c r="I2" s="56" t="s">
        <v>118</v>
      </c>
      <c r="J2" s="46"/>
      <c r="K2" s="46"/>
      <c r="L2" s="46"/>
      <c r="M2" s="46"/>
      <c r="N2" s="46"/>
      <c r="O2" s="46"/>
      <c r="P2" s="46"/>
    </row>
    <row r="3" spans="1:16" x14ac:dyDescent="0.25">
      <c r="A3" s="57" t="s">
        <v>11</v>
      </c>
      <c r="B3" s="1" t="s">
        <v>47</v>
      </c>
      <c r="D3" s="20" t="s">
        <v>80</v>
      </c>
      <c r="E3" s="3">
        <f>B4</f>
        <v>28301000</v>
      </c>
      <c r="F3" s="3">
        <v>0</v>
      </c>
      <c r="G3" s="3">
        <v>0</v>
      </c>
      <c r="H3" s="3">
        <v>0</v>
      </c>
      <c r="I3" s="5">
        <f>E3</f>
        <v>28301000</v>
      </c>
      <c r="J3" s="18"/>
      <c r="K3" s="18"/>
      <c r="L3" s="18"/>
      <c r="M3" s="18"/>
      <c r="N3" s="18"/>
      <c r="O3" s="18"/>
      <c r="P3" s="18"/>
    </row>
    <row r="4" spans="1:16" x14ac:dyDescent="0.25">
      <c r="A4" s="38" t="s">
        <v>119</v>
      </c>
      <c r="B4" s="3">
        <f>'Inversión Inicial'!B9*0.65</f>
        <v>28301000</v>
      </c>
      <c r="D4" s="20" t="s">
        <v>81</v>
      </c>
      <c r="E4" s="3">
        <f>I3</f>
        <v>28301000</v>
      </c>
      <c r="F4" s="3">
        <f>E4*$B$7</f>
        <v>4709286.3999999994</v>
      </c>
      <c r="G4" s="3">
        <f>$B$8</f>
        <v>10243566.800000001</v>
      </c>
      <c r="H4" s="3">
        <f>G4-F4</f>
        <v>5534280.4000000013</v>
      </c>
      <c r="I4" s="5">
        <f t="shared" ref="I4:I8" si="0">E4-H4</f>
        <v>22766719.599999998</v>
      </c>
      <c r="J4" s="58"/>
      <c r="K4" s="58"/>
      <c r="L4" s="58"/>
      <c r="M4" s="58"/>
      <c r="N4" s="58"/>
      <c r="O4" s="58"/>
      <c r="P4" s="58"/>
    </row>
    <row r="5" spans="1:16" x14ac:dyDescent="0.25">
      <c r="A5" s="38" t="s">
        <v>120</v>
      </c>
      <c r="B5" s="3">
        <v>0</v>
      </c>
      <c r="D5" s="20" t="s">
        <v>82</v>
      </c>
      <c r="E5" s="3">
        <f>I4</f>
        <v>22766719.599999998</v>
      </c>
      <c r="F5" s="3">
        <f>E5*$B$7</f>
        <v>3788382.1414399995</v>
      </c>
      <c r="G5" s="3">
        <f t="shared" ref="G5:G7" si="1">$B$8</f>
        <v>10243566.800000001</v>
      </c>
      <c r="H5" s="3">
        <f t="shared" ref="H5:H8" si="2">G5-F5</f>
        <v>6455184.6585600013</v>
      </c>
      <c r="I5" s="5">
        <f t="shared" si="0"/>
        <v>16311534.941439997</v>
      </c>
      <c r="J5" s="59"/>
      <c r="K5" s="59"/>
      <c r="L5" s="59"/>
      <c r="M5" s="59"/>
      <c r="N5" s="59"/>
      <c r="O5" s="59"/>
      <c r="P5" s="59"/>
    </row>
    <row r="6" spans="1:16" x14ac:dyDescent="0.25">
      <c r="A6" s="38" t="s">
        <v>121</v>
      </c>
      <c r="B6" s="8" t="s">
        <v>135</v>
      </c>
      <c r="D6" s="20" t="s">
        <v>83</v>
      </c>
      <c r="E6" s="3">
        <f t="shared" ref="E6:E8" si="3">I5</f>
        <v>16311534.941439997</v>
      </c>
      <c r="F6" s="3">
        <f t="shared" ref="F6:F8" si="4">E6*$B$7</f>
        <v>2714239.4142556153</v>
      </c>
      <c r="G6" s="3">
        <f t="shared" si="1"/>
        <v>10243566.800000001</v>
      </c>
      <c r="H6" s="3">
        <f t="shared" si="2"/>
        <v>7529327.3857443854</v>
      </c>
      <c r="I6" s="5">
        <f t="shared" si="0"/>
        <v>8782207.555695612</v>
      </c>
      <c r="J6" s="59"/>
      <c r="K6" s="59"/>
      <c r="L6" s="59"/>
      <c r="M6" s="59"/>
      <c r="N6" s="59"/>
      <c r="O6" s="59"/>
      <c r="P6" s="59"/>
    </row>
    <row r="7" spans="1:16" x14ac:dyDescent="0.25">
      <c r="A7" s="38" t="s">
        <v>122</v>
      </c>
      <c r="B7" s="60">
        <v>0.16639999999999999</v>
      </c>
      <c r="D7" s="20" t="s">
        <v>84</v>
      </c>
      <c r="E7" s="3">
        <f t="shared" si="3"/>
        <v>8782207.555695612</v>
      </c>
      <c r="F7" s="3">
        <f t="shared" si="4"/>
        <v>1461359.3372677497</v>
      </c>
      <c r="G7" s="3">
        <f t="shared" si="1"/>
        <v>10243566.800000001</v>
      </c>
      <c r="H7" s="3">
        <f t="shared" si="2"/>
        <v>8782207.4627322517</v>
      </c>
      <c r="I7" s="5">
        <f t="shared" si="0"/>
        <v>9.2963360249996185E-2</v>
      </c>
      <c r="J7" s="59"/>
      <c r="K7" s="59"/>
      <c r="L7" s="59"/>
      <c r="M7" s="59"/>
      <c r="N7" s="59"/>
      <c r="O7" s="59"/>
      <c r="P7" s="59"/>
    </row>
    <row r="8" spans="1:16" x14ac:dyDescent="0.25">
      <c r="A8" s="38" t="s">
        <v>123</v>
      </c>
      <c r="B8" s="3">
        <v>10243566.800000001</v>
      </c>
      <c r="D8" s="20" t="s">
        <v>85</v>
      </c>
      <c r="E8" s="3">
        <f t="shared" si="3"/>
        <v>9.2963360249996185E-2</v>
      </c>
      <c r="F8" s="3">
        <f t="shared" si="4"/>
        <v>1.5469103145599364E-2</v>
      </c>
      <c r="G8" s="3">
        <v>0</v>
      </c>
      <c r="H8" s="3">
        <f t="shared" si="2"/>
        <v>-1.5469103145599364E-2</v>
      </c>
      <c r="I8" s="5">
        <f t="shared" si="0"/>
        <v>0.10843246339559555</v>
      </c>
    </row>
    <row r="9" spans="1:16" ht="15.75" thickBot="1" x14ac:dyDescent="0.3">
      <c r="A9" s="42"/>
      <c r="B9" s="18"/>
      <c r="C9" s="48"/>
      <c r="D9" s="48"/>
      <c r="E9" s="48"/>
      <c r="F9" s="48"/>
    </row>
    <row r="10" spans="1:16" ht="15.75" thickBot="1" x14ac:dyDescent="0.3">
      <c r="A10" s="35"/>
      <c r="B10" s="61"/>
      <c r="C10" s="18"/>
      <c r="D10" s="159" t="s">
        <v>124</v>
      </c>
      <c r="E10" s="160"/>
      <c r="F10" s="160"/>
      <c r="G10" s="160"/>
      <c r="H10" s="160"/>
      <c r="I10" s="160"/>
      <c r="J10" s="160"/>
      <c r="K10" s="161"/>
    </row>
    <row r="11" spans="1:16" x14ac:dyDescent="0.25">
      <c r="A11" s="62"/>
      <c r="B11" s="61"/>
      <c r="D11" s="64" t="s">
        <v>125</v>
      </c>
      <c r="E11" s="64" t="s">
        <v>126</v>
      </c>
      <c r="F11" s="64" t="s">
        <v>127</v>
      </c>
      <c r="G11" s="64" t="s">
        <v>81</v>
      </c>
      <c r="H11" s="64" t="s">
        <v>82</v>
      </c>
      <c r="I11" s="64" t="s">
        <v>83</v>
      </c>
      <c r="J11" s="65" t="s">
        <v>84</v>
      </c>
      <c r="K11" s="64" t="s">
        <v>85</v>
      </c>
    </row>
    <row r="12" spans="1:16" x14ac:dyDescent="0.25">
      <c r="A12" s="62"/>
      <c r="B12" s="61"/>
      <c r="C12" s="48"/>
      <c r="D12" s="20" t="s">
        <v>128</v>
      </c>
      <c r="E12" s="8" t="s">
        <v>129</v>
      </c>
      <c r="F12" s="3">
        <f>'Inversión Inicial'!$C$13</f>
        <v>3000000</v>
      </c>
      <c r="G12" s="3">
        <f t="shared" ref="G12:K15" si="5">$F12*G$17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3"/>
      <c r="C13" s="18"/>
      <c r="D13" s="5" t="s">
        <v>130</v>
      </c>
      <c r="E13" s="8" t="s">
        <v>129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2"/>
      <c r="B14" s="18"/>
      <c r="C14" s="40"/>
      <c r="D14" s="20" t="s">
        <v>131</v>
      </c>
      <c r="E14" s="8" t="s">
        <v>129</v>
      </c>
      <c r="F14" s="3">
        <f>'Inversión Inicial'!$C$13</f>
        <v>3000000</v>
      </c>
      <c r="G14" s="3">
        <f t="shared" si="5"/>
        <v>600000</v>
      </c>
      <c r="H14" s="3">
        <f t="shared" si="5"/>
        <v>1200000</v>
      </c>
      <c r="I14" s="3">
        <f t="shared" si="5"/>
        <v>1800000</v>
      </c>
      <c r="J14" s="3">
        <f t="shared" si="5"/>
        <v>2400000</v>
      </c>
      <c r="K14" s="3">
        <f t="shared" si="5"/>
        <v>3000000</v>
      </c>
    </row>
    <row r="15" spans="1:16" x14ac:dyDescent="0.25">
      <c r="B15" s="39"/>
      <c r="C15" s="48"/>
      <c r="D15" s="5" t="s">
        <v>132</v>
      </c>
      <c r="E15" s="8" t="s">
        <v>129</v>
      </c>
      <c r="F15" s="3">
        <f>'Inversión Inicial'!$C$15</f>
        <v>300000</v>
      </c>
      <c r="G15" s="3">
        <f t="shared" si="5"/>
        <v>60000</v>
      </c>
      <c r="H15" s="3">
        <f t="shared" si="5"/>
        <v>120000</v>
      </c>
      <c r="I15" s="3">
        <f t="shared" si="5"/>
        <v>180000</v>
      </c>
      <c r="J15" s="3">
        <f t="shared" si="5"/>
        <v>240000</v>
      </c>
      <c r="K15" s="3">
        <f t="shared" si="5"/>
        <v>300000</v>
      </c>
    </row>
    <row r="16" spans="1:16" x14ac:dyDescent="0.25">
      <c r="B16" s="39"/>
      <c r="D16" s="162" t="s">
        <v>133</v>
      </c>
      <c r="E16" s="163"/>
      <c r="F16" s="164"/>
      <c r="G16" s="10">
        <f>SUM(G12:G15)</f>
        <v>1320000</v>
      </c>
      <c r="H16" s="10">
        <f>SUM(H12:H15)</f>
        <v>2640000</v>
      </c>
      <c r="I16" s="10">
        <f>SUM(I12:I15)</f>
        <v>3960000</v>
      </c>
      <c r="J16" s="10">
        <f>SUM(J12:J15)</f>
        <v>5280000</v>
      </c>
      <c r="K16" s="10">
        <f>SUM(K12:K15)</f>
        <v>6600000</v>
      </c>
    </row>
    <row r="17" spans="1:16" x14ac:dyDescent="0.25">
      <c r="B17" s="39"/>
      <c r="D17" s="118" t="s">
        <v>134</v>
      </c>
      <c r="E17" s="119"/>
      <c r="F17" s="120"/>
      <c r="G17" s="66">
        <v>0.2</v>
      </c>
      <c r="H17" s="66">
        <v>0.4</v>
      </c>
      <c r="I17" s="66">
        <v>0.6</v>
      </c>
      <c r="J17" s="66">
        <v>0.8</v>
      </c>
      <c r="K17" s="66">
        <v>1</v>
      </c>
    </row>
    <row r="18" spans="1:16" ht="15.75" thickBot="1" x14ac:dyDescent="0.3">
      <c r="B18" s="39"/>
    </row>
    <row r="19" spans="1:16" ht="15.75" thickBot="1" x14ac:dyDescent="0.3">
      <c r="B19" s="39"/>
      <c r="D19" s="159" t="s">
        <v>124</v>
      </c>
      <c r="E19" s="160"/>
      <c r="F19" s="160"/>
      <c r="G19" s="160"/>
      <c r="H19" s="160"/>
      <c r="I19" s="160"/>
      <c r="J19" s="160"/>
      <c r="K19" s="161"/>
    </row>
    <row r="20" spans="1:16" x14ac:dyDescent="0.25">
      <c r="B20" s="39"/>
      <c r="D20" s="64" t="s">
        <v>125</v>
      </c>
      <c r="E20" s="64" t="s">
        <v>126</v>
      </c>
      <c r="F20" s="64" t="s">
        <v>127</v>
      </c>
      <c r="G20" s="64" t="s">
        <v>81</v>
      </c>
      <c r="H20" s="64" t="s">
        <v>82</v>
      </c>
      <c r="I20" s="64" t="s">
        <v>83</v>
      </c>
      <c r="J20" s="65" t="s">
        <v>84</v>
      </c>
      <c r="K20" s="64" t="s">
        <v>85</v>
      </c>
    </row>
    <row r="21" spans="1:16" x14ac:dyDescent="0.25">
      <c r="B21" s="39"/>
      <c r="D21" s="20" t="s">
        <v>128</v>
      </c>
      <c r="E21" s="8" t="s">
        <v>129</v>
      </c>
      <c r="F21" s="3">
        <f>'Inversión Inicial'!$C$13</f>
        <v>3000000</v>
      </c>
      <c r="G21" s="3">
        <f t="shared" ref="G21:K24" si="6">$F21-($F21*G$26)</f>
        <v>2400000</v>
      </c>
      <c r="H21" s="3">
        <f t="shared" si="6"/>
        <v>1800000</v>
      </c>
      <c r="I21" s="3">
        <f t="shared" si="6"/>
        <v>1200000</v>
      </c>
      <c r="J21" s="3">
        <f t="shared" si="6"/>
        <v>600000</v>
      </c>
      <c r="K21" s="3">
        <f t="shared" si="6"/>
        <v>0</v>
      </c>
      <c r="M21" s="48"/>
      <c r="N21" s="48"/>
      <c r="O21" s="48"/>
      <c r="P21" s="48"/>
    </row>
    <row r="22" spans="1:16" x14ac:dyDescent="0.25">
      <c r="B22" s="39"/>
      <c r="D22" s="5" t="s">
        <v>130</v>
      </c>
      <c r="E22" s="8" t="s">
        <v>129</v>
      </c>
      <c r="F22" s="3">
        <f>'Inversión Inicial'!$C$15</f>
        <v>300000</v>
      </c>
      <c r="G22" s="3">
        <f t="shared" si="6"/>
        <v>240000</v>
      </c>
      <c r="H22" s="3">
        <f t="shared" si="6"/>
        <v>180000</v>
      </c>
      <c r="I22" s="3">
        <f t="shared" si="6"/>
        <v>120000</v>
      </c>
      <c r="J22" s="3">
        <f t="shared" si="6"/>
        <v>60000</v>
      </c>
      <c r="K22" s="3">
        <f t="shared" si="6"/>
        <v>0</v>
      </c>
      <c r="M22" s="45"/>
      <c r="N22" s="45"/>
      <c r="O22" s="45"/>
      <c r="P22" s="45"/>
    </row>
    <row r="23" spans="1:16" x14ac:dyDescent="0.25">
      <c r="A23" s="18"/>
      <c r="B23" s="45"/>
      <c r="D23" s="20" t="s">
        <v>131</v>
      </c>
      <c r="E23" s="8" t="s">
        <v>129</v>
      </c>
      <c r="F23" s="3">
        <f>'Inversión Inicial'!$C$13</f>
        <v>3000000</v>
      </c>
      <c r="G23" s="3">
        <f t="shared" si="6"/>
        <v>2400000</v>
      </c>
      <c r="H23" s="3">
        <f t="shared" si="6"/>
        <v>1800000</v>
      </c>
      <c r="I23" s="3">
        <f t="shared" si="6"/>
        <v>1200000</v>
      </c>
      <c r="J23" s="3">
        <f t="shared" si="6"/>
        <v>600000</v>
      </c>
      <c r="K23" s="3">
        <f t="shared" si="6"/>
        <v>0</v>
      </c>
    </row>
    <row r="24" spans="1:16" x14ac:dyDescent="0.25">
      <c r="A24" s="150"/>
      <c r="B24" s="150"/>
      <c r="D24" s="5" t="s">
        <v>132</v>
      </c>
      <c r="E24" s="8" t="s">
        <v>129</v>
      </c>
      <c r="F24" s="3">
        <f>'Inversión Inicial'!$C$15</f>
        <v>300000</v>
      </c>
      <c r="G24" s="3">
        <f t="shared" si="6"/>
        <v>240000</v>
      </c>
      <c r="H24" s="3">
        <f t="shared" si="6"/>
        <v>180000</v>
      </c>
      <c r="I24" s="3">
        <f t="shared" si="6"/>
        <v>120000</v>
      </c>
      <c r="J24" s="3">
        <f t="shared" si="6"/>
        <v>60000</v>
      </c>
      <c r="K24" s="3">
        <f t="shared" si="6"/>
        <v>0</v>
      </c>
    </row>
    <row r="25" spans="1:16" x14ac:dyDescent="0.25">
      <c r="A25" s="42"/>
      <c r="B25" s="18"/>
      <c r="D25" s="162" t="s">
        <v>133</v>
      </c>
      <c r="E25" s="163"/>
      <c r="F25" s="164"/>
      <c r="G25" s="10">
        <f>SUM(G21:G24)</f>
        <v>5280000</v>
      </c>
      <c r="H25" s="10">
        <f>SUM(H21:H24)</f>
        <v>3960000</v>
      </c>
      <c r="I25" s="10">
        <f>SUM(I21:I24)</f>
        <v>2640000</v>
      </c>
      <c r="J25" s="10">
        <f>SUM(J21:J24)</f>
        <v>1320000</v>
      </c>
      <c r="K25" s="10">
        <f>SUM(K21:K24)</f>
        <v>0</v>
      </c>
    </row>
    <row r="26" spans="1:16" x14ac:dyDescent="0.25">
      <c r="B26" s="39"/>
      <c r="D26" s="118" t="s">
        <v>134</v>
      </c>
      <c r="E26" s="119"/>
      <c r="F26" s="120"/>
      <c r="G26" s="66">
        <v>0.2</v>
      </c>
      <c r="H26" s="66">
        <v>0.4</v>
      </c>
      <c r="I26" s="66">
        <v>0.6</v>
      </c>
      <c r="J26" s="66">
        <v>0.8</v>
      </c>
      <c r="K26" s="66">
        <v>1</v>
      </c>
    </row>
    <row r="27" spans="1:16" x14ac:dyDescent="0.25">
      <c r="B27" s="39"/>
    </row>
    <row r="28" spans="1:16" x14ac:dyDescent="0.25">
      <c r="A28" s="18"/>
      <c r="B28" s="45"/>
    </row>
    <row r="29" spans="1:16" x14ac:dyDescent="0.25">
      <c r="A29" s="150"/>
      <c r="B29" s="150"/>
    </row>
    <row r="30" spans="1:16" x14ac:dyDescent="0.25">
      <c r="A30" s="42"/>
      <c r="B30" s="18"/>
    </row>
    <row r="31" spans="1:16" x14ac:dyDescent="0.25">
      <c r="B31" s="39"/>
    </row>
    <row r="32" spans="1:16" x14ac:dyDescent="0.25">
      <c r="A32" s="18"/>
      <c r="B32" s="45"/>
    </row>
  </sheetData>
  <mergeCells count="11">
    <mergeCell ref="A1:B1"/>
    <mergeCell ref="D1:I1"/>
    <mergeCell ref="A2:B2"/>
    <mergeCell ref="A24:B24"/>
    <mergeCell ref="A29:B29"/>
    <mergeCell ref="D10:K10"/>
    <mergeCell ref="D16:F16"/>
    <mergeCell ref="D17:F17"/>
    <mergeCell ref="D26:F26"/>
    <mergeCell ref="D19:K19"/>
    <mergeCell ref="D25:F25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47"/>
  <sheetViews>
    <sheetView showGridLines="0" tabSelected="1" topLeftCell="A13" zoomScale="85" zoomScaleNormal="85" workbookViewId="0">
      <selection activeCell="D17" sqref="D17"/>
    </sheetView>
  </sheetViews>
  <sheetFormatPr baseColWidth="10" defaultRowHeight="15" x14ac:dyDescent="0.25"/>
  <cols>
    <col min="2" max="2" width="42.8554687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66" t="s">
        <v>136</v>
      </c>
      <c r="B1" s="167"/>
      <c r="C1" s="167"/>
      <c r="D1" s="167"/>
      <c r="E1" s="167"/>
      <c r="F1" s="167"/>
      <c r="G1" s="167"/>
      <c r="H1" s="167"/>
    </row>
    <row r="2" spans="1:8" ht="22.5" customHeight="1" thickBot="1" x14ac:dyDescent="0.4">
      <c r="A2" s="168" t="s">
        <v>137</v>
      </c>
      <c r="B2" s="169"/>
      <c r="C2" s="169"/>
      <c r="D2" s="169"/>
      <c r="E2" s="169"/>
      <c r="F2" s="169"/>
      <c r="G2" s="169"/>
      <c r="H2" s="169"/>
    </row>
    <row r="3" spans="1:8" ht="15.75" thickBot="1" x14ac:dyDescent="0.3"/>
    <row r="4" spans="1:8" ht="22.5" customHeight="1" thickBot="1" x14ac:dyDescent="0.3">
      <c r="A4" s="170" t="s">
        <v>138</v>
      </c>
      <c r="B4" s="171"/>
      <c r="C4" s="67" t="s">
        <v>168</v>
      </c>
      <c r="D4" s="67" t="s">
        <v>169</v>
      </c>
      <c r="E4" s="67" t="s">
        <v>170</v>
      </c>
      <c r="F4" s="67" t="s">
        <v>171</v>
      </c>
      <c r="G4" s="67" t="s">
        <v>172</v>
      </c>
      <c r="H4" s="67" t="s">
        <v>173</v>
      </c>
    </row>
    <row r="5" spans="1:8" ht="15.75" thickBot="1" x14ac:dyDescent="0.3">
      <c r="A5" s="172" t="s">
        <v>139</v>
      </c>
      <c r="B5" s="173"/>
    </row>
    <row r="6" spans="1:8" x14ac:dyDescent="0.25">
      <c r="A6" s="174" t="s">
        <v>140</v>
      </c>
      <c r="B6" s="174"/>
    </row>
    <row r="7" spans="1:8" x14ac:dyDescent="0.25">
      <c r="B7" s="68" t="s">
        <v>141</v>
      </c>
      <c r="C7" s="3">
        <f>'Proyección de Ventas e Incremen'!I7</f>
        <v>0</v>
      </c>
      <c r="D7" s="3">
        <f>'Proyección de Ventas e Incremen'!J7</f>
        <v>139968000</v>
      </c>
      <c r="E7" s="3">
        <f>'Proyección de Ventas e Incremen'!K7</f>
        <v>176219712</v>
      </c>
      <c r="F7" s="3">
        <f>'Proyección de Ventas e Incremen'!L7</f>
        <v>226794769.34399998</v>
      </c>
      <c r="G7" s="3">
        <f>'Proyección de Ventas e Incremen'!M7</f>
        <v>300503069.38079995</v>
      </c>
      <c r="H7" s="3">
        <f>'Proyección de Ventas e Incremen'!N7</f>
        <v>412891217.32921916</v>
      </c>
    </row>
    <row r="8" spans="1:8" x14ac:dyDescent="0.25">
      <c r="B8" s="68" t="s">
        <v>142</v>
      </c>
      <c r="C8" s="3">
        <f>'[1]Proyección de Ventas e Incremen'!I8</f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B9" s="68" t="s">
        <v>143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ht="15.75" thickBot="1" x14ac:dyDescent="0.3">
      <c r="B10" s="69" t="s">
        <v>144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</row>
    <row r="11" spans="1:8" ht="16.5" thickBot="1" x14ac:dyDescent="0.3">
      <c r="B11" s="71" t="s">
        <v>145</v>
      </c>
      <c r="C11" s="72">
        <f>SUM(C7:C10)</f>
        <v>0</v>
      </c>
      <c r="D11" s="72">
        <f t="shared" ref="D11:H11" si="0">SUM(D7:D10)</f>
        <v>139968000</v>
      </c>
      <c r="E11" s="72">
        <f t="shared" si="0"/>
        <v>176219712</v>
      </c>
      <c r="F11" s="72">
        <f t="shared" si="0"/>
        <v>226794769.34399998</v>
      </c>
      <c r="G11" s="72">
        <f t="shared" si="0"/>
        <v>300503069.38079995</v>
      </c>
      <c r="H11" s="72">
        <f t="shared" si="0"/>
        <v>412891217.32921916</v>
      </c>
    </row>
    <row r="13" spans="1:8" x14ac:dyDescent="0.25">
      <c r="A13" s="165" t="s">
        <v>146</v>
      </c>
      <c r="B13" s="165"/>
    </row>
    <row r="14" spans="1:8" x14ac:dyDescent="0.25">
      <c r="B14" s="68" t="s">
        <v>147</v>
      </c>
      <c r="C14" s="3">
        <f>'Inversión Inicial'!$D$17-C16</f>
        <v>9100000</v>
      </c>
      <c r="D14" s="3">
        <f>'Inversión Inicial'!$D$17-D16</f>
        <v>7780000</v>
      </c>
      <c r="E14" s="3">
        <f>'Inversión Inicial'!$D$17-E16</f>
        <v>6460000</v>
      </c>
      <c r="F14" s="3">
        <f>'Inversión Inicial'!$D$17-F16</f>
        <v>5140000</v>
      </c>
      <c r="G14" s="3">
        <f>'Inversión Inicial'!$D$17-G16</f>
        <v>3820000</v>
      </c>
      <c r="H14" s="3">
        <f>'Inversión Inicial'!$D$17-H16</f>
        <v>2500000</v>
      </c>
    </row>
    <row r="15" spans="1:8" x14ac:dyDescent="0.25">
      <c r="B15" s="68" t="s">
        <v>148</v>
      </c>
      <c r="C15" s="7">
        <f>'Costos de Operación Gravables'!B36</f>
        <v>1451000</v>
      </c>
      <c r="D15" s="7">
        <f>C15*104%</f>
        <v>1509040</v>
      </c>
      <c r="E15" s="7">
        <f t="shared" ref="E15:H15" si="1">D15*104%</f>
        <v>1569401.6</v>
      </c>
      <c r="F15" s="7">
        <f t="shared" si="1"/>
        <v>1632177.6640000001</v>
      </c>
      <c r="G15" s="7">
        <f t="shared" si="1"/>
        <v>1697464.7705600001</v>
      </c>
      <c r="H15" s="7">
        <f t="shared" si="1"/>
        <v>1765363.3613824002</v>
      </c>
    </row>
    <row r="16" spans="1:8" ht="15.75" thickBot="1" x14ac:dyDescent="0.3">
      <c r="B16" s="73" t="s">
        <v>149</v>
      </c>
      <c r="C16" s="74">
        <v>0</v>
      </c>
      <c r="D16" s="74">
        <f>'Amortización y Depreciación'!G16</f>
        <v>1320000</v>
      </c>
      <c r="E16" s="74">
        <f>'Amortización y Depreciación'!H16</f>
        <v>2640000</v>
      </c>
      <c r="F16" s="74">
        <f>'Amortización y Depreciación'!I16</f>
        <v>3960000</v>
      </c>
      <c r="G16" s="74">
        <f>'Amortización y Depreciación'!J16</f>
        <v>5280000</v>
      </c>
      <c r="H16" s="74">
        <f>'Amortización y Depreciación'!K16</f>
        <v>6600000</v>
      </c>
    </row>
    <row r="17" spans="1:8" ht="16.5" thickBot="1" x14ac:dyDescent="0.3">
      <c r="B17" s="71" t="s">
        <v>150</v>
      </c>
      <c r="C17" s="72">
        <f>SUM(C14:C15)</f>
        <v>10551000</v>
      </c>
      <c r="D17" s="72">
        <f>SUM(D12:D15)</f>
        <v>9289040</v>
      </c>
      <c r="E17" s="72">
        <f t="shared" ref="E17:H17" si="2">SUM(E12:E15)</f>
        <v>8029401.5999999996</v>
      </c>
      <c r="F17" s="72">
        <f t="shared" si="2"/>
        <v>6772177.6639999999</v>
      </c>
      <c r="G17" s="72">
        <f t="shared" si="2"/>
        <v>5517464.7705600001</v>
      </c>
      <c r="H17" s="72">
        <f t="shared" si="2"/>
        <v>4265363.3613824006</v>
      </c>
    </row>
    <row r="19" spans="1:8" x14ac:dyDescent="0.25">
      <c r="A19" s="165" t="s">
        <v>151</v>
      </c>
      <c r="B19" s="177"/>
    </row>
    <row r="20" spans="1:8" x14ac:dyDescent="0.25">
      <c r="B20" s="68" t="s">
        <v>152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25">
      <c r="B21" s="68" t="s">
        <v>153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5.75" thickBot="1" x14ac:dyDescent="0.3">
      <c r="B22" s="69" t="s">
        <v>154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</row>
    <row r="23" spans="1:8" ht="16.5" thickBot="1" x14ac:dyDescent="0.3">
      <c r="B23" s="71" t="s">
        <v>155</v>
      </c>
      <c r="C23" s="72">
        <f>SUM(C20:C22)</f>
        <v>0</v>
      </c>
      <c r="D23" s="72">
        <f t="shared" ref="D23:H23" si="3">SUM(D20:D22)</f>
        <v>0</v>
      </c>
      <c r="E23" s="72">
        <f t="shared" si="3"/>
        <v>0</v>
      </c>
      <c r="F23" s="72">
        <f t="shared" si="3"/>
        <v>0</v>
      </c>
      <c r="G23" s="72">
        <f t="shared" si="3"/>
        <v>0</v>
      </c>
      <c r="H23" s="72">
        <f t="shared" si="3"/>
        <v>0</v>
      </c>
    </row>
    <row r="24" spans="1:8" ht="15.75" thickBot="1" x14ac:dyDescent="0.3"/>
    <row r="25" spans="1:8" ht="22.5" customHeight="1" thickBot="1" x14ac:dyDescent="0.3">
      <c r="A25" s="170" t="s">
        <v>156</v>
      </c>
      <c r="B25" s="171"/>
      <c r="C25" s="76">
        <f>SUM(C11,C17,C23)</f>
        <v>10551000</v>
      </c>
      <c r="D25" s="76">
        <f t="shared" ref="D25:H25" si="4">SUM(D11,D17,D23)</f>
        <v>149257040</v>
      </c>
      <c r="E25" s="76">
        <f t="shared" si="4"/>
        <v>184249113.59999999</v>
      </c>
      <c r="F25" s="76">
        <f t="shared" si="4"/>
        <v>233566947.00799999</v>
      </c>
      <c r="G25" s="76">
        <f t="shared" si="4"/>
        <v>306020534.15135998</v>
      </c>
      <c r="H25" s="76">
        <f t="shared" si="4"/>
        <v>417156580.69060159</v>
      </c>
    </row>
    <row r="26" spans="1:8" ht="15.75" thickBot="1" x14ac:dyDescent="0.3">
      <c r="A26" s="172" t="s">
        <v>157</v>
      </c>
      <c r="B26" s="173"/>
    </row>
    <row r="27" spans="1:8" x14ac:dyDescent="0.25">
      <c r="A27" s="174" t="s">
        <v>158</v>
      </c>
      <c r="B27" s="174"/>
    </row>
    <row r="28" spans="1:8" x14ac:dyDescent="0.25">
      <c r="B28" s="68" t="s">
        <v>53</v>
      </c>
      <c r="C28" s="3">
        <f>'Costos de Operación Gravables'!I7</f>
        <v>0</v>
      </c>
      <c r="D28" s="3">
        <f>'Costos de Operación Gravables'!J7</f>
        <v>21462936</v>
      </c>
      <c r="E28" s="3">
        <f>'Costos de Operación Gravables'!K7</f>
        <v>23609229.600000001</v>
      </c>
      <c r="F28" s="3">
        <f>'Costos de Operación Gravables'!L7</f>
        <v>25970152.560000002</v>
      </c>
      <c r="G28" s="3">
        <f>'Costos de Operación Gravables'!M7</f>
        <v>28567167.816000003</v>
      </c>
      <c r="H28" s="3">
        <f>'Costos de Operación Gravables'!N7</f>
        <v>31423884.597600006</v>
      </c>
    </row>
    <row r="29" spans="1:8" x14ac:dyDescent="0.25">
      <c r="B29" s="68" t="s">
        <v>159</v>
      </c>
      <c r="C29" s="3">
        <f>'Costos de Operación Gravables'!I10</f>
        <v>0</v>
      </c>
      <c r="D29" s="3">
        <f>'Costos de Operación Gravables'!J10</f>
        <v>44640000</v>
      </c>
      <c r="E29" s="3">
        <f>'Costos de Operación Gravables'!K10</f>
        <v>47318400</v>
      </c>
      <c r="F29" s="3">
        <f>'Costos de Operación Gravables'!L10</f>
        <v>52050240.000000007</v>
      </c>
      <c r="G29" s="3">
        <f>'Costos de Operación Gravables'!M10</f>
        <v>57255264.000000015</v>
      </c>
      <c r="H29" s="3">
        <f>'Costos de Operación Gravables'!N10</f>
        <v>62980790.400000021</v>
      </c>
    </row>
    <row r="30" spans="1:8" x14ac:dyDescent="0.25">
      <c r="B30" s="68" t="s">
        <v>116</v>
      </c>
      <c r="C30" s="3">
        <f>'Amortización y Depreciación'!G3</f>
        <v>0</v>
      </c>
      <c r="D30" s="3">
        <f>'Amortización y Depreciación'!G4</f>
        <v>10243566.800000001</v>
      </c>
      <c r="E30" s="3">
        <f>'Amortización y Depreciación'!G5</f>
        <v>10243566.800000001</v>
      </c>
      <c r="F30" s="3">
        <f>'Amortización y Depreciación'!G6</f>
        <v>10243566.800000001</v>
      </c>
      <c r="G30" s="3">
        <f>'Amortización y Depreciación'!G7</f>
        <v>10243566.800000001</v>
      </c>
      <c r="H30" s="3">
        <f>'Amortización y Depreciación'!G8</f>
        <v>0</v>
      </c>
    </row>
    <row r="31" spans="1:8" x14ac:dyDescent="0.25">
      <c r="B31" s="68" t="s">
        <v>160</v>
      </c>
      <c r="C31" s="3">
        <f>'Costos de Operación Gravables'!I4</f>
        <v>0</v>
      </c>
      <c r="D31" s="3">
        <f>'Costos de Operación Gravables'!J4</f>
        <v>72000000</v>
      </c>
      <c r="E31" s="3">
        <f>'Costos de Operación Gravables'!K4</f>
        <v>79200000</v>
      </c>
      <c r="F31" s="3">
        <f>'Costos de Operación Gravables'!L4</f>
        <v>87120000</v>
      </c>
      <c r="G31" s="3">
        <f>'Costos de Operación Gravables'!M4</f>
        <v>95832000.000000015</v>
      </c>
      <c r="H31" s="3">
        <f>'Costos de Operación Gravables'!N4</f>
        <v>105415200.00000003</v>
      </c>
    </row>
    <row r="32" spans="1:8" ht="15.75" thickBot="1" x14ac:dyDescent="0.3">
      <c r="B32" s="69" t="s">
        <v>161</v>
      </c>
      <c r="C32" s="70">
        <f>C25*0.04</f>
        <v>422040</v>
      </c>
      <c r="D32" s="70">
        <f t="shared" ref="D32:E32" si="5">D25*0.04</f>
        <v>5970281.6000000006</v>
      </c>
      <c r="E32" s="70">
        <f t="shared" si="5"/>
        <v>7369964.5439999998</v>
      </c>
      <c r="F32" s="70">
        <f>F25*0.04</f>
        <v>9342677.8803199995</v>
      </c>
      <c r="G32" s="70">
        <f t="shared" ref="G32:H32" si="6">G25*0.04</f>
        <v>12240821.366054399</v>
      </c>
      <c r="H32" s="70">
        <f t="shared" si="6"/>
        <v>16686263.227624064</v>
      </c>
    </row>
    <row r="33" spans="1:10" ht="16.5" thickBot="1" x14ac:dyDescent="0.3">
      <c r="B33" s="71" t="s">
        <v>162</v>
      </c>
      <c r="C33" s="72">
        <f>SUM(C28:C32)</f>
        <v>422040</v>
      </c>
      <c r="D33" s="72">
        <f t="shared" ref="D33:H33" si="7">SUM(D28:D32)</f>
        <v>154316784.40000001</v>
      </c>
      <c r="E33" s="72">
        <f t="shared" si="7"/>
        <v>167741160.94399998</v>
      </c>
      <c r="F33" s="72">
        <f t="shared" si="7"/>
        <v>184726637.24032003</v>
      </c>
      <c r="G33" s="72">
        <f t="shared" si="7"/>
        <v>204138819.98205441</v>
      </c>
      <c r="H33" s="72">
        <f t="shared" si="7"/>
        <v>216506138.22522411</v>
      </c>
    </row>
    <row r="35" spans="1:10" x14ac:dyDescent="0.25">
      <c r="A35" s="165" t="s">
        <v>163</v>
      </c>
      <c r="B35" s="165"/>
    </row>
    <row r="36" spans="1:10" ht="15.75" thickBot="1" x14ac:dyDescent="0.3">
      <c r="B36" s="69" t="s">
        <v>0</v>
      </c>
      <c r="C36" s="70">
        <f>'Inversión Inicial'!B9</f>
        <v>43540000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</row>
    <row r="37" spans="1:10" ht="16.5" thickBot="1" x14ac:dyDescent="0.3">
      <c r="B37" s="71" t="s">
        <v>164</v>
      </c>
      <c r="C37" s="72">
        <f>SUM(C36)</f>
        <v>43540000</v>
      </c>
      <c r="D37" s="72">
        <f t="shared" ref="D37:H37" si="8">SUM(D36)</f>
        <v>0</v>
      </c>
      <c r="E37" s="72">
        <f t="shared" si="8"/>
        <v>0</v>
      </c>
      <c r="F37" s="72">
        <f t="shared" si="8"/>
        <v>0</v>
      </c>
      <c r="G37" s="72">
        <f t="shared" si="8"/>
        <v>0</v>
      </c>
      <c r="H37" s="72">
        <f t="shared" si="8"/>
        <v>0</v>
      </c>
    </row>
    <row r="38" spans="1:10" ht="15.75" thickBot="1" x14ac:dyDescent="0.3"/>
    <row r="39" spans="1:10" ht="22.5" customHeight="1" thickBot="1" x14ac:dyDescent="0.3">
      <c r="A39" s="170" t="s">
        <v>165</v>
      </c>
      <c r="B39" s="171"/>
      <c r="C39" s="76">
        <f>C33+C37</f>
        <v>43962040</v>
      </c>
      <c r="D39" s="76">
        <f t="shared" ref="D39:H39" si="9">D33+D37</f>
        <v>154316784.40000001</v>
      </c>
      <c r="E39" s="76">
        <f>E33+E37</f>
        <v>167741160.94399998</v>
      </c>
      <c r="F39" s="76">
        <f t="shared" si="9"/>
        <v>184726637.24032003</v>
      </c>
      <c r="G39" s="76">
        <f t="shared" si="9"/>
        <v>204138819.98205441</v>
      </c>
      <c r="H39" s="76">
        <f t="shared" si="9"/>
        <v>216506138.22522411</v>
      </c>
    </row>
    <row r="40" spans="1:10" ht="15.75" thickBot="1" x14ac:dyDescent="0.3"/>
    <row r="41" spans="1:10" ht="15.75" thickBot="1" x14ac:dyDescent="0.3">
      <c r="A41" s="175" t="s">
        <v>166</v>
      </c>
      <c r="B41" s="176"/>
    </row>
    <row r="42" spans="1:10" x14ac:dyDescent="0.25">
      <c r="B42" s="77" t="s">
        <v>19</v>
      </c>
      <c r="C42" s="7">
        <f>'Inversión Inicial'!B22</f>
        <v>15238999.999999998</v>
      </c>
      <c r="D42" s="7">
        <f>C42</f>
        <v>15238999.999999998</v>
      </c>
      <c r="E42" s="7">
        <f t="shared" ref="E42:H42" si="10">D42</f>
        <v>15238999.999999998</v>
      </c>
      <c r="F42" s="7">
        <f t="shared" si="10"/>
        <v>15238999.999999998</v>
      </c>
      <c r="G42" s="7">
        <f t="shared" si="10"/>
        <v>15238999.999999998</v>
      </c>
      <c r="H42" s="7">
        <f t="shared" si="10"/>
        <v>15238999.999999998</v>
      </c>
    </row>
    <row r="43" spans="1:10" x14ac:dyDescent="0.25">
      <c r="B43" s="68" t="s">
        <v>274</v>
      </c>
      <c r="C43" s="3">
        <f>'Estado de Resultados'!C32</f>
        <v>-45413040</v>
      </c>
      <c r="D43" s="3">
        <f>'Estado de Resultados'!D32</f>
        <v>-15668784.399999999</v>
      </c>
      <c r="E43" s="3">
        <f>'Estado de Resultados'!E32</f>
        <v>7158551.0560000092</v>
      </c>
      <c r="F43" s="3">
        <f>'Estado de Resultados'!F32</f>
        <v>40748132.10367997</v>
      </c>
      <c r="G43" s="3">
        <f>'Estado de Resultados'!G32</f>
        <v>95044249.398745522</v>
      </c>
      <c r="H43" s="3">
        <f>'Estado de Resultados'!H32</f>
        <v>195065079.10399503</v>
      </c>
    </row>
    <row r="44" spans="1:10" ht="15.75" thickBot="1" x14ac:dyDescent="0.3">
      <c r="B44" s="48"/>
    </row>
    <row r="45" spans="1:10" ht="22.5" customHeight="1" thickBot="1" x14ac:dyDescent="0.3">
      <c r="A45" s="196" t="s">
        <v>167</v>
      </c>
      <c r="B45" s="197"/>
      <c r="C45" s="76">
        <f>SUM(C42:C43)</f>
        <v>-30174040</v>
      </c>
      <c r="D45" s="76">
        <f>SUM(D42:D43)</f>
        <v>-429784.40000000037</v>
      </c>
      <c r="E45" s="76">
        <f>SUM(E42:E43)</f>
        <v>22397551.056000009</v>
      </c>
      <c r="F45" s="76">
        <f>SUM(F42:F43)</f>
        <v>55987132.10367997</v>
      </c>
      <c r="G45" s="76">
        <f>SUM(G42:G43)</f>
        <v>110283249.39874552</v>
      </c>
      <c r="H45" s="76">
        <f>SUM(H42:H43)</f>
        <v>210304079.10399503</v>
      </c>
    </row>
    <row r="46" spans="1:10" ht="15.75" thickBot="1" x14ac:dyDescent="0.3"/>
    <row r="47" spans="1:10" ht="22.5" customHeight="1" thickBot="1" x14ac:dyDescent="0.3">
      <c r="A47" s="196" t="s">
        <v>275</v>
      </c>
      <c r="B47" s="197"/>
      <c r="C47" s="76">
        <f>C39+C45</f>
        <v>13788000</v>
      </c>
      <c r="D47" s="76">
        <f>D39+D45</f>
        <v>153887000</v>
      </c>
      <c r="E47" s="76">
        <f>E39+E45</f>
        <v>190138712</v>
      </c>
      <c r="F47" s="76">
        <f>F39+F45</f>
        <v>240713769.34399998</v>
      </c>
      <c r="G47" s="76">
        <f>G39+G45</f>
        <v>314422069.38079995</v>
      </c>
      <c r="H47" s="76">
        <f>H39+H45</f>
        <v>426810217.3292191</v>
      </c>
      <c r="J47" s="40"/>
    </row>
  </sheetData>
  <mergeCells count="15">
    <mergeCell ref="A41:B41"/>
    <mergeCell ref="A19:B19"/>
    <mergeCell ref="A25:B25"/>
    <mergeCell ref="A26:B26"/>
    <mergeCell ref="A27:B27"/>
    <mergeCell ref="A35:B35"/>
    <mergeCell ref="A39:B39"/>
    <mergeCell ref="A45:B45"/>
    <mergeCell ref="A47:B47"/>
    <mergeCell ref="A13:B13"/>
    <mergeCell ref="A1:H1"/>
    <mergeCell ref="A2:H2"/>
    <mergeCell ref="A4:B4"/>
    <mergeCell ref="A5:B5"/>
    <mergeCell ref="A6:B6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E459-B01E-4BD3-B3EA-550FB8877DCA}">
  <dimension ref="A1"/>
  <sheetViews>
    <sheetView workbookViewId="0">
      <selection activeCell="B2" sqref="B2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32"/>
  <sheetViews>
    <sheetView showGridLines="0" zoomScale="85" zoomScaleNormal="85" workbookViewId="0">
      <selection activeCell="D36" sqref="D36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66" t="s">
        <v>174</v>
      </c>
      <c r="B1" s="167"/>
      <c r="C1" s="167"/>
      <c r="D1" s="167"/>
      <c r="E1" s="167"/>
      <c r="F1" s="167"/>
      <c r="G1" s="167"/>
      <c r="H1" s="167"/>
    </row>
    <row r="2" spans="1:8" ht="22.5" customHeight="1" thickBot="1" x14ac:dyDescent="0.4">
      <c r="A2" s="168" t="s">
        <v>137</v>
      </c>
      <c r="B2" s="169"/>
      <c r="C2" s="169"/>
      <c r="D2" s="169"/>
      <c r="E2" s="169"/>
      <c r="F2" s="169"/>
      <c r="G2" s="169"/>
      <c r="H2" s="169"/>
    </row>
    <row r="3" spans="1:8" ht="15.75" thickBot="1" x14ac:dyDescent="0.3"/>
    <row r="4" spans="1:8" ht="22.5" customHeight="1" thickBot="1" x14ac:dyDescent="0.3">
      <c r="A4" s="170" t="s">
        <v>138</v>
      </c>
      <c r="B4" s="171"/>
      <c r="C4" s="67" t="s">
        <v>168</v>
      </c>
      <c r="D4" s="67" t="s">
        <v>169</v>
      </c>
      <c r="E4" s="67" t="s">
        <v>170</v>
      </c>
      <c r="F4" s="67" t="s">
        <v>171</v>
      </c>
      <c r="G4" s="67" t="s">
        <v>172</v>
      </c>
      <c r="H4" s="67" t="s">
        <v>173</v>
      </c>
    </row>
    <row r="5" spans="1:8" ht="15.75" thickBot="1" x14ac:dyDescent="0.3">
      <c r="A5" s="172" t="s">
        <v>175</v>
      </c>
      <c r="B5" s="173"/>
    </row>
    <row r="6" spans="1:8" x14ac:dyDescent="0.25">
      <c r="B6" s="68" t="s">
        <v>176</v>
      </c>
      <c r="C6" s="3">
        <f>'Balance General'!C7</f>
        <v>0</v>
      </c>
      <c r="D6" s="3">
        <f>'Balance General'!D7</f>
        <v>139968000</v>
      </c>
      <c r="E6" s="3">
        <f>'Balance General'!E7</f>
        <v>176219712</v>
      </c>
      <c r="F6" s="3">
        <f>'Balance General'!F7</f>
        <v>226794769.34399998</v>
      </c>
      <c r="G6" s="3">
        <f>'Balance General'!G7</f>
        <v>300503069.38079995</v>
      </c>
      <c r="H6" s="3">
        <f>'Balance General'!H7</f>
        <v>412891217.32921916</v>
      </c>
    </row>
    <row r="7" spans="1:8" ht="15.75" thickBot="1" x14ac:dyDescent="0.3">
      <c r="B7" s="68" t="s">
        <v>177</v>
      </c>
      <c r="C7" s="3">
        <f>'[1]Proyección de Ventas e Incremen'!I8</f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</row>
    <row r="8" spans="1:8" ht="16.5" thickBot="1" x14ac:dyDescent="0.3">
      <c r="B8" s="71" t="s">
        <v>178</v>
      </c>
      <c r="C8" s="72">
        <f t="shared" ref="C8:H8" si="0">SUM(C6:C7)</f>
        <v>0</v>
      </c>
      <c r="D8" s="72">
        <f t="shared" si="0"/>
        <v>139968000</v>
      </c>
      <c r="E8" s="72">
        <f t="shared" si="0"/>
        <v>176219712</v>
      </c>
      <c r="F8" s="72">
        <f t="shared" si="0"/>
        <v>226794769.34399998</v>
      </c>
      <c r="G8" s="72">
        <f t="shared" si="0"/>
        <v>300503069.38079995</v>
      </c>
      <c r="H8" s="72">
        <f t="shared" si="0"/>
        <v>412891217.32921916</v>
      </c>
    </row>
    <row r="9" spans="1:8" ht="15.75" thickBot="1" x14ac:dyDescent="0.3"/>
    <row r="10" spans="1:8" ht="15.75" thickBot="1" x14ac:dyDescent="0.3">
      <c r="A10" s="178" t="s">
        <v>179</v>
      </c>
      <c r="B10" s="179"/>
    </row>
    <row r="11" spans="1:8" x14ac:dyDescent="0.25">
      <c r="B11" s="68" t="s">
        <v>276</v>
      </c>
      <c r="C11" s="7">
        <f>'Balance General'!C36</f>
        <v>43540000</v>
      </c>
      <c r="D11" s="7">
        <f>'Balance General'!D36</f>
        <v>0</v>
      </c>
      <c r="E11" s="7">
        <f>'Balance General'!E36</f>
        <v>0</v>
      </c>
      <c r="F11" s="7">
        <f>'Balance General'!F36</f>
        <v>0</v>
      </c>
      <c r="G11" s="7">
        <f>'Balance General'!G36</f>
        <v>0</v>
      </c>
      <c r="H11" s="7">
        <f>'Balance General'!H36</f>
        <v>0</v>
      </c>
    </row>
    <row r="12" spans="1:8" x14ac:dyDescent="0.25">
      <c r="B12" s="68" t="s">
        <v>180</v>
      </c>
      <c r="C12" s="7">
        <f>'Balance General'!C28+'Balance General'!C31</f>
        <v>0</v>
      </c>
      <c r="D12" s="7">
        <f>'Balance General'!D28+'Balance General'!D31</f>
        <v>93462936</v>
      </c>
      <c r="E12" s="7">
        <f>'Balance General'!E28+'Balance General'!E31</f>
        <v>102809229.59999999</v>
      </c>
      <c r="F12" s="7">
        <f>'Balance General'!F28+'Balance General'!F31</f>
        <v>113090152.56</v>
      </c>
      <c r="G12" s="7">
        <f>'Balance General'!G28+'Balance General'!G31</f>
        <v>124399167.81600001</v>
      </c>
      <c r="H12" s="7">
        <f>'Balance General'!H28+'Balance General'!H31</f>
        <v>136839084.59760004</v>
      </c>
    </row>
    <row r="13" spans="1:8" x14ac:dyDescent="0.25">
      <c r="B13" s="69" t="s">
        <v>181</v>
      </c>
      <c r="C13" s="7">
        <f>'[1]Balance General'!C23</f>
        <v>0</v>
      </c>
      <c r="D13" s="7">
        <f>'[1]Balance General'!D23</f>
        <v>0</v>
      </c>
      <c r="E13" s="7">
        <f>'[1]Balance General'!E23</f>
        <v>0</v>
      </c>
      <c r="F13" s="7">
        <f>'[1]Balance General'!F23</f>
        <v>0</v>
      </c>
      <c r="G13" s="7">
        <f>'[1]Balance General'!G23</f>
        <v>0</v>
      </c>
      <c r="H13" s="7">
        <f>'[1]Balance General'!H23</f>
        <v>0</v>
      </c>
    </row>
    <row r="14" spans="1:8" x14ac:dyDescent="0.25">
      <c r="B14" s="69" t="s">
        <v>124</v>
      </c>
      <c r="C14" s="75">
        <v>0</v>
      </c>
      <c r="D14" s="75">
        <f>'Amortización y Depreciación'!$G$16</f>
        <v>1320000</v>
      </c>
      <c r="E14" s="75">
        <f>'Amortización y Depreciación'!$G$16</f>
        <v>1320000</v>
      </c>
      <c r="F14" s="75">
        <f>'Amortización y Depreciación'!$G$16</f>
        <v>1320000</v>
      </c>
      <c r="G14" s="75">
        <f>'Amortización y Depreciación'!$G$16</f>
        <v>1320000</v>
      </c>
      <c r="H14" s="75">
        <f>'Amortización y Depreciación'!$G$16</f>
        <v>1320000</v>
      </c>
    </row>
    <row r="15" spans="1:8" ht="16.5" thickBot="1" x14ac:dyDescent="0.3">
      <c r="B15" s="78" t="s">
        <v>182</v>
      </c>
      <c r="C15" s="79">
        <f>SUM(C11:C14)</f>
        <v>43540000</v>
      </c>
      <c r="D15" s="79">
        <f t="shared" ref="D15:H15" si="1">SUM(D11:D14)</f>
        <v>94782936</v>
      </c>
      <c r="E15" s="79">
        <f t="shared" si="1"/>
        <v>104129229.59999999</v>
      </c>
      <c r="F15" s="79">
        <f t="shared" si="1"/>
        <v>114410152.56</v>
      </c>
      <c r="G15" s="79">
        <f t="shared" si="1"/>
        <v>125719167.81600001</v>
      </c>
      <c r="H15" s="79">
        <f t="shared" si="1"/>
        <v>138159084.59760004</v>
      </c>
    </row>
    <row r="16" spans="1:8" ht="16.5" thickBot="1" x14ac:dyDescent="0.3">
      <c r="B16" s="71" t="s">
        <v>183</v>
      </c>
      <c r="C16" s="72">
        <f>C8-C15</f>
        <v>-43540000</v>
      </c>
      <c r="D16" s="72">
        <f>D8-D15</f>
        <v>45185064</v>
      </c>
      <c r="E16" s="72">
        <f>E8-E15</f>
        <v>72090482.400000006</v>
      </c>
      <c r="F16" s="72">
        <f>F8-F15</f>
        <v>112384616.78399998</v>
      </c>
      <c r="G16" s="72">
        <f>G8-G15</f>
        <v>174783901.56479993</v>
      </c>
      <c r="H16" s="72">
        <f>H8-H15</f>
        <v>274732132.73161912</v>
      </c>
    </row>
    <row r="17" spans="1:8" ht="15.75" thickBot="1" x14ac:dyDescent="0.3"/>
    <row r="18" spans="1:8" ht="15.75" thickBot="1" x14ac:dyDescent="0.3">
      <c r="A18" s="178" t="s">
        <v>184</v>
      </c>
      <c r="B18" s="179"/>
    </row>
    <row r="19" spans="1:8" x14ac:dyDescent="0.25">
      <c r="B19" s="77" t="s">
        <v>185</v>
      </c>
      <c r="C19" s="7">
        <f>'Balance General'!C30+'Balance General'!C29+'Balance General'!C15</f>
        <v>1451000</v>
      </c>
      <c r="D19" s="7">
        <f>'Balance General'!D30+'Balance General'!D29</f>
        <v>54883566.799999997</v>
      </c>
      <c r="E19" s="7">
        <f>'Balance General'!E30+'Balance General'!E29</f>
        <v>57561966.799999997</v>
      </c>
      <c r="F19" s="7">
        <f>'Balance General'!F30+'Balance General'!F29</f>
        <v>62293806.800000012</v>
      </c>
      <c r="G19" s="7">
        <f>'Balance General'!G30+'Balance General'!G29</f>
        <v>67498830.800000012</v>
      </c>
      <c r="H19" s="7">
        <f>'Balance General'!H30+'Balance General'!H29</f>
        <v>62980790.400000021</v>
      </c>
    </row>
    <row r="20" spans="1:8" ht="15.75" thickBot="1" x14ac:dyDescent="0.3">
      <c r="B20" s="68" t="s">
        <v>186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ht="16.5" thickBot="1" x14ac:dyDescent="0.3">
      <c r="B21" s="71" t="s">
        <v>187</v>
      </c>
      <c r="C21" s="72">
        <f>C16-SUM(C19:C20)</f>
        <v>-44991000</v>
      </c>
      <c r="D21" s="72">
        <f>D16-SUM(D19:D20)</f>
        <v>-9698502.799999997</v>
      </c>
      <c r="E21" s="72">
        <f>E16-SUM(E19:E20)</f>
        <v>14528515.600000009</v>
      </c>
      <c r="F21" s="72">
        <f>F16-SUM(F19:F20)</f>
        <v>50090809.983999968</v>
      </c>
      <c r="G21" s="72">
        <f>G16-SUM(G19:G20)</f>
        <v>107285070.76479992</v>
      </c>
      <c r="H21" s="72">
        <f>H16-SUM(H19:H20)</f>
        <v>211751342.33161908</v>
      </c>
    </row>
    <row r="22" spans="1:8" ht="15.75" thickBot="1" x14ac:dyDescent="0.3"/>
    <row r="23" spans="1:8" ht="15.75" thickBot="1" x14ac:dyDescent="0.3">
      <c r="A23" s="178" t="s">
        <v>188</v>
      </c>
      <c r="B23" s="179"/>
    </row>
    <row r="24" spans="1:8" x14ac:dyDescent="0.25">
      <c r="B24" s="77" t="s">
        <v>189</v>
      </c>
      <c r="C24" s="3">
        <f>0</f>
        <v>0</v>
      </c>
      <c r="D24" s="3">
        <f>0</f>
        <v>0</v>
      </c>
      <c r="E24" s="3">
        <f>0</f>
        <v>0</v>
      </c>
      <c r="F24" s="3">
        <f>0</f>
        <v>0</v>
      </c>
      <c r="G24" s="3">
        <f>0</f>
        <v>0</v>
      </c>
      <c r="H24" s="3">
        <f>0</f>
        <v>0</v>
      </c>
    </row>
    <row r="25" spans="1:8" ht="15.75" thickBot="1" x14ac:dyDescent="0.3">
      <c r="B25" s="68" t="s">
        <v>190</v>
      </c>
      <c r="C25" s="3">
        <f>0</f>
        <v>0</v>
      </c>
      <c r="D25" s="3">
        <f>0</f>
        <v>0</v>
      </c>
      <c r="E25" s="3">
        <f>0</f>
        <v>0</v>
      </c>
      <c r="F25" s="3">
        <f>0</f>
        <v>0</v>
      </c>
      <c r="G25" s="3">
        <f>0</f>
        <v>0</v>
      </c>
      <c r="H25" s="3">
        <f>0</f>
        <v>0</v>
      </c>
    </row>
    <row r="26" spans="1:8" ht="16.5" thickBot="1" x14ac:dyDescent="0.3">
      <c r="B26" s="71" t="s">
        <v>191</v>
      </c>
      <c r="C26" s="72">
        <f>C21-SUM(C24:C25)</f>
        <v>-44991000</v>
      </c>
      <c r="D26" s="72">
        <f t="shared" ref="D26:H26" si="2">D21-SUM(D24:D25)</f>
        <v>-9698502.799999997</v>
      </c>
      <c r="E26" s="72">
        <f t="shared" si="2"/>
        <v>14528515.600000009</v>
      </c>
      <c r="F26" s="72">
        <f t="shared" si="2"/>
        <v>50090809.983999968</v>
      </c>
      <c r="G26" s="72">
        <f t="shared" si="2"/>
        <v>107285070.76479992</v>
      </c>
      <c r="H26" s="72">
        <f t="shared" si="2"/>
        <v>211751342.33161908</v>
      </c>
    </row>
    <row r="27" spans="1:8" ht="15.75" thickBot="1" x14ac:dyDescent="0.3"/>
    <row r="28" spans="1:8" ht="15.75" thickBot="1" x14ac:dyDescent="0.3">
      <c r="A28" s="178" t="s">
        <v>192</v>
      </c>
      <c r="B28" s="179"/>
    </row>
    <row r="29" spans="1:8" ht="15.75" thickBot="1" x14ac:dyDescent="0.3">
      <c r="B29" s="80" t="s">
        <v>193</v>
      </c>
      <c r="C29" s="70">
        <f>'Balance General'!C32</f>
        <v>422040</v>
      </c>
      <c r="D29" s="70">
        <f>'Balance General'!D32</f>
        <v>5970281.6000000006</v>
      </c>
      <c r="E29" s="70">
        <f>'Balance General'!E32</f>
        <v>7369964.5439999998</v>
      </c>
      <c r="F29" s="70">
        <f>'Balance General'!F32</f>
        <v>9342677.8803199995</v>
      </c>
      <c r="G29" s="70">
        <f>'Balance General'!G32</f>
        <v>12240821.366054399</v>
      </c>
      <c r="H29" s="70">
        <f>'Balance General'!H32</f>
        <v>16686263.227624064</v>
      </c>
    </row>
    <row r="30" spans="1:8" ht="16.5" thickBot="1" x14ac:dyDescent="0.3">
      <c r="B30" s="71" t="s">
        <v>194</v>
      </c>
      <c r="C30" s="72">
        <f>SUM(C29)</f>
        <v>422040</v>
      </c>
      <c r="D30" s="72">
        <f t="shared" ref="D30:H30" si="3">SUM(D29)</f>
        <v>5970281.6000000006</v>
      </c>
      <c r="E30" s="72">
        <f t="shared" si="3"/>
        <v>7369964.5439999998</v>
      </c>
      <c r="F30" s="72">
        <f t="shared" si="3"/>
        <v>9342677.8803199995</v>
      </c>
      <c r="G30" s="72">
        <f t="shared" si="3"/>
        <v>12240821.366054399</v>
      </c>
      <c r="H30" s="72">
        <f t="shared" si="3"/>
        <v>16686263.227624064</v>
      </c>
    </row>
    <row r="31" spans="1:8" ht="15.75" thickBot="1" x14ac:dyDescent="0.3"/>
    <row r="32" spans="1:8" ht="22.5" customHeight="1" thickBot="1" x14ac:dyDescent="0.3">
      <c r="A32" s="170" t="s">
        <v>195</v>
      </c>
      <c r="B32" s="171"/>
      <c r="C32" s="76">
        <f>C26-C30</f>
        <v>-45413040</v>
      </c>
      <c r="D32" s="76">
        <f t="shared" ref="D32:H32" si="4">D26-D30</f>
        <v>-15668784.399999999</v>
      </c>
      <c r="E32" s="76">
        <f t="shared" si="4"/>
        <v>7158551.0560000092</v>
      </c>
      <c r="F32" s="76">
        <f t="shared" si="4"/>
        <v>40748132.10367997</v>
      </c>
      <c r="G32" s="76">
        <f t="shared" si="4"/>
        <v>95044249.398745522</v>
      </c>
      <c r="H32" s="76">
        <f t="shared" si="4"/>
        <v>195065079.10399503</v>
      </c>
    </row>
  </sheetData>
  <mergeCells count="9">
    <mergeCell ref="A23:B23"/>
    <mergeCell ref="A28:B28"/>
    <mergeCell ref="A32:B32"/>
    <mergeCell ref="A1:H1"/>
    <mergeCell ref="A2:H2"/>
    <mergeCell ref="A4:B4"/>
    <mergeCell ref="A5:B5"/>
    <mergeCell ref="A10:B10"/>
    <mergeCell ref="A18:B18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topLeftCell="A4" zoomScale="106" zoomScaleNormal="106" workbookViewId="0">
      <selection activeCell="B14" sqref="B14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66" t="s">
        <v>196</v>
      </c>
      <c r="B1" s="167"/>
      <c r="C1" s="167"/>
      <c r="D1" s="167"/>
      <c r="E1" s="167"/>
      <c r="F1" s="167"/>
      <c r="G1" s="167"/>
      <c r="H1" s="167"/>
    </row>
    <row r="2" spans="1:8" ht="22.5" customHeight="1" thickBot="1" x14ac:dyDescent="0.4">
      <c r="A2" s="168" t="s">
        <v>137</v>
      </c>
      <c r="B2" s="169"/>
      <c r="C2" s="169"/>
      <c r="D2" s="169"/>
      <c r="E2" s="169"/>
      <c r="F2" s="169"/>
      <c r="G2" s="169"/>
      <c r="H2" s="169"/>
    </row>
    <row r="3" spans="1:8" ht="15.75" thickBot="1" x14ac:dyDescent="0.3"/>
    <row r="4" spans="1:8" ht="22.5" customHeight="1" thickBot="1" x14ac:dyDescent="0.3">
      <c r="A4" s="170" t="s">
        <v>138</v>
      </c>
      <c r="B4" s="171"/>
      <c r="C4" s="67" t="s">
        <v>168</v>
      </c>
      <c r="D4" s="67" t="s">
        <v>169</v>
      </c>
      <c r="E4" s="67" t="s">
        <v>170</v>
      </c>
      <c r="F4" s="67" t="s">
        <v>171</v>
      </c>
      <c r="G4" s="67" t="s">
        <v>172</v>
      </c>
      <c r="H4" s="67" t="s">
        <v>173</v>
      </c>
    </row>
    <row r="5" spans="1:8" ht="15.75" thickBot="1" x14ac:dyDescent="0.3">
      <c r="A5" s="175" t="s">
        <v>197</v>
      </c>
      <c r="B5" s="176"/>
    </row>
    <row r="6" spans="1:8" x14ac:dyDescent="0.25">
      <c r="B6" s="77" t="s">
        <v>198</v>
      </c>
      <c r="C6" s="70">
        <f>'Inversión Inicial'!B5</f>
        <v>9100000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25">
      <c r="B7" s="68" t="s">
        <v>199</v>
      </c>
      <c r="C7" s="7">
        <f>0</f>
        <v>0</v>
      </c>
      <c r="D7" s="7">
        <f>0</f>
        <v>0</v>
      </c>
      <c r="E7" s="7">
        <f>0</f>
        <v>0</v>
      </c>
      <c r="F7" s="7">
        <f>0</f>
        <v>0</v>
      </c>
      <c r="G7" s="7">
        <f>0</f>
        <v>0</v>
      </c>
      <c r="H7" s="7">
        <f>0</f>
        <v>0</v>
      </c>
    </row>
    <row r="8" spans="1:8" x14ac:dyDescent="0.25">
      <c r="B8" s="69" t="s">
        <v>200</v>
      </c>
      <c r="C8" s="7">
        <f>0</f>
        <v>0</v>
      </c>
      <c r="D8" s="7">
        <f>0</f>
        <v>0</v>
      </c>
      <c r="E8" s="7">
        <f>0</f>
        <v>0</v>
      </c>
      <c r="F8" s="7">
        <f>0</f>
        <v>0</v>
      </c>
      <c r="G8" s="7">
        <f>0</f>
        <v>0</v>
      </c>
      <c r="H8" s="7">
        <f>0</f>
        <v>0</v>
      </c>
    </row>
    <row r="9" spans="1:8" x14ac:dyDescent="0.25">
      <c r="B9" s="69" t="s">
        <v>201</v>
      </c>
      <c r="C9" s="75">
        <f>SUM('Inversión Inicial'!B3:B4,'Inversión Inicial'!B6:B7)</f>
        <v>30740000</v>
      </c>
      <c r="D9" s="75">
        <f>0</f>
        <v>0</v>
      </c>
      <c r="E9" s="75">
        <f>0</f>
        <v>0</v>
      </c>
      <c r="F9" s="75">
        <f>0</f>
        <v>0</v>
      </c>
      <c r="G9" s="75">
        <f>0</f>
        <v>0</v>
      </c>
      <c r="H9" s="75">
        <f>0</f>
        <v>0</v>
      </c>
    </row>
    <row r="10" spans="1:8" ht="15.75" thickBot="1" x14ac:dyDescent="0.3">
      <c r="B10" s="69" t="s">
        <v>202</v>
      </c>
      <c r="C10" s="75">
        <f>'Inversión Inicial'!B8</f>
        <v>3700000</v>
      </c>
      <c r="D10" s="75">
        <f>0</f>
        <v>0</v>
      </c>
      <c r="E10" s="75">
        <f>0</f>
        <v>0</v>
      </c>
      <c r="F10" s="75">
        <f>0</f>
        <v>0</v>
      </c>
      <c r="G10" s="75">
        <f>0</f>
        <v>0</v>
      </c>
      <c r="H10" s="75">
        <f>0</f>
        <v>0</v>
      </c>
    </row>
    <row r="11" spans="1:8" ht="16.5" thickBot="1" x14ac:dyDescent="0.3">
      <c r="B11" s="71" t="s">
        <v>203</v>
      </c>
      <c r="C11" s="72">
        <f>SUM(C6:C10)</f>
        <v>43540000</v>
      </c>
      <c r="D11" s="72">
        <f t="shared" ref="D11:H11" si="0">SUM(D6:D10)</f>
        <v>0</v>
      </c>
      <c r="E11" s="72">
        <f t="shared" si="0"/>
        <v>0</v>
      </c>
      <c r="F11" s="72">
        <f t="shared" si="0"/>
        <v>0</v>
      </c>
      <c r="G11" s="72">
        <f t="shared" si="0"/>
        <v>0</v>
      </c>
      <c r="H11" s="72">
        <f t="shared" si="0"/>
        <v>0</v>
      </c>
    </row>
    <row r="12" spans="1:8" ht="15.75" thickBot="1" x14ac:dyDescent="0.3"/>
    <row r="13" spans="1:8" ht="15.75" thickBot="1" x14ac:dyDescent="0.3">
      <c r="A13" s="175" t="s">
        <v>204</v>
      </c>
      <c r="B13" s="176"/>
    </row>
    <row r="14" spans="1:8" x14ac:dyDescent="0.25">
      <c r="B14" s="68" t="s">
        <v>205</v>
      </c>
      <c r="C14" s="70">
        <f>'Balance General'!C42</f>
        <v>15238999.999999998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x14ac:dyDescent="0.25">
      <c r="B15" s="68" t="s">
        <v>206</v>
      </c>
      <c r="C15" s="3">
        <f>'Inversión Inicial'!B21</f>
        <v>28301000</v>
      </c>
      <c r="D15" s="3">
        <f>0</f>
        <v>0</v>
      </c>
      <c r="E15" s="3">
        <f>0</f>
        <v>0</v>
      </c>
      <c r="F15" s="3">
        <f>0</f>
        <v>0</v>
      </c>
      <c r="G15" s="3">
        <f>0</f>
        <v>0</v>
      </c>
      <c r="H15" s="3">
        <f>0</f>
        <v>0</v>
      </c>
    </row>
    <row r="16" spans="1:8" ht="15.75" thickBot="1" x14ac:dyDescent="0.3">
      <c r="B16" s="81" t="s">
        <v>88</v>
      </c>
      <c r="C16" s="82">
        <f>'Proyección de Ventas e Incremen'!I7</f>
        <v>0</v>
      </c>
      <c r="D16" s="82">
        <f>'Proyección de Ventas e Incremen'!J7</f>
        <v>139968000</v>
      </c>
      <c r="E16" s="82">
        <f>'Proyección de Ventas e Incremen'!K7</f>
        <v>176219712</v>
      </c>
      <c r="F16" s="82">
        <f>'Proyección de Ventas e Incremen'!L7</f>
        <v>226794769.34399998</v>
      </c>
      <c r="G16" s="82">
        <f>'Proyección de Ventas e Incremen'!M7</f>
        <v>300503069.38079995</v>
      </c>
      <c r="H16" s="82">
        <f>'Proyección de Ventas e Incremen'!N7</f>
        <v>412891217.32921916</v>
      </c>
    </row>
    <row r="17" spans="1:8" ht="16.5" thickBot="1" x14ac:dyDescent="0.3">
      <c r="B17" s="71" t="s">
        <v>207</v>
      </c>
      <c r="C17" s="72">
        <f>SUM(C14:C16)</f>
        <v>43540000</v>
      </c>
      <c r="D17" s="72">
        <f t="shared" ref="D17:H17" si="1">SUM(D14:D16)</f>
        <v>139968000</v>
      </c>
      <c r="E17" s="72">
        <f t="shared" si="1"/>
        <v>176219712</v>
      </c>
      <c r="F17" s="72">
        <f t="shared" si="1"/>
        <v>226794769.34399998</v>
      </c>
      <c r="G17" s="72">
        <f t="shared" si="1"/>
        <v>300503069.38079995</v>
      </c>
      <c r="H17" s="72">
        <f t="shared" si="1"/>
        <v>412891217.32921916</v>
      </c>
    </row>
    <row r="18" spans="1:8" ht="15.75" thickBot="1" x14ac:dyDescent="0.3"/>
    <row r="19" spans="1:8" ht="15.75" thickBot="1" x14ac:dyDescent="0.3">
      <c r="A19" s="175" t="s">
        <v>208</v>
      </c>
      <c r="B19" s="176"/>
    </row>
    <row r="20" spans="1:8" x14ac:dyDescent="0.25">
      <c r="B20" s="77" t="s">
        <v>209</v>
      </c>
      <c r="C20" s="7">
        <f>0</f>
        <v>0</v>
      </c>
      <c r="D20" s="7">
        <f>'Costos de Operación Gravables'!J10</f>
        <v>44640000</v>
      </c>
      <c r="E20" s="7">
        <f>'Costos de Operación Gravables'!K10</f>
        <v>47318400</v>
      </c>
      <c r="F20" s="7">
        <f>'Costos de Operación Gravables'!L10</f>
        <v>52050240.000000007</v>
      </c>
      <c r="G20" s="7">
        <f>'Costos de Operación Gravables'!M10</f>
        <v>57255264.000000015</v>
      </c>
      <c r="H20" s="7">
        <f>'Costos de Operación Gravables'!N10</f>
        <v>62980790.400000021</v>
      </c>
    </row>
    <row r="21" spans="1:8" x14ac:dyDescent="0.25">
      <c r="B21" s="68" t="s">
        <v>116</v>
      </c>
      <c r="C21" s="7">
        <f>'Balance General'!C30</f>
        <v>0</v>
      </c>
      <c r="D21" s="7">
        <f>'Balance General'!D30-D22</f>
        <v>5534280.4000000013</v>
      </c>
      <c r="E21" s="7">
        <f>'Balance General'!E30-E22</f>
        <v>6455184.6585600013</v>
      </c>
      <c r="F21" s="7">
        <f>'Balance General'!F30-F22</f>
        <v>7529327.3857443854</v>
      </c>
      <c r="G21" s="7">
        <f>'Balance General'!G30-G22</f>
        <v>8782207.4627322517</v>
      </c>
      <c r="H21" s="7">
        <f>'Balance General'!H30</f>
        <v>0</v>
      </c>
    </row>
    <row r="22" spans="1:8" x14ac:dyDescent="0.25">
      <c r="B22" s="68" t="s">
        <v>210</v>
      </c>
      <c r="C22" s="7">
        <v>0</v>
      </c>
      <c r="D22" s="7">
        <f>'Amortización y Depreciación'!F4</f>
        <v>4709286.3999999994</v>
      </c>
      <c r="E22" s="7">
        <f>'Amortización y Depreciación'!F5</f>
        <v>3788382.1414399995</v>
      </c>
      <c r="F22" s="7">
        <f>'Amortización y Depreciación'!F6</f>
        <v>2714239.4142556153</v>
      </c>
      <c r="G22" s="7">
        <f>'Amortización y Depreciación'!F7</f>
        <v>1461359.3372677497</v>
      </c>
      <c r="H22" s="7">
        <f>0</f>
        <v>0</v>
      </c>
    </row>
    <row r="23" spans="1:8" x14ac:dyDescent="0.25">
      <c r="B23" s="68" t="s">
        <v>211</v>
      </c>
      <c r="C23" s="7">
        <f>'Balance General'!C31+'Balance General'!C28</f>
        <v>0</v>
      </c>
      <c r="D23" s="7">
        <f>'Balance General'!D31+'Balance General'!D28</f>
        <v>93462936</v>
      </c>
      <c r="E23" s="7">
        <f>'Balance General'!E31+'Balance General'!E28</f>
        <v>102809229.59999999</v>
      </c>
      <c r="F23" s="7">
        <f>'Balance General'!F31+'Balance General'!F28</f>
        <v>113090152.56</v>
      </c>
      <c r="G23" s="7">
        <f>'Balance General'!G31+'Balance General'!G28</f>
        <v>124399167.81600001</v>
      </c>
      <c r="H23" s="7">
        <f>'Balance General'!H31+'Balance General'!H28</f>
        <v>136839084.59760004</v>
      </c>
    </row>
    <row r="24" spans="1:8" ht="15.75" thickBot="1" x14ac:dyDescent="0.3">
      <c r="B24" s="69" t="s">
        <v>212</v>
      </c>
      <c r="C24" s="83">
        <f>0</f>
        <v>0</v>
      </c>
      <c r="D24" s="83">
        <f>0</f>
        <v>0</v>
      </c>
      <c r="E24" s="83">
        <f>0</f>
        <v>0</v>
      </c>
      <c r="F24" s="83">
        <f>0</f>
        <v>0</v>
      </c>
      <c r="G24" s="83">
        <f>0</f>
        <v>0</v>
      </c>
      <c r="H24" s="83">
        <f>0</f>
        <v>0</v>
      </c>
    </row>
    <row r="25" spans="1:8" ht="16.5" thickBot="1" x14ac:dyDescent="0.3">
      <c r="B25" s="71" t="s">
        <v>187</v>
      </c>
      <c r="C25" s="72">
        <f>SUM(C20:C24)</f>
        <v>0</v>
      </c>
      <c r="D25" s="72">
        <f t="shared" ref="D25:H25" si="2">SUM(D20:D24)</f>
        <v>148346502.80000001</v>
      </c>
      <c r="E25" s="72">
        <f t="shared" si="2"/>
        <v>160371196.39999998</v>
      </c>
      <c r="F25" s="72">
        <f t="shared" si="2"/>
        <v>175383959.36000001</v>
      </c>
      <c r="G25" s="72">
        <f t="shared" si="2"/>
        <v>191897998.61600006</v>
      </c>
      <c r="H25" s="72">
        <f t="shared" si="2"/>
        <v>199819874.99760008</v>
      </c>
    </row>
    <row r="26" spans="1:8" ht="15.75" thickBot="1" x14ac:dyDescent="0.3"/>
    <row r="27" spans="1:8" ht="15.75" thickBot="1" x14ac:dyDescent="0.3">
      <c r="A27" s="175" t="s">
        <v>213</v>
      </c>
      <c r="B27" s="180"/>
    </row>
    <row r="28" spans="1:8" ht="15.75" thickBot="1" x14ac:dyDescent="0.3">
      <c r="B28" s="69" t="s">
        <v>198</v>
      </c>
      <c r="C28" s="70">
        <f>'Estado de Resultados'!C14</f>
        <v>0</v>
      </c>
      <c r="D28" s="70">
        <f>'Estado de Resultados'!D14</f>
        <v>1320000</v>
      </c>
      <c r="E28" s="70">
        <f>'Estado de Resultados'!E14</f>
        <v>1320000</v>
      </c>
      <c r="F28" s="70">
        <f>'Estado de Resultados'!F14</f>
        <v>1320000</v>
      </c>
      <c r="G28" s="70">
        <f>'Estado de Resultados'!G14</f>
        <v>1320000</v>
      </c>
      <c r="H28" s="70">
        <f>'Estado de Resultados'!H14</f>
        <v>1320000</v>
      </c>
    </row>
    <row r="29" spans="1:8" ht="16.5" thickBot="1" x14ac:dyDescent="0.3">
      <c r="B29" s="71" t="s">
        <v>214</v>
      </c>
      <c r="C29" s="72">
        <f>C28</f>
        <v>0</v>
      </c>
      <c r="D29" s="72">
        <f t="shared" ref="D29:H29" si="3">D28</f>
        <v>1320000</v>
      </c>
      <c r="E29" s="72">
        <f t="shared" si="3"/>
        <v>1320000</v>
      </c>
      <c r="F29" s="72">
        <f t="shared" si="3"/>
        <v>1320000</v>
      </c>
      <c r="G29" s="72">
        <f t="shared" si="3"/>
        <v>1320000</v>
      </c>
      <c r="H29" s="72">
        <f t="shared" si="3"/>
        <v>1320000</v>
      </c>
    </row>
    <row r="30" spans="1:8" ht="15.75" thickBot="1" x14ac:dyDescent="0.3"/>
    <row r="31" spans="1:8" ht="15.75" thickBot="1" x14ac:dyDescent="0.3">
      <c r="A31" s="175" t="s">
        <v>215</v>
      </c>
      <c r="B31" s="180"/>
    </row>
    <row r="32" spans="1:8" ht="15.75" thickBot="1" x14ac:dyDescent="0.3">
      <c r="B32" s="69" t="s">
        <v>193</v>
      </c>
      <c r="C32" s="75">
        <f>'Estado de Resultados'!C29</f>
        <v>422040</v>
      </c>
      <c r="D32" s="75">
        <f>'Estado de Resultados'!D29</f>
        <v>5970281.6000000006</v>
      </c>
      <c r="E32" s="75">
        <f>'Estado de Resultados'!E29</f>
        <v>7369964.5439999998</v>
      </c>
      <c r="F32" s="75">
        <f>'Estado de Resultados'!F29</f>
        <v>9342677.8803199995</v>
      </c>
      <c r="G32" s="75">
        <f>'Estado de Resultados'!G29</f>
        <v>12240821.366054399</v>
      </c>
      <c r="H32" s="75">
        <f>'Estado de Resultados'!H29</f>
        <v>16686263.227624064</v>
      </c>
    </row>
    <row r="33" spans="1:8" ht="16.5" thickBot="1" x14ac:dyDescent="0.3">
      <c r="B33" s="71" t="s">
        <v>216</v>
      </c>
      <c r="C33" s="72">
        <f>C32</f>
        <v>422040</v>
      </c>
      <c r="D33" s="72">
        <f t="shared" ref="D33:H33" si="4">D32</f>
        <v>5970281.6000000006</v>
      </c>
      <c r="E33" s="72">
        <f t="shared" si="4"/>
        <v>7369964.5439999998</v>
      </c>
      <c r="F33" s="72">
        <f t="shared" si="4"/>
        <v>9342677.8803199995</v>
      </c>
      <c r="G33" s="72">
        <f t="shared" si="4"/>
        <v>12240821.366054399</v>
      </c>
      <c r="H33" s="72">
        <f t="shared" si="4"/>
        <v>16686263.227624064</v>
      </c>
    </row>
    <row r="34" spans="1:8" ht="15.75" thickBot="1" x14ac:dyDescent="0.3"/>
    <row r="35" spans="1:8" ht="22.5" customHeight="1" thickBot="1" x14ac:dyDescent="0.3">
      <c r="A35" s="170" t="s">
        <v>217</v>
      </c>
      <c r="B35" s="171"/>
      <c r="C35" s="76">
        <f>C17-(SUM(C11,C25,C29,C33))</f>
        <v>-422040</v>
      </c>
      <c r="D35" s="76">
        <f t="shared" ref="D35:H35" si="5">D17-(SUM(D11,D25,D29,D33))</f>
        <v>-15668784.400000006</v>
      </c>
      <c r="E35" s="76">
        <f t="shared" si="5"/>
        <v>7158551.0560000241</v>
      </c>
      <c r="F35" s="76">
        <f t="shared" si="5"/>
        <v>40748132.103679955</v>
      </c>
      <c r="G35" s="76">
        <f t="shared" si="5"/>
        <v>95044249.398745507</v>
      </c>
      <c r="H35" s="76">
        <f t="shared" si="5"/>
        <v>195065079.10399503</v>
      </c>
    </row>
    <row r="36" spans="1:8" ht="15" customHeight="1" x14ac:dyDescent="0.25"/>
  </sheetData>
  <mergeCells count="9">
    <mergeCell ref="A27:B27"/>
    <mergeCell ref="A31:B31"/>
    <mergeCell ref="A35:B35"/>
    <mergeCell ref="A1:H1"/>
    <mergeCell ref="A2:H2"/>
    <mergeCell ref="A4:B4"/>
    <mergeCell ref="A5:B5"/>
    <mergeCell ref="A13:B13"/>
    <mergeCell ref="A19:B19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2"/>
  <sheetViews>
    <sheetView showGridLines="0" zoomScale="145" zoomScaleNormal="145" workbookViewId="0">
      <selection activeCell="C20" sqref="C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66" t="s">
        <v>218</v>
      </c>
      <c r="B1" s="167"/>
      <c r="C1" s="167"/>
      <c r="D1" s="167"/>
      <c r="E1" s="167"/>
      <c r="F1" s="167"/>
      <c r="G1" s="167"/>
      <c r="H1" s="167"/>
    </row>
    <row r="2" spans="1:8" ht="22.5" customHeight="1" thickBot="1" x14ac:dyDescent="0.4">
      <c r="A2" s="168" t="s">
        <v>137</v>
      </c>
      <c r="B2" s="169"/>
      <c r="C2" s="169"/>
      <c r="D2" s="169"/>
      <c r="E2" s="169"/>
      <c r="F2" s="169"/>
      <c r="G2" s="169"/>
      <c r="H2" s="169"/>
    </row>
    <row r="3" spans="1:8" ht="15.75" thickBot="1" x14ac:dyDescent="0.3"/>
    <row r="4" spans="1:8" ht="22.5" customHeight="1" thickBot="1" x14ac:dyDescent="0.3">
      <c r="A4" s="170" t="s">
        <v>138</v>
      </c>
      <c r="B4" s="171"/>
      <c r="C4" s="67" t="s">
        <v>168</v>
      </c>
      <c r="D4" s="67" t="s">
        <v>169</v>
      </c>
      <c r="E4" s="67" t="s">
        <v>170</v>
      </c>
      <c r="F4" s="67" t="s">
        <v>171</v>
      </c>
      <c r="G4" s="67" t="s">
        <v>172</v>
      </c>
      <c r="H4" s="67" t="s">
        <v>173</v>
      </c>
    </row>
    <row r="5" spans="1:8" ht="15.75" thickBot="1" x14ac:dyDescent="0.3">
      <c r="A5" s="175" t="s">
        <v>219</v>
      </c>
      <c r="B5" s="176"/>
    </row>
    <row r="6" spans="1:8" x14ac:dyDescent="0.25">
      <c r="B6" s="77" t="s">
        <v>220</v>
      </c>
      <c r="C6" s="70">
        <f>'Estado de Resultados'!C32</f>
        <v>-45413040</v>
      </c>
      <c r="D6" s="70">
        <f>'Estado de Resultados'!D32</f>
        <v>-15668784.399999999</v>
      </c>
      <c r="E6" s="70">
        <f>'Estado de Resultados'!E32</f>
        <v>7158551.0560000092</v>
      </c>
      <c r="F6" s="70">
        <f>'Estado de Resultados'!F32</f>
        <v>40748132.10367997</v>
      </c>
      <c r="G6" s="70">
        <f>'Estado de Resultados'!G32</f>
        <v>95044249.398745522</v>
      </c>
      <c r="H6" s="70">
        <f>'Estado de Resultados'!H32</f>
        <v>195065079.10399503</v>
      </c>
    </row>
    <row r="7" spans="1:8" x14ac:dyDescent="0.25">
      <c r="B7" s="68" t="s">
        <v>221</v>
      </c>
      <c r="C7" s="7">
        <f>'Flujo de Caja'!C29</f>
        <v>0</v>
      </c>
      <c r="D7" s="7">
        <f>'Flujo de Caja'!D29</f>
        <v>1320000</v>
      </c>
      <c r="E7" s="7">
        <f>'Flujo de Caja'!E29</f>
        <v>1320000</v>
      </c>
      <c r="F7" s="7">
        <f>'Flujo de Caja'!F29</f>
        <v>1320000</v>
      </c>
      <c r="G7" s="7">
        <f>'Flujo de Caja'!G29</f>
        <v>1320000</v>
      </c>
      <c r="H7" s="7">
        <f>'Flujo de Caja'!H29</f>
        <v>1320000</v>
      </c>
    </row>
    <row r="8" spans="1:8" x14ac:dyDescent="0.25">
      <c r="B8" s="69" t="s">
        <v>116</v>
      </c>
      <c r="C8" s="7">
        <f>'Flujo de Caja'!C21</f>
        <v>0</v>
      </c>
      <c r="D8" s="7">
        <f>'Flujo de Caja'!D21</f>
        <v>5534280.4000000013</v>
      </c>
      <c r="E8" s="7">
        <f>'Flujo de Caja'!E21</f>
        <v>6455184.6585600013</v>
      </c>
      <c r="F8" s="7">
        <f>'Flujo de Caja'!F21</f>
        <v>7529327.3857443854</v>
      </c>
      <c r="G8" s="7">
        <f>'Flujo de Caja'!G21</f>
        <v>8782207.4627322517</v>
      </c>
      <c r="H8" s="7">
        <f>'Flujo de Caja'!H21</f>
        <v>0</v>
      </c>
    </row>
    <row r="9" spans="1:8" x14ac:dyDescent="0.25">
      <c r="B9" s="69" t="s">
        <v>210</v>
      </c>
      <c r="C9" s="75">
        <f>'Flujo de Caja'!C22</f>
        <v>0</v>
      </c>
      <c r="D9" s="75">
        <f>'Flujo de Caja'!D22</f>
        <v>4709286.3999999994</v>
      </c>
      <c r="E9" s="75">
        <f>'Flujo de Caja'!E22</f>
        <v>3788382.1414399995</v>
      </c>
      <c r="F9" s="75">
        <f>'Flujo de Caja'!F22</f>
        <v>2714239.4142556153</v>
      </c>
      <c r="G9" s="75">
        <f>'Flujo de Caja'!G22</f>
        <v>1461359.3372677497</v>
      </c>
      <c r="H9" s="75">
        <f>'Flujo de Caja'!H22</f>
        <v>0</v>
      </c>
    </row>
    <row r="10" spans="1:8" ht="15.75" thickBot="1" x14ac:dyDescent="0.3">
      <c r="B10" s="69" t="s">
        <v>222</v>
      </c>
      <c r="C10" s="75">
        <f>'Flujo de Caja'!C32</f>
        <v>422040</v>
      </c>
      <c r="D10" s="75">
        <f>'Flujo de Caja'!D32</f>
        <v>5970281.6000000006</v>
      </c>
      <c r="E10" s="75">
        <f>'Flujo de Caja'!E32</f>
        <v>7369964.5439999998</v>
      </c>
      <c r="F10" s="75">
        <f>'Flujo de Caja'!F32</f>
        <v>9342677.8803199995</v>
      </c>
      <c r="G10" s="75">
        <f>'Flujo de Caja'!G32</f>
        <v>12240821.366054399</v>
      </c>
      <c r="H10" s="75">
        <f>'Flujo de Caja'!H32</f>
        <v>16686263.227624064</v>
      </c>
    </row>
    <row r="11" spans="1:8" ht="16.5" thickBot="1" x14ac:dyDescent="0.3">
      <c r="B11" s="71" t="s">
        <v>223</v>
      </c>
      <c r="C11" s="72">
        <f>SUM(C6:C10)</f>
        <v>-44991000</v>
      </c>
      <c r="D11" s="72">
        <f t="shared" ref="D11:H11" si="0">SUM(D6:D10)</f>
        <v>1865064.0000000037</v>
      </c>
      <c r="E11" s="72">
        <f t="shared" si="0"/>
        <v>26092082.40000001</v>
      </c>
      <c r="F11" s="72">
        <f t="shared" si="0"/>
        <v>61654376.783999965</v>
      </c>
      <c r="G11" s="72">
        <f t="shared" si="0"/>
        <v>118848637.56479993</v>
      </c>
      <c r="H11" s="72">
        <f t="shared" si="0"/>
        <v>213071342.33161908</v>
      </c>
    </row>
    <row r="12" spans="1:8" ht="15.75" thickBot="1" x14ac:dyDescent="0.3"/>
    <row r="13" spans="1:8" ht="15.75" thickBot="1" x14ac:dyDescent="0.3">
      <c r="A13" s="175" t="s">
        <v>224</v>
      </c>
      <c r="B13" s="176"/>
    </row>
    <row r="14" spans="1:8" ht="15.75" thickBot="1" x14ac:dyDescent="0.3">
      <c r="B14" s="68" t="s">
        <v>225</v>
      </c>
      <c r="C14" s="70">
        <f>'Inversión Inicial'!B5</f>
        <v>9100000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1" t="s">
        <v>226</v>
      </c>
      <c r="C15" s="72">
        <f t="shared" ref="C15:H15" si="1">SUM(C14:C14)</f>
        <v>9100000</v>
      </c>
      <c r="D15" s="72">
        <f t="shared" si="1"/>
        <v>0</v>
      </c>
      <c r="E15" s="72">
        <f t="shared" si="1"/>
        <v>0</v>
      </c>
      <c r="F15" s="72">
        <f t="shared" si="1"/>
        <v>0</v>
      </c>
      <c r="G15" s="72">
        <f t="shared" si="1"/>
        <v>0</v>
      </c>
      <c r="H15" s="72">
        <f t="shared" si="1"/>
        <v>0</v>
      </c>
    </row>
    <row r="16" spans="1:8" ht="15.75" thickBot="1" x14ac:dyDescent="0.3"/>
    <row r="17" spans="1:8" ht="15.75" thickBot="1" x14ac:dyDescent="0.3">
      <c r="A17" s="175" t="s">
        <v>227</v>
      </c>
      <c r="B17" s="176"/>
    </row>
    <row r="18" spans="1:8" x14ac:dyDescent="0.25">
      <c r="B18" s="77" t="s">
        <v>19</v>
      </c>
      <c r="C18" s="7">
        <f>'Balance General'!C42</f>
        <v>15238999.999999998</v>
      </c>
      <c r="D18" s="7">
        <f>'Balance General'!D42</f>
        <v>15238999.999999998</v>
      </c>
      <c r="E18" s="7">
        <f>'Balance General'!E42</f>
        <v>15238999.999999998</v>
      </c>
      <c r="F18" s="7">
        <f>'Balance General'!F42</f>
        <v>15238999.999999998</v>
      </c>
      <c r="G18" s="7">
        <f>'Balance General'!G42</f>
        <v>15238999.999999998</v>
      </c>
      <c r="H18" s="7">
        <f>'Balance General'!H42</f>
        <v>15238999.999999998</v>
      </c>
    </row>
    <row r="19" spans="1:8" x14ac:dyDescent="0.25">
      <c r="B19" s="68" t="s">
        <v>228</v>
      </c>
      <c r="C19" s="7">
        <f>'Flujo de Caja'!C15</f>
        <v>28301000</v>
      </c>
      <c r="D19" s="7">
        <f>'Flujo de Caja'!D15</f>
        <v>0</v>
      </c>
      <c r="E19" s="7">
        <f>'Flujo de Caja'!E15</f>
        <v>0</v>
      </c>
      <c r="F19" s="7">
        <f>'Flujo de Caja'!F15</f>
        <v>0</v>
      </c>
      <c r="G19" s="7">
        <f>'Flujo de Caja'!G15</f>
        <v>0</v>
      </c>
      <c r="H19" s="7">
        <f>'Flujo de Caja'!H15</f>
        <v>0</v>
      </c>
    </row>
    <row r="20" spans="1:8" x14ac:dyDescent="0.25">
      <c r="B20" s="68" t="s">
        <v>229</v>
      </c>
      <c r="C20" s="7">
        <f>C8</f>
        <v>0</v>
      </c>
      <c r="D20" s="7">
        <f t="shared" ref="D20:H21" si="2">D8</f>
        <v>5534280.4000000013</v>
      </c>
      <c r="E20" s="7">
        <f t="shared" si="2"/>
        <v>6455184.6585600013</v>
      </c>
      <c r="F20" s="7">
        <f t="shared" si="2"/>
        <v>7529327.3857443854</v>
      </c>
      <c r="G20" s="7">
        <f t="shared" si="2"/>
        <v>8782207.4627322517</v>
      </c>
      <c r="H20" s="7">
        <f t="shared" si="2"/>
        <v>0</v>
      </c>
    </row>
    <row r="21" spans="1:8" ht="15.75" thickBot="1" x14ac:dyDescent="0.3">
      <c r="B21" s="68" t="s">
        <v>210</v>
      </c>
      <c r="C21" s="7">
        <f>C9</f>
        <v>0</v>
      </c>
      <c r="D21" s="7">
        <f t="shared" si="2"/>
        <v>4709286.3999999994</v>
      </c>
      <c r="E21" s="7">
        <f t="shared" si="2"/>
        <v>3788382.1414399995</v>
      </c>
      <c r="F21" s="7">
        <f t="shared" si="2"/>
        <v>2714239.4142556153</v>
      </c>
      <c r="G21" s="7">
        <f t="shared" si="2"/>
        <v>1461359.3372677497</v>
      </c>
      <c r="H21" s="7">
        <f t="shared" si="2"/>
        <v>0</v>
      </c>
    </row>
    <row r="22" spans="1:8" ht="16.5" thickBot="1" x14ac:dyDescent="0.3">
      <c r="B22" s="71" t="s">
        <v>230</v>
      </c>
      <c r="C22" s="72">
        <f t="shared" ref="C22:H22" si="3">SUM(C18:C21)</f>
        <v>43540000</v>
      </c>
      <c r="D22" s="72">
        <f t="shared" si="3"/>
        <v>25482566.799999997</v>
      </c>
      <c r="E22" s="72">
        <f t="shared" si="3"/>
        <v>25482566.800000001</v>
      </c>
      <c r="F22" s="72">
        <f t="shared" si="3"/>
        <v>25482566.800000001</v>
      </c>
      <c r="G22" s="72">
        <f t="shared" si="3"/>
        <v>25482566.799999997</v>
      </c>
      <c r="H22" s="72">
        <f t="shared" si="3"/>
        <v>15238999.999999998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E24"/>
  <sheetViews>
    <sheetView showGridLines="0" topLeftCell="A14" zoomScale="265" zoomScaleNormal="265" workbookViewId="0">
      <selection activeCell="G28" sqref="G28"/>
    </sheetView>
  </sheetViews>
  <sheetFormatPr baseColWidth="10" defaultRowHeight="15" x14ac:dyDescent="0.25"/>
  <cols>
    <col min="2" max="2" width="29.42578125" customWidth="1"/>
    <col min="3" max="3" width="13.42578125" customWidth="1"/>
    <col min="4" max="4" width="22.85546875" customWidth="1"/>
    <col min="5" max="5" width="14.7109375" customWidth="1"/>
  </cols>
  <sheetData>
    <row r="1" spans="1:5" ht="15.75" thickBot="1" x14ac:dyDescent="0.3"/>
    <row r="2" spans="1:5" ht="15.75" thickBot="1" x14ac:dyDescent="0.3">
      <c r="B2" s="181" t="s">
        <v>252</v>
      </c>
      <c r="C2" s="182"/>
      <c r="D2" s="182"/>
      <c r="E2" s="183"/>
    </row>
    <row r="3" spans="1:5" x14ac:dyDescent="0.25">
      <c r="B3" s="186" t="s">
        <v>231</v>
      </c>
      <c r="C3" s="186"/>
      <c r="D3" s="93" t="s">
        <v>232</v>
      </c>
      <c r="E3" s="93" t="s">
        <v>233</v>
      </c>
    </row>
    <row r="4" spans="1:5" x14ac:dyDescent="0.25">
      <c r="A4" s="84"/>
      <c r="B4" s="184" t="s">
        <v>234</v>
      </c>
      <c r="C4" s="184"/>
      <c r="D4" s="87">
        <v>0</v>
      </c>
      <c r="E4" s="87">
        <f>'Balance General'!D31+'Balance General'!D29</f>
        <v>116640000</v>
      </c>
    </row>
    <row r="5" spans="1:5" x14ac:dyDescent="0.25">
      <c r="B5" s="89" t="s">
        <v>235</v>
      </c>
      <c r="C5" s="87">
        <f>E4</f>
        <v>116640000</v>
      </c>
      <c r="D5" s="87">
        <v>0</v>
      </c>
      <c r="E5" s="87">
        <v>0</v>
      </c>
    </row>
    <row r="6" spans="1:5" x14ac:dyDescent="0.25">
      <c r="B6" s="184" t="s">
        <v>236</v>
      </c>
      <c r="C6" s="184"/>
      <c r="D6" s="87">
        <f>'Balance General'!D30+'Estado de Resultados'!D29</f>
        <v>16213848.400000002</v>
      </c>
      <c r="E6" s="87">
        <v>0</v>
      </c>
    </row>
    <row r="7" spans="1:5" x14ac:dyDescent="0.25">
      <c r="B7" s="184" t="s">
        <v>242</v>
      </c>
      <c r="C7" s="184"/>
      <c r="D7" s="87">
        <v>0</v>
      </c>
      <c r="E7" s="87">
        <f>'Balance General'!D16</f>
        <v>1320000</v>
      </c>
    </row>
    <row r="8" spans="1:5" x14ac:dyDescent="0.25">
      <c r="B8" s="184" t="s">
        <v>243</v>
      </c>
      <c r="C8" s="184"/>
      <c r="D8" s="87">
        <v>0</v>
      </c>
      <c r="E8" s="87">
        <v>0</v>
      </c>
    </row>
    <row r="9" spans="1:5" x14ac:dyDescent="0.25">
      <c r="B9" s="185" t="s">
        <v>237</v>
      </c>
      <c r="C9" s="185"/>
      <c r="D9" s="91">
        <f>SUM(D4:D8)</f>
        <v>16213848.400000002</v>
      </c>
      <c r="E9" s="91">
        <f>SUM(E4:E8)</f>
        <v>117960000</v>
      </c>
    </row>
    <row r="10" spans="1:5" x14ac:dyDescent="0.25">
      <c r="B10" s="90" t="s">
        <v>238</v>
      </c>
      <c r="C10" s="88">
        <v>0.1</v>
      </c>
      <c r="D10" s="87">
        <f>D9*$C$10</f>
        <v>1621384.8400000003</v>
      </c>
      <c r="E10" s="87">
        <f>E9*$C$10</f>
        <v>11796000</v>
      </c>
    </row>
    <row r="11" spans="1:5" x14ac:dyDescent="0.25">
      <c r="B11" s="187" t="s">
        <v>56</v>
      </c>
      <c r="C11" s="188"/>
      <c r="D11" s="92">
        <f>D9-D10</f>
        <v>14592463.560000002</v>
      </c>
      <c r="E11" s="92">
        <f>E9-E10</f>
        <v>106164000</v>
      </c>
    </row>
    <row r="12" spans="1:5" ht="15.75" thickBot="1" x14ac:dyDescent="0.3"/>
    <row r="13" spans="1:5" ht="15.75" thickBot="1" x14ac:dyDescent="0.3">
      <c r="B13" s="189" t="s">
        <v>239</v>
      </c>
      <c r="C13" s="190"/>
    </row>
    <row r="14" spans="1:5" x14ac:dyDescent="0.25">
      <c r="B14" s="96" t="s">
        <v>240</v>
      </c>
      <c r="C14" s="95">
        <v>270</v>
      </c>
    </row>
    <row r="15" spans="1:5" x14ac:dyDescent="0.25">
      <c r="B15" s="97" t="s">
        <v>241</v>
      </c>
      <c r="C15" s="87">
        <f>E11/C14</f>
        <v>393200</v>
      </c>
    </row>
    <row r="16" spans="1:5" x14ac:dyDescent="0.25">
      <c r="B16" s="97" t="s">
        <v>246</v>
      </c>
      <c r="C16" s="87">
        <f>SUM(D11:E11)/C14</f>
        <v>447246.16133333335</v>
      </c>
    </row>
    <row r="17" spans="2:3" x14ac:dyDescent="0.25">
      <c r="B17" s="97" t="s">
        <v>244</v>
      </c>
      <c r="C17" s="87">
        <f>C16*0.19</f>
        <v>84976.77065333334</v>
      </c>
    </row>
    <row r="18" spans="2:3" x14ac:dyDescent="0.25">
      <c r="B18" s="97" t="s">
        <v>247</v>
      </c>
      <c r="C18" s="87">
        <f>SUM(C16:C17)</f>
        <v>532222.93198666675</v>
      </c>
    </row>
    <row r="19" spans="2:3" x14ac:dyDescent="0.25">
      <c r="B19" s="97" t="s">
        <v>245</v>
      </c>
      <c r="C19" s="94">
        <f>((C16-C15)*C14)/(C18-C16)</f>
        <v>171.72297144040249</v>
      </c>
    </row>
    <row r="20" spans="2:3" ht="15.75" thickBot="1" x14ac:dyDescent="0.3"/>
    <row r="21" spans="2:3" ht="15.75" thickBot="1" x14ac:dyDescent="0.3">
      <c r="B21" s="189" t="s">
        <v>248</v>
      </c>
      <c r="C21" s="190"/>
    </row>
    <row r="22" spans="2:3" x14ac:dyDescent="0.25">
      <c r="B22" s="96" t="s">
        <v>250</v>
      </c>
      <c r="C22" s="98">
        <f>C18</f>
        <v>532222.93198666675</v>
      </c>
    </row>
    <row r="23" spans="2:3" x14ac:dyDescent="0.25">
      <c r="B23" s="97" t="s">
        <v>249</v>
      </c>
      <c r="C23" s="87">
        <v>270</v>
      </c>
    </row>
    <row r="24" spans="2:3" x14ac:dyDescent="0.25">
      <c r="B24" s="97" t="s">
        <v>251</v>
      </c>
      <c r="C24" s="87">
        <f>C22*C23</f>
        <v>143700191.63640001</v>
      </c>
    </row>
  </sheetData>
  <mergeCells count="10">
    <mergeCell ref="B9:C9"/>
    <mergeCell ref="B3:C3"/>
    <mergeCell ref="B11:C11"/>
    <mergeCell ref="B13:C13"/>
    <mergeCell ref="B21:C21"/>
    <mergeCell ref="B2:E2"/>
    <mergeCell ref="B6:C6"/>
    <mergeCell ref="B4:C4"/>
    <mergeCell ref="B7:C7"/>
    <mergeCell ref="B8:C8"/>
  </mergeCells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102"/>
    <col min="3" max="3" width="12.5703125" bestFit="1" customWidth="1"/>
    <col min="4" max="4" width="12.5703125" style="99" bestFit="1" customWidth="1"/>
  </cols>
  <sheetData>
    <row r="1" spans="2:4" x14ac:dyDescent="0.25">
      <c r="C1" s="100">
        <f>'Costos Fijos y Punto de Equil.'!D11</f>
        <v>14592463.560000002</v>
      </c>
      <c r="D1" s="61"/>
    </row>
    <row r="2" spans="2:4" x14ac:dyDescent="0.25">
      <c r="C2" s="101">
        <f>'Costos Fijos y Punto de Equil.'!C16</f>
        <v>447246.16133333335</v>
      </c>
      <c r="D2" s="101">
        <f>'Costos Fijos y Punto de Equil.'!C18</f>
        <v>532222.93198666675</v>
      </c>
    </row>
    <row r="3" spans="2:4" x14ac:dyDescent="0.25">
      <c r="C3" s="103" t="s">
        <v>253</v>
      </c>
      <c r="D3" s="104" t="s">
        <v>254</v>
      </c>
    </row>
    <row r="4" spans="2:4" x14ac:dyDescent="0.25">
      <c r="B4" s="102">
        <v>0</v>
      </c>
      <c r="C4" s="40">
        <f>($C$2*B4)+$C$1</f>
        <v>14592463.560000002</v>
      </c>
      <c r="D4" s="40">
        <f>$D$2*B4</f>
        <v>0</v>
      </c>
    </row>
    <row r="5" spans="2:4" x14ac:dyDescent="0.25">
      <c r="B5" s="102">
        <v>1</v>
      </c>
      <c r="C5" s="40">
        <f t="shared" ref="C5:C68" si="0">($C$2*B5)+$C$1</f>
        <v>15039709.721333336</v>
      </c>
      <c r="D5" s="40">
        <f t="shared" ref="D5:D68" si="1">$D$2*B5</f>
        <v>532222.93198666675</v>
      </c>
    </row>
    <row r="6" spans="2:4" x14ac:dyDescent="0.25">
      <c r="B6" s="102">
        <v>2</v>
      </c>
      <c r="C6" s="40">
        <f t="shared" si="0"/>
        <v>15486955.88266667</v>
      </c>
      <c r="D6" s="40">
        <f t="shared" si="1"/>
        <v>1064445.8639733335</v>
      </c>
    </row>
    <row r="7" spans="2:4" x14ac:dyDescent="0.25">
      <c r="B7" s="102">
        <v>3</v>
      </c>
      <c r="C7" s="40">
        <f t="shared" si="0"/>
        <v>15934202.044000003</v>
      </c>
      <c r="D7" s="40">
        <f t="shared" si="1"/>
        <v>1596668.7959600003</v>
      </c>
    </row>
    <row r="8" spans="2:4" x14ac:dyDescent="0.25">
      <c r="B8" s="102">
        <v>4</v>
      </c>
      <c r="C8" s="40">
        <f t="shared" si="0"/>
        <v>16381448.205333335</v>
      </c>
      <c r="D8" s="40">
        <f t="shared" si="1"/>
        <v>2128891.727946667</v>
      </c>
    </row>
    <row r="9" spans="2:4" x14ac:dyDescent="0.25">
      <c r="B9" s="102">
        <v>5</v>
      </c>
      <c r="C9" s="40">
        <f t="shared" si="0"/>
        <v>16828694.366666667</v>
      </c>
      <c r="D9" s="40">
        <f t="shared" si="1"/>
        <v>2661114.6599333338</v>
      </c>
    </row>
    <row r="10" spans="2:4" x14ac:dyDescent="0.25">
      <c r="B10" s="102">
        <v>6</v>
      </c>
      <c r="C10" s="40">
        <f t="shared" si="0"/>
        <v>17275940.528000005</v>
      </c>
      <c r="D10" s="40">
        <f t="shared" si="1"/>
        <v>3193337.5919200005</v>
      </c>
    </row>
    <row r="11" spans="2:4" x14ac:dyDescent="0.25">
      <c r="B11" s="102">
        <v>7</v>
      </c>
      <c r="C11" s="40">
        <f t="shared" si="0"/>
        <v>17723186.689333335</v>
      </c>
      <c r="D11" s="40">
        <f t="shared" si="1"/>
        <v>3725560.5239066673</v>
      </c>
    </row>
    <row r="12" spans="2:4" x14ac:dyDescent="0.25">
      <c r="B12" s="102">
        <v>8</v>
      </c>
      <c r="C12" s="40">
        <f t="shared" si="0"/>
        <v>18170432.850666668</v>
      </c>
      <c r="D12" s="40">
        <f t="shared" si="1"/>
        <v>4257783.455893334</v>
      </c>
    </row>
    <row r="13" spans="2:4" x14ac:dyDescent="0.25">
      <c r="B13" s="102">
        <v>9</v>
      </c>
      <c r="C13" s="40">
        <f t="shared" si="0"/>
        <v>18617679.012000002</v>
      </c>
      <c r="D13" s="40">
        <f t="shared" si="1"/>
        <v>4790006.3878800012</v>
      </c>
    </row>
    <row r="14" spans="2:4" x14ac:dyDescent="0.25">
      <c r="B14" s="102">
        <v>10</v>
      </c>
      <c r="C14" s="40">
        <f t="shared" si="0"/>
        <v>19064925.173333336</v>
      </c>
      <c r="D14" s="40">
        <f t="shared" si="1"/>
        <v>5322229.3198666675</v>
      </c>
    </row>
    <row r="15" spans="2:4" x14ac:dyDescent="0.25">
      <c r="B15" s="102">
        <v>11</v>
      </c>
      <c r="C15" s="40">
        <f t="shared" si="0"/>
        <v>19512171.334666669</v>
      </c>
      <c r="D15" s="40">
        <f t="shared" si="1"/>
        <v>5854452.2518533338</v>
      </c>
    </row>
    <row r="16" spans="2:4" x14ac:dyDescent="0.25">
      <c r="B16" s="102">
        <v>12</v>
      </c>
      <c r="C16" s="40">
        <f t="shared" si="0"/>
        <v>19959417.496000003</v>
      </c>
      <c r="D16" s="40">
        <f t="shared" si="1"/>
        <v>6386675.183840001</v>
      </c>
    </row>
    <row r="17" spans="2:4" x14ac:dyDescent="0.25">
      <c r="B17" s="102">
        <v>13</v>
      </c>
      <c r="C17" s="40">
        <f t="shared" si="0"/>
        <v>20406663.657333337</v>
      </c>
      <c r="D17" s="40">
        <f t="shared" si="1"/>
        <v>6918898.1158266682</v>
      </c>
    </row>
    <row r="18" spans="2:4" x14ac:dyDescent="0.25">
      <c r="B18" s="102">
        <v>14</v>
      </c>
      <c r="C18" s="40">
        <f t="shared" si="0"/>
        <v>20853909.81866667</v>
      </c>
      <c r="D18" s="40">
        <f t="shared" si="1"/>
        <v>7451121.0478133345</v>
      </c>
    </row>
    <row r="19" spans="2:4" x14ac:dyDescent="0.25">
      <c r="B19" s="102">
        <v>15</v>
      </c>
      <c r="C19" s="40">
        <f t="shared" si="0"/>
        <v>21301155.980000004</v>
      </c>
      <c r="D19" s="40">
        <f t="shared" si="1"/>
        <v>7983343.9798000008</v>
      </c>
    </row>
    <row r="20" spans="2:4" x14ac:dyDescent="0.25">
      <c r="B20" s="102">
        <v>16</v>
      </c>
      <c r="C20" s="40">
        <f t="shared" si="0"/>
        <v>21748402.141333334</v>
      </c>
      <c r="D20" s="40">
        <f t="shared" si="1"/>
        <v>8515566.911786668</v>
      </c>
    </row>
    <row r="21" spans="2:4" x14ac:dyDescent="0.25">
      <c r="B21" s="102">
        <v>17</v>
      </c>
      <c r="C21" s="40">
        <f t="shared" si="0"/>
        <v>22195648.302666672</v>
      </c>
      <c r="D21" s="40">
        <f t="shared" si="1"/>
        <v>9047789.8437733352</v>
      </c>
    </row>
    <row r="22" spans="2:4" x14ac:dyDescent="0.25">
      <c r="B22" s="102">
        <v>18</v>
      </c>
      <c r="C22" s="40">
        <f t="shared" si="0"/>
        <v>22642894.464000002</v>
      </c>
      <c r="D22" s="40">
        <f t="shared" si="1"/>
        <v>9580012.7757600024</v>
      </c>
    </row>
    <row r="23" spans="2:4" x14ac:dyDescent="0.25">
      <c r="B23" s="102">
        <v>19</v>
      </c>
      <c r="C23" s="40">
        <f t="shared" si="0"/>
        <v>23090140.625333335</v>
      </c>
      <c r="D23" s="40">
        <f t="shared" si="1"/>
        <v>10112235.707746668</v>
      </c>
    </row>
    <row r="24" spans="2:4" x14ac:dyDescent="0.25">
      <c r="B24" s="102">
        <v>20</v>
      </c>
      <c r="C24" s="40">
        <f t="shared" si="0"/>
        <v>23537386.786666669</v>
      </c>
      <c r="D24" s="40">
        <f t="shared" si="1"/>
        <v>10644458.639733335</v>
      </c>
    </row>
    <row r="25" spans="2:4" x14ac:dyDescent="0.25">
      <c r="B25" s="102">
        <v>21</v>
      </c>
      <c r="C25" s="40">
        <f t="shared" si="0"/>
        <v>23984632.948000003</v>
      </c>
      <c r="D25" s="40">
        <f t="shared" si="1"/>
        <v>11176681.571720002</v>
      </c>
    </row>
    <row r="26" spans="2:4" x14ac:dyDescent="0.25">
      <c r="B26" s="102">
        <v>22</v>
      </c>
      <c r="C26" s="40">
        <f t="shared" si="0"/>
        <v>24431879.109333336</v>
      </c>
      <c r="D26" s="40">
        <f t="shared" si="1"/>
        <v>11708904.503706668</v>
      </c>
    </row>
    <row r="27" spans="2:4" x14ac:dyDescent="0.25">
      <c r="B27" s="102">
        <v>23</v>
      </c>
      <c r="C27" s="40">
        <f t="shared" si="0"/>
        <v>24879125.27066667</v>
      </c>
      <c r="D27" s="40">
        <f t="shared" si="1"/>
        <v>12241127.435693335</v>
      </c>
    </row>
    <row r="28" spans="2:4" x14ac:dyDescent="0.25">
      <c r="B28" s="102">
        <v>24</v>
      </c>
      <c r="C28" s="40">
        <f t="shared" si="0"/>
        <v>25326371.432000004</v>
      </c>
      <c r="D28" s="40">
        <f t="shared" si="1"/>
        <v>12773350.367680002</v>
      </c>
    </row>
    <row r="29" spans="2:4" x14ac:dyDescent="0.25">
      <c r="B29" s="102">
        <v>25</v>
      </c>
      <c r="C29" s="40">
        <f t="shared" si="0"/>
        <v>25773617.593333334</v>
      </c>
      <c r="D29" s="40">
        <f t="shared" si="1"/>
        <v>13305573.299666669</v>
      </c>
    </row>
    <row r="30" spans="2:4" x14ac:dyDescent="0.25">
      <c r="B30" s="102">
        <v>26</v>
      </c>
      <c r="C30" s="40">
        <f t="shared" si="0"/>
        <v>26220863.754666671</v>
      </c>
      <c r="D30" s="40">
        <f t="shared" si="1"/>
        <v>13837796.231653336</v>
      </c>
    </row>
    <row r="31" spans="2:4" x14ac:dyDescent="0.25">
      <c r="B31" s="102">
        <v>27</v>
      </c>
      <c r="C31" s="40">
        <f t="shared" si="0"/>
        <v>26668109.916000001</v>
      </c>
      <c r="D31" s="40">
        <f t="shared" si="1"/>
        <v>14370019.163640002</v>
      </c>
    </row>
    <row r="32" spans="2:4" x14ac:dyDescent="0.25">
      <c r="B32" s="102">
        <v>28</v>
      </c>
      <c r="C32" s="40">
        <f t="shared" si="0"/>
        <v>27115356.077333339</v>
      </c>
      <c r="D32" s="40">
        <f t="shared" si="1"/>
        <v>14902242.095626669</v>
      </c>
    </row>
    <row r="33" spans="2:4" x14ac:dyDescent="0.25">
      <c r="B33" s="102">
        <v>29</v>
      </c>
      <c r="C33" s="40">
        <f t="shared" si="0"/>
        <v>27562602.238666669</v>
      </c>
      <c r="D33" s="40">
        <f t="shared" si="1"/>
        <v>15434465.027613336</v>
      </c>
    </row>
    <row r="34" spans="2:4" x14ac:dyDescent="0.25">
      <c r="B34" s="102">
        <v>30</v>
      </c>
      <c r="C34" s="40">
        <f t="shared" si="0"/>
        <v>28009848.400000002</v>
      </c>
      <c r="D34" s="40">
        <f t="shared" si="1"/>
        <v>15966687.959600002</v>
      </c>
    </row>
    <row r="35" spans="2:4" x14ac:dyDescent="0.25">
      <c r="B35" s="102">
        <v>31</v>
      </c>
      <c r="C35" s="40">
        <f t="shared" si="0"/>
        <v>28457094.561333336</v>
      </c>
      <c r="D35" s="40">
        <f t="shared" si="1"/>
        <v>16498910.891586669</v>
      </c>
    </row>
    <row r="36" spans="2:4" x14ac:dyDescent="0.25">
      <c r="B36" s="102">
        <v>32</v>
      </c>
      <c r="C36" s="40">
        <f t="shared" si="0"/>
        <v>28904340.72266667</v>
      </c>
      <c r="D36" s="40">
        <f t="shared" si="1"/>
        <v>17031133.823573336</v>
      </c>
    </row>
    <row r="37" spans="2:4" x14ac:dyDescent="0.25">
      <c r="B37" s="102">
        <v>33</v>
      </c>
      <c r="C37" s="40">
        <f t="shared" si="0"/>
        <v>29351586.884000003</v>
      </c>
      <c r="D37" s="40">
        <f t="shared" si="1"/>
        <v>17563356.755560003</v>
      </c>
    </row>
    <row r="38" spans="2:4" x14ac:dyDescent="0.25">
      <c r="B38" s="102">
        <v>34</v>
      </c>
      <c r="C38" s="40">
        <f t="shared" si="0"/>
        <v>29798833.045333337</v>
      </c>
      <c r="D38" s="40">
        <f t="shared" si="1"/>
        <v>18095579.68754667</v>
      </c>
    </row>
    <row r="39" spans="2:4" x14ac:dyDescent="0.25">
      <c r="B39" s="102">
        <v>35</v>
      </c>
      <c r="C39" s="40">
        <f t="shared" si="0"/>
        <v>30246079.206666671</v>
      </c>
      <c r="D39" s="40">
        <f t="shared" si="1"/>
        <v>18627802.619533338</v>
      </c>
    </row>
    <row r="40" spans="2:4" x14ac:dyDescent="0.25">
      <c r="B40" s="102">
        <v>36</v>
      </c>
      <c r="C40" s="40">
        <f t="shared" si="0"/>
        <v>30693325.368000001</v>
      </c>
      <c r="D40" s="40">
        <f t="shared" si="1"/>
        <v>19160025.551520005</v>
      </c>
    </row>
    <row r="41" spans="2:4" x14ac:dyDescent="0.25">
      <c r="B41" s="102">
        <v>37</v>
      </c>
      <c r="C41" s="40">
        <f t="shared" si="0"/>
        <v>31140571.529333338</v>
      </c>
      <c r="D41" s="40">
        <f t="shared" si="1"/>
        <v>19692248.483506668</v>
      </c>
    </row>
    <row r="42" spans="2:4" x14ac:dyDescent="0.25">
      <c r="B42" s="102">
        <v>38</v>
      </c>
      <c r="C42" s="40">
        <f t="shared" si="0"/>
        <v>31587817.690666668</v>
      </c>
      <c r="D42" s="40">
        <f t="shared" si="1"/>
        <v>20224471.415493336</v>
      </c>
    </row>
    <row r="43" spans="2:4" x14ac:dyDescent="0.25">
      <c r="B43" s="102">
        <v>39</v>
      </c>
      <c r="C43" s="40">
        <f t="shared" si="0"/>
        <v>32035063.852000002</v>
      </c>
      <c r="D43" s="40">
        <f t="shared" si="1"/>
        <v>20756694.347480003</v>
      </c>
    </row>
    <row r="44" spans="2:4" x14ac:dyDescent="0.25">
      <c r="B44" s="102">
        <v>40</v>
      </c>
      <c r="C44" s="40">
        <f t="shared" si="0"/>
        <v>32482310.013333336</v>
      </c>
      <c r="D44" s="40">
        <f t="shared" si="1"/>
        <v>21288917.27946667</v>
      </c>
    </row>
    <row r="45" spans="2:4" x14ac:dyDescent="0.25">
      <c r="B45" s="102">
        <v>41</v>
      </c>
      <c r="C45" s="40">
        <f t="shared" si="0"/>
        <v>32929556.174666669</v>
      </c>
      <c r="D45" s="40">
        <f t="shared" si="1"/>
        <v>21821140.211453337</v>
      </c>
    </row>
    <row r="46" spans="2:4" x14ac:dyDescent="0.25">
      <c r="B46" s="102">
        <v>42</v>
      </c>
      <c r="C46" s="40">
        <f t="shared" si="0"/>
        <v>33376802.336000003</v>
      </c>
      <c r="D46" s="40">
        <f t="shared" si="1"/>
        <v>22353363.143440004</v>
      </c>
    </row>
    <row r="47" spans="2:4" x14ac:dyDescent="0.25">
      <c r="B47" s="102">
        <v>43</v>
      </c>
      <c r="C47" s="40">
        <f t="shared" si="0"/>
        <v>33824048.497333333</v>
      </c>
      <c r="D47" s="40">
        <f t="shared" si="1"/>
        <v>22885586.075426672</v>
      </c>
    </row>
    <row r="48" spans="2:4" x14ac:dyDescent="0.25">
      <c r="B48" s="102">
        <v>44</v>
      </c>
      <c r="C48" s="40">
        <f t="shared" si="0"/>
        <v>34271294.65866667</v>
      </c>
      <c r="D48" s="40">
        <f t="shared" si="1"/>
        <v>23417809.007413335</v>
      </c>
    </row>
    <row r="49" spans="2:4" x14ac:dyDescent="0.25">
      <c r="B49" s="102">
        <v>45</v>
      </c>
      <c r="C49" s="40">
        <f t="shared" si="0"/>
        <v>34718540.820000008</v>
      </c>
      <c r="D49" s="40">
        <f t="shared" si="1"/>
        <v>23950031.939400002</v>
      </c>
    </row>
    <row r="50" spans="2:4" x14ac:dyDescent="0.25">
      <c r="B50" s="102">
        <v>46</v>
      </c>
      <c r="C50" s="40">
        <f t="shared" si="0"/>
        <v>35165786.981333338</v>
      </c>
      <c r="D50" s="40">
        <f t="shared" si="1"/>
        <v>24482254.87138667</v>
      </c>
    </row>
    <row r="51" spans="2:4" x14ac:dyDescent="0.25">
      <c r="B51" s="102">
        <v>47</v>
      </c>
      <c r="C51" s="40">
        <f t="shared" si="0"/>
        <v>35613033.142666668</v>
      </c>
      <c r="D51" s="40">
        <f t="shared" si="1"/>
        <v>25014477.803373337</v>
      </c>
    </row>
    <row r="52" spans="2:4" x14ac:dyDescent="0.25">
      <c r="B52" s="102">
        <v>48</v>
      </c>
      <c r="C52" s="40">
        <f t="shared" si="0"/>
        <v>36060279.304000005</v>
      </c>
      <c r="D52" s="40">
        <f t="shared" si="1"/>
        <v>25546700.735360004</v>
      </c>
    </row>
    <row r="53" spans="2:4" x14ac:dyDescent="0.25">
      <c r="B53" s="102">
        <v>49</v>
      </c>
      <c r="C53" s="40">
        <f t="shared" si="0"/>
        <v>36507525.465333335</v>
      </c>
      <c r="D53" s="40">
        <f t="shared" si="1"/>
        <v>26078923.667346671</v>
      </c>
    </row>
    <row r="54" spans="2:4" x14ac:dyDescent="0.25">
      <c r="B54" s="102">
        <v>50</v>
      </c>
      <c r="C54" s="40">
        <f t="shared" si="0"/>
        <v>36954771.626666665</v>
      </c>
      <c r="D54" s="40">
        <f t="shared" si="1"/>
        <v>26611146.599333338</v>
      </c>
    </row>
    <row r="55" spans="2:4" x14ac:dyDescent="0.25">
      <c r="B55" s="102">
        <v>51</v>
      </c>
      <c r="C55" s="40">
        <f t="shared" si="0"/>
        <v>37402017.788000003</v>
      </c>
      <c r="D55" s="40">
        <f t="shared" si="1"/>
        <v>27143369.531320006</v>
      </c>
    </row>
    <row r="56" spans="2:4" x14ac:dyDescent="0.25">
      <c r="B56" s="102">
        <v>52</v>
      </c>
      <c r="C56" s="40">
        <f t="shared" si="0"/>
        <v>37849263.94933334</v>
      </c>
      <c r="D56" s="40">
        <f t="shared" si="1"/>
        <v>27675592.463306673</v>
      </c>
    </row>
    <row r="57" spans="2:4" x14ac:dyDescent="0.25">
      <c r="B57" s="102">
        <v>53</v>
      </c>
      <c r="C57" s="40">
        <f t="shared" si="0"/>
        <v>38296510.11066667</v>
      </c>
      <c r="D57" s="40">
        <f t="shared" si="1"/>
        <v>28207815.395293336</v>
      </c>
    </row>
    <row r="58" spans="2:4" x14ac:dyDescent="0.25">
      <c r="B58" s="102">
        <v>54</v>
      </c>
      <c r="C58" s="40">
        <f t="shared" si="0"/>
        <v>38743756.272</v>
      </c>
      <c r="D58" s="40">
        <f t="shared" si="1"/>
        <v>28740038.327280004</v>
      </c>
    </row>
    <row r="59" spans="2:4" x14ac:dyDescent="0.25">
      <c r="B59" s="102">
        <v>55</v>
      </c>
      <c r="C59" s="40">
        <f t="shared" si="0"/>
        <v>39191002.433333337</v>
      </c>
      <c r="D59" s="40">
        <f t="shared" si="1"/>
        <v>29272261.259266671</v>
      </c>
    </row>
    <row r="60" spans="2:4" x14ac:dyDescent="0.25">
      <c r="B60" s="102">
        <v>56</v>
      </c>
      <c r="C60" s="40">
        <f t="shared" si="0"/>
        <v>39638248.594666675</v>
      </c>
      <c r="D60" s="40">
        <f t="shared" si="1"/>
        <v>29804484.191253338</v>
      </c>
    </row>
    <row r="61" spans="2:4" x14ac:dyDescent="0.25">
      <c r="B61" s="102">
        <v>57</v>
      </c>
      <c r="C61" s="40">
        <f t="shared" si="0"/>
        <v>40085494.756000005</v>
      </c>
      <c r="D61" s="40">
        <f t="shared" si="1"/>
        <v>30336707.123240005</v>
      </c>
    </row>
    <row r="62" spans="2:4" x14ac:dyDescent="0.25">
      <c r="B62" s="102">
        <v>58</v>
      </c>
      <c r="C62" s="40">
        <f t="shared" si="0"/>
        <v>40532740.917333335</v>
      </c>
      <c r="D62" s="40">
        <f t="shared" si="1"/>
        <v>30868930.055226672</v>
      </c>
    </row>
    <row r="63" spans="2:4" x14ac:dyDescent="0.25">
      <c r="B63" s="102">
        <v>59</v>
      </c>
      <c r="C63" s="40">
        <f t="shared" si="0"/>
        <v>40979987.078666672</v>
      </c>
      <c r="D63" s="40">
        <f t="shared" si="1"/>
        <v>31401152.98721334</v>
      </c>
    </row>
    <row r="64" spans="2:4" x14ac:dyDescent="0.25">
      <c r="B64" s="102">
        <v>60</v>
      </c>
      <c r="C64" s="40">
        <f t="shared" si="0"/>
        <v>41427233.240000002</v>
      </c>
      <c r="D64" s="40">
        <f t="shared" si="1"/>
        <v>31933375.919200003</v>
      </c>
    </row>
    <row r="65" spans="2:4" x14ac:dyDescent="0.25">
      <c r="B65" s="102">
        <v>61</v>
      </c>
      <c r="C65" s="40">
        <f t="shared" si="0"/>
        <v>41874479.401333332</v>
      </c>
      <c r="D65" s="40">
        <f t="shared" si="1"/>
        <v>32465598.85118667</v>
      </c>
    </row>
    <row r="66" spans="2:4" x14ac:dyDescent="0.25">
      <c r="B66" s="102">
        <v>62</v>
      </c>
      <c r="C66" s="40">
        <f t="shared" si="0"/>
        <v>42321725.562666669</v>
      </c>
      <c r="D66" s="40">
        <f t="shared" si="1"/>
        <v>32997821.783173338</v>
      </c>
    </row>
    <row r="67" spans="2:4" x14ac:dyDescent="0.25">
      <c r="B67" s="102">
        <v>63</v>
      </c>
      <c r="C67" s="40">
        <f t="shared" si="0"/>
        <v>42768971.724000007</v>
      </c>
      <c r="D67" s="40">
        <f t="shared" si="1"/>
        <v>33530044.715160005</v>
      </c>
    </row>
    <row r="68" spans="2:4" x14ac:dyDescent="0.25">
      <c r="B68" s="102">
        <v>64</v>
      </c>
      <c r="C68" s="40">
        <f t="shared" si="0"/>
        <v>43216217.885333337</v>
      </c>
      <c r="D68" s="40">
        <f t="shared" si="1"/>
        <v>34062267.647146672</v>
      </c>
    </row>
    <row r="69" spans="2:4" x14ac:dyDescent="0.25">
      <c r="B69" s="102">
        <v>65</v>
      </c>
      <c r="C69" s="40">
        <f t="shared" ref="C69:C132" si="2">($C$2*B69)+$C$1</f>
        <v>43663464.046666667</v>
      </c>
      <c r="D69" s="40">
        <f t="shared" ref="D69:D132" si="3">$D$2*B69</f>
        <v>34594490.579133339</v>
      </c>
    </row>
    <row r="70" spans="2:4" x14ac:dyDescent="0.25">
      <c r="B70" s="102">
        <v>66</v>
      </c>
      <c r="C70" s="40">
        <f t="shared" si="2"/>
        <v>44110710.208000004</v>
      </c>
      <c r="D70" s="40">
        <f t="shared" si="3"/>
        <v>35126713.511120006</v>
      </c>
    </row>
    <row r="71" spans="2:4" x14ac:dyDescent="0.25">
      <c r="B71" s="102">
        <v>67</v>
      </c>
      <c r="C71" s="40">
        <f t="shared" si="2"/>
        <v>44557956.369333342</v>
      </c>
      <c r="D71" s="40">
        <f t="shared" si="3"/>
        <v>35658936.443106674</v>
      </c>
    </row>
    <row r="72" spans="2:4" x14ac:dyDescent="0.25">
      <c r="B72" s="102">
        <v>68</v>
      </c>
      <c r="C72" s="40">
        <f t="shared" si="2"/>
        <v>45005202.530666672</v>
      </c>
      <c r="D72" s="40">
        <f t="shared" si="3"/>
        <v>36191159.375093341</v>
      </c>
    </row>
    <row r="73" spans="2:4" x14ac:dyDescent="0.25">
      <c r="B73" s="102">
        <v>69</v>
      </c>
      <c r="C73" s="40">
        <f t="shared" si="2"/>
        <v>45452448.692000002</v>
      </c>
      <c r="D73" s="40">
        <f t="shared" si="3"/>
        <v>36723382.307080008</v>
      </c>
    </row>
    <row r="74" spans="2:4" x14ac:dyDescent="0.25">
      <c r="B74" s="102">
        <v>70</v>
      </c>
      <c r="C74" s="40">
        <f t="shared" si="2"/>
        <v>45899694.853333339</v>
      </c>
      <c r="D74" s="40">
        <f t="shared" si="3"/>
        <v>37255605.239066675</v>
      </c>
    </row>
    <row r="75" spans="2:4" x14ac:dyDescent="0.25">
      <c r="B75" s="102">
        <v>71</v>
      </c>
      <c r="C75" s="40">
        <f t="shared" si="2"/>
        <v>46346941.014666669</v>
      </c>
      <c r="D75" s="40">
        <f t="shared" si="3"/>
        <v>37787828.171053343</v>
      </c>
    </row>
    <row r="76" spans="2:4" x14ac:dyDescent="0.25">
      <c r="B76" s="102">
        <v>72</v>
      </c>
      <c r="C76" s="40">
        <f t="shared" si="2"/>
        <v>46794187.175999999</v>
      </c>
      <c r="D76" s="40">
        <f t="shared" si="3"/>
        <v>38320051.10304001</v>
      </c>
    </row>
    <row r="77" spans="2:4" x14ac:dyDescent="0.25">
      <c r="B77" s="102">
        <v>73</v>
      </c>
      <c r="C77" s="40">
        <f t="shared" si="2"/>
        <v>47241433.337333336</v>
      </c>
      <c r="D77" s="40">
        <f t="shared" si="3"/>
        <v>38852274.03502667</v>
      </c>
    </row>
    <row r="78" spans="2:4" x14ac:dyDescent="0.25">
      <c r="B78" s="102">
        <v>74</v>
      </c>
      <c r="C78" s="40">
        <f t="shared" si="2"/>
        <v>47688679.498666674</v>
      </c>
      <c r="D78" s="40">
        <f t="shared" si="3"/>
        <v>39384496.967013337</v>
      </c>
    </row>
    <row r="79" spans="2:4" x14ac:dyDescent="0.25">
      <c r="B79" s="102">
        <v>75</v>
      </c>
      <c r="C79" s="40">
        <f t="shared" si="2"/>
        <v>48135925.660000004</v>
      </c>
      <c r="D79" s="40">
        <f t="shared" si="3"/>
        <v>39916719.899000004</v>
      </c>
    </row>
    <row r="80" spans="2:4" x14ac:dyDescent="0.25">
      <c r="B80" s="102">
        <v>76</v>
      </c>
      <c r="C80" s="40">
        <f t="shared" si="2"/>
        <v>48583171.821333334</v>
      </c>
      <c r="D80" s="40">
        <f t="shared" si="3"/>
        <v>40448942.830986671</v>
      </c>
    </row>
    <row r="81" spans="2:4" x14ac:dyDescent="0.25">
      <c r="B81" s="102">
        <v>77</v>
      </c>
      <c r="C81" s="40">
        <f t="shared" si="2"/>
        <v>49030417.982666671</v>
      </c>
      <c r="D81" s="40">
        <f t="shared" si="3"/>
        <v>40981165.762973338</v>
      </c>
    </row>
    <row r="82" spans="2:4" x14ac:dyDescent="0.25">
      <c r="B82" s="102">
        <v>78</v>
      </c>
      <c r="C82" s="40">
        <f t="shared" si="2"/>
        <v>49477664.144000001</v>
      </c>
      <c r="D82" s="40">
        <f t="shared" si="3"/>
        <v>41513388.694960006</v>
      </c>
    </row>
    <row r="83" spans="2:4" x14ac:dyDescent="0.25">
      <c r="B83" s="102">
        <v>79</v>
      </c>
      <c r="C83" s="40">
        <f t="shared" si="2"/>
        <v>49924910.305333339</v>
      </c>
      <c r="D83" s="40">
        <f t="shared" si="3"/>
        <v>42045611.626946673</v>
      </c>
    </row>
    <row r="84" spans="2:4" x14ac:dyDescent="0.25">
      <c r="B84" s="102">
        <v>80</v>
      </c>
      <c r="C84" s="40">
        <f t="shared" si="2"/>
        <v>50372156.466666669</v>
      </c>
      <c r="D84" s="40">
        <f t="shared" si="3"/>
        <v>42577834.55893334</v>
      </c>
    </row>
    <row r="85" spans="2:4" x14ac:dyDescent="0.25">
      <c r="B85" s="102">
        <v>81</v>
      </c>
      <c r="C85" s="40">
        <f t="shared" si="2"/>
        <v>50819402.628000006</v>
      </c>
      <c r="D85" s="40">
        <f t="shared" si="3"/>
        <v>43110057.490920007</v>
      </c>
    </row>
    <row r="86" spans="2:4" x14ac:dyDescent="0.25">
      <c r="B86" s="102">
        <v>82</v>
      </c>
      <c r="C86" s="40">
        <f t="shared" si="2"/>
        <v>51266648.789333336</v>
      </c>
      <c r="D86" s="40">
        <f t="shared" si="3"/>
        <v>43642280.422906674</v>
      </c>
    </row>
    <row r="87" spans="2:4" x14ac:dyDescent="0.25">
      <c r="B87" s="102">
        <v>83</v>
      </c>
      <c r="C87" s="40">
        <f t="shared" si="2"/>
        <v>51713894.950666673</v>
      </c>
      <c r="D87" s="40">
        <f t="shared" si="3"/>
        <v>44174503.354893342</v>
      </c>
    </row>
    <row r="88" spans="2:4" x14ac:dyDescent="0.25">
      <c r="B88" s="102">
        <v>84</v>
      </c>
      <c r="C88" s="40">
        <f t="shared" si="2"/>
        <v>52161141.112000003</v>
      </c>
      <c r="D88" s="40">
        <f t="shared" si="3"/>
        <v>44706726.286880009</v>
      </c>
    </row>
    <row r="89" spans="2:4" x14ac:dyDescent="0.25">
      <c r="B89" s="102">
        <v>85</v>
      </c>
      <c r="C89" s="40">
        <f t="shared" si="2"/>
        <v>52608387.273333341</v>
      </c>
      <c r="D89" s="40">
        <f t="shared" si="3"/>
        <v>45238949.218866676</v>
      </c>
    </row>
    <row r="90" spans="2:4" x14ac:dyDescent="0.25">
      <c r="B90" s="102">
        <v>86</v>
      </c>
      <c r="C90" s="40">
        <f t="shared" si="2"/>
        <v>53055633.434666671</v>
      </c>
      <c r="D90" s="40">
        <f t="shared" si="3"/>
        <v>45771172.150853343</v>
      </c>
    </row>
    <row r="91" spans="2:4" x14ac:dyDescent="0.25">
      <c r="B91" s="102">
        <v>87</v>
      </c>
      <c r="C91" s="40">
        <f t="shared" si="2"/>
        <v>53502879.596000001</v>
      </c>
      <c r="D91" s="40">
        <f t="shared" si="3"/>
        <v>46303395.082840011</v>
      </c>
    </row>
    <row r="92" spans="2:4" x14ac:dyDescent="0.25">
      <c r="B92" s="102">
        <v>88</v>
      </c>
      <c r="C92" s="40">
        <f t="shared" si="2"/>
        <v>53950125.757333338</v>
      </c>
      <c r="D92" s="40">
        <f t="shared" si="3"/>
        <v>46835618.01482667</v>
      </c>
    </row>
    <row r="93" spans="2:4" x14ac:dyDescent="0.25">
      <c r="B93" s="102">
        <v>89</v>
      </c>
      <c r="C93" s="40">
        <f t="shared" si="2"/>
        <v>54397371.918666668</v>
      </c>
      <c r="D93" s="40">
        <f t="shared" si="3"/>
        <v>47367840.946813338</v>
      </c>
    </row>
    <row r="94" spans="2:4" x14ac:dyDescent="0.25">
      <c r="B94" s="102">
        <v>90</v>
      </c>
      <c r="C94" s="40">
        <f t="shared" si="2"/>
        <v>54844618.080000006</v>
      </c>
      <c r="D94" s="40">
        <f t="shared" si="3"/>
        <v>47900063.878800005</v>
      </c>
    </row>
    <row r="95" spans="2:4" x14ac:dyDescent="0.25">
      <c r="B95" s="102">
        <v>91</v>
      </c>
      <c r="C95" s="40">
        <f t="shared" si="2"/>
        <v>55291864.241333336</v>
      </c>
      <c r="D95" s="40">
        <f t="shared" si="3"/>
        <v>48432286.810786672</v>
      </c>
    </row>
    <row r="96" spans="2:4" x14ac:dyDescent="0.25">
      <c r="B96" s="102">
        <v>92</v>
      </c>
      <c r="C96" s="40">
        <f t="shared" si="2"/>
        <v>55739110.402666673</v>
      </c>
      <c r="D96" s="40">
        <f t="shared" si="3"/>
        <v>48964509.742773339</v>
      </c>
    </row>
    <row r="97" spans="2:4" x14ac:dyDescent="0.25">
      <c r="B97" s="102">
        <v>93</v>
      </c>
      <c r="C97" s="40">
        <f t="shared" si="2"/>
        <v>56186356.564000003</v>
      </c>
      <c r="D97" s="40">
        <f t="shared" si="3"/>
        <v>49496732.674760006</v>
      </c>
    </row>
    <row r="98" spans="2:4" x14ac:dyDescent="0.25">
      <c r="B98" s="102">
        <v>94</v>
      </c>
      <c r="C98" s="40">
        <f t="shared" si="2"/>
        <v>56633602.72533334</v>
      </c>
      <c r="D98" s="40">
        <f t="shared" si="3"/>
        <v>50028955.606746674</v>
      </c>
    </row>
    <row r="99" spans="2:4" x14ac:dyDescent="0.25">
      <c r="B99" s="102">
        <v>95</v>
      </c>
      <c r="C99" s="40">
        <f t="shared" si="2"/>
        <v>57080848.88666667</v>
      </c>
      <c r="D99" s="40">
        <f t="shared" si="3"/>
        <v>50561178.538733341</v>
      </c>
    </row>
    <row r="100" spans="2:4" x14ac:dyDescent="0.25">
      <c r="B100" s="102">
        <v>96</v>
      </c>
      <c r="C100" s="40">
        <f t="shared" si="2"/>
        <v>57528095.048000008</v>
      </c>
      <c r="D100" s="40">
        <f t="shared" si="3"/>
        <v>51093401.470720008</v>
      </c>
    </row>
    <row r="101" spans="2:4" x14ac:dyDescent="0.25">
      <c r="B101" s="102">
        <v>97</v>
      </c>
      <c r="C101" s="40">
        <f t="shared" si="2"/>
        <v>57975341.209333338</v>
      </c>
      <c r="D101" s="40">
        <f t="shared" si="3"/>
        <v>51625624.402706675</v>
      </c>
    </row>
    <row r="102" spans="2:4" x14ac:dyDescent="0.25">
      <c r="B102" s="102">
        <v>98</v>
      </c>
      <c r="C102" s="40">
        <f t="shared" si="2"/>
        <v>58422587.370666668</v>
      </c>
      <c r="D102" s="40">
        <f t="shared" si="3"/>
        <v>52157847.334693342</v>
      </c>
    </row>
    <row r="103" spans="2:4" x14ac:dyDescent="0.25">
      <c r="B103" s="102">
        <v>99</v>
      </c>
      <c r="C103" s="40">
        <f t="shared" si="2"/>
        <v>58869833.532000005</v>
      </c>
      <c r="D103" s="40">
        <f t="shared" si="3"/>
        <v>52690070.26668001</v>
      </c>
    </row>
    <row r="104" spans="2:4" x14ac:dyDescent="0.25">
      <c r="B104" s="102">
        <v>100</v>
      </c>
      <c r="C104" s="40">
        <f t="shared" si="2"/>
        <v>59317079.693333335</v>
      </c>
      <c r="D104" s="40">
        <f t="shared" si="3"/>
        <v>53222293.198666677</v>
      </c>
    </row>
    <row r="105" spans="2:4" x14ac:dyDescent="0.25">
      <c r="B105" s="102">
        <v>101</v>
      </c>
      <c r="C105" s="40">
        <f t="shared" si="2"/>
        <v>59764325.854666673</v>
      </c>
      <c r="D105" s="40">
        <f t="shared" si="3"/>
        <v>53754516.130653344</v>
      </c>
    </row>
    <row r="106" spans="2:4" x14ac:dyDescent="0.25">
      <c r="B106" s="102">
        <v>102</v>
      </c>
      <c r="C106" s="40">
        <f t="shared" si="2"/>
        <v>60211572.016000003</v>
      </c>
      <c r="D106" s="40">
        <f t="shared" si="3"/>
        <v>54286739.062640011</v>
      </c>
    </row>
    <row r="107" spans="2:4" x14ac:dyDescent="0.25">
      <c r="B107" s="102">
        <v>103</v>
      </c>
      <c r="C107" s="40">
        <f t="shared" si="2"/>
        <v>60658818.17733334</v>
      </c>
      <c r="D107" s="40">
        <f t="shared" si="3"/>
        <v>54818961.994626679</v>
      </c>
    </row>
    <row r="108" spans="2:4" x14ac:dyDescent="0.25">
      <c r="B108" s="102">
        <v>104</v>
      </c>
      <c r="C108" s="40">
        <f t="shared" si="2"/>
        <v>61106064.33866667</v>
      </c>
      <c r="D108" s="40">
        <f t="shared" si="3"/>
        <v>55351184.926613346</v>
      </c>
    </row>
    <row r="109" spans="2:4" x14ac:dyDescent="0.25">
      <c r="B109" s="102">
        <v>105</v>
      </c>
      <c r="C109" s="40">
        <f t="shared" si="2"/>
        <v>61553310.500000007</v>
      </c>
      <c r="D109" s="40">
        <f t="shared" si="3"/>
        <v>55883407.858600006</v>
      </c>
    </row>
    <row r="110" spans="2:4" x14ac:dyDescent="0.25">
      <c r="B110" s="102">
        <v>106</v>
      </c>
      <c r="C110" s="40">
        <f t="shared" si="2"/>
        <v>62000556.661333337</v>
      </c>
      <c r="D110" s="40">
        <f t="shared" si="3"/>
        <v>56415630.790586673</v>
      </c>
    </row>
    <row r="111" spans="2:4" x14ac:dyDescent="0.25">
      <c r="B111" s="102">
        <v>107</v>
      </c>
      <c r="C111" s="40">
        <f t="shared" si="2"/>
        <v>62447802.822666667</v>
      </c>
      <c r="D111" s="40">
        <f t="shared" si="3"/>
        <v>56947853.72257334</v>
      </c>
    </row>
    <row r="112" spans="2:4" x14ac:dyDescent="0.25">
      <c r="B112" s="102">
        <v>108</v>
      </c>
      <c r="C112" s="40">
        <f t="shared" si="2"/>
        <v>62895048.984000005</v>
      </c>
      <c r="D112" s="40">
        <f t="shared" si="3"/>
        <v>57480076.654560007</v>
      </c>
    </row>
    <row r="113" spans="2:4" x14ac:dyDescent="0.25">
      <c r="B113" s="102">
        <v>109</v>
      </c>
      <c r="C113" s="40">
        <f t="shared" si="2"/>
        <v>63342295.145333335</v>
      </c>
      <c r="D113" s="40">
        <f t="shared" si="3"/>
        <v>58012299.586546674</v>
      </c>
    </row>
    <row r="114" spans="2:4" x14ac:dyDescent="0.25">
      <c r="B114" s="102">
        <v>110</v>
      </c>
      <c r="C114" s="40">
        <f t="shared" si="2"/>
        <v>63789541.306666672</v>
      </c>
      <c r="D114" s="40">
        <f t="shared" si="3"/>
        <v>58544522.518533342</v>
      </c>
    </row>
    <row r="115" spans="2:4" x14ac:dyDescent="0.25">
      <c r="B115" s="102">
        <v>111</v>
      </c>
      <c r="C115" s="40">
        <f t="shared" si="2"/>
        <v>64236787.468000002</v>
      </c>
      <c r="D115" s="40">
        <f t="shared" si="3"/>
        <v>59076745.450520009</v>
      </c>
    </row>
    <row r="116" spans="2:4" x14ac:dyDescent="0.25">
      <c r="B116" s="102">
        <v>112</v>
      </c>
      <c r="C116" s="40">
        <f t="shared" si="2"/>
        <v>64684033.62933334</v>
      </c>
      <c r="D116" s="40">
        <f t="shared" si="3"/>
        <v>59608968.382506676</v>
      </c>
    </row>
    <row r="117" spans="2:4" x14ac:dyDescent="0.25">
      <c r="B117" s="102">
        <v>113</v>
      </c>
      <c r="C117" s="40">
        <f t="shared" si="2"/>
        <v>65131279.79066667</v>
      </c>
      <c r="D117" s="40">
        <f t="shared" si="3"/>
        <v>60141191.314493343</v>
      </c>
    </row>
    <row r="118" spans="2:4" x14ac:dyDescent="0.25">
      <c r="B118" s="102">
        <v>114</v>
      </c>
      <c r="C118" s="40">
        <f t="shared" si="2"/>
        <v>65578525.952000007</v>
      </c>
      <c r="D118" s="40">
        <f t="shared" si="3"/>
        <v>60673414.24648001</v>
      </c>
    </row>
    <row r="119" spans="2:4" x14ac:dyDescent="0.25">
      <c r="B119" s="102">
        <v>115</v>
      </c>
      <c r="C119" s="40">
        <f t="shared" si="2"/>
        <v>66025772.113333337</v>
      </c>
      <c r="D119" s="40">
        <f t="shared" si="3"/>
        <v>61205637.178466678</v>
      </c>
    </row>
    <row r="120" spans="2:4" x14ac:dyDescent="0.25">
      <c r="B120" s="102">
        <v>116</v>
      </c>
      <c r="C120" s="40">
        <f t="shared" si="2"/>
        <v>66473018.274666674</v>
      </c>
      <c r="D120" s="40">
        <f t="shared" si="3"/>
        <v>61737860.110453345</v>
      </c>
    </row>
    <row r="121" spans="2:4" x14ac:dyDescent="0.25">
      <c r="B121" s="102">
        <v>117</v>
      </c>
      <c r="C121" s="40">
        <f t="shared" si="2"/>
        <v>66920264.436000004</v>
      </c>
      <c r="D121" s="40">
        <f t="shared" si="3"/>
        <v>62270083.042440012</v>
      </c>
    </row>
    <row r="122" spans="2:4" x14ac:dyDescent="0.25">
      <c r="B122" s="102">
        <v>118</v>
      </c>
      <c r="C122" s="40">
        <f t="shared" si="2"/>
        <v>67367510.597333342</v>
      </c>
      <c r="D122" s="40">
        <f t="shared" si="3"/>
        <v>62802305.974426679</v>
      </c>
    </row>
    <row r="123" spans="2:4" x14ac:dyDescent="0.25">
      <c r="B123" s="102">
        <v>119</v>
      </c>
      <c r="C123" s="40">
        <f t="shared" si="2"/>
        <v>67814756.758666664</v>
      </c>
      <c r="D123" s="40">
        <f t="shared" si="3"/>
        <v>63334528.906413347</v>
      </c>
    </row>
    <row r="124" spans="2:4" x14ac:dyDescent="0.25">
      <c r="B124" s="102">
        <v>120</v>
      </c>
      <c r="C124" s="40">
        <f t="shared" si="2"/>
        <v>68262002.920000002</v>
      </c>
      <c r="D124" s="40">
        <f t="shared" si="3"/>
        <v>63866751.838400006</v>
      </c>
    </row>
    <row r="125" spans="2:4" x14ac:dyDescent="0.25">
      <c r="B125" s="102">
        <v>121</v>
      </c>
      <c r="C125" s="40">
        <f t="shared" si="2"/>
        <v>68709249.081333339</v>
      </c>
      <c r="D125" s="40">
        <f t="shared" si="3"/>
        <v>64398974.770386674</v>
      </c>
    </row>
    <row r="126" spans="2:4" x14ac:dyDescent="0.25">
      <c r="B126" s="102">
        <v>122</v>
      </c>
      <c r="C126" s="40">
        <f t="shared" si="2"/>
        <v>69156495.242666662</v>
      </c>
      <c r="D126" s="40">
        <f t="shared" si="3"/>
        <v>64931197.702373341</v>
      </c>
    </row>
    <row r="127" spans="2:4" x14ac:dyDescent="0.25">
      <c r="B127" s="102">
        <v>123</v>
      </c>
      <c r="C127" s="40">
        <f t="shared" si="2"/>
        <v>69603741.404000014</v>
      </c>
      <c r="D127" s="40">
        <f t="shared" si="3"/>
        <v>65463420.634360008</v>
      </c>
    </row>
    <row r="128" spans="2:4" x14ac:dyDescent="0.25">
      <c r="B128" s="102">
        <v>124</v>
      </c>
      <c r="C128" s="40">
        <f t="shared" si="2"/>
        <v>70050987.565333337</v>
      </c>
      <c r="D128" s="40">
        <f t="shared" si="3"/>
        <v>65995643.566346675</v>
      </c>
    </row>
    <row r="129" spans="2:4" x14ac:dyDescent="0.25">
      <c r="B129" s="102">
        <v>125</v>
      </c>
      <c r="C129" s="40">
        <f t="shared" si="2"/>
        <v>70498233.726666674</v>
      </c>
      <c r="D129" s="40">
        <f t="shared" si="3"/>
        <v>66527866.498333342</v>
      </c>
    </row>
    <row r="130" spans="2:4" x14ac:dyDescent="0.25">
      <c r="B130" s="102">
        <v>126</v>
      </c>
      <c r="C130" s="40">
        <f t="shared" si="2"/>
        <v>70945479.888000011</v>
      </c>
      <c r="D130" s="40">
        <f t="shared" si="3"/>
        <v>67060089.43032001</v>
      </c>
    </row>
    <row r="131" spans="2:4" x14ac:dyDescent="0.25">
      <c r="B131" s="102">
        <v>127</v>
      </c>
      <c r="C131" s="40">
        <f t="shared" si="2"/>
        <v>71392726.049333334</v>
      </c>
      <c r="D131" s="40">
        <f t="shared" si="3"/>
        <v>67592312.362306684</v>
      </c>
    </row>
    <row r="132" spans="2:4" x14ac:dyDescent="0.25">
      <c r="B132" s="102">
        <v>128</v>
      </c>
      <c r="C132" s="40">
        <f t="shared" si="2"/>
        <v>71839972.210666671</v>
      </c>
      <c r="D132" s="40">
        <f t="shared" si="3"/>
        <v>68124535.294293344</v>
      </c>
    </row>
    <row r="133" spans="2:4" x14ac:dyDescent="0.25">
      <c r="B133" s="102">
        <v>129</v>
      </c>
      <c r="C133" s="40">
        <f t="shared" ref="C133:C196" si="4">($C$2*B133)+$C$1</f>
        <v>72287218.372000009</v>
      </c>
      <c r="D133" s="40">
        <f t="shared" ref="D133:D196" si="5">$D$2*B133</f>
        <v>68656758.226280004</v>
      </c>
    </row>
    <row r="134" spans="2:4" x14ac:dyDescent="0.25">
      <c r="B134" s="102">
        <v>130</v>
      </c>
      <c r="C134" s="40">
        <f t="shared" si="4"/>
        <v>72734464.533333331</v>
      </c>
      <c r="D134" s="40">
        <f t="shared" si="5"/>
        <v>69188981.158266678</v>
      </c>
    </row>
    <row r="135" spans="2:4" x14ac:dyDescent="0.25">
      <c r="B135" s="102">
        <v>131</v>
      </c>
      <c r="C135" s="40">
        <f t="shared" si="4"/>
        <v>73181710.694666669</v>
      </c>
      <c r="D135" s="40">
        <f t="shared" si="5"/>
        <v>69721204.090253338</v>
      </c>
    </row>
    <row r="136" spans="2:4" x14ac:dyDescent="0.25">
      <c r="B136" s="102">
        <v>132</v>
      </c>
      <c r="C136" s="40">
        <f t="shared" si="4"/>
        <v>73628956.856000006</v>
      </c>
      <c r="D136" s="40">
        <f t="shared" si="5"/>
        <v>70253427.022240013</v>
      </c>
    </row>
    <row r="137" spans="2:4" x14ac:dyDescent="0.25">
      <c r="B137" s="102">
        <v>133</v>
      </c>
      <c r="C137" s="40">
        <f t="shared" si="4"/>
        <v>74076203.017333329</v>
      </c>
      <c r="D137" s="40">
        <f t="shared" si="5"/>
        <v>70785649.954226673</v>
      </c>
    </row>
    <row r="138" spans="2:4" x14ac:dyDescent="0.25">
      <c r="B138" s="102">
        <v>134</v>
      </c>
      <c r="C138" s="40">
        <f t="shared" si="4"/>
        <v>74523449.178666681</v>
      </c>
      <c r="D138" s="40">
        <f t="shared" si="5"/>
        <v>71317872.886213347</v>
      </c>
    </row>
    <row r="139" spans="2:4" x14ac:dyDescent="0.25">
      <c r="B139" s="102">
        <v>135</v>
      </c>
      <c r="C139" s="40">
        <f t="shared" si="4"/>
        <v>74970695.340000004</v>
      </c>
      <c r="D139" s="40">
        <f t="shared" si="5"/>
        <v>71850095.818200007</v>
      </c>
    </row>
    <row r="140" spans="2:4" x14ac:dyDescent="0.25">
      <c r="B140" s="102">
        <v>136</v>
      </c>
      <c r="C140" s="40">
        <f t="shared" si="4"/>
        <v>75417941.501333341</v>
      </c>
      <c r="D140" s="40">
        <f t="shared" si="5"/>
        <v>72382318.750186682</v>
      </c>
    </row>
    <row r="141" spans="2:4" x14ac:dyDescent="0.25">
      <c r="B141" s="102">
        <v>137</v>
      </c>
      <c r="C141" s="40">
        <f t="shared" si="4"/>
        <v>75865187.662666678</v>
      </c>
      <c r="D141" s="40">
        <f t="shared" si="5"/>
        <v>72914541.682173342</v>
      </c>
    </row>
    <row r="142" spans="2:4" x14ac:dyDescent="0.25">
      <c r="B142" s="102">
        <v>138</v>
      </c>
      <c r="C142" s="40">
        <f t="shared" si="4"/>
        <v>76312433.824000001</v>
      </c>
      <c r="D142" s="40">
        <f t="shared" si="5"/>
        <v>73446764.614160016</v>
      </c>
    </row>
    <row r="143" spans="2:4" x14ac:dyDescent="0.25">
      <c r="B143" s="102">
        <v>139</v>
      </c>
      <c r="C143" s="40">
        <f t="shared" si="4"/>
        <v>76759679.985333338</v>
      </c>
      <c r="D143" s="40">
        <f t="shared" si="5"/>
        <v>73978987.546146676</v>
      </c>
    </row>
    <row r="144" spans="2:4" x14ac:dyDescent="0.25">
      <c r="B144" s="102">
        <v>140</v>
      </c>
      <c r="C144" s="40">
        <f t="shared" si="4"/>
        <v>77206926.146666676</v>
      </c>
      <c r="D144" s="40">
        <f t="shared" si="5"/>
        <v>74511210.478133351</v>
      </c>
    </row>
    <row r="145" spans="2:4" x14ac:dyDescent="0.25">
      <c r="B145" s="102">
        <v>141</v>
      </c>
      <c r="C145" s="40">
        <f t="shared" si="4"/>
        <v>77654172.307999998</v>
      </c>
      <c r="D145" s="40">
        <f t="shared" si="5"/>
        <v>75043433.41012001</v>
      </c>
    </row>
    <row r="146" spans="2:4" x14ac:dyDescent="0.25">
      <c r="B146" s="102">
        <v>142</v>
      </c>
      <c r="C146" s="40">
        <f t="shared" si="4"/>
        <v>78101418.469333336</v>
      </c>
      <c r="D146" s="40">
        <f t="shared" si="5"/>
        <v>75575656.342106685</v>
      </c>
    </row>
    <row r="147" spans="2:4" x14ac:dyDescent="0.25">
      <c r="B147" s="102">
        <v>143</v>
      </c>
      <c r="C147" s="40">
        <f t="shared" si="4"/>
        <v>78548664.630666673</v>
      </c>
      <c r="D147" s="40">
        <f t="shared" si="5"/>
        <v>76107879.274093345</v>
      </c>
    </row>
    <row r="148" spans="2:4" x14ac:dyDescent="0.25">
      <c r="B148" s="102">
        <v>144</v>
      </c>
      <c r="C148" s="40">
        <f t="shared" si="4"/>
        <v>78995910.791999996</v>
      </c>
      <c r="D148" s="40">
        <f t="shared" si="5"/>
        <v>76640102.206080019</v>
      </c>
    </row>
    <row r="149" spans="2:4" x14ac:dyDescent="0.25">
      <c r="B149" s="102">
        <v>145</v>
      </c>
      <c r="C149" s="40">
        <f t="shared" si="4"/>
        <v>79443156.953333348</v>
      </c>
      <c r="D149" s="40">
        <f t="shared" si="5"/>
        <v>77172325.138066679</v>
      </c>
    </row>
    <row r="150" spans="2:4" x14ac:dyDescent="0.25">
      <c r="B150" s="102">
        <v>146</v>
      </c>
      <c r="C150" s="40">
        <f t="shared" si="4"/>
        <v>79890403.114666671</v>
      </c>
      <c r="D150" s="40">
        <f t="shared" si="5"/>
        <v>77704548.070053339</v>
      </c>
    </row>
    <row r="151" spans="2:4" x14ac:dyDescent="0.25">
      <c r="B151" s="102">
        <v>147</v>
      </c>
      <c r="C151" s="40">
        <f t="shared" si="4"/>
        <v>80337649.276000008</v>
      </c>
      <c r="D151" s="40">
        <f t="shared" si="5"/>
        <v>78236771.002040014</v>
      </c>
    </row>
    <row r="152" spans="2:4" x14ac:dyDescent="0.25">
      <c r="B152" s="102">
        <v>148</v>
      </c>
      <c r="C152" s="40">
        <f t="shared" si="4"/>
        <v>80784895.437333345</v>
      </c>
      <c r="D152" s="40">
        <f t="shared" si="5"/>
        <v>78768993.934026673</v>
      </c>
    </row>
    <row r="153" spans="2:4" x14ac:dyDescent="0.25">
      <c r="B153" s="102">
        <v>149</v>
      </c>
      <c r="C153" s="40">
        <f t="shared" si="4"/>
        <v>81232141.598666668</v>
      </c>
      <c r="D153" s="40">
        <f t="shared" si="5"/>
        <v>79301216.866013348</v>
      </c>
    </row>
    <row r="154" spans="2:4" x14ac:dyDescent="0.25">
      <c r="B154" s="102">
        <v>150</v>
      </c>
      <c r="C154" s="40">
        <f t="shared" si="4"/>
        <v>81679387.760000005</v>
      </c>
      <c r="D154" s="40">
        <f t="shared" si="5"/>
        <v>79833439.798000008</v>
      </c>
    </row>
    <row r="155" spans="2:4" x14ac:dyDescent="0.25">
      <c r="B155" s="102">
        <v>151</v>
      </c>
      <c r="C155" s="40">
        <f t="shared" si="4"/>
        <v>82126633.921333343</v>
      </c>
      <c r="D155" s="40">
        <f t="shared" si="5"/>
        <v>80365662.729986683</v>
      </c>
    </row>
    <row r="156" spans="2:4" x14ac:dyDescent="0.25">
      <c r="B156" s="102">
        <v>152</v>
      </c>
      <c r="C156" s="40">
        <f t="shared" si="4"/>
        <v>82573880.082666665</v>
      </c>
      <c r="D156" s="40">
        <f t="shared" si="5"/>
        <v>80897885.661973342</v>
      </c>
    </row>
    <row r="157" spans="2:4" x14ac:dyDescent="0.25">
      <c r="B157" s="102">
        <v>153</v>
      </c>
      <c r="C157" s="40">
        <f t="shared" si="4"/>
        <v>83021126.244000003</v>
      </c>
      <c r="D157" s="40">
        <f t="shared" si="5"/>
        <v>81430108.593960017</v>
      </c>
    </row>
    <row r="158" spans="2:4" x14ac:dyDescent="0.25">
      <c r="B158" s="102">
        <v>154</v>
      </c>
      <c r="C158" s="40">
        <f t="shared" si="4"/>
        <v>83468372.40533334</v>
      </c>
      <c r="D158" s="40">
        <f t="shared" si="5"/>
        <v>81962331.525946677</v>
      </c>
    </row>
    <row r="159" spans="2:4" x14ac:dyDescent="0.25">
      <c r="B159" s="102">
        <v>155</v>
      </c>
      <c r="C159" s="40">
        <f t="shared" si="4"/>
        <v>83915618.566666678</v>
      </c>
      <c r="D159" s="40">
        <f t="shared" si="5"/>
        <v>82494554.457933351</v>
      </c>
    </row>
    <row r="160" spans="2:4" x14ac:dyDescent="0.25">
      <c r="B160" s="102">
        <v>156</v>
      </c>
      <c r="C160" s="40">
        <f t="shared" si="4"/>
        <v>84362864.728</v>
      </c>
      <c r="D160" s="40">
        <f t="shared" si="5"/>
        <v>83026777.389920011</v>
      </c>
    </row>
    <row r="161" spans="2:4" x14ac:dyDescent="0.25">
      <c r="B161" s="102">
        <v>157</v>
      </c>
      <c r="C161" s="40">
        <f t="shared" si="4"/>
        <v>84810110.889333338</v>
      </c>
      <c r="D161" s="40">
        <f t="shared" si="5"/>
        <v>83559000.321906686</v>
      </c>
    </row>
    <row r="162" spans="2:4" x14ac:dyDescent="0.25">
      <c r="B162" s="102">
        <v>158</v>
      </c>
      <c r="C162" s="40">
        <f t="shared" si="4"/>
        <v>85257357.050666675</v>
      </c>
      <c r="D162" s="40">
        <f t="shared" si="5"/>
        <v>84091223.253893346</v>
      </c>
    </row>
    <row r="163" spans="2:4" x14ac:dyDescent="0.25">
      <c r="B163" s="102">
        <v>159</v>
      </c>
      <c r="C163" s="40">
        <f t="shared" si="4"/>
        <v>85704603.212000012</v>
      </c>
      <c r="D163" s="40">
        <f t="shared" si="5"/>
        <v>84623446.18588002</v>
      </c>
    </row>
    <row r="164" spans="2:4" x14ac:dyDescent="0.25">
      <c r="B164" s="102">
        <v>160</v>
      </c>
      <c r="C164" s="40">
        <f t="shared" si="4"/>
        <v>86151849.373333335</v>
      </c>
      <c r="D164" s="40">
        <f t="shared" si="5"/>
        <v>85155669.11786668</v>
      </c>
    </row>
    <row r="165" spans="2:4" x14ac:dyDescent="0.25">
      <c r="B165" s="102">
        <v>161</v>
      </c>
      <c r="C165" s="40">
        <f t="shared" si="4"/>
        <v>86599095.534666672</v>
      </c>
      <c r="D165" s="40">
        <f t="shared" si="5"/>
        <v>85687892.04985334</v>
      </c>
    </row>
    <row r="166" spans="2:4" x14ac:dyDescent="0.25">
      <c r="B166" s="102">
        <v>162</v>
      </c>
      <c r="C166" s="40">
        <f t="shared" si="4"/>
        <v>87046341.69600001</v>
      </c>
      <c r="D166" s="40">
        <f t="shared" si="5"/>
        <v>86220114.981840014</v>
      </c>
    </row>
    <row r="167" spans="2:4" x14ac:dyDescent="0.25">
      <c r="B167" s="102">
        <v>163</v>
      </c>
      <c r="C167" s="40">
        <f t="shared" si="4"/>
        <v>87493587.857333332</v>
      </c>
      <c r="D167" s="40">
        <f t="shared" si="5"/>
        <v>86752337.913826674</v>
      </c>
    </row>
    <row r="168" spans="2:4" x14ac:dyDescent="0.25">
      <c r="B168" s="102">
        <v>164</v>
      </c>
      <c r="C168" s="40">
        <f t="shared" si="4"/>
        <v>87940834.01866667</v>
      </c>
      <c r="D168" s="40">
        <f t="shared" si="5"/>
        <v>87284560.845813349</v>
      </c>
    </row>
    <row r="169" spans="2:4" x14ac:dyDescent="0.25">
      <c r="B169" s="102">
        <v>165</v>
      </c>
      <c r="C169" s="40">
        <f t="shared" si="4"/>
        <v>88388080.180000007</v>
      </c>
      <c r="D169" s="40">
        <f t="shared" si="5"/>
        <v>87816783.777800009</v>
      </c>
    </row>
    <row r="170" spans="2:4" x14ac:dyDescent="0.25">
      <c r="B170" s="102">
        <v>166</v>
      </c>
      <c r="C170" s="40">
        <f t="shared" si="4"/>
        <v>88835326.341333345</v>
      </c>
      <c r="D170" s="40">
        <f t="shared" si="5"/>
        <v>88349006.709786683</v>
      </c>
    </row>
    <row r="171" spans="2:4" x14ac:dyDescent="0.25">
      <c r="B171" s="102">
        <v>167</v>
      </c>
      <c r="C171" s="40">
        <f t="shared" si="4"/>
        <v>89282572.502666667</v>
      </c>
      <c r="D171" s="40">
        <f t="shared" si="5"/>
        <v>88881229.641773343</v>
      </c>
    </row>
    <row r="172" spans="2:4" x14ac:dyDescent="0.25">
      <c r="B172" s="102">
        <v>168</v>
      </c>
      <c r="C172" s="40">
        <f t="shared" si="4"/>
        <v>89729818.664000005</v>
      </c>
      <c r="D172" s="40">
        <f t="shared" si="5"/>
        <v>89413452.573760018</v>
      </c>
    </row>
    <row r="173" spans="2:4" x14ac:dyDescent="0.25">
      <c r="B173" s="102">
        <v>169</v>
      </c>
      <c r="C173" s="40">
        <f t="shared" si="4"/>
        <v>90177064.825333342</v>
      </c>
      <c r="D173" s="40">
        <f t="shared" si="5"/>
        <v>89945675.505746678</v>
      </c>
    </row>
    <row r="174" spans="2:4" x14ac:dyDescent="0.25">
      <c r="B174" s="102">
        <v>170</v>
      </c>
      <c r="C174" s="40">
        <f t="shared" si="4"/>
        <v>90624310.986666679</v>
      </c>
      <c r="D174" s="40">
        <f t="shared" si="5"/>
        <v>90477898.437733352</v>
      </c>
    </row>
    <row r="175" spans="2:4" x14ac:dyDescent="0.25">
      <c r="B175" s="102">
        <v>171</v>
      </c>
      <c r="C175" s="40">
        <f t="shared" si="4"/>
        <v>91071557.148000002</v>
      </c>
      <c r="D175" s="40">
        <f t="shared" si="5"/>
        <v>91010121.369720012</v>
      </c>
    </row>
    <row r="176" spans="2:4" x14ac:dyDescent="0.25">
      <c r="B176" s="102">
        <v>172</v>
      </c>
      <c r="C176" s="40">
        <f t="shared" si="4"/>
        <v>91518803.309333339</v>
      </c>
      <c r="D176" s="40">
        <f t="shared" si="5"/>
        <v>91542344.301706687</v>
      </c>
    </row>
    <row r="177" spans="2:4" x14ac:dyDescent="0.25">
      <c r="B177" s="102">
        <v>173</v>
      </c>
      <c r="C177" s="40">
        <f t="shared" si="4"/>
        <v>91966049.470666677</v>
      </c>
      <c r="D177" s="40">
        <f t="shared" si="5"/>
        <v>92074567.233693346</v>
      </c>
    </row>
    <row r="178" spans="2:4" x14ac:dyDescent="0.25">
      <c r="B178" s="102">
        <v>174</v>
      </c>
      <c r="C178" s="40">
        <f t="shared" si="4"/>
        <v>92413295.631999999</v>
      </c>
      <c r="D178" s="40">
        <f t="shared" si="5"/>
        <v>92606790.165680021</v>
      </c>
    </row>
    <row r="179" spans="2:4" x14ac:dyDescent="0.25">
      <c r="B179" s="102">
        <v>175</v>
      </c>
      <c r="C179" s="40">
        <f t="shared" si="4"/>
        <v>92860541.793333337</v>
      </c>
      <c r="D179" s="40">
        <f t="shared" si="5"/>
        <v>93139013.097666681</v>
      </c>
    </row>
    <row r="180" spans="2:4" x14ac:dyDescent="0.25">
      <c r="B180" s="102">
        <v>176</v>
      </c>
      <c r="C180" s="40">
        <f t="shared" si="4"/>
        <v>93307787.954666674</v>
      </c>
      <c r="D180" s="40">
        <f t="shared" si="5"/>
        <v>93671236.029653341</v>
      </c>
    </row>
    <row r="181" spans="2:4" x14ac:dyDescent="0.25">
      <c r="B181" s="102">
        <v>177</v>
      </c>
      <c r="C181" s="40">
        <f t="shared" si="4"/>
        <v>93755034.116000012</v>
      </c>
      <c r="D181" s="40">
        <f t="shared" si="5"/>
        <v>94203458.961640015</v>
      </c>
    </row>
    <row r="182" spans="2:4" x14ac:dyDescent="0.25">
      <c r="B182" s="102">
        <v>178</v>
      </c>
      <c r="C182" s="40">
        <f t="shared" si="4"/>
        <v>94202280.277333334</v>
      </c>
      <c r="D182" s="40">
        <f t="shared" si="5"/>
        <v>94735681.893626675</v>
      </c>
    </row>
    <row r="183" spans="2:4" x14ac:dyDescent="0.25">
      <c r="B183" s="102">
        <v>179</v>
      </c>
      <c r="C183" s="40">
        <f t="shared" si="4"/>
        <v>94649526.438666672</v>
      </c>
      <c r="D183" s="40">
        <f t="shared" si="5"/>
        <v>95267904.82561335</v>
      </c>
    </row>
    <row r="184" spans="2:4" x14ac:dyDescent="0.25">
      <c r="B184" s="102">
        <v>180</v>
      </c>
      <c r="C184" s="40">
        <f t="shared" si="4"/>
        <v>95096772.600000009</v>
      </c>
      <c r="D184" s="40">
        <f t="shared" si="5"/>
        <v>95800127.757600009</v>
      </c>
    </row>
    <row r="185" spans="2:4" x14ac:dyDescent="0.25">
      <c r="B185" s="102">
        <v>181</v>
      </c>
      <c r="C185" s="40">
        <f t="shared" si="4"/>
        <v>95544018.761333346</v>
      </c>
      <c r="D185" s="40">
        <f t="shared" si="5"/>
        <v>96332350.689586684</v>
      </c>
    </row>
    <row r="186" spans="2:4" x14ac:dyDescent="0.25">
      <c r="B186" s="102">
        <v>182</v>
      </c>
      <c r="C186" s="40">
        <f t="shared" si="4"/>
        <v>95991264.922666669</v>
      </c>
      <c r="D186" s="40">
        <f t="shared" si="5"/>
        <v>96864573.621573344</v>
      </c>
    </row>
    <row r="187" spans="2:4" x14ac:dyDescent="0.25">
      <c r="B187" s="102">
        <v>183</v>
      </c>
      <c r="C187" s="40">
        <f t="shared" si="4"/>
        <v>96438511.084000006</v>
      </c>
      <c r="D187" s="40">
        <f t="shared" si="5"/>
        <v>97396796.553560019</v>
      </c>
    </row>
    <row r="188" spans="2:4" x14ac:dyDescent="0.25">
      <c r="B188" s="102">
        <v>184</v>
      </c>
      <c r="C188" s="40">
        <f t="shared" si="4"/>
        <v>96885757.245333344</v>
      </c>
      <c r="D188" s="40">
        <f t="shared" si="5"/>
        <v>97929019.485546678</v>
      </c>
    </row>
    <row r="189" spans="2:4" x14ac:dyDescent="0.25">
      <c r="B189" s="102">
        <v>185</v>
      </c>
      <c r="C189" s="40">
        <f t="shared" si="4"/>
        <v>97333003.406666666</v>
      </c>
      <c r="D189" s="40">
        <f t="shared" si="5"/>
        <v>98461242.417533353</v>
      </c>
    </row>
    <row r="190" spans="2:4" x14ac:dyDescent="0.25">
      <c r="B190" s="102">
        <v>186</v>
      </c>
      <c r="C190" s="40">
        <f t="shared" si="4"/>
        <v>97780249.568000004</v>
      </c>
      <c r="D190" s="40">
        <f t="shared" si="5"/>
        <v>98993465.349520013</v>
      </c>
    </row>
    <row r="191" spans="2:4" x14ac:dyDescent="0.25">
      <c r="B191" s="102">
        <v>187</v>
      </c>
      <c r="C191" s="40">
        <f t="shared" si="4"/>
        <v>98227495.729333341</v>
      </c>
      <c r="D191" s="40">
        <f t="shared" si="5"/>
        <v>99525688.281506687</v>
      </c>
    </row>
    <row r="192" spans="2:4" x14ac:dyDescent="0.25">
      <c r="B192" s="102">
        <v>188</v>
      </c>
      <c r="C192" s="40">
        <f t="shared" si="4"/>
        <v>98674741.890666679</v>
      </c>
      <c r="D192" s="40">
        <f t="shared" si="5"/>
        <v>100057911.21349335</v>
      </c>
    </row>
    <row r="193" spans="2:4" x14ac:dyDescent="0.25">
      <c r="B193" s="102">
        <v>189</v>
      </c>
      <c r="C193" s="40">
        <f t="shared" si="4"/>
        <v>99121988.052000001</v>
      </c>
      <c r="D193" s="40">
        <f t="shared" si="5"/>
        <v>100590134.14548002</v>
      </c>
    </row>
    <row r="194" spans="2:4" x14ac:dyDescent="0.25">
      <c r="B194" s="102">
        <v>190</v>
      </c>
      <c r="C194" s="40">
        <f t="shared" si="4"/>
        <v>99569234.213333338</v>
      </c>
      <c r="D194" s="40">
        <f t="shared" si="5"/>
        <v>101122357.07746668</v>
      </c>
    </row>
    <row r="195" spans="2:4" x14ac:dyDescent="0.25">
      <c r="B195" s="102">
        <v>191</v>
      </c>
      <c r="C195" s="40">
        <f t="shared" si="4"/>
        <v>100016480.37466668</v>
      </c>
      <c r="D195" s="40">
        <f t="shared" si="5"/>
        <v>101654580.00945336</v>
      </c>
    </row>
    <row r="196" spans="2:4" x14ac:dyDescent="0.25">
      <c r="B196" s="102">
        <v>192</v>
      </c>
      <c r="C196" s="40">
        <f t="shared" si="4"/>
        <v>100463726.53600001</v>
      </c>
      <c r="D196" s="40">
        <f t="shared" si="5"/>
        <v>102186802.94144002</v>
      </c>
    </row>
    <row r="197" spans="2:4" x14ac:dyDescent="0.25">
      <c r="B197" s="102">
        <v>193</v>
      </c>
      <c r="C197" s="40">
        <f t="shared" ref="C197:C260" si="6">($C$2*B197)+$C$1</f>
        <v>100910972.69733334</v>
      </c>
      <c r="D197" s="40">
        <f t="shared" ref="D197:D260" si="7">$D$2*B197</f>
        <v>102719025.87342668</v>
      </c>
    </row>
    <row r="198" spans="2:4" x14ac:dyDescent="0.25">
      <c r="B198" s="102">
        <v>194</v>
      </c>
      <c r="C198" s="40">
        <f t="shared" si="6"/>
        <v>101358218.85866667</v>
      </c>
      <c r="D198" s="40">
        <f t="shared" si="7"/>
        <v>103251248.80541335</v>
      </c>
    </row>
    <row r="199" spans="2:4" x14ac:dyDescent="0.25">
      <c r="B199" s="102">
        <v>195</v>
      </c>
      <c r="C199" s="40">
        <f t="shared" si="6"/>
        <v>101805465.02000001</v>
      </c>
      <c r="D199" s="40">
        <f t="shared" si="7"/>
        <v>103783471.73740001</v>
      </c>
    </row>
    <row r="200" spans="2:4" x14ac:dyDescent="0.25">
      <c r="B200" s="102">
        <v>196</v>
      </c>
      <c r="C200" s="40">
        <f t="shared" si="6"/>
        <v>102252711.18133333</v>
      </c>
      <c r="D200" s="40">
        <f t="shared" si="7"/>
        <v>104315694.66938668</v>
      </c>
    </row>
    <row r="201" spans="2:4" x14ac:dyDescent="0.25">
      <c r="B201" s="102">
        <v>197</v>
      </c>
      <c r="C201" s="40">
        <f t="shared" si="6"/>
        <v>102699957.34266667</v>
      </c>
      <c r="D201" s="40">
        <f t="shared" si="7"/>
        <v>104847917.60137334</v>
      </c>
    </row>
    <row r="202" spans="2:4" x14ac:dyDescent="0.25">
      <c r="B202" s="102">
        <v>198</v>
      </c>
      <c r="C202" s="40">
        <f t="shared" si="6"/>
        <v>103147203.50400001</v>
      </c>
      <c r="D202" s="40">
        <f t="shared" si="7"/>
        <v>105380140.53336002</v>
      </c>
    </row>
    <row r="203" spans="2:4" x14ac:dyDescent="0.25">
      <c r="B203" s="102">
        <v>199</v>
      </c>
      <c r="C203" s="40">
        <f t="shared" si="6"/>
        <v>103594449.66533335</v>
      </c>
      <c r="D203" s="40">
        <f t="shared" si="7"/>
        <v>105912363.46534668</v>
      </c>
    </row>
    <row r="204" spans="2:4" x14ac:dyDescent="0.25">
      <c r="B204" s="102">
        <v>200</v>
      </c>
      <c r="C204" s="40">
        <f t="shared" si="6"/>
        <v>104041695.82666667</v>
      </c>
      <c r="D204" s="40">
        <f t="shared" si="7"/>
        <v>106444586.39733335</v>
      </c>
    </row>
    <row r="205" spans="2:4" x14ac:dyDescent="0.25">
      <c r="B205" s="102">
        <v>201</v>
      </c>
      <c r="C205" s="40">
        <f t="shared" si="6"/>
        <v>104488941.98800001</v>
      </c>
      <c r="D205" s="40">
        <f t="shared" si="7"/>
        <v>106976809.32932001</v>
      </c>
    </row>
    <row r="206" spans="2:4" x14ac:dyDescent="0.25">
      <c r="B206" s="102">
        <v>202</v>
      </c>
      <c r="C206" s="40">
        <f t="shared" si="6"/>
        <v>104936188.14933334</v>
      </c>
      <c r="D206" s="40">
        <f t="shared" si="7"/>
        <v>107509032.26130669</v>
      </c>
    </row>
    <row r="207" spans="2:4" x14ac:dyDescent="0.25">
      <c r="B207" s="102">
        <v>203</v>
      </c>
      <c r="C207" s="40">
        <f t="shared" si="6"/>
        <v>105383434.31066667</v>
      </c>
      <c r="D207" s="40">
        <f t="shared" si="7"/>
        <v>108041255.19329335</v>
      </c>
    </row>
    <row r="208" spans="2:4" x14ac:dyDescent="0.25">
      <c r="B208" s="102">
        <v>204</v>
      </c>
      <c r="C208" s="40">
        <f t="shared" si="6"/>
        <v>105830680.472</v>
      </c>
      <c r="D208" s="40">
        <f t="shared" si="7"/>
        <v>108573478.12528002</v>
      </c>
    </row>
    <row r="209" spans="2:4" x14ac:dyDescent="0.25">
      <c r="B209" s="102">
        <v>205</v>
      </c>
      <c r="C209" s="40">
        <f t="shared" si="6"/>
        <v>106277926.63333334</v>
      </c>
      <c r="D209" s="40">
        <f t="shared" si="7"/>
        <v>109105701.05726668</v>
      </c>
    </row>
    <row r="210" spans="2:4" x14ac:dyDescent="0.25">
      <c r="B210" s="102">
        <v>206</v>
      </c>
      <c r="C210" s="40">
        <f t="shared" si="6"/>
        <v>106725172.79466668</v>
      </c>
      <c r="D210" s="40">
        <f t="shared" si="7"/>
        <v>109637923.98925336</v>
      </c>
    </row>
    <row r="211" spans="2:4" x14ac:dyDescent="0.25">
      <c r="B211" s="102">
        <v>207</v>
      </c>
      <c r="C211" s="40">
        <f t="shared" si="6"/>
        <v>107172418.956</v>
      </c>
      <c r="D211" s="40">
        <f t="shared" si="7"/>
        <v>110170146.92124002</v>
      </c>
    </row>
    <row r="212" spans="2:4" x14ac:dyDescent="0.25">
      <c r="B212" s="102">
        <v>208</v>
      </c>
      <c r="C212" s="40">
        <f t="shared" si="6"/>
        <v>107619665.11733334</v>
      </c>
      <c r="D212" s="40">
        <f t="shared" si="7"/>
        <v>110702369.85322669</v>
      </c>
    </row>
    <row r="213" spans="2:4" x14ac:dyDescent="0.25">
      <c r="B213" s="102">
        <v>209</v>
      </c>
      <c r="C213" s="40">
        <f t="shared" si="6"/>
        <v>108066911.27866668</v>
      </c>
      <c r="D213" s="40">
        <f t="shared" si="7"/>
        <v>111234592.78521335</v>
      </c>
    </row>
    <row r="214" spans="2:4" x14ac:dyDescent="0.25">
      <c r="B214" s="102">
        <v>210</v>
      </c>
      <c r="C214" s="40">
        <f t="shared" si="6"/>
        <v>108514157.44000001</v>
      </c>
      <c r="D214" s="40">
        <f t="shared" si="7"/>
        <v>111766815.71720001</v>
      </c>
    </row>
    <row r="215" spans="2:4" x14ac:dyDescent="0.25">
      <c r="B215" s="102">
        <v>211</v>
      </c>
      <c r="C215" s="40">
        <f t="shared" si="6"/>
        <v>108961403.60133334</v>
      </c>
      <c r="D215" s="40">
        <f t="shared" si="7"/>
        <v>112299038.64918669</v>
      </c>
    </row>
    <row r="216" spans="2:4" x14ac:dyDescent="0.25">
      <c r="B216" s="102">
        <v>212</v>
      </c>
      <c r="C216" s="40">
        <f t="shared" si="6"/>
        <v>109408649.76266667</v>
      </c>
      <c r="D216" s="40">
        <f t="shared" si="7"/>
        <v>112831261.58117335</v>
      </c>
    </row>
    <row r="217" spans="2:4" x14ac:dyDescent="0.25">
      <c r="B217" s="102">
        <v>213</v>
      </c>
      <c r="C217" s="40">
        <f t="shared" si="6"/>
        <v>109855895.92400001</v>
      </c>
      <c r="D217" s="40">
        <f t="shared" si="7"/>
        <v>113363484.51316002</v>
      </c>
    </row>
    <row r="218" spans="2:4" x14ac:dyDescent="0.25">
      <c r="B218" s="102">
        <v>214</v>
      </c>
      <c r="C218" s="40">
        <f t="shared" si="6"/>
        <v>110303142.08533333</v>
      </c>
      <c r="D218" s="40">
        <f t="shared" si="7"/>
        <v>113895707.44514668</v>
      </c>
    </row>
    <row r="219" spans="2:4" x14ac:dyDescent="0.25">
      <c r="B219" s="102">
        <v>215</v>
      </c>
      <c r="C219" s="40">
        <f t="shared" si="6"/>
        <v>110750388.24666667</v>
      </c>
      <c r="D219" s="40">
        <f t="shared" si="7"/>
        <v>114427930.37713335</v>
      </c>
    </row>
    <row r="220" spans="2:4" x14ac:dyDescent="0.25">
      <c r="B220" s="102">
        <v>216</v>
      </c>
      <c r="C220" s="40">
        <f t="shared" si="6"/>
        <v>111197634.40800001</v>
      </c>
      <c r="D220" s="40">
        <f t="shared" si="7"/>
        <v>114960153.30912001</v>
      </c>
    </row>
    <row r="221" spans="2:4" x14ac:dyDescent="0.25">
      <c r="B221" s="102">
        <v>217</v>
      </c>
      <c r="C221" s="40">
        <f t="shared" si="6"/>
        <v>111644880.56933334</v>
      </c>
      <c r="D221" s="40">
        <f t="shared" si="7"/>
        <v>115492376.24110669</v>
      </c>
    </row>
    <row r="222" spans="2:4" x14ac:dyDescent="0.25">
      <c r="B222" s="102">
        <v>218</v>
      </c>
      <c r="C222" s="40">
        <f t="shared" si="6"/>
        <v>112092126.73066667</v>
      </c>
      <c r="D222" s="40">
        <f t="shared" si="7"/>
        <v>116024599.17309335</v>
      </c>
    </row>
    <row r="223" spans="2:4" x14ac:dyDescent="0.25">
      <c r="B223" s="102">
        <v>219</v>
      </c>
      <c r="C223" s="40">
        <f t="shared" si="6"/>
        <v>112539372.892</v>
      </c>
      <c r="D223" s="40">
        <f t="shared" si="7"/>
        <v>116556822.10508002</v>
      </c>
    </row>
    <row r="224" spans="2:4" x14ac:dyDescent="0.25">
      <c r="B224" s="102">
        <v>220</v>
      </c>
      <c r="C224" s="40">
        <f t="shared" si="6"/>
        <v>112986619.05333334</v>
      </c>
      <c r="D224" s="40">
        <f t="shared" si="7"/>
        <v>117089045.03706668</v>
      </c>
    </row>
    <row r="225" spans="2:4" x14ac:dyDescent="0.25">
      <c r="B225" s="102">
        <v>221</v>
      </c>
      <c r="C225" s="40">
        <f t="shared" si="6"/>
        <v>113433865.21466668</v>
      </c>
      <c r="D225" s="40">
        <f t="shared" si="7"/>
        <v>117621267.96905336</v>
      </c>
    </row>
    <row r="226" spans="2:4" x14ac:dyDescent="0.25">
      <c r="B226" s="102">
        <v>222</v>
      </c>
      <c r="C226" s="40">
        <f t="shared" si="6"/>
        <v>113881111.376</v>
      </c>
      <c r="D226" s="40">
        <f t="shared" si="7"/>
        <v>118153490.90104002</v>
      </c>
    </row>
    <row r="227" spans="2:4" x14ac:dyDescent="0.25">
      <c r="B227" s="102">
        <v>223</v>
      </c>
      <c r="C227" s="40">
        <f t="shared" si="6"/>
        <v>114328357.53733334</v>
      </c>
      <c r="D227" s="40">
        <f t="shared" si="7"/>
        <v>118685713.83302669</v>
      </c>
    </row>
    <row r="228" spans="2:4" x14ac:dyDescent="0.25">
      <c r="B228" s="102">
        <v>224</v>
      </c>
      <c r="C228" s="40">
        <f t="shared" si="6"/>
        <v>114775603.69866668</v>
      </c>
      <c r="D228" s="40">
        <f t="shared" si="7"/>
        <v>119217936.76501335</v>
      </c>
    </row>
    <row r="229" spans="2:4" x14ac:dyDescent="0.25">
      <c r="B229" s="102">
        <v>225</v>
      </c>
      <c r="C229" s="40">
        <f t="shared" si="6"/>
        <v>115222849.86</v>
      </c>
      <c r="D229" s="40">
        <f t="shared" si="7"/>
        <v>119750159.69700001</v>
      </c>
    </row>
    <row r="230" spans="2:4" x14ac:dyDescent="0.25">
      <c r="B230" s="102">
        <v>226</v>
      </c>
      <c r="C230" s="40">
        <f t="shared" si="6"/>
        <v>115670096.02133334</v>
      </c>
      <c r="D230" s="40">
        <f t="shared" si="7"/>
        <v>120282382.62898669</v>
      </c>
    </row>
    <row r="231" spans="2:4" x14ac:dyDescent="0.25">
      <c r="B231" s="102">
        <v>227</v>
      </c>
      <c r="C231" s="40">
        <f t="shared" si="6"/>
        <v>116117342.18266667</v>
      </c>
      <c r="D231" s="40">
        <f t="shared" si="7"/>
        <v>120814605.56097335</v>
      </c>
    </row>
    <row r="232" spans="2:4" x14ac:dyDescent="0.25">
      <c r="B232" s="102">
        <v>228</v>
      </c>
      <c r="C232" s="40">
        <f t="shared" si="6"/>
        <v>116564588.34400001</v>
      </c>
      <c r="D232" s="40">
        <f t="shared" si="7"/>
        <v>121346828.49296002</v>
      </c>
    </row>
    <row r="233" spans="2:4" x14ac:dyDescent="0.25">
      <c r="B233" s="102">
        <v>229</v>
      </c>
      <c r="C233" s="40">
        <f t="shared" si="6"/>
        <v>117011834.50533333</v>
      </c>
      <c r="D233" s="40">
        <f t="shared" si="7"/>
        <v>121879051.42494668</v>
      </c>
    </row>
    <row r="234" spans="2:4" x14ac:dyDescent="0.25">
      <c r="B234" s="102">
        <v>230</v>
      </c>
      <c r="C234" s="40">
        <f t="shared" si="6"/>
        <v>117459080.66666667</v>
      </c>
      <c r="D234" s="40">
        <f t="shared" si="7"/>
        <v>122411274.35693336</v>
      </c>
    </row>
    <row r="235" spans="2:4" x14ac:dyDescent="0.25">
      <c r="B235" s="102">
        <v>231</v>
      </c>
      <c r="C235" s="40">
        <f t="shared" si="6"/>
        <v>117906326.82800001</v>
      </c>
      <c r="D235" s="40">
        <f t="shared" si="7"/>
        <v>122943497.28892002</v>
      </c>
    </row>
    <row r="236" spans="2:4" x14ac:dyDescent="0.25">
      <c r="B236" s="102">
        <v>232</v>
      </c>
      <c r="C236" s="40">
        <f t="shared" si="6"/>
        <v>118353572.98933335</v>
      </c>
      <c r="D236" s="40">
        <f t="shared" si="7"/>
        <v>123475720.22090669</v>
      </c>
    </row>
    <row r="237" spans="2:4" x14ac:dyDescent="0.25">
      <c r="B237" s="102">
        <v>233</v>
      </c>
      <c r="C237" s="40">
        <f t="shared" si="6"/>
        <v>118800819.15066667</v>
      </c>
      <c r="D237" s="40">
        <f t="shared" si="7"/>
        <v>124007943.15289335</v>
      </c>
    </row>
    <row r="238" spans="2:4" x14ac:dyDescent="0.25">
      <c r="B238" s="102">
        <v>234</v>
      </c>
      <c r="C238" s="40">
        <f t="shared" si="6"/>
        <v>119248065.31200001</v>
      </c>
      <c r="D238" s="40">
        <f t="shared" si="7"/>
        <v>124540166.08488002</v>
      </c>
    </row>
    <row r="239" spans="2:4" x14ac:dyDescent="0.25">
      <c r="B239" s="102">
        <v>235</v>
      </c>
      <c r="C239" s="40">
        <f t="shared" si="6"/>
        <v>119695311.47333334</v>
      </c>
      <c r="D239" s="40">
        <f t="shared" si="7"/>
        <v>125072389.01686668</v>
      </c>
    </row>
    <row r="240" spans="2:4" x14ac:dyDescent="0.25">
      <c r="B240" s="102">
        <v>236</v>
      </c>
      <c r="C240" s="40">
        <f t="shared" si="6"/>
        <v>120142557.63466667</v>
      </c>
      <c r="D240" s="40">
        <f t="shared" si="7"/>
        <v>125604611.94885336</v>
      </c>
    </row>
    <row r="241" spans="2:4" x14ac:dyDescent="0.25">
      <c r="B241" s="102">
        <v>237</v>
      </c>
      <c r="C241" s="40">
        <f t="shared" si="6"/>
        <v>120589803.796</v>
      </c>
      <c r="D241" s="40">
        <f t="shared" si="7"/>
        <v>126136834.88084002</v>
      </c>
    </row>
    <row r="242" spans="2:4" x14ac:dyDescent="0.25">
      <c r="B242" s="102">
        <v>238</v>
      </c>
      <c r="C242" s="40">
        <f t="shared" si="6"/>
        <v>121037049.95733334</v>
      </c>
      <c r="D242" s="40">
        <f t="shared" si="7"/>
        <v>126669057.81282669</v>
      </c>
    </row>
    <row r="243" spans="2:4" x14ac:dyDescent="0.25">
      <c r="B243" s="102">
        <v>239</v>
      </c>
      <c r="C243" s="40">
        <f t="shared" si="6"/>
        <v>121484296.11866668</v>
      </c>
      <c r="D243" s="40">
        <f t="shared" si="7"/>
        <v>127201280.74481335</v>
      </c>
    </row>
    <row r="244" spans="2:4" x14ac:dyDescent="0.25">
      <c r="B244" s="102">
        <v>240</v>
      </c>
      <c r="C244" s="40">
        <f t="shared" si="6"/>
        <v>121931542.28</v>
      </c>
      <c r="D244" s="40">
        <f t="shared" si="7"/>
        <v>127733503.67680001</v>
      </c>
    </row>
    <row r="245" spans="2:4" x14ac:dyDescent="0.25">
      <c r="B245" s="102">
        <v>241</v>
      </c>
      <c r="C245" s="40">
        <f t="shared" si="6"/>
        <v>122378788.44133334</v>
      </c>
      <c r="D245" s="40">
        <f t="shared" si="7"/>
        <v>128265726.60878669</v>
      </c>
    </row>
    <row r="246" spans="2:4" x14ac:dyDescent="0.25">
      <c r="B246" s="102">
        <v>242</v>
      </c>
      <c r="C246" s="40">
        <f t="shared" si="6"/>
        <v>122826034.60266668</v>
      </c>
      <c r="D246" s="40">
        <f t="shared" si="7"/>
        <v>128797949.54077335</v>
      </c>
    </row>
    <row r="247" spans="2:4" x14ac:dyDescent="0.25">
      <c r="B247" s="102">
        <v>243</v>
      </c>
      <c r="C247" s="40">
        <f t="shared" si="6"/>
        <v>123273280.76400001</v>
      </c>
      <c r="D247" s="40">
        <f t="shared" si="7"/>
        <v>129330172.47276002</v>
      </c>
    </row>
    <row r="248" spans="2:4" x14ac:dyDescent="0.25">
      <c r="B248" s="102">
        <v>244</v>
      </c>
      <c r="C248" s="40">
        <f t="shared" si="6"/>
        <v>123720526.92533334</v>
      </c>
      <c r="D248" s="40">
        <f t="shared" si="7"/>
        <v>129862395.40474668</v>
      </c>
    </row>
    <row r="249" spans="2:4" x14ac:dyDescent="0.25">
      <c r="B249" s="102">
        <v>245</v>
      </c>
      <c r="C249" s="40">
        <f t="shared" si="6"/>
        <v>124167773.08666667</v>
      </c>
      <c r="D249" s="40">
        <f t="shared" si="7"/>
        <v>130394618.33673336</v>
      </c>
    </row>
    <row r="250" spans="2:4" x14ac:dyDescent="0.25">
      <c r="B250" s="102">
        <v>246</v>
      </c>
      <c r="C250" s="40">
        <f t="shared" si="6"/>
        <v>124615019.24800001</v>
      </c>
      <c r="D250" s="40">
        <f t="shared" si="7"/>
        <v>130926841.26872002</v>
      </c>
    </row>
    <row r="251" spans="2:4" x14ac:dyDescent="0.25">
      <c r="B251" s="102">
        <v>247</v>
      </c>
      <c r="C251" s="40">
        <f t="shared" si="6"/>
        <v>125062265.40933333</v>
      </c>
      <c r="D251" s="40">
        <f t="shared" si="7"/>
        <v>131459064.20070669</v>
      </c>
    </row>
    <row r="252" spans="2:4" x14ac:dyDescent="0.25">
      <c r="B252" s="102">
        <v>248</v>
      </c>
      <c r="C252" s="40">
        <f t="shared" si="6"/>
        <v>125509511.57066667</v>
      </c>
      <c r="D252" s="40">
        <f t="shared" si="7"/>
        <v>131991287.13269335</v>
      </c>
    </row>
    <row r="253" spans="2:4" x14ac:dyDescent="0.25">
      <c r="B253" s="102">
        <v>249</v>
      </c>
      <c r="C253" s="40">
        <f t="shared" si="6"/>
        <v>125956757.73200001</v>
      </c>
      <c r="D253" s="40">
        <f t="shared" si="7"/>
        <v>132523510.06468002</v>
      </c>
    </row>
    <row r="254" spans="2:4" x14ac:dyDescent="0.25">
      <c r="B254" s="102">
        <v>250</v>
      </c>
      <c r="C254" s="40">
        <f t="shared" si="6"/>
        <v>126404003.89333335</v>
      </c>
      <c r="D254" s="40">
        <f t="shared" si="7"/>
        <v>133055732.99666668</v>
      </c>
    </row>
    <row r="255" spans="2:4" x14ac:dyDescent="0.25">
      <c r="B255" s="102">
        <v>251</v>
      </c>
      <c r="C255" s="40">
        <f t="shared" si="6"/>
        <v>126851250.05466667</v>
      </c>
      <c r="D255" s="40">
        <f t="shared" si="7"/>
        <v>133587955.92865336</v>
      </c>
    </row>
    <row r="256" spans="2:4" x14ac:dyDescent="0.25">
      <c r="B256" s="102">
        <v>252</v>
      </c>
      <c r="C256" s="40">
        <f t="shared" si="6"/>
        <v>127298496.21600001</v>
      </c>
      <c r="D256" s="40">
        <f t="shared" si="7"/>
        <v>134120178.86064002</v>
      </c>
    </row>
    <row r="257" spans="2:4" x14ac:dyDescent="0.25">
      <c r="B257" s="102">
        <v>253</v>
      </c>
      <c r="C257" s="40">
        <f t="shared" si="6"/>
        <v>127745742.37733334</v>
      </c>
      <c r="D257" s="40">
        <f t="shared" si="7"/>
        <v>134652401.79262668</v>
      </c>
    </row>
    <row r="258" spans="2:4" x14ac:dyDescent="0.25">
      <c r="B258" s="102">
        <v>254</v>
      </c>
      <c r="C258" s="40">
        <f t="shared" si="6"/>
        <v>128192988.53866668</v>
      </c>
      <c r="D258" s="40">
        <f t="shared" si="7"/>
        <v>135184624.72461337</v>
      </c>
    </row>
    <row r="259" spans="2:4" x14ac:dyDescent="0.25">
      <c r="B259" s="102">
        <v>255</v>
      </c>
      <c r="C259" s="40">
        <f t="shared" si="6"/>
        <v>128640234.7</v>
      </c>
      <c r="D259" s="40">
        <f t="shared" si="7"/>
        <v>135716847.65660003</v>
      </c>
    </row>
    <row r="260" spans="2:4" x14ac:dyDescent="0.25">
      <c r="B260" s="102">
        <v>256</v>
      </c>
      <c r="C260" s="40">
        <f t="shared" si="6"/>
        <v>129087480.86133334</v>
      </c>
      <c r="D260" s="40">
        <f t="shared" si="7"/>
        <v>136249070.58858669</v>
      </c>
    </row>
    <row r="261" spans="2:4" x14ac:dyDescent="0.25">
      <c r="B261" s="102">
        <v>257</v>
      </c>
      <c r="C261" s="40">
        <f t="shared" ref="C261:C304" si="8">($C$2*B261)+$C$1</f>
        <v>129534727.02266668</v>
      </c>
      <c r="D261" s="40">
        <f t="shared" ref="D261:D304" si="9">$D$2*B261</f>
        <v>136781293.52057335</v>
      </c>
    </row>
    <row r="262" spans="2:4" x14ac:dyDescent="0.25">
      <c r="B262" s="102">
        <v>258</v>
      </c>
      <c r="C262" s="40">
        <f t="shared" si="8"/>
        <v>129981973.184</v>
      </c>
      <c r="D262" s="40">
        <f t="shared" si="9"/>
        <v>137313516.45256001</v>
      </c>
    </row>
    <row r="263" spans="2:4" x14ac:dyDescent="0.25">
      <c r="B263" s="102">
        <v>259</v>
      </c>
      <c r="C263" s="40">
        <f t="shared" si="8"/>
        <v>130429219.34533334</v>
      </c>
      <c r="D263" s="40">
        <f t="shared" si="9"/>
        <v>137845739.3845467</v>
      </c>
    </row>
    <row r="264" spans="2:4" x14ac:dyDescent="0.25">
      <c r="B264" s="102">
        <v>260</v>
      </c>
      <c r="C264" s="40">
        <f t="shared" si="8"/>
        <v>130876465.50666668</v>
      </c>
      <c r="D264" s="40">
        <f t="shared" si="9"/>
        <v>138377962.31653336</v>
      </c>
    </row>
    <row r="265" spans="2:4" x14ac:dyDescent="0.25">
      <c r="B265" s="102">
        <v>261</v>
      </c>
      <c r="C265" s="40">
        <f t="shared" si="8"/>
        <v>131323711.66800001</v>
      </c>
      <c r="D265" s="40">
        <f t="shared" si="9"/>
        <v>138910185.24852002</v>
      </c>
    </row>
    <row r="266" spans="2:4" x14ac:dyDescent="0.25">
      <c r="B266" s="102">
        <v>262</v>
      </c>
      <c r="C266" s="40">
        <f t="shared" si="8"/>
        <v>131770957.82933334</v>
      </c>
      <c r="D266" s="40">
        <f t="shared" si="9"/>
        <v>139442408.18050668</v>
      </c>
    </row>
    <row r="267" spans="2:4" x14ac:dyDescent="0.25">
      <c r="B267" s="102">
        <v>263</v>
      </c>
      <c r="C267" s="40">
        <f t="shared" si="8"/>
        <v>132218203.99066667</v>
      </c>
      <c r="D267" s="40">
        <f t="shared" si="9"/>
        <v>139974631.11249337</v>
      </c>
    </row>
    <row r="268" spans="2:4" x14ac:dyDescent="0.25">
      <c r="B268" s="102">
        <v>264</v>
      </c>
      <c r="C268" s="40">
        <f t="shared" si="8"/>
        <v>132665450.15200001</v>
      </c>
      <c r="D268" s="40">
        <f t="shared" si="9"/>
        <v>140506854.04448003</v>
      </c>
    </row>
    <row r="269" spans="2:4" x14ac:dyDescent="0.25">
      <c r="B269" s="102">
        <v>265</v>
      </c>
      <c r="C269" s="40">
        <f t="shared" si="8"/>
        <v>133112696.31333335</v>
      </c>
      <c r="D269" s="40">
        <f t="shared" si="9"/>
        <v>141039076.97646669</v>
      </c>
    </row>
    <row r="270" spans="2:4" x14ac:dyDescent="0.25">
      <c r="B270" s="102">
        <v>266</v>
      </c>
      <c r="C270" s="40">
        <f t="shared" si="8"/>
        <v>133559942.47466667</v>
      </c>
      <c r="D270" s="40">
        <f t="shared" si="9"/>
        <v>141571299.90845335</v>
      </c>
    </row>
    <row r="271" spans="2:4" x14ac:dyDescent="0.25">
      <c r="B271" s="102">
        <v>267</v>
      </c>
      <c r="C271" s="40">
        <f t="shared" si="8"/>
        <v>134007188.63600001</v>
      </c>
      <c r="D271" s="40">
        <f t="shared" si="9"/>
        <v>142103522.84044003</v>
      </c>
    </row>
    <row r="272" spans="2:4" x14ac:dyDescent="0.25">
      <c r="B272" s="102">
        <v>268</v>
      </c>
      <c r="C272" s="40">
        <f t="shared" si="8"/>
        <v>134454434.79733336</v>
      </c>
      <c r="D272" s="40">
        <f t="shared" si="9"/>
        <v>142635745.77242669</v>
      </c>
    </row>
    <row r="273" spans="2:4" x14ac:dyDescent="0.25">
      <c r="B273" s="102">
        <v>269</v>
      </c>
      <c r="C273" s="40">
        <f t="shared" si="8"/>
        <v>134901680.95866668</v>
      </c>
      <c r="D273" s="40">
        <f t="shared" si="9"/>
        <v>143167968.70441335</v>
      </c>
    </row>
    <row r="274" spans="2:4" x14ac:dyDescent="0.25">
      <c r="B274" s="102">
        <v>270</v>
      </c>
      <c r="C274" s="40">
        <f t="shared" si="8"/>
        <v>135348927.12</v>
      </c>
      <c r="D274" s="40">
        <f t="shared" si="9"/>
        <v>143700191.63640001</v>
      </c>
    </row>
    <row r="275" spans="2:4" x14ac:dyDescent="0.25">
      <c r="B275" s="102">
        <v>271</v>
      </c>
      <c r="C275" s="40">
        <f t="shared" si="8"/>
        <v>135796173.28133333</v>
      </c>
      <c r="D275" s="40">
        <f t="shared" si="9"/>
        <v>144232414.5683867</v>
      </c>
    </row>
    <row r="276" spans="2:4" x14ac:dyDescent="0.25">
      <c r="B276" s="102">
        <v>272</v>
      </c>
      <c r="C276" s="40">
        <f t="shared" si="8"/>
        <v>136243419.44266668</v>
      </c>
      <c r="D276" s="40">
        <f t="shared" si="9"/>
        <v>144764637.50037336</v>
      </c>
    </row>
    <row r="277" spans="2:4" x14ac:dyDescent="0.25">
      <c r="B277" s="102">
        <v>273</v>
      </c>
      <c r="C277" s="40">
        <f t="shared" si="8"/>
        <v>136690665.604</v>
      </c>
      <c r="D277" s="40">
        <f t="shared" si="9"/>
        <v>145296860.43236002</v>
      </c>
    </row>
    <row r="278" spans="2:4" x14ac:dyDescent="0.25">
      <c r="B278" s="102">
        <v>274</v>
      </c>
      <c r="C278" s="40">
        <f t="shared" si="8"/>
        <v>137137911.76533335</v>
      </c>
      <c r="D278" s="40">
        <f t="shared" si="9"/>
        <v>145829083.36434668</v>
      </c>
    </row>
    <row r="279" spans="2:4" x14ac:dyDescent="0.25">
      <c r="B279" s="102">
        <v>275</v>
      </c>
      <c r="C279" s="40">
        <f t="shared" si="8"/>
        <v>137585157.92666668</v>
      </c>
      <c r="D279" s="40">
        <f t="shared" si="9"/>
        <v>146361306.29633334</v>
      </c>
    </row>
    <row r="280" spans="2:4" x14ac:dyDescent="0.25">
      <c r="B280" s="102">
        <v>276</v>
      </c>
      <c r="C280" s="40">
        <f t="shared" si="8"/>
        <v>138032404.088</v>
      </c>
      <c r="D280" s="40">
        <f t="shared" si="9"/>
        <v>146893529.22832003</v>
      </c>
    </row>
    <row r="281" spans="2:4" x14ac:dyDescent="0.25">
      <c r="B281" s="102">
        <v>277</v>
      </c>
      <c r="C281" s="40">
        <f t="shared" si="8"/>
        <v>138479650.24933332</v>
      </c>
      <c r="D281" s="40">
        <f t="shared" si="9"/>
        <v>147425752.16030669</v>
      </c>
    </row>
    <row r="282" spans="2:4" x14ac:dyDescent="0.25">
      <c r="B282" s="102">
        <v>278</v>
      </c>
      <c r="C282" s="40">
        <f t="shared" si="8"/>
        <v>138926896.41066667</v>
      </c>
      <c r="D282" s="40">
        <f t="shared" si="9"/>
        <v>147957975.09229335</v>
      </c>
    </row>
    <row r="283" spans="2:4" x14ac:dyDescent="0.25">
      <c r="B283" s="102">
        <v>279</v>
      </c>
      <c r="C283" s="40">
        <f t="shared" si="8"/>
        <v>139374142.57200003</v>
      </c>
      <c r="D283" s="40">
        <f t="shared" si="9"/>
        <v>148490198.02428001</v>
      </c>
    </row>
    <row r="284" spans="2:4" x14ac:dyDescent="0.25">
      <c r="B284" s="102">
        <v>280</v>
      </c>
      <c r="C284" s="40">
        <f t="shared" si="8"/>
        <v>139821388.73333335</v>
      </c>
      <c r="D284" s="40">
        <f t="shared" si="9"/>
        <v>149022420.9562667</v>
      </c>
    </row>
    <row r="285" spans="2:4" x14ac:dyDescent="0.25">
      <c r="B285" s="102">
        <v>281</v>
      </c>
      <c r="C285" s="40">
        <f t="shared" si="8"/>
        <v>140268634.89466667</v>
      </c>
      <c r="D285" s="40">
        <f t="shared" si="9"/>
        <v>149554643.88825336</v>
      </c>
    </row>
    <row r="286" spans="2:4" x14ac:dyDescent="0.25">
      <c r="B286" s="102">
        <v>282</v>
      </c>
      <c r="C286" s="40">
        <f t="shared" si="8"/>
        <v>140715881.05599999</v>
      </c>
      <c r="D286" s="40">
        <f t="shared" si="9"/>
        <v>150086866.82024002</v>
      </c>
    </row>
    <row r="287" spans="2:4" x14ac:dyDescent="0.25">
      <c r="B287" s="102">
        <v>283</v>
      </c>
      <c r="C287" s="40">
        <f t="shared" si="8"/>
        <v>141163127.21733335</v>
      </c>
      <c r="D287" s="40">
        <f t="shared" si="9"/>
        <v>150619089.75222668</v>
      </c>
    </row>
    <row r="288" spans="2:4" x14ac:dyDescent="0.25">
      <c r="B288" s="102">
        <v>284</v>
      </c>
      <c r="C288" s="40">
        <f t="shared" si="8"/>
        <v>141610373.37866667</v>
      </c>
      <c r="D288" s="40">
        <f t="shared" si="9"/>
        <v>151151312.68421337</v>
      </c>
    </row>
    <row r="289" spans="2:4" x14ac:dyDescent="0.25">
      <c r="B289" s="102">
        <v>285</v>
      </c>
      <c r="C289" s="40">
        <f t="shared" si="8"/>
        <v>142057619.54000002</v>
      </c>
      <c r="D289" s="40">
        <f t="shared" si="9"/>
        <v>151683535.61620003</v>
      </c>
    </row>
    <row r="290" spans="2:4" x14ac:dyDescent="0.25">
      <c r="B290" s="102">
        <v>286</v>
      </c>
      <c r="C290" s="40">
        <f t="shared" si="8"/>
        <v>142504865.70133334</v>
      </c>
      <c r="D290" s="40">
        <f t="shared" si="9"/>
        <v>152215758.54818669</v>
      </c>
    </row>
    <row r="291" spans="2:4" x14ac:dyDescent="0.25">
      <c r="B291" s="102">
        <v>287</v>
      </c>
      <c r="C291" s="40">
        <f t="shared" si="8"/>
        <v>142952111.86266667</v>
      </c>
      <c r="D291" s="40">
        <f t="shared" si="9"/>
        <v>152747981.48017335</v>
      </c>
    </row>
    <row r="292" spans="2:4" x14ac:dyDescent="0.25">
      <c r="B292" s="102">
        <v>288</v>
      </c>
      <c r="C292" s="40">
        <f t="shared" si="8"/>
        <v>143399358.02399999</v>
      </c>
      <c r="D292" s="40">
        <f t="shared" si="9"/>
        <v>153280204.41216004</v>
      </c>
    </row>
    <row r="293" spans="2:4" x14ac:dyDescent="0.25">
      <c r="B293" s="102">
        <v>289</v>
      </c>
      <c r="C293" s="40">
        <f t="shared" si="8"/>
        <v>143846604.18533334</v>
      </c>
      <c r="D293" s="40">
        <f t="shared" si="9"/>
        <v>153812427.3441467</v>
      </c>
    </row>
    <row r="294" spans="2:4" x14ac:dyDescent="0.25">
      <c r="B294" s="102">
        <v>290</v>
      </c>
      <c r="C294" s="40">
        <f t="shared" si="8"/>
        <v>144293850.34666669</v>
      </c>
      <c r="D294" s="40">
        <f t="shared" si="9"/>
        <v>154344650.27613336</v>
      </c>
    </row>
    <row r="295" spans="2:4" x14ac:dyDescent="0.25">
      <c r="B295" s="102">
        <v>291</v>
      </c>
      <c r="C295" s="40">
        <f t="shared" si="8"/>
        <v>144741096.50800002</v>
      </c>
      <c r="D295" s="40">
        <f t="shared" si="9"/>
        <v>154876873.20812002</v>
      </c>
    </row>
    <row r="296" spans="2:4" x14ac:dyDescent="0.25">
      <c r="B296" s="102">
        <v>292</v>
      </c>
      <c r="C296" s="40">
        <f t="shared" si="8"/>
        <v>145188342.66933334</v>
      </c>
      <c r="D296" s="40">
        <f t="shared" si="9"/>
        <v>155409096.14010668</v>
      </c>
    </row>
    <row r="297" spans="2:4" x14ac:dyDescent="0.25">
      <c r="B297" s="102">
        <v>293</v>
      </c>
      <c r="C297" s="40">
        <f t="shared" si="8"/>
        <v>145635588.83066666</v>
      </c>
      <c r="D297" s="40">
        <f t="shared" si="9"/>
        <v>155941319.07209337</v>
      </c>
    </row>
    <row r="298" spans="2:4" x14ac:dyDescent="0.25">
      <c r="B298" s="102">
        <v>294</v>
      </c>
      <c r="C298" s="40">
        <f t="shared" si="8"/>
        <v>146082834.99200001</v>
      </c>
      <c r="D298" s="40">
        <f t="shared" si="9"/>
        <v>156473542.00408003</v>
      </c>
    </row>
    <row r="299" spans="2:4" x14ac:dyDescent="0.25">
      <c r="B299" s="102">
        <v>295</v>
      </c>
      <c r="C299" s="40">
        <f t="shared" si="8"/>
        <v>146530081.15333334</v>
      </c>
      <c r="D299" s="40">
        <f t="shared" si="9"/>
        <v>157005764.93606669</v>
      </c>
    </row>
    <row r="300" spans="2:4" x14ac:dyDescent="0.25">
      <c r="B300" s="102">
        <v>296</v>
      </c>
      <c r="C300" s="40">
        <f t="shared" si="8"/>
        <v>146977327.31466669</v>
      </c>
      <c r="D300" s="40">
        <f t="shared" si="9"/>
        <v>157537987.86805335</v>
      </c>
    </row>
    <row r="301" spans="2:4" x14ac:dyDescent="0.25">
      <c r="B301" s="102">
        <v>297</v>
      </c>
      <c r="C301" s="40">
        <f t="shared" si="8"/>
        <v>147424573.47600001</v>
      </c>
      <c r="D301" s="40">
        <f t="shared" si="9"/>
        <v>158070210.80004004</v>
      </c>
    </row>
    <row r="302" spans="2:4" x14ac:dyDescent="0.25">
      <c r="B302" s="102">
        <v>298</v>
      </c>
      <c r="C302" s="40">
        <f t="shared" si="8"/>
        <v>147871819.63733333</v>
      </c>
      <c r="D302" s="40">
        <f t="shared" si="9"/>
        <v>158602433.7320267</v>
      </c>
    </row>
    <row r="303" spans="2:4" x14ac:dyDescent="0.25">
      <c r="B303" s="102">
        <v>299</v>
      </c>
      <c r="C303" s="40">
        <f t="shared" si="8"/>
        <v>148319065.79866666</v>
      </c>
      <c r="D303" s="40">
        <f t="shared" si="9"/>
        <v>159134656.66401336</v>
      </c>
    </row>
    <row r="304" spans="2:4" x14ac:dyDescent="0.25">
      <c r="B304" s="102">
        <v>300</v>
      </c>
      <c r="C304" s="40">
        <f t="shared" si="8"/>
        <v>148766311.96000001</v>
      </c>
      <c r="D304" s="40">
        <f t="shared" si="9"/>
        <v>159666879.59600002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191" t="s">
        <v>260</v>
      </c>
      <c r="C2" s="192"/>
      <c r="D2" s="192"/>
      <c r="E2" s="192"/>
      <c r="F2" s="192"/>
      <c r="G2" s="193"/>
      <c r="I2" s="194" t="s">
        <v>261</v>
      </c>
      <c r="J2" s="195"/>
      <c r="L2" s="194" t="s">
        <v>262</v>
      </c>
      <c r="M2" s="195"/>
    </row>
    <row r="3" spans="2:13" x14ac:dyDescent="0.25">
      <c r="B3" s="85" t="s">
        <v>113</v>
      </c>
      <c r="C3" s="85" t="s">
        <v>81</v>
      </c>
      <c r="D3" s="85" t="s">
        <v>82</v>
      </c>
      <c r="E3" s="85" t="s">
        <v>83</v>
      </c>
      <c r="F3" s="85" t="s">
        <v>84</v>
      </c>
      <c r="G3" s="85" t="s">
        <v>85</v>
      </c>
      <c r="I3" s="111" t="s">
        <v>113</v>
      </c>
      <c r="J3" s="111" t="s">
        <v>101</v>
      </c>
      <c r="L3" s="111" t="s">
        <v>268</v>
      </c>
      <c r="M3" s="111" t="s">
        <v>2</v>
      </c>
    </row>
    <row r="4" spans="2:13" x14ac:dyDescent="0.25">
      <c r="B4" s="107" t="s">
        <v>255</v>
      </c>
      <c r="C4" s="105">
        <f>'Balance General'!D11/'Balance General'!D33</f>
        <v>0.90701734451122995</v>
      </c>
      <c r="D4" s="105">
        <f>'Balance General'!E11/'Balance General'!E33</f>
        <v>1.0505454416094722</v>
      </c>
      <c r="E4" s="105">
        <f>'Balance General'!F11/'Balance General'!F33</f>
        <v>1.227731813517243</v>
      </c>
      <c r="F4" s="105">
        <f>'Balance General'!G11/'Balance General'!G33</f>
        <v>1.4720525444754544</v>
      </c>
      <c r="G4" s="105">
        <f>'Balance General'!H11/'Balance General'!H33</f>
        <v>1.9070647174894515</v>
      </c>
      <c r="I4" s="110" t="s">
        <v>80</v>
      </c>
      <c r="J4" s="3">
        <f>'Flujo de Caja'!C35</f>
        <v>-422040</v>
      </c>
      <c r="L4" s="110" t="s">
        <v>263</v>
      </c>
      <c r="M4" s="60">
        <v>0.15</v>
      </c>
    </row>
    <row r="5" spans="2:13" x14ac:dyDescent="0.25">
      <c r="B5" s="107" t="s">
        <v>256</v>
      </c>
      <c r="C5" s="106">
        <f>'Balance General'!D39/'Balance General'!D25</f>
        <v>1.033899535995086</v>
      </c>
      <c r="D5" s="106">
        <f>'Balance General'!E39/'Balance General'!E25</f>
        <v>0.91040416784941314</v>
      </c>
      <c r="E5" s="106">
        <f>'Balance General'!F39/'Balance General'!F25</f>
        <v>0.79089374419914338</v>
      </c>
      <c r="F5" s="106">
        <f>'Balance General'!G39/'Balance General'!G25</f>
        <v>0.6670755625865481</v>
      </c>
      <c r="G5" s="106">
        <f>'Balance General'!H39/'Balance General'!H25</f>
        <v>0.51900448955353595</v>
      </c>
      <c r="I5" s="110" t="s">
        <v>81</v>
      </c>
      <c r="J5" s="3">
        <f>'Flujo de Caja'!D35</f>
        <v>-15668784.400000006</v>
      </c>
      <c r="L5" s="110" t="s">
        <v>264</v>
      </c>
      <c r="M5" s="3">
        <f>M6+J4</f>
        <v>169482058.70273763</v>
      </c>
    </row>
    <row r="6" spans="2:13" x14ac:dyDescent="0.25">
      <c r="B6" s="107" t="s">
        <v>257</v>
      </c>
      <c r="C6" s="106">
        <f>'Estado de Resultados'!D21/'Estado de Resultados'!D8</f>
        <v>-6.9290857910379491E-2</v>
      </c>
      <c r="D6" s="106">
        <f>'Estado de Resultados'!E21/'Estado de Resultados'!E8</f>
        <v>8.2445462173947992E-2</v>
      </c>
      <c r="E6" s="106">
        <f>'Estado de Resultados'!F21/'Estado de Resultados'!F8</f>
        <v>0.22086404430263884</v>
      </c>
      <c r="F6" s="106">
        <f>'Estado de Resultados'!G21/'Estado de Resultados'!G8</f>
        <v>0.35701821943404977</v>
      </c>
      <c r="G6" s="106">
        <f>'Estado de Resultados'!H21/'Estado de Resultados'!H8</f>
        <v>0.51285019744747673</v>
      </c>
      <c r="I6" s="110" t="s">
        <v>82</v>
      </c>
      <c r="J6" s="3">
        <f>'Flujo de Caja'!E35</f>
        <v>7158551.0560000241</v>
      </c>
      <c r="L6" s="110" t="s">
        <v>265</v>
      </c>
      <c r="M6" s="3">
        <f>NPV(M4,J5:J9)</f>
        <v>169904098.70273763</v>
      </c>
    </row>
    <row r="7" spans="2:13" x14ac:dyDescent="0.25">
      <c r="B7" s="108" t="s">
        <v>258</v>
      </c>
      <c r="C7" s="109">
        <f>'Estado de Resultados'!D32/'Estado de Resultados'!D8</f>
        <v>-0.11194547610882487</v>
      </c>
      <c r="D7" s="109">
        <f>'Estado de Resultados'!E32/'Estado de Resultados'!E8</f>
        <v>4.0622873427463152E-2</v>
      </c>
      <c r="E7" s="109">
        <f>'Estado de Resultados'!F32/'Estado de Resultados'!F8</f>
        <v>0.17966962916095133</v>
      </c>
      <c r="F7" s="109">
        <f>'Estado de Resultados'!G32/'Estado de Resultados'!G8</f>
        <v>0.31628378902947135</v>
      </c>
      <c r="G7" s="109">
        <f>'Estado de Resultados'!H32/'Estado de Resultados'!H8</f>
        <v>0.47243697835417925</v>
      </c>
      <c r="I7" s="110" t="s">
        <v>83</v>
      </c>
      <c r="J7" s="3">
        <f>'Flujo de Caja'!F35</f>
        <v>40748132.103679955</v>
      </c>
      <c r="L7" s="110" t="s">
        <v>266</v>
      </c>
      <c r="M7" s="60">
        <f>IRR(J4:J9)</f>
        <v>1.6958439850080009</v>
      </c>
    </row>
    <row r="8" spans="2:13" x14ac:dyDescent="0.25">
      <c r="B8" s="107" t="s">
        <v>259</v>
      </c>
      <c r="C8" s="106" t="e">
        <f>'Estado de Resultados'!D32/'Balance General'!#REF!</f>
        <v>#REF!</v>
      </c>
      <c r="D8" s="106" t="e">
        <f>'Estado de Resultados'!E32/'Balance General'!#REF!</f>
        <v>#REF!</v>
      </c>
      <c r="E8" s="106" t="e">
        <f>'Estado de Resultados'!F32/'Balance General'!#REF!</f>
        <v>#REF!</v>
      </c>
      <c r="F8" s="106" t="e">
        <f>'Estado de Resultados'!G32/'Balance General'!#REF!</f>
        <v>#REF!</v>
      </c>
      <c r="G8" s="106" t="e">
        <f>'Estado de Resultados'!H32/'Balance General'!#REF!</f>
        <v>#REF!</v>
      </c>
      <c r="I8" s="110" t="s">
        <v>84</v>
      </c>
      <c r="J8" s="3">
        <f>'Flujo de Caja'!G35</f>
        <v>95044249.398745507</v>
      </c>
      <c r="L8" s="110" t="s">
        <v>267</v>
      </c>
      <c r="M8" s="112">
        <f>-NPV(M4,J5:J9)/J4</f>
        <v>402.57818856681268</v>
      </c>
    </row>
    <row r="9" spans="2:13" x14ac:dyDescent="0.25">
      <c r="I9" s="110" t="s">
        <v>85</v>
      </c>
      <c r="J9" s="3">
        <f>'Flujo de Caja'!H35</f>
        <v>195065079.10399503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Inversión Inicial</vt:lpstr>
      <vt:lpstr>Costos de Operación Gravables</vt:lpstr>
      <vt:lpstr>Proyección de Ventas e Incremen</vt:lpstr>
      <vt:lpstr>Amortización y Depreciación</vt:lpstr>
      <vt:lpstr>Balance General</vt:lpstr>
      <vt:lpstr>Hoja1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2026-01-17T23:18:09Z</dcterms:modified>
</cp:coreProperties>
</file>