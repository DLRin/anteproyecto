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2F128A32-7597-46F7-9127-C58EC44B8AAF}" xr6:coauthVersionLast="47" xr6:coauthVersionMax="47" xr10:uidLastSave="{00000000-0000-0000-0000-000000000000}"/>
  <bookViews>
    <workbookView xWindow="17715" yWindow="675" windowWidth="15150" windowHeight="14700" xr2:uid="{C1A92DAF-29C6-4861-9348-3AF8E1A214CA}"/>
  </bookViews>
  <sheets>
    <sheet name="Balance General" sheetId="1" r:id="rId1"/>
    <sheet name="Estado de Resultados" sheetId="8" r:id="rId2"/>
    <sheet name="Flujo de Caja" sheetId="9" r:id="rId3"/>
    <sheet name="Flujo de Efectivo" sheetId="11" r:id="rId4"/>
    <sheet name="Costos Fijos y ETC" sheetId="12" r:id="rId5"/>
    <sheet name="Inversión Inicial" sheetId="2" r:id="rId6"/>
    <sheet name="Costos de Operación Gravables" sheetId="4" r:id="rId7"/>
    <sheet name="Proyección de Ventas e Incremen" sheetId="5" r:id="rId8"/>
    <sheet name="Amortización y Depreciación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2" l="1"/>
  <c r="C5" i="12" s="1"/>
  <c r="U22" i="11"/>
  <c r="C20" i="11"/>
  <c r="D6" i="11"/>
  <c r="C14" i="9"/>
  <c r="C29" i="8"/>
  <c r="C19" i="8"/>
  <c r="C14" i="8"/>
  <c r="C42" i="1"/>
  <c r="C18" i="11" s="1"/>
  <c r="C14" i="1"/>
  <c r="C15" i="1"/>
  <c r="D16" i="1"/>
  <c r="F7" i="1"/>
  <c r="F23" i="6"/>
  <c r="B16" i="5"/>
  <c r="B45" i="4"/>
  <c r="D6" i="12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C19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C14" i="11"/>
  <c r="C15" i="11" s="1"/>
  <c r="D8" i="11"/>
  <c r="D20" i="11" s="1"/>
  <c r="E8" i="11"/>
  <c r="E20" i="11" s="1"/>
  <c r="F8" i="11"/>
  <c r="F20" i="11" s="1"/>
  <c r="G8" i="11"/>
  <c r="G20" i="11" s="1"/>
  <c r="H8" i="11"/>
  <c r="H20" i="11" s="1"/>
  <c r="I8" i="11"/>
  <c r="I20" i="11" s="1"/>
  <c r="J8" i="11"/>
  <c r="J20" i="11" s="1"/>
  <c r="K8" i="11"/>
  <c r="K20" i="11" s="1"/>
  <c r="L8" i="11"/>
  <c r="L20" i="11" s="1"/>
  <c r="M8" i="11"/>
  <c r="M20" i="11" s="1"/>
  <c r="N8" i="11"/>
  <c r="N20" i="11" s="1"/>
  <c r="O8" i="11"/>
  <c r="O20" i="11" s="1"/>
  <c r="P8" i="11"/>
  <c r="P20" i="11" s="1"/>
  <c r="Q8" i="11"/>
  <c r="Q20" i="11" s="1"/>
  <c r="R8" i="11"/>
  <c r="R20" i="11" s="1"/>
  <c r="S8" i="11"/>
  <c r="S20" i="11" s="1"/>
  <c r="T8" i="11"/>
  <c r="T20" i="11" s="1"/>
  <c r="U8" i="11"/>
  <c r="U20" i="11" s="1"/>
  <c r="V8" i="11"/>
  <c r="V20" i="11" s="1"/>
  <c r="D9" i="11"/>
  <c r="D21" i="11" s="1"/>
  <c r="E9" i="11"/>
  <c r="E21" i="11" s="1"/>
  <c r="F9" i="11"/>
  <c r="F21" i="11" s="1"/>
  <c r="G9" i="11"/>
  <c r="G21" i="11" s="1"/>
  <c r="H9" i="11"/>
  <c r="H21" i="11" s="1"/>
  <c r="I9" i="11"/>
  <c r="I21" i="11" s="1"/>
  <c r="J9" i="11"/>
  <c r="J21" i="11" s="1"/>
  <c r="K9" i="11"/>
  <c r="K21" i="11" s="1"/>
  <c r="L9" i="11"/>
  <c r="L21" i="11" s="1"/>
  <c r="M9" i="11"/>
  <c r="M21" i="11" s="1"/>
  <c r="N9" i="11"/>
  <c r="N21" i="11" s="1"/>
  <c r="O9" i="11"/>
  <c r="O21" i="11" s="1"/>
  <c r="P9" i="11"/>
  <c r="P21" i="11" s="1"/>
  <c r="Q9" i="11"/>
  <c r="Q21" i="11" s="1"/>
  <c r="R9" i="11"/>
  <c r="R21" i="11" s="1"/>
  <c r="S9" i="11"/>
  <c r="S21" i="11" s="1"/>
  <c r="T9" i="11"/>
  <c r="T21" i="11" s="1"/>
  <c r="U9" i="11"/>
  <c r="U21" i="11" s="1"/>
  <c r="V9" i="11"/>
  <c r="V21" i="11" s="1"/>
  <c r="C9" i="11"/>
  <c r="C21" i="11" s="1"/>
  <c r="C8" i="11"/>
  <c r="V14" i="11"/>
  <c r="V15" i="11" s="1"/>
  <c r="U14" i="11"/>
  <c r="U15" i="11" s="1"/>
  <c r="T14" i="11"/>
  <c r="T15" i="11" s="1"/>
  <c r="S14" i="11"/>
  <c r="S15" i="11" s="1"/>
  <c r="R14" i="11"/>
  <c r="R15" i="11" s="1"/>
  <c r="Q14" i="11"/>
  <c r="Q15" i="11" s="1"/>
  <c r="P14" i="11"/>
  <c r="P15" i="11" s="1"/>
  <c r="O14" i="11"/>
  <c r="O15" i="11" s="1"/>
  <c r="N14" i="11"/>
  <c r="N15" i="11" s="1"/>
  <c r="M14" i="11"/>
  <c r="M15" i="11" s="1"/>
  <c r="L14" i="11"/>
  <c r="L15" i="11" s="1"/>
  <c r="K14" i="11"/>
  <c r="K15" i="11" s="1"/>
  <c r="J14" i="11"/>
  <c r="J15" i="11" s="1"/>
  <c r="I14" i="11"/>
  <c r="I15" i="11" s="1"/>
  <c r="H14" i="11"/>
  <c r="H15" i="11" s="1"/>
  <c r="G14" i="11"/>
  <c r="G15" i="11" s="1"/>
  <c r="F14" i="11"/>
  <c r="F15" i="11" s="1"/>
  <c r="E14" i="11"/>
  <c r="E15" i="11" s="1"/>
  <c r="D14" i="11"/>
  <c r="D15" i="11" s="1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C23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D10" i="9"/>
  <c r="D9" i="9"/>
  <c r="C9" i="9"/>
  <c r="C10" i="9"/>
  <c r="B8" i="2"/>
  <c r="B60" i="2"/>
  <c r="B52" i="2"/>
  <c r="B7" i="2" s="1"/>
  <c r="B45" i="2"/>
  <c r="B6" i="2" s="1"/>
  <c r="B37" i="2"/>
  <c r="B4" i="2" s="1"/>
  <c r="B29" i="2"/>
  <c r="B3" i="2" s="1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C8" i="9"/>
  <c r="C7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C24" i="9"/>
  <c r="U22" i="9"/>
  <c r="V22" i="9"/>
  <c r="T22" i="9"/>
  <c r="S22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S25" i="9" s="1"/>
  <c r="T20" i="9"/>
  <c r="T25" i="9" s="1"/>
  <c r="U20" i="9"/>
  <c r="U25" i="9" s="1"/>
  <c r="V20" i="9"/>
  <c r="V25" i="9" s="1"/>
  <c r="C20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D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C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D14" i="9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C25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C24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C13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C12" i="8"/>
  <c r="C30" i="1"/>
  <c r="C7" i="8"/>
  <c r="V6" i="8"/>
  <c r="V8" i="8" s="1"/>
  <c r="U6" i="8"/>
  <c r="U8" i="8" s="1"/>
  <c r="T6" i="8"/>
  <c r="T8" i="8" s="1"/>
  <c r="S6" i="8"/>
  <c r="S8" i="8" s="1"/>
  <c r="R6" i="8"/>
  <c r="R8" i="8" s="1"/>
  <c r="Q6" i="8"/>
  <c r="Q8" i="8" s="1"/>
  <c r="P6" i="8"/>
  <c r="P8" i="8" s="1"/>
  <c r="O6" i="8"/>
  <c r="O8" i="8" s="1"/>
  <c r="N6" i="8"/>
  <c r="N8" i="8" s="1"/>
  <c r="M6" i="8"/>
  <c r="M8" i="8" s="1"/>
  <c r="L6" i="8"/>
  <c r="L8" i="8" s="1"/>
  <c r="K6" i="8"/>
  <c r="K8" i="8" s="1"/>
  <c r="J6" i="8"/>
  <c r="J8" i="8" s="1"/>
  <c r="I6" i="8"/>
  <c r="I8" i="8" s="1"/>
  <c r="H6" i="8"/>
  <c r="H8" i="8" s="1"/>
  <c r="G6" i="8"/>
  <c r="G8" i="8" s="1"/>
  <c r="F6" i="8"/>
  <c r="F8" i="8" s="1"/>
  <c r="E6" i="8"/>
  <c r="E8" i="8" s="1"/>
  <c r="D6" i="8"/>
  <c r="D8" i="8" s="1"/>
  <c r="C6" i="8"/>
  <c r="S28" i="1"/>
  <c r="T28" i="1"/>
  <c r="U28" i="1"/>
  <c r="V28" i="1"/>
  <c r="S29" i="1"/>
  <c r="T29" i="1"/>
  <c r="U29" i="1"/>
  <c r="V29" i="1"/>
  <c r="S31" i="1"/>
  <c r="T31" i="1"/>
  <c r="U31" i="1"/>
  <c r="V31" i="1"/>
  <c r="S7" i="1"/>
  <c r="T7" i="1"/>
  <c r="U7" i="1"/>
  <c r="V7" i="1"/>
  <c r="S44" i="1"/>
  <c r="T44" i="1"/>
  <c r="U44" i="1"/>
  <c r="V44" i="1"/>
  <c r="S37" i="1"/>
  <c r="T37" i="1"/>
  <c r="U37" i="1"/>
  <c r="V37" i="1"/>
  <c r="S23" i="1"/>
  <c r="T23" i="1"/>
  <c r="U23" i="1"/>
  <c r="V23" i="1"/>
  <c r="S11" i="1"/>
  <c r="T11" i="1"/>
  <c r="U11" i="1"/>
  <c r="V11" i="1"/>
  <c r="Y6" i="5"/>
  <c r="Z6" i="5"/>
  <c r="AA6" i="5"/>
  <c r="AB6" i="5"/>
  <c r="Y16" i="4"/>
  <c r="Z16" i="4" s="1"/>
  <c r="Y13" i="4"/>
  <c r="Z13" i="4"/>
  <c r="AA13" i="4" s="1"/>
  <c r="AB13" i="4" s="1"/>
  <c r="Y7" i="4"/>
  <c r="Z7" i="4"/>
  <c r="AA7" i="4"/>
  <c r="AB7" i="4" s="1"/>
  <c r="Y21" i="4"/>
  <c r="O44" i="1"/>
  <c r="P44" i="1"/>
  <c r="Q44" i="1"/>
  <c r="R44" i="1"/>
  <c r="O37" i="1"/>
  <c r="P37" i="1"/>
  <c r="Q37" i="1"/>
  <c r="R37" i="1"/>
  <c r="O30" i="1"/>
  <c r="P30" i="1"/>
  <c r="Q30" i="1"/>
  <c r="R30" i="1"/>
  <c r="O23" i="1"/>
  <c r="P23" i="1"/>
  <c r="Q23" i="1"/>
  <c r="R23" i="1"/>
  <c r="G16" i="6"/>
  <c r="G17" i="6"/>
  <c r="G18" i="6"/>
  <c r="G19" i="6"/>
  <c r="X6" i="5"/>
  <c r="W6" i="5"/>
  <c r="V6" i="5"/>
  <c r="U6" i="5"/>
  <c r="M7" i="5"/>
  <c r="D44" i="1"/>
  <c r="E44" i="1"/>
  <c r="F44" i="1"/>
  <c r="G44" i="1"/>
  <c r="H44" i="1"/>
  <c r="I44" i="1"/>
  <c r="J44" i="1"/>
  <c r="K44" i="1"/>
  <c r="L44" i="1"/>
  <c r="M44" i="1"/>
  <c r="N44" i="1"/>
  <c r="D37" i="1"/>
  <c r="E37" i="1"/>
  <c r="F37" i="1"/>
  <c r="G37" i="1"/>
  <c r="H37" i="1"/>
  <c r="I37" i="1"/>
  <c r="J37" i="1"/>
  <c r="K37" i="1"/>
  <c r="L37" i="1"/>
  <c r="M37" i="1"/>
  <c r="N37" i="1"/>
  <c r="D29" i="1"/>
  <c r="E29" i="1"/>
  <c r="C29" i="1"/>
  <c r="D30" i="1"/>
  <c r="E30" i="1"/>
  <c r="F30" i="1"/>
  <c r="G30" i="1"/>
  <c r="H30" i="1"/>
  <c r="I30" i="1"/>
  <c r="J30" i="1"/>
  <c r="K30" i="1"/>
  <c r="L30" i="1"/>
  <c r="M30" i="1"/>
  <c r="N30" i="1"/>
  <c r="G15" i="6"/>
  <c r="D23" i="1"/>
  <c r="E23" i="1"/>
  <c r="F23" i="1"/>
  <c r="G23" i="1"/>
  <c r="H23" i="1"/>
  <c r="I23" i="1"/>
  <c r="J23" i="1"/>
  <c r="K23" i="1"/>
  <c r="L23" i="1"/>
  <c r="M23" i="1"/>
  <c r="N23" i="1"/>
  <c r="C23" i="1"/>
  <c r="F43" i="6"/>
  <c r="G43" i="6" s="1"/>
  <c r="F51" i="6"/>
  <c r="G51" i="6" s="1"/>
  <c r="F50" i="6"/>
  <c r="K50" i="6" s="1"/>
  <c r="F34" i="6"/>
  <c r="K34" i="6" s="1"/>
  <c r="F33" i="6"/>
  <c r="K33" i="6" s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D11" i="1"/>
  <c r="E11" i="1"/>
  <c r="C11" i="1"/>
  <c r="C8" i="1"/>
  <c r="D7" i="1"/>
  <c r="E7" i="1"/>
  <c r="C7" i="1"/>
  <c r="F49" i="6"/>
  <c r="G49" i="6" s="1"/>
  <c r="F48" i="6"/>
  <c r="G48" i="6" s="1"/>
  <c r="F47" i="6"/>
  <c r="K47" i="6" s="1"/>
  <c r="F46" i="6"/>
  <c r="I46" i="6" s="1"/>
  <c r="F45" i="6"/>
  <c r="G45" i="6" s="1"/>
  <c r="F44" i="6"/>
  <c r="K44" i="6" s="1"/>
  <c r="F42" i="6"/>
  <c r="G42" i="6" s="1"/>
  <c r="F41" i="6"/>
  <c r="G41" i="6" s="1"/>
  <c r="F40" i="6"/>
  <c r="I40" i="6" s="1"/>
  <c r="F32" i="6"/>
  <c r="H32" i="6" s="1"/>
  <c r="F30" i="6"/>
  <c r="H30" i="6" s="1"/>
  <c r="F28" i="6"/>
  <c r="K28" i="6" s="1"/>
  <c r="F26" i="6"/>
  <c r="I26" i="6" s="1"/>
  <c r="F24" i="6"/>
  <c r="H24" i="6" s="1"/>
  <c r="F31" i="6"/>
  <c r="J31" i="6" s="1"/>
  <c r="F29" i="6"/>
  <c r="K29" i="6" s="1"/>
  <c r="F27" i="6"/>
  <c r="G27" i="6" s="1"/>
  <c r="F25" i="6"/>
  <c r="K25" i="6" s="1"/>
  <c r="J23" i="6"/>
  <c r="B41" i="4"/>
  <c r="B46" i="4" s="1"/>
  <c r="D14" i="2"/>
  <c r="D15" i="2"/>
  <c r="D16" i="2"/>
  <c r="D13" i="2"/>
  <c r="L22" i="11" l="1"/>
  <c r="M22" i="11"/>
  <c r="N22" i="11"/>
  <c r="O22" i="11"/>
  <c r="P22" i="11"/>
  <c r="Q22" i="11"/>
  <c r="R22" i="11"/>
  <c r="C22" i="11"/>
  <c r="S22" i="11"/>
  <c r="D22" i="11"/>
  <c r="T22" i="11"/>
  <c r="E22" i="11"/>
  <c r="F22" i="11"/>
  <c r="V22" i="11"/>
  <c r="G22" i="11"/>
  <c r="I22" i="11"/>
  <c r="H22" i="11"/>
  <c r="J22" i="11"/>
  <c r="K22" i="11"/>
  <c r="D17" i="2"/>
  <c r="R17" i="9"/>
  <c r="H17" i="9"/>
  <c r="J17" i="9"/>
  <c r="G17" i="9"/>
  <c r="P17" i="9"/>
  <c r="O17" i="9"/>
  <c r="N17" i="9"/>
  <c r="I17" i="9"/>
  <c r="Q17" i="9"/>
  <c r="M17" i="9"/>
  <c r="L17" i="9"/>
  <c r="U17" i="9"/>
  <c r="E17" i="9"/>
  <c r="K17" i="9"/>
  <c r="T17" i="9"/>
  <c r="S17" i="9"/>
  <c r="D17" i="9"/>
  <c r="V17" i="9"/>
  <c r="F17" i="9"/>
  <c r="C8" i="8"/>
  <c r="AA16" i="4"/>
  <c r="AB16" i="4" s="1"/>
  <c r="Z21" i="4"/>
  <c r="AB21" i="4"/>
  <c r="AA21" i="4"/>
  <c r="C30" i="4"/>
  <c r="P15" i="1"/>
  <c r="K43" i="6"/>
  <c r="G40" i="6"/>
  <c r="H40" i="6"/>
  <c r="H44" i="6"/>
  <c r="G44" i="6"/>
  <c r="K40" i="6"/>
  <c r="J47" i="6"/>
  <c r="I47" i="6"/>
  <c r="J28" i="6"/>
  <c r="I28" i="6"/>
  <c r="J43" i="6"/>
  <c r="I43" i="6"/>
  <c r="H43" i="6"/>
  <c r="H28" i="6"/>
  <c r="K26" i="6"/>
  <c r="G28" i="6"/>
  <c r="K24" i="6"/>
  <c r="G30" i="6"/>
  <c r="G26" i="6"/>
  <c r="J24" i="6"/>
  <c r="H26" i="6"/>
  <c r="G24" i="6"/>
  <c r="G32" i="6"/>
  <c r="K32" i="6"/>
  <c r="J26" i="6"/>
  <c r="J32" i="6"/>
  <c r="G50" i="6"/>
  <c r="I32" i="6"/>
  <c r="K30" i="6"/>
  <c r="J41" i="6"/>
  <c r="G47" i="6"/>
  <c r="H50" i="6"/>
  <c r="I50" i="6"/>
  <c r="J50" i="6"/>
  <c r="H51" i="6"/>
  <c r="J25" i="6"/>
  <c r="J40" i="6"/>
  <c r="H46" i="6"/>
  <c r="K42" i="6"/>
  <c r="I51" i="6"/>
  <c r="J46" i="6"/>
  <c r="G46" i="6"/>
  <c r="K41" i="6"/>
  <c r="J51" i="6"/>
  <c r="K45" i="6"/>
  <c r="J30" i="6"/>
  <c r="I24" i="6"/>
  <c r="K49" i="6"/>
  <c r="J45" i="6"/>
  <c r="I41" i="6"/>
  <c r="K51" i="6"/>
  <c r="I30" i="6"/>
  <c r="J49" i="6"/>
  <c r="I45" i="6"/>
  <c r="H41" i="6"/>
  <c r="G34" i="6"/>
  <c r="H47" i="6"/>
  <c r="I49" i="6"/>
  <c r="H45" i="6"/>
  <c r="H34" i="6"/>
  <c r="J29" i="6"/>
  <c r="H49" i="6"/>
  <c r="I34" i="6"/>
  <c r="I29" i="6"/>
  <c r="J44" i="6"/>
  <c r="J34" i="6"/>
  <c r="K46" i="6"/>
  <c r="I44" i="6"/>
  <c r="G33" i="6"/>
  <c r="H29" i="6"/>
  <c r="K31" i="6"/>
  <c r="H23" i="6"/>
  <c r="H33" i="6"/>
  <c r="I23" i="6"/>
  <c r="G23" i="6"/>
  <c r="J42" i="6"/>
  <c r="K27" i="6"/>
  <c r="I27" i="6"/>
  <c r="H31" i="6"/>
  <c r="H27" i="6"/>
  <c r="K48" i="6"/>
  <c r="I42" i="6"/>
  <c r="I33" i="6"/>
  <c r="I31" i="6"/>
  <c r="G31" i="6"/>
  <c r="J48" i="6"/>
  <c r="H42" i="6"/>
  <c r="G25" i="6"/>
  <c r="H25" i="6"/>
  <c r="I48" i="6"/>
  <c r="J33" i="6"/>
  <c r="G29" i="6"/>
  <c r="H48" i="6"/>
  <c r="I25" i="6"/>
  <c r="J27" i="6"/>
  <c r="K23" i="6"/>
  <c r="Q15" i="1" l="1"/>
  <c r="H52" i="6"/>
  <c r="K52" i="6"/>
  <c r="G52" i="6"/>
  <c r="I52" i="6"/>
  <c r="J35" i="6"/>
  <c r="G35" i="6"/>
  <c r="J52" i="6"/>
  <c r="I35" i="6"/>
  <c r="H35" i="6"/>
  <c r="K35" i="6"/>
  <c r="B5" i="2"/>
  <c r="C6" i="9" s="1"/>
  <c r="B47" i="4"/>
  <c r="G28" i="9" l="1"/>
  <c r="C28" i="9"/>
  <c r="H28" i="9"/>
  <c r="I28" i="9"/>
  <c r="J28" i="9"/>
  <c r="K28" i="9"/>
  <c r="D28" i="9"/>
  <c r="L28" i="9"/>
  <c r="M28" i="9"/>
  <c r="N28" i="9"/>
  <c r="O28" i="9"/>
  <c r="P28" i="9"/>
  <c r="T28" i="9"/>
  <c r="Q28" i="9"/>
  <c r="R28" i="9"/>
  <c r="S28" i="9"/>
  <c r="U28" i="9"/>
  <c r="F28" i="9"/>
  <c r="V28" i="9"/>
  <c r="E28" i="9"/>
  <c r="C16" i="1"/>
  <c r="J11" i="9"/>
  <c r="P14" i="8"/>
  <c r="P15" i="8" s="1"/>
  <c r="P16" i="8" s="1"/>
  <c r="P21" i="8" s="1"/>
  <c r="P26" i="8" s="1"/>
  <c r="I11" i="9"/>
  <c r="Q14" i="8"/>
  <c r="Q15" i="8" s="1"/>
  <c r="Q16" i="8" s="1"/>
  <c r="Q21" i="8" s="1"/>
  <c r="Q26" i="8" s="1"/>
  <c r="H11" i="9"/>
  <c r="R14" i="8"/>
  <c r="R15" i="8" s="1"/>
  <c r="R16" i="8" s="1"/>
  <c r="R21" i="8" s="1"/>
  <c r="R26" i="8" s="1"/>
  <c r="G11" i="9"/>
  <c r="S14" i="8"/>
  <c r="S15" i="8" s="1"/>
  <c r="S16" i="8" s="1"/>
  <c r="S21" i="8" s="1"/>
  <c r="S26" i="8" s="1"/>
  <c r="L11" i="9"/>
  <c r="O14" i="8"/>
  <c r="O15" i="8" s="1"/>
  <c r="O16" i="8" s="1"/>
  <c r="O21" i="8" s="1"/>
  <c r="O26" i="8" s="1"/>
  <c r="V11" i="9"/>
  <c r="F11" i="9"/>
  <c r="D14" i="8"/>
  <c r="D15" i="8" s="1"/>
  <c r="D16" i="8" s="1"/>
  <c r="D21" i="8" s="1"/>
  <c r="D26" i="8" s="1"/>
  <c r="T14" i="8"/>
  <c r="T15" i="8" s="1"/>
  <c r="T16" i="8" s="1"/>
  <c r="T21" i="8" s="1"/>
  <c r="T26" i="8" s="1"/>
  <c r="N14" i="8"/>
  <c r="N15" i="8" s="1"/>
  <c r="N16" i="8" s="1"/>
  <c r="N21" i="8" s="1"/>
  <c r="N26" i="8" s="1"/>
  <c r="K11" i="9"/>
  <c r="U11" i="9"/>
  <c r="E11" i="9"/>
  <c r="E14" i="8"/>
  <c r="E15" i="8" s="1"/>
  <c r="E16" i="8" s="1"/>
  <c r="E21" i="8" s="1"/>
  <c r="E26" i="8" s="1"/>
  <c r="U14" i="8"/>
  <c r="U15" i="8" s="1"/>
  <c r="U16" i="8" s="1"/>
  <c r="U21" i="8" s="1"/>
  <c r="U26" i="8" s="1"/>
  <c r="T11" i="9"/>
  <c r="D11" i="9"/>
  <c r="F14" i="8"/>
  <c r="F15" i="8" s="1"/>
  <c r="F16" i="8" s="1"/>
  <c r="F21" i="8" s="1"/>
  <c r="F26" i="8" s="1"/>
  <c r="V14" i="8"/>
  <c r="V15" i="8" s="1"/>
  <c r="V16" i="8" s="1"/>
  <c r="V21" i="8" s="1"/>
  <c r="V26" i="8" s="1"/>
  <c r="K14" i="8"/>
  <c r="K15" i="8" s="1"/>
  <c r="K16" i="8" s="1"/>
  <c r="K21" i="8" s="1"/>
  <c r="K26" i="8" s="1"/>
  <c r="S11" i="9"/>
  <c r="C11" i="9"/>
  <c r="G14" i="8"/>
  <c r="G15" i="8" s="1"/>
  <c r="G16" i="8" s="1"/>
  <c r="G21" i="8" s="1"/>
  <c r="G26" i="8" s="1"/>
  <c r="O11" i="9"/>
  <c r="R11" i="9"/>
  <c r="H14" i="8"/>
  <c r="H15" i="8" s="1"/>
  <c r="H16" i="8" s="1"/>
  <c r="H21" i="8" s="1"/>
  <c r="H26" i="8" s="1"/>
  <c r="Q11" i="9"/>
  <c r="I14" i="8"/>
  <c r="I15" i="8" s="1"/>
  <c r="I16" i="8" s="1"/>
  <c r="I21" i="8" s="1"/>
  <c r="I26" i="8" s="1"/>
  <c r="N11" i="9"/>
  <c r="P11" i="9"/>
  <c r="J14" i="8"/>
  <c r="J15" i="8" s="1"/>
  <c r="J16" i="8" s="1"/>
  <c r="J21" i="8" s="1"/>
  <c r="J26" i="8" s="1"/>
  <c r="L14" i="8"/>
  <c r="L15" i="8" s="1"/>
  <c r="L16" i="8" s="1"/>
  <c r="L21" i="8" s="1"/>
  <c r="L26" i="8" s="1"/>
  <c r="M11" i="9"/>
  <c r="M14" i="8"/>
  <c r="M15" i="8" s="1"/>
  <c r="M16" i="8" s="1"/>
  <c r="M21" i="8" s="1"/>
  <c r="M26" i="8" s="1"/>
  <c r="R15" i="1"/>
  <c r="S15" i="1" s="1"/>
  <c r="T15" i="1" s="1"/>
  <c r="U15" i="1" s="1"/>
  <c r="V15" i="1" s="1"/>
  <c r="B17" i="5"/>
  <c r="R29" i="9" l="1"/>
  <c r="R7" i="11"/>
  <c r="M29" i="9"/>
  <c r="M7" i="11"/>
  <c r="P29" i="9"/>
  <c r="P7" i="11"/>
  <c r="L29" i="9"/>
  <c r="L7" i="11"/>
  <c r="D29" i="9"/>
  <c r="D7" i="11"/>
  <c r="K29" i="9"/>
  <c r="K7" i="11"/>
  <c r="N29" i="9"/>
  <c r="N7" i="11"/>
  <c r="J29" i="9"/>
  <c r="J7" i="11"/>
  <c r="S29" i="9"/>
  <c r="S7" i="11"/>
  <c r="T29" i="9"/>
  <c r="T7" i="11"/>
  <c r="O29" i="9"/>
  <c r="O7" i="11"/>
  <c r="I29" i="9"/>
  <c r="I7" i="11"/>
  <c r="V29" i="9"/>
  <c r="V7" i="11"/>
  <c r="H29" i="9"/>
  <c r="H7" i="11"/>
  <c r="F29" i="9"/>
  <c r="F7" i="11"/>
  <c r="C29" i="9"/>
  <c r="C7" i="11"/>
  <c r="Q29" i="9"/>
  <c r="Q7" i="11"/>
  <c r="E29" i="9"/>
  <c r="E7" i="11"/>
  <c r="U29" i="9"/>
  <c r="U7" i="11"/>
  <c r="G29" i="9"/>
  <c r="G7" i="11"/>
  <c r="D14" i="1"/>
  <c r="D17" i="1" s="1"/>
  <c r="D25" i="1" s="1"/>
  <c r="C17" i="1"/>
  <c r="C25" i="1" s="1"/>
  <c r="C32" i="1" s="1"/>
  <c r="B18" i="5"/>
  <c r="E16" i="1" l="1"/>
  <c r="D32" i="1"/>
  <c r="C30" i="8" l="1"/>
  <c r="C32" i="9"/>
  <c r="D29" i="8"/>
  <c r="F16" i="1"/>
  <c r="E14" i="1"/>
  <c r="E17" i="1" s="1"/>
  <c r="E25" i="1" s="1"/>
  <c r="E32" i="1" s="1"/>
  <c r="D30" i="8" l="1"/>
  <c r="D32" i="8" s="1"/>
  <c r="D32" i="9"/>
  <c r="C33" i="9"/>
  <c r="C10" i="11"/>
  <c r="E29" i="8"/>
  <c r="G16" i="1"/>
  <c r="F14" i="1"/>
  <c r="F17" i="1" s="1"/>
  <c r="E30" i="8" l="1"/>
  <c r="E32" i="8" s="1"/>
  <c r="E6" i="11" s="1"/>
  <c r="E32" i="9"/>
  <c r="D33" i="9"/>
  <c r="D10" i="11"/>
  <c r="D11" i="11"/>
  <c r="H16" i="1"/>
  <c r="G14" i="1"/>
  <c r="G17" i="1" s="1"/>
  <c r="E33" i="9" l="1"/>
  <c r="E10" i="11"/>
  <c r="E11" i="11"/>
  <c r="I16" i="1"/>
  <c r="H14" i="1"/>
  <c r="H17" i="1" s="1"/>
  <c r="J16" i="1" l="1"/>
  <c r="I14" i="1"/>
  <c r="I17" i="1" s="1"/>
  <c r="K16" i="1" l="1"/>
  <c r="J14" i="1"/>
  <c r="J17" i="1" s="1"/>
  <c r="L16" i="1" l="1"/>
  <c r="K14" i="1"/>
  <c r="K17" i="1" s="1"/>
  <c r="M16" i="1" l="1"/>
  <c r="L14" i="1"/>
  <c r="L17" i="1" s="1"/>
  <c r="N16" i="1" l="1"/>
  <c r="M14" i="1"/>
  <c r="M17" i="1" s="1"/>
  <c r="O16" i="1" l="1"/>
  <c r="N14" i="1"/>
  <c r="N17" i="1" s="1"/>
  <c r="P16" i="1" l="1"/>
  <c r="O14" i="1"/>
  <c r="O17" i="1" s="1"/>
  <c r="Q16" i="1" l="1"/>
  <c r="P14" i="1"/>
  <c r="P17" i="1" s="1"/>
  <c r="G5" i="6"/>
  <c r="G6" i="6"/>
  <c r="G7" i="6"/>
  <c r="G8" i="6"/>
  <c r="G9" i="6"/>
  <c r="G10" i="6"/>
  <c r="G11" i="6"/>
  <c r="G12" i="6"/>
  <c r="G13" i="6"/>
  <c r="G14" i="6"/>
  <c r="G4" i="6"/>
  <c r="L7" i="5"/>
  <c r="F11" i="1" s="1"/>
  <c r="F25" i="1" s="1"/>
  <c r="M6" i="5"/>
  <c r="G7" i="1" s="1"/>
  <c r="G11" i="1" s="1"/>
  <c r="G25" i="1" s="1"/>
  <c r="N6" i="5"/>
  <c r="O6" i="5"/>
  <c r="P6" i="5"/>
  <c r="Q6" i="5"/>
  <c r="R6" i="5"/>
  <c r="S6" i="5"/>
  <c r="T6" i="5"/>
  <c r="L6" i="5"/>
  <c r="C11" i="5"/>
  <c r="D11" i="5" s="1"/>
  <c r="F11" i="5" s="1"/>
  <c r="E5" i="5"/>
  <c r="E6" i="5"/>
  <c r="E4" i="5"/>
  <c r="C10" i="5"/>
  <c r="B9" i="5"/>
  <c r="D9" i="5" s="1"/>
  <c r="F9" i="5" s="1"/>
  <c r="B10" i="5"/>
  <c r="F6" i="5"/>
  <c r="F4" i="5"/>
  <c r="F5" i="5"/>
  <c r="B15" i="4"/>
  <c r="D15" i="4" s="1"/>
  <c r="B16" i="4"/>
  <c r="D16" i="4" s="1"/>
  <c r="B17" i="4"/>
  <c r="D17" i="4" s="1"/>
  <c r="B18" i="4"/>
  <c r="B19" i="4"/>
  <c r="B20" i="4"/>
  <c r="B21" i="4"/>
  <c r="B14" i="4"/>
  <c r="M13" i="4"/>
  <c r="G28" i="1" s="1"/>
  <c r="L13" i="4"/>
  <c r="F16" i="4"/>
  <c r="G16" i="4" s="1"/>
  <c r="L16" i="4" s="1"/>
  <c r="C31" i="4"/>
  <c r="C27" i="4"/>
  <c r="D30" i="4"/>
  <c r="D31" i="4" s="1"/>
  <c r="F19" i="4" s="1"/>
  <c r="I19" i="4" s="1"/>
  <c r="D26" i="4"/>
  <c r="D25" i="4"/>
  <c r="D27" i="4" s="1"/>
  <c r="C22" i="4"/>
  <c r="F13" i="4" s="1"/>
  <c r="G13" i="4" s="1"/>
  <c r="C11" i="4"/>
  <c r="D10" i="4"/>
  <c r="D9" i="4"/>
  <c r="D8" i="4"/>
  <c r="D7" i="4"/>
  <c r="F7" i="4" s="1"/>
  <c r="G7" i="4" s="1"/>
  <c r="M7" i="4" s="1"/>
  <c r="G31" i="1" s="1"/>
  <c r="D6" i="4"/>
  <c r="D5" i="4"/>
  <c r="D4" i="4"/>
  <c r="B9" i="2"/>
  <c r="C11" i="8" s="1"/>
  <c r="C15" i="8" s="1"/>
  <c r="C16" i="8" s="1"/>
  <c r="C21" i="8" s="1"/>
  <c r="C26" i="8" s="1"/>
  <c r="C32" i="8" s="1"/>
  <c r="C6" i="11" s="1"/>
  <c r="C11" i="11" s="1"/>
  <c r="R16" i="1" l="1"/>
  <c r="Q14" i="1"/>
  <c r="Q17" i="1" s="1"/>
  <c r="F29" i="1"/>
  <c r="M16" i="4"/>
  <c r="N13" i="4"/>
  <c r="B22" i="2"/>
  <c r="B21" i="2"/>
  <c r="C15" i="9" s="1"/>
  <c r="B4" i="6"/>
  <c r="E3" i="6" s="1"/>
  <c r="I3" i="6" s="1"/>
  <c r="E4" i="6" s="1"/>
  <c r="F4" i="6" s="1"/>
  <c r="C36" i="1"/>
  <c r="C37" i="1" s="1"/>
  <c r="F32" i="1"/>
  <c r="G32" i="1"/>
  <c r="N7" i="5"/>
  <c r="C12" i="5"/>
  <c r="E9" i="5"/>
  <c r="E11" i="5"/>
  <c r="D10" i="5"/>
  <c r="D12" i="5" s="1"/>
  <c r="N7" i="4"/>
  <c r="H31" i="1" s="1"/>
  <c r="L7" i="4"/>
  <c r="D11" i="4"/>
  <c r="F4" i="4" s="1"/>
  <c r="G4" i="4" s="1"/>
  <c r="D18" i="4"/>
  <c r="D14" i="4"/>
  <c r="D20" i="4"/>
  <c r="D19" i="4"/>
  <c r="D21" i="4"/>
  <c r="F29" i="8" l="1"/>
  <c r="G29" i="8"/>
  <c r="H4" i="6"/>
  <c r="I4" i="6" s="1"/>
  <c r="E5" i="6" s="1"/>
  <c r="F5" i="6" s="1"/>
  <c r="C22" i="9"/>
  <c r="C21" i="9" s="1"/>
  <c r="C25" i="9" s="1"/>
  <c r="C17" i="9"/>
  <c r="C35" i="9" s="1"/>
  <c r="S16" i="1"/>
  <c r="R14" i="1"/>
  <c r="R17" i="1" s="1"/>
  <c r="N16" i="4"/>
  <c r="H29" i="1" s="1"/>
  <c r="G29" i="1"/>
  <c r="G33" i="1"/>
  <c r="G39" i="1" s="1"/>
  <c r="G46" i="1" s="1"/>
  <c r="H28" i="1"/>
  <c r="O13" i="4"/>
  <c r="M21" i="4"/>
  <c r="O7" i="5"/>
  <c r="H7" i="1"/>
  <c r="H11" i="1" s="1"/>
  <c r="H25" i="1" s="1"/>
  <c r="F10" i="5"/>
  <c r="F12" i="5" s="1"/>
  <c r="E10" i="5"/>
  <c r="E12" i="5" s="1"/>
  <c r="O7" i="4"/>
  <c r="I31" i="1" s="1"/>
  <c r="N21" i="4"/>
  <c r="L4" i="4"/>
  <c r="F31" i="1" s="1"/>
  <c r="J4" i="4"/>
  <c r="D31" i="1" s="1"/>
  <c r="I4" i="4"/>
  <c r="C31" i="1" s="1"/>
  <c r="K4" i="4"/>
  <c r="E31" i="1" s="1"/>
  <c r="D22" i="4"/>
  <c r="F10" i="4" s="1"/>
  <c r="G10" i="4" s="1"/>
  <c r="J10" i="4" s="1"/>
  <c r="O16" i="4"/>
  <c r="G30" i="8" l="1"/>
  <c r="G32" i="8" s="1"/>
  <c r="G6" i="11" s="1"/>
  <c r="G32" i="9"/>
  <c r="F30" i="8"/>
  <c r="F32" i="8" s="1"/>
  <c r="F6" i="11" s="1"/>
  <c r="F32" i="9"/>
  <c r="H5" i="6"/>
  <c r="I5" i="6" s="1"/>
  <c r="E6" i="6" s="1"/>
  <c r="D22" i="9"/>
  <c r="D21" i="9" s="1"/>
  <c r="D25" i="9" s="1"/>
  <c r="D35" i="9" s="1"/>
  <c r="T16" i="1"/>
  <c r="S14" i="1"/>
  <c r="S17" i="1" s="1"/>
  <c r="S25" i="1" s="1"/>
  <c r="S32" i="1" s="1"/>
  <c r="C44" i="1"/>
  <c r="P16" i="4"/>
  <c r="I29" i="1"/>
  <c r="I28" i="1"/>
  <c r="P13" i="4"/>
  <c r="J21" i="4"/>
  <c r="D28" i="1"/>
  <c r="D33" i="1" s="1"/>
  <c r="D39" i="1" s="1"/>
  <c r="D46" i="1" s="1"/>
  <c r="H32" i="1"/>
  <c r="P7" i="5"/>
  <c r="I7" i="1"/>
  <c r="I11" i="1" s="1"/>
  <c r="I25" i="1" s="1"/>
  <c r="F6" i="6"/>
  <c r="P7" i="4"/>
  <c r="J31" i="1" s="1"/>
  <c r="O21" i="4"/>
  <c r="I10" i="4"/>
  <c r="L10" i="4"/>
  <c r="K10" i="4"/>
  <c r="F33" i="9" l="1"/>
  <c r="F10" i="11"/>
  <c r="G10" i="11"/>
  <c r="G33" i="9"/>
  <c r="F11" i="11"/>
  <c r="G11" i="11"/>
  <c r="S33" i="1"/>
  <c r="S39" i="1" s="1"/>
  <c r="S46" i="1" s="1"/>
  <c r="S29" i="8"/>
  <c r="H33" i="1"/>
  <c r="H39" i="1" s="1"/>
  <c r="H46" i="1" s="1"/>
  <c r="H29" i="8"/>
  <c r="U16" i="1"/>
  <c r="T14" i="1"/>
  <c r="T17" i="1" s="1"/>
  <c r="T25" i="1" s="1"/>
  <c r="T32" i="1" s="1"/>
  <c r="H6" i="6"/>
  <c r="I6" i="6" s="1"/>
  <c r="E7" i="6" s="1"/>
  <c r="F7" i="6" s="1"/>
  <c r="F22" i="9" s="1"/>
  <c r="F21" i="9" s="1"/>
  <c r="F25" i="9" s="1"/>
  <c r="F35" i="9" s="1"/>
  <c r="E22" i="9"/>
  <c r="E21" i="9" s="1"/>
  <c r="E25" i="9" s="1"/>
  <c r="E35" i="9" s="1"/>
  <c r="K21" i="4"/>
  <c r="E28" i="1"/>
  <c r="E33" i="1" s="1"/>
  <c r="L21" i="4"/>
  <c r="F28" i="1"/>
  <c r="F33" i="1" s="1"/>
  <c r="F39" i="1" s="1"/>
  <c r="F46" i="1" s="1"/>
  <c r="I21" i="4"/>
  <c r="C28" i="1"/>
  <c r="C33" i="1" s="1"/>
  <c r="Q13" i="4"/>
  <c r="J28" i="1"/>
  <c r="Q16" i="4"/>
  <c r="J29" i="1"/>
  <c r="Q7" i="5"/>
  <c r="J7" i="1"/>
  <c r="J11" i="1" s="1"/>
  <c r="J25" i="1" s="1"/>
  <c r="I32" i="1"/>
  <c r="Q7" i="4"/>
  <c r="K31" i="1" s="1"/>
  <c r="P21" i="4"/>
  <c r="H30" i="8" l="1"/>
  <c r="H32" i="8" s="1"/>
  <c r="H6" i="11" s="1"/>
  <c r="H32" i="9"/>
  <c r="S30" i="8"/>
  <c r="S32" i="8" s="1"/>
  <c r="S6" i="11" s="1"/>
  <c r="S32" i="9"/>
  <c r="I33" i="1"/>
  <c r="I39" i="1" s="1"/>
  <c r="I46" i="1" s="1"/>
  <c r="I29" i="8"/>
  <c r="T33" i="1"/>
  <c r="T39" i="1" s="1"/>
  <c r="T46" i="1" s="1"/>
  <c r="T29" i="8"/>
  <c r="H7" i="6"/>
  <c r="I7" i="6" s="1"/>
  <c r="E8" i="6" s="1"/>
  <c r="F8" i="6" s="1"/>
  <c r="G22" i="9" s="1"/>
  <c r="G21" i="9" s="1"/>
  <c r="G25" i="9" s="1"/>
  <c r="G35" i="9" s="1"/>
  <c r="E39" i="1"/>
  <c r="E46" i="1" s="1"/>
  <c r="V16" i="1"/>
  <c r="V14" i="1" s="1"/>
  <c r="V17" i="1" s="1"/>
  <c r="V25" i="1" s="1"/>
  <c r="V32" i="1" s="1"/>
  <c r="U14" i="1"/>
  <c r="U17" i="1" s="1"/>
  <c r="U25" i="1" s="1"/>
  <c r="U32" i="1" s="1"/>
  <c r="C39" i="1"/>
  <c r="C46" i="1" s="1"/>
  <c r="R16" i="4"/>
  <c r="K29" i="1"/>
  <c r="R13" i="4"/>
  <c r="K28" i="1"/>
  <c r="J32" i="1"/>
  <c r="R7" i="5"/>
  <c r="K7" i="1"/>
  <c r="K11" i="1" s="1"/>
  <c r="K25" i="1" s="1"/>
  <c r="R7" i="4"/>
  <c r="L31" i="1" s="1"/>
  <c r="Q21" i="4"/>
  <c r="H10" i="11" l="1"/>
  <c r="H33" i="9"/>
  <c r="T30" i="8"/>
  <c r="T32" i="8" s="1"/>
  <c r="T6" i="11" s="1"/>
  <c r="T32" i="9"/>
  <c r="I30" i="8"/>
  <c r="I32" i="8" s="1"/>
  <c r="I6" i="11" s="1"/>
  <c r="I32" i="9"/>
  <c r="S33" i="9"/>
  <c r="S35" i="9" s="1"/>
  <c r="S10" i="11"/>
  <c r="S11" i="11" s="1"/>
  <c r="H11" i="11"/>
  <c r="U33" i="1"/>
  <c r="U39" i="1" s="1"/>
  <c r="U46" i="1" s="1"/>
  <c r="U29" i="8"/>
  <c r="V33" i="1"/>
  <c r="V39" i="1" s="1"/>
  <c r="V46" i="1" s="1"/>
  <c r="V29" i="8"/>
  <c r="H8" i="6"/>
  <c r="I8" i="6" s="1"/>
  <c r="E9" i="6" s="1"/>
  <c r="F9" i="6" s="1"/>
  <c r="H22" i="9" s="1"/>
  <c r="H21" i="9" s="1"/>
  <c r="H25" i="9" s="1"/>
  <c r="H35" i="9" s="1"/>
  <c r="J33" i="1"/>
  <c r="J39" i="1" s="1"/>
  <c r="J46" i="1" s="1"/>
  <c r="J29" i="8"/>
  <c r="S13" i="4"/>
  <c r="L28" i="1"/>
  <c r="S16" i="4"/>
  <c r="L29" i="1"/>
  <c r="S7" i="5"/>
  <c r="L7" i="1"/>
  <c r="L11" i="1" s="1"/>
  <c r="L25" i="1" s="1"/>
  <c r="K32" i="1"/>
  <c r="S7" i="4"/>
  <c r="M31" i="1" s="1"/>
  <c r="R21" i="4"/>
  <c r="I33" i="9" l="1"/>
  <c r="I10" i="11"/>
  <c r="V30" i="8"/>
  <c r="V32" i="8" s="1"/>
  <c r="V6" i="11" s="1"/>
  <c r="V32" i="9"/>
  <c r="U30" i="8"/>
  <c r="U32" i="8" s="1"/>
  <c r="U6" i="11" s="1"/>
  <c r="U32" i="9"/>
  <c r="I11" i="11"/>
  <c r="T33" i="9"/>
  <c r="T35" i="9" s="1"/>
  <c r="T10" i="11"/>
  <c r="T11" i="11" s="1"/>
  <c r="J30" i="8"/>
  <c r="J32" i="8" s="1"/>
  <c r="J6" i="11" s="1"/>
  <c r="J32" i="9"/>
  <c r="H9" i="6"/>
  <c r="I9" i="6" s="1"/>
  <c r="E10" i="6" s="1"/>
  <c r="F10" i="6" s="1"/>
  <c r="I22" i="9" s="1"/>
  <c r="I21" i="9" s="1"/>
  <c r="I25" i="9" s="1"/>
  <c r="I35" i="9" s="1"/>
  <c r="K33" i="1"/>
  <c r="K39" i="1" s="1"/>
  <c r="K46" i="1" s="1"/>
  <c r="K29" i="8"/>
  <c r="T16" i="4"/>
  <c r="M29" i="1"/>
  <c r="T13" i="4"/>
  <c r="M28" i="1"/>
  <c r="L32" i="1"/>
  <c r="T7" i="5"/>
  <c r="M7" i="1"/>
  <c r="M11" i="1" s="1"/>
  <c r="M25" i="1" s="1"/>
  <c r="T7" i="4"/>
  <c r="S21" i="4"/>
  <c r="K30" i="8" l="1"/>
  <c r="K32" i="8" s="1"/>
  <c r="K6" i="11" s="1"/>
  <c r="K32" i="9"/>
  <c r="J33" i="9"/>
  <c r="J10" i="11"/>
  <c r="J11" i="11" s="1"/>
  <c r="V33" i="9"/>
  <c r="V35" i="9" s="1"/>
  <c r="V10" i="11"/>
  <c r="U33" i="9"/>
  <c r="U35" i="9" s="1"/>
  <c r="U10" i="11"/>
  <c r="U11" i="11" s="1"/>
  <c r="V11" i="11"/>
  <c r="H10" i="6"/>
  <c r="I10" i="6" s="1"/>
  <c r="E11" i="6" s="1"/>
  <c r="F11" i="6" s="1"/>
  <c r="J22" i="9" s="1"/>
  <c r="J21" i="9" s="1"/>
  <c r="J25" i="9" s="1"/>
  <c r="J35" i="9" s="1"/>
  <c r="L33" i="1"/>
  <c r="L39" i="1" s="1"/>
  <c r="L46" i="1" s="1"/>
  <c r="L29" i="8"/>
  <c r="N7" i="1"/>
  <c r="N11" i="1" s="1"/>
  <c r="N25" i="1" s="1"/>
  <c r="N32" i="1" s="1"/>
  <c r="U7" i="5"/>
  <c r="T21" i="4"/>
  <c r="U7" i="4"/>
  <c r="N31" i="1"/>
  <c r="U13" i="4"/>
  <c r="N28" i="1"/>
  <c r="U16" i="4"/>
  <c r="N29" i="1"/>
  <c r="M32" i="1"/>
  <c r="H11" i="6"/>
  <c r="I11" i="6" s="1"/>
  <c r="E12" i="6" s="1"/>
  <c r="F12" i="6" s="1"/>
  <c r="K22" i="9" s="1"/>
  <c r="K21" i="9" s="1"/>
  <c r="K25" i="9" s="1"/>
  <c r="L30" i="8" l="1"/>
  <c r="L32" i="8" s="1"/>
  <c r="L6" i="11" s="1"/>
  <c r="L32" i="9"/>
  <c r="K33" i="9"/>
  <c r="K35" i="9" s="1"/>
  <c r="K10" i="11"/>
  <c r="K11" i="11" s="1"/>
  <c r="M33" i="1"/>
  <c r="M39" i="1" s="1"/>
  <c r="M46" i="1" s="1"/>
  <c r="M29" i="8"/>
  <c r="N33" i="1"/>
  <c r="N39" i="1" s="1"/>
  <c r="N46" i="1" s="1"/>
  <c r="N29" i="8"/>
  <c r="O7" i="1"/>
  <c r="O11" i="1" s="1"/>
  <c r="O25" i="1" s="1"/>
  <c r="O32" i="1" s="1"/>
  <c r="V7" i="5"/>
  <c r="O29" i="1"/>
  <c r="V16" i="4"/>
  <c r="V13" i="4"/>
  <c r="O28" i="1"/>
  <c r="O31" i="1"/>
  <c r="V7" i="4"/>
  <c r="U21" i="4"/>
  <c r="H12" i="6"/>
  <c r="I12" i="6" s="1"/>
  <c r="E13" i="6" s="1"/>
  <c r="N30" i="8" l="1"/>
  <c r="N32" i="8" s="1"/>
  <c r="N6" i="11" s="1"/>
  <c r="N32" i="9"/>
  <c r="M30" i="8"/>
  <c r="M32" i="8" s="1"/>
  <c r="M6" i="11" s="1"/>
  <c r="M32" i="9"/>
  <c r="L33" i="9"/>
  <c r="L10" i="11"/>
  <c r="L11" i="11"/>
  <c r="O29" i="8"/>
  <c r="W7" i="5"/>
  <c r="P7" i="1"/>
  <c r="P11" i="1" s="1"/>
  <c r="P25" i="1" s="1"/>
  <c r="P32" i="1" s="1"/>
  <c r="P31" i="1"/>
  <c r="W7" i="4"/>
  <c r="V21" i="4"/>
  <c r="O33" i="1"/>
  <c r="O39" i="1" s="1"/>
  <c r="O46" i="1" s="1"/>
  <c r="P28" i="1"/>
  <c r="W13" i="4"/>
  <c r="P29" i="1"/>
  <c r="W16" i="4"/>
  <c r="F13" i="6"/>
  <c r="O30" i="8" l="1"/>
  <c r="O32" i="8" s="1"/>
  <c r="O6" i="11" s="1"/>
  <c r="O32" i="9"/>
  <c r="N33" i="9"/>
  <c r="N10" i="11"/>
  <c r="M33" i="9"/>
  <c r="M10" i="11"/>
  <c r="M11" i="11" s="1"/>
  <c r="N11" i="11"/>
  <c r="H13" i="6"/>
  <c r="I13" i="6" s="1"/>
  <c r="E14" i="6" s="1"/>
  <c r="F14" i="6" s="1"/>
  <c r="L22" i="9"/>
  <c r="L21" i="9" s="1"/>
  <c r="L25" i="9" s="1"/>
  <c r="L35" i="9" s="1"/>
  <c r="P29" i="8"/>
  <c r="P33" i="1"/>
  <c r="P39" i="1" s="1"/>
  <c r="P46" i="1" s="1"/>
  <c r="X7" i="5"/>
  <c r="Q7" i="1"/>
  <c r="Q11" i="1" s="1"/>
  <c r="Q25" i="1" s="1"/>
  <c r="Q32" i="1" s="1"/>
  <c r="X13" i="4"/>
  <c r="R28" i="1" s="1"/>
  <c r="Q28" i="1"/>
  <c r="Q29" i="1"/>
  <c r="X16" i="4"/>
  <c r="R29" i="1" s="1"/>
  <c r="X7" i="4"/>
  <c r="Q31" i="1"/>
  <c r="W21" i="4"/>
  <c r="O33" i="9" l="1"/>
  <c r="O10" i="11"/>
  <c r="P30" i="8"/>
  <c r="P32" i="8" s="1"/>
  <c r="P6" i="11" s="1"/>
  <c r="P32" i="9"/>
  <c r="O11" i="11"/>
  <c r="H14" i="6"/>
  <c r="I14" i="6" s="1"/>
  <c r="E15" i="6" s="1"/>
  <c r="M22" i="9"/>
  <c r="M21" i="9" s="1"/>
  <c r="M25" i="9" s="1"/>
  <c r="M35" i="9" s="1"/>
  <c r="Q29" i="8"/>
  <c r="Q33" i="1"/>
  <c r="Q39" i="1" s="1"/>
  <c r="Q46" i="1" s="1"/>
  <c r="Y7" i="5"/>
  <c r="Z7" i="5" s="1"/>
  <c r="AA7" i="5" s="1"/>
  <c r="AB7" i="5" s="1"/>
  <c r="R7" i="1"/>
  <c r="R11" i="1" s="1"/>
  <c r="R25" i="1" s="1"/>
  <c r="R32" i="1" s="1"/>
  <c r="R31" i="1"/>
  <c r="X21" i="4"/>
  <c r="F15" i="6"/>
  <c r="P33" i="9" l="1"/>
  <c r="P10" i="11"/>
  <c r="Q30" i="8"/>
  <c r="Q32" i="8" s="1"/>
  <c r="Q6" i="11" s="1"/>
  <c r="Q32" i="9"/>
  <c r="P11" i="11"/>
  <c r="R33" i="1"/>
  <c r="R39" i="1" s="1"/>
  <c r="R46" i="1" s="1"/>
  <c r="R29" i="8"/>
  <c r="H15" i="6"/>
  <c r="I15" i="6" s="1"/>
  <c r="E16" i="6" s="1"/>
  <c r="F16" i="6" s="1"/>
  <c r="N22" i="9"/>
  <c r="N21" i="9" s="1"/>
  <c r="N25" i="9" s="1"/>
  <c r="N35" i="9" s="1"/>
  <c r="Q33" i="9" l="1"/>
  <c r="Q10" i="11"/>
  <c r="Q11" i="11"/>
  <c r="R30" i="8"/>
  <c r="R32" i="8" s="1"/>
  <c r="R6" i="11" s="1"/>
  <c r="R32" i="9"/>
  <c r="H16" i="6"/>
  <c r="I16" i="6" s="1"/>
  <c r="E17" i="6" s="1"/>
  <c r="F17" i="6" s="1"/>
  <c r="O22" i="9"/>
  <c r="O21" i="9" s="1"/>
  <c r="O25" i="9" s="1"/>
  <c r="O35" i="9" s="1"/>
  <c r="R10" i="11" l="1"/>
  <c r="R11" i="11" s="1"/>
  <c r="R33" i="9"/>
  <c r="H17" i="6"/>
  <c r="I17" i="6" s="1"/>
  <c r="E18" i="6" s="1"/>
  <c r="F18" i="6" s="1"/>
  <c r="P22" i="9"/>
  <c r="P21" i="9" s="1"/>
  <c r="P25" i="9" s="1"/>
  <c r="P35" i="9" s="1"/>
  <c r="H18" i="6" l="1"/>
  <c r="I18" i="6" s="1"/>
  <c r="E19" i="6" s="1"/>
  <c r="F19" i="6" s="1"/>
  <c r="Q22" i="9"/>
  <c r="Q21" i="9" s="1"/>
  <c r="Q25" i="9" s="1"/>
  <c r="Q35" i="9" s="1"/>
  <c r="H19" i="6" l="1"/>
  <c r="I19" i="6" s="1"/>
  <c r="R22" i="9"/>
  <c r="R21" i="9" s="1"/>
  <c r="R25" i="9" s="1"/>
  <c r="R35" i="9" s="1"/>
</calcChain>
</file>

<file path=xl/sharedStrings.xml><?xml version="1.0" encoding="utf-8"?>
<sst xmlns="http://schemas.openxmlformats.org/spreadsheetml/2006/main" count="636" uniqueCount="293">
  <si>
    <t>BALANCE GENERAL PROYECTADO</t>
  </si>
  <si>
    <t>EDUCAFIN S.A.S.</t>
  </si>
  <si>
    <t>TRIMESTRE</t>
  </si>
  <si>
    <t>TRIMESTRE 1</t>
  </si>
  <si>
    <t>TRIMESTRE 2</t>
  </si>
  <si>
    <t>TRIMESTRE 3</t>
  </si>
  <si>
    <t>TRIMESTRE 4</t>
  </si>
  <si>
    <t>TRIMESTRE 5</t>
  </si>
  <si>
    <t>TRIMESTRE 6</t>
  </si>
  <si>
    <t>TRIMESTRE 7</t>
  </si>
  <si>
    <t>TRIMESTRE 8</t>
  </si>
  <si>
    <t>TRIMESTRE 9</t>
  </si>
  <si>
    <t>TRIMESTRE 10</t>
  </si>
  <si>
    <t>TRIMESTRE 11</t>
  </si>
  <si>
    <t>TRIMESTRE 12</t>
  </si>
  <si>
    <t>Inversión Inicial</t>
  </si>
  <si>
    <t>Diseño UX/UI</t>
  </si>
  <si>
    <t>Producción de contenidos interactivos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</si>
  <si>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</si>
  <si>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</si>
  <si>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</si>
  <si>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</si>
  <si>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Tipo de inversión</t>
  </si>
  <si>
    <t>Valor</t>
  </si>
  <si>
    <t>SUBTOTAL</t>
  </si>
  <si>
    <t>Costos de Operación Gravables</t>
  </si>
  <si>
    <t>Sueldos de los Empleados</t>
  </si>
  <si>
    <t>Unidades</t>
  </si>
  <si>
    <t>Scrum Master</t>
  </si>
  <si>
    <t>Desarrollador Back-End</t>
  </si>
  <si>
    <t>Desarrollador Front-End</t>
  </si>
  <si>
    <t>Cloud Architect</t>
  </si>
  <si>
    <t>Líder de Desarrollo</t>
  </si>
  <si>
    <t>Líder I+D+I</t>
  </si>
  <si>
    <t>Valor Unitario/mes</t>
  </si>
  <si>
    <t>Prestaciones y Parafiscales</t>
  </si>
  <si>
    <t>Cesantias</t>
  </si>
  <si>
    <t>Intereses sobre cesantias</t>
  </si>
  <si>
    <t>Primas</t>
  </si>
  <si>
    <t>Vacaciones</t>
  </si>
  <si>
    <t>Salud (EPS)</t>
  </si>
  <si>
    <t>Riesgos Laborales (ARL)</t>
  </si>
  <si>
    <t>Caja de Compensación Familiar</t>
  </si>
  <si>
    <t>Valor Total/mes</t>
  </si>
  <si>
    <t>Infraestructuras</t>
  </si>
  <si>
    <t>Internet</t>
  </si>
  <si>
    <t>Otros</t>
  </si>
  <si>
    <t>Registros y Estatos</t>
  </si>
  <si>
    <t>Costos de Operación Gravables (valor trimestral)</t>
  </si>
  <si>
    <t>Valor de 0</t>
  </si>
  <si>
    <t>Soporte IT (Asesoría Financiera)</t>
  </si>
  <si>
    <t>Pensiones (AFP)</t>
  </si>
  <si>
    <t>Valor/mes</t>
  </si>
  <si>
    <t>Conversión Trimestral</t>
  </si>
  <si>
    <t>N/A</t>
  </si>
  <si>
    <t>Tasa de Crecimiento</t>
  </si>
  <si>
    <t>TOTAL</t>
  </si>
  <si>
    <t>1° Trimestre</t>
  </si>
  <si>
    <t>2° Trimestre</t>
  </si>
  <si>
    <t>3° Trimestre</t>
  </si>
  <si>
    <t>4° Trimestre</t>
  </si>
  <si>
    <t>5° Trimestre</t>
  </si>
  <si>
    <t>6° Trimestre</t>
  </si>
  <si>
    <t>7° Trimestre</t>
  </si>
  <si>
    <t>8° Trimestre</t>
  </si>
  <si>
    <t>9° Trimestre</t>
  </si>
  <si>
    <t>10° Trimestre</t>
  </si>
  <si>
    <t>11° Trimestre</t>
  </si>
  <si>
    <t>12° Trimestre</t>
  </si>
  <si>
    <t>Sueldos de los Empleados (Pos-Lanzamiento, 10 meses)</t>
  </si>
  <si>
    <t>Prestaciones y Parafiscales (Pos-Lanzamiento, 10 meses)</t>
  </si>
  <si>
    <t>Infraestructuras (10 meses)</t>
  </si>
  <si>
    <t>Ingresos</t>
  </si>
  <si>
    <t>Concepto</t>
  </si>
  <si>
    <t>Valor/año</t>
  </si>
  <si>
    <t>Publicidad de Plan Gratuito</t>
  </si>
  <si>
    <t xml:space="preserve">Plan Gratuito </t>
  </si>
  <si>
    <t>Ingresos y Proyecciones de Venta</t>
  </si>
  <si>
    <t>Proyección de Ventas</t>
  </si>
  <si>
    <t>Servicio</t>
  </si>
  <si>
    <t>N° Suscripción/mes</t>
  </si>
  <si>
    <t>Ingreso/mes</t>
  </si>
  <si>
    <t>Ingreso/anual</t>
  </si>
  <si>
    <t>Plan Suscriptor</t>
  </si>
  <si>
    <t>Valor/trimestre</t>
  </si>
  <si>
    <t>Total</t>
  </si>
  <si>
    <t>Ingreso/trimestre</t>
  </si>
  <si>
    <t>Proyección Incremento de Ventas</t>
  </si>
  <si>
    <t>Indicador</t>
  </si>
  <si>
    <t>IPC Proyectado</t>
  </si>
  <si>
    <t>% Crecimiento de Ventas</t>
  </si>
  <si>
    <t>Flujo de efectivo</t>
  </si>
  <si>
    <t>Crecimiento de ventas indexación IPC y % crecimiento</t>
  </si>
  <si>
    <t>Amortización y Depreciación</t>
  </si>
  <si>
    <t>Valor del Préstamo</t>
  </si>
  <si>
    <t>Cuota Inicial</t>
  </si>
  <si>
    <t>Plazo</t>
  </si>
  <si>
    <t>Préstamo (en Banco GNB Sudameris)</t>
  </si>
  <si>
    <t>Amortización de Crédito</t>
  </si>
  <si>
    <t>Período</t>
  </si>
  <si>
    <t>Saldo</t>
  </si>
  <si>
    <t>Interes</t>
  </si>
  <si>
    <t>Amortización</t>
  </si>
  <si>
    <t>0° Trimestre</t>
  </si>
  <si>
    <t>Saldo Final</t>
  </si>
  <si>
    <t>Tasa de Interés (trimestralmente)</t>
  </si>
  <si>
    <t xml:space="preserve">Pago al Crédito </t>
  </si>
  <si>
    <t>Pago Mensual</t>
  </si>
  <si>
    <t>Depreciación</t>
  </si>
  <si>
    <t>Activos Fijos</t>
  </si>
  <si>
    <t>Activos Tangibles</t>
  </si>
  <si>
    <t>Cantidad</t>
  </si>
  <si>
    <t>Valor Unitario</t>
  </si>
  <si>
    <t>Valor Total</t>
  </si>
  <si>
    <t>Monitores</t>
  </si>
  <si>
    <t>Accesorios (Papeleria, etc)</t>
  </si>
  <si>
    <t>Computadoras/Laptops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</si>
  <si>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</si>
  <si>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</si>
  <si>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</si>
  <si>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</si>
  <si>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</si>
  <si>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</si>
  <si>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</si>
  <si>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Activos Fijo</t>
  </si>
  <si>
    <t>Activos Fijos Tangibles</t>
  </si>
  <si>
    <t>Tabla de Financiamiento</t>
  </si>
  <si>
    <t>Aportes Sociales</t>
  </si>
  <si>
    <t>Financiamiento Externo</t>
  </si>
  <si>
    <t>Computador 1</t>
  </si>
  <si>
    <t>Computador 2</t>
  </si>
  <si>
    <t>Perifericos (Mouse, Teclados, Audifonos)</t>
  </si>
  <si>
    <t>Perifericos 1</t>
  </si>
  <si>
    <t>Perifericos 2</t>
  </si>
  <si>
    <t>Computador 3</t>
  </si>
  <si>
    <t>Perifericos 3</t>
  </si>
  <si>
    <t>Computador 4</t>
  </si>
  <si>
    <t>Perifericos 4</t>
  </si>
  <si>
    <t>Computador 5</t>
  </si>
  <si>
    <t>Perifericos 5</t>
  </si>
  <si>
    <t>Vida Útil</t>
  </si>
  <si>
    <t>5 años</t>
  </si>
  <si>
    <t>Año 1</t>
  </si>
  <si>
    <t>Año 2</t>
  </si>
  <si>
    <t>Año 3</t>
  </si>
  <si>
    <t>Año 4</t>
  </si>
  <si>
    <t>Año 5</t>
  </si>
  <si>
    <t>Valor Inicial</t>
  </si>
  <si>
    <t>Depreciación Total</t>
  </si>
  <si>
    <t>Efectivo y Equivalente de Efectivo</t>
  </si>
  <si>
    <t>Tasa de Depreciación Total</t>
  </si>
  <si>
    <t>IPC Proyectado y Flujo de Efectivo</t>
  </si>
  <si>
    <t>ACTIVOS</t>
  </si>
  <si>
    <t>ACTIVOS CORRIENTES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</si>
  <si>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</si>
  <si>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</si>
  <si>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</si>
  <si>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</si>
  <si>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</si>
  <si>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Intangibles (neto)</t>
  </si>
  <si>
    <t>Inmuebles y Equipos (neto)</t>
  </si>
  <si>
    <t>Computador 6</t>
  </si>
  <si>
    <t>Perifericos 6</t>
  </si>
  <si>
    <t>Total Activos No Corrientes</t>
  </si>
  <si>
    <t>Depreciación de Equipos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</si>
  <si>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</si>
  <si>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</si>
  <si>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</si>
  <si>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</si>
  <si>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</si>
  <si>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</si>
  <si>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</si>
  <si>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</si>
  <si>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</si>
  <si>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</si>
  <si>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</si>
  <si>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Servicios de Infraestructura/Hosting</t>
  </si>
  <si>
    <t>Total Pasivos Corrientes</t>
  </si>
  <si>
    <t>PASIVOS NO CORRIENTES</t>
  </si>
  <si>
    <t>Total Pasivos No Corrientes</t>
  </si>
  <si>
    <t>TOTAL PASIVOS</t>
  </si>
  <si>
    <t>CAPITAL</t>
  </si>
  <si>
    <t>Capital Social</t>
  </si>
  <si>
    <t>Financiamiento por Deuda</t>
  </si>
  <si>
    <t>FINANCIAMIENTO TOTAL</t>
  </si>
  <si>
    <t>TOTAL CAPITAL</t>
  </si>
  <si>
    <t>13° Trimestre</t>
  </si>
  <si>
    <t>14° Trimestre</t>
  </si>
  <si>
    <t>15° Trimestre</t>
  </si>
  <si>
    <t>16° Trimestre</t>
  </si>
  <si>
    <t>16 trimestres (48 meses)</t>
  </si>
  <si>
    <t>TRIMESTRE 13</t>
  </si>
  <si>
    <t>TRIMESTRE 14</t>
  </si>
  <si>
    <t>TRIMESTRE 15</t>
  </si>
  <si>
    <t>TRIMESTRE 16</t>
  </si>
  <si>
    <t>17° Trimestre</t>
  </si>
  <si>
    <t>18° Trimestre</t>
  </si>
  <si>
    <t>19° Trimestre</t>
  </si>
  <si>
    <t>20° Trimestre</t>
  </si>
  <si>
    <t>TRIMESTRE 17</t>
  </si>
  <si>
    <t>TRIMESTRE 18</t>
  </si>
  <si>
    <t>TRIMESTRE 19</t>
  </si>
  <si>
    <t>TRIMESTRE 20</t>
  </si>
  <si>
    <t>Devoluciones</t>
  </si>
  <si>
    <t>Total Ventas Netas</t>
  </si>
  <si>
    <t>UTILIDAD</t>
  </si>
  <si>
    <t>Mano de Obra Fija</t>
  </si>
  <si>
    <t>Total Costo de Ventas</t>
  </si>
  <si>
    <t>Diferidos</t>
  </si>
  <si>
    <t>Utilidad Bruta (Ventas - Costo de Ventas)</t>
  </si>
  <si>
    <t>UTILIDAD OPERACIONAL</t>
  </si>
  <si>
    <t>Otros Egresos</t>
  </si>
  <si>
    <t>Gastos Financieros</t>
  </si>
  <si>
    <t>Gastos Administrativos</t>
  </si>
  <si>
    <t>Gastos de Ventas</t>
  </si>
  <si>
    <t>OTRAS UTILIDADES</t>
  </si>
  <si>
    <t>Total Otras Utilidades</t>
  </si>
  <si>
    <t>Total Utilidad Operacional</t>
  </si>
  <si>
    <t>IMPUESTOS</t>
  </si>
  <si>
    <t>Impuestos</t>
  </si>
  <si>
    <t>Total Impuestos</t>
  </si>
  <si>
    <t>UTILIDAD NETA</t>
  </si>
  <si>
    <t>ESTADO DE RESULTADOS</t>
  </si>
  <si>
    <t>FLUJO DE CAJA</t>
  </si>
  <si>
    <t>EFECTIVO</t>
  </si>
  <si>
    <t>Efectivo y equivalente de efectivo</t>
  </si>
  <si>
    <t>Aportaciones de Socios</t>
  </si>
  <si>
    <t>Aportes de Financiamiento</t>
  </si>
  <si>
    <t>Total de Entradas</t>
  </si>
  <si>
    <t>Mantenimiento de Infraestructura</t>
  </si>
  <si>
    <t>Intereses</t>
  </si>
  <si>
    <t>Remuneraciones y Participaciones por Pagar</t>
  </si>
  <si>
    <t>Equipos de Oficina</t>
  </si>
  <si>
    <t>Preoperativos</t>
  </si>
  <si>
    <t>Capital de Trabajo</t>
  </si>
  <si>
    <t>Inversión en Diseño UX/UI</t>
  </si>
  <si>
    <t>Prubeas de Usabilidad y Ajustes</t>
  </si>
  <si>
    <t>Inversión en Producción de Contenidos Interactivos</t>
  </si>
  <si>
    <t>Guión y Diseño</t>
  </si>
  <si>
    <t>Desarrollo de Simuladores</t>
  </si>
  <si>
    <t>Inversión en Marketing, Lanzamiento y Proyección</t>
  </si>
  <si>
    <t>Campañas digitales (Google Ads o RRSS)</t>
  </si>
  <si>
    <t>Producción Audiovisual Promocional</t>
  </si>
  <si>
    <t>Eventos y Demostraciones (Material Físico)</t>
  </si>
  <si>
    <t>Inversión en Consultoría Especializada</t>
  </si>
  <si>
    <t>Asesoría Legal y Cumplimiento</t>
  </si>
  <si>
    <t>Seguridad de la Información / Datos</t>
  </si>
  <si>
    <t>Mentoría Estratégica y Producto</t>
  </si>
  <si>
    <t>Inversión en Creación de Infraestructura y Arquitectura de Software</t>
  </si>
  <si>
    <t>Setup Inicial de la Nube (Arquitectura y Deploy)</t>
  </si>
  <si>
    <t>Estrategia y Branding (Diseño y Marca)</t>
  </si>
  <si>
    <t>Licencias y Recursos (Stock y Assets)</t>
  </si>
  <si>
    <t>Producción Multimedia (Audios y Videos)</t>
  </si>
  <si>
    <t>Investigación UX (Tesis y Entrevistas)</t>
  </si>
  <si>
    <t>Diseño UI (Mockups y Prototipos)</t>
  </si>
  <si>
    <t>Dominios y Certificados de SSL</t>
  </si>
  <si>
    <t>Licencias de Software (Herramientas)</t>
  </si>
  <si>
    <t>Implementación / DevOPS</t>
  </si>
  <si>
    <t>Costos de Infraestructura Iniciales</t>
  </si>
  <si>
    <t>INVERSIÓN INICIAL</t>
  </si>
  <si>
    <t>Total de Inversión Inicial</t>
  </si>
  <si>
    <t>ENTRADAS E INGRESOS</t>
  </si>
  <si>
    <t>EGRESOS</t>
  </si>
  <si>
    <t>Nómina y Prestaciones</t>
  </si>
  <si>
    <t>DEPRECIACIÓN</t>
  </si>
  <si>
    <t>Equipos de Cómputo</t>
  </si>
  <si>
    <t>FLUJO DE OPERACIÓN</t>
  </si>
  <si>
    <t>Total Depreciación</t>
  </si>
  <si>
    <t>Total Flujo de Operación</t>
  </si>
  <si>
    <t>FLUJO DE CAJA LIBRE</t>
  </si>
  <si>
    <t>FLUJO DE EFECTIVO</t>
  </si>
  <si>
    <t>Utilidad del Ejercicio</t>
  </si>
  <si>
    <t>Depreciaciones</t>
  </si>
  <si>
    <t>Impuestos de la Renta</t>
  </si>
  <si>
    <t>Flujo de Caja Operativo Neto</t>
  </si>
  <si>
    <t>FLUJO DE CAJA DE INVERSIÓN</t>
  </si>
  <si>
    <t>FLUJO DE CAJA DE OPERACIÓN</t>
  </si>
  <si>
    <t>Flujo de Caja de Inversión Neto</t>
  </si>
  <si>
    <t>Inversión de Equipos de Computación</t>
  </si>
  <si>
    <t>FLUJO DE CAJA DE FINANCIAMIENTO</t>
  </si>
  <si>
    <t>Desembolso Pasivo</t>
  </si>
  <si>
    <t>Amortizaciones</t>
  </si>
  <si>
    <t>Flujo de Caja de Financiamiento Neto</t>
  </si>
  <si>
    <t>COSTOS FIJOS Y VARIABLES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</si>
  <si>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</si>
  <si>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</si>
  <si>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</si>
  <si>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</si>
  <si>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</si>
  <si>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</si>
  <si>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Depreciación de Producción</t>
  </si>
  <si>
    <t>=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</si>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</sst>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9" fontId="0" fillId="0" borderId="1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164" fontId="0" fillId="6" borderId="1" xfId="0" applyNumberFormat="1" applyFill="1" applyBorder="1"/>
    <xf numFmtId="0" fontId="0" fillId="6" borderId="1" xfId="0" applyFill="1" applyBorder="1"/>
    <xf numFmtId="164" fontId="0" fillId="7" borderId="1" xfId="0" applyNumberFormat="1" applyFill="1" applyBorder="1"/>
    <xf numFmtId="0" fontId="0" fillId="8" borderId="14" xfId="0" applyFill="1" applyBorder="1"/>
    <xf numFmtId="0" fontId="0" fillId="8" borderId="1" xfId="0" applyFill="1" applyBorder="1"/>
    <xf numFmtId="164" fontId="1" fillId="0" borderId="15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0" fillId="0" borderId="0" xfId="0" applyNumberFormat="1" applyFill="1" applyBorder="1"/>
    <xf numFmtId="0" fontId="1" fillId="0" borderId="0" xfId="0" applyFont="1" applyFill="1" applyBorder="1" applyAlignment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4" xfId="0" applyNumberForma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10" fontId="1" fillId="6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0" fontId="1" fillId="12" borderId="1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4" xfId="0" applyFont="1" applyBorder="1"/>
    <xf numFmtId="0" fontId="7" fillId="2" borderId="2" xfId="0" applyFont="1" applyFill="1" applyBorder="1"/>
    <xf numFmtId="0" fontId="1" fillId="14" borderId="3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2" fillId="15" borderId="14" xfId="0" applyFont="1" applyFill="1" applyBorder="1"/>
    <xf numFmtId="164" fontId="6" fillId="15" borderId="14" xfId="0" applyNumberFormat="1" applyFont="1" applyFill="1" applyBorder="1" applyAlignment="1">
      <alignment horizontal="center"/>
    </xf>
    <xf numFmtId="164" fontId="1" fillId="14" borderId="3" xfId="0" applyNumberFormat="1" applyFont="1" applyFill="1" applyBorder="1" applyAlignment="1">
      <alignment horizontal="center"/>
    </xf>
    <xf numFmtId="164" fontId="1" fillId="14" borderId="4" xfId="0" applyNumberFormat="1" applyFont="1" applyFill="1" applyBorder="1" applyAlignment="1">
      <alignment horizontal="center"/>
    </xf>
    <xf numFmtId="0" fontId="1" fillId="0" borderId="10" xfId="0" applyFont="1" applyBorder="1"/>
    <xf numFmtId="164" fontId="1" fillId="2" borderId="21" xfId="0" applyNumberFormat="1" applyFont="1" applyFill="1" applyBorder="1" applyAlignment="1">
      <alignment horizontal="center"/>
    </xf>
    <xf numFmtId="0" fontId="1" fillId="0" borderId="14" xfId="0" applyFont="1" applyFill="1" applyBorder="1"/>
    <xf numFmtId="164" fontId="0" fillId="0" borderId="14" xfId="0" applyNumberFormat="1" applyFont="1" applyFill="1" applyBorder="1" applyAlignment="1">
      <alignment horizontal="center"/>
    </xf>
    <xf numFmtId="0" fontId="7" fillId="3" borderId="14" xfId="0" applyFont="1" applyFill="1" applyBorder="1"/>
    <xf numFmtId="164" fontId="0" fillId="3" borderId="14" xfId="0" applyNumberFormat="1" applyFont="1" applyFill="1" applyBorder="1" applyAlignment="1">
      <alignment horizontal="center"/>
    </xf>
    <xf numFmtId="0" fontId="1" fillId="0" borderId="16" xfId="0" applyFont="1" applyBorder="1"/>
    <xf numFmtId="164" fontId="0" fillId="0" borderId="16" xfId="0" applyNumberFormat="1" applyBorder="1" applyAlignment="1">
      <alignment horizontal="center" vertical="center"/>
    </xf>
    <xf numFmtId="0" fontId="1" fillId="0" borderId="22" xfId="0" applyFont="1" applyBorder="1"/>
    <xf numFmtId="164" fontId="0" fillId="0" borderId="16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13" borderId="17" xfId="0" applyFont="1" applyFill="1" applyBorder="1" applyAlignment="1">
      <alignment horizontal="center"/>
    </xf>
    <xf numFmtId="0" fontId="1" fillId="1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10" borderId="1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4B5D-C348-4F98-BC62-1560D8C7E113}">
  <dimension ref="A1:V46"/>
  <sheetViews>
    <sheetView tabSelected="1" topLeftCell="A10" workbookViewId="0">
      <selection activeCell="D42" sqref="D42"/>
    </sheetView>
  </sheetViews>
  <sheetFormatPr baseColWidth="10" defaultRowHeight="15" x14ac:dyDescent="0.25"/>
  <cols>
    <col min="2" max="2" width="42.85546875" customWidth="1"/>
    <col min="3" max="22" width="14.28515625" customWidth="1"/>
  </cols>
  <sheetData>
    <row r="1" spans="1:22" ht="30" customHeight="1" thickBot="1" x14ac:dyDescent="0.55000000000000004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</row>
    <row r="2" spans="1:22" ht="22.5" customHeight="1" thickBot="1" x14ac:dyDescent="0.4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4"/>
    </row>
    <row r="3" spans="1:22" ht="15.75" thickBot="1" x14ac:dyDescent="0.3"/>
    <row r="4" spans="1:22" ht="22.5" customHeight="1" thickBot="1" x14ac:dyDescent="0.3">
      <c r="A4" s="114" t="s">
        <v>2</v>
      </c>
      <c r="B4" s="115"/>
      <c r="C4" s="92" t="s">
        <v>3</v>
      </c>
      <c r="D4" s="92" t="s">
        <v>4</v>
      </c>
      <c r="E4" s="92" t="s">
        <v>5</v>
      </c>
      <c r="F4" s="92" t="s">
        <v>6</v>
      </c>
      <c r="G4" s="92" t="s">
        <v>7</v>
      </c>
      <c r="H4" s="92" t="s">
        <v>8</v>
      </c>
      <c r="I4" s="92" t="s">
        <v>9</v>
      </c>
      <c r="J4" s="92" t="s">
        <v>10</v>
      </c>
      <c r="K4" s="92" t="s">
        <v>11</v>
      </c>
      <c r="L4" s="92" t="s">
        <v>12</v>
      </c>
      <c r="M4" s="92" t="s">
        <v>13</v>
      </c>
      <c r="N4" s="92" t="s">
        <v>14</v>
      </c>
      <c r="O4" s="92" t="s">
        <v>191</v>
      </c>
      <c r="P4" s="92" t="s">
        <v>192</v>
      </c>
      <c r="Q4" s="92" t="s">
        <v>193</v>
      </c>
      <c r="R4" s="93" t="s">
        <v>194</v>
      </c>
      <c r="S4" s="92" t="s">
        <v>199</v>
      </c>
      <c r="T4" s="92" t="s">
        <v>200</v>
      </c>
      <c r="U4" s="92" t="s">
        <v>201</v>
      </c>
      <c r="V4" s="93" t="s">
        <v>202</v>
      </c>
    </row>
    <row r="5" spans="1:22" ht="15.75" thickBot="1" x14ac:dyDescent="0.3">
      <c r="A5" s="116" t="s">
        <v>152</v>
      </c>
      <c r="B5" s="117"/>
    </row>
    <row r="6" spans="1:22" x14ac:dyDescent="0.25">
      <c r="A6" s="118" t="s">
        <v>153</v>
      </c>
      <c r="B6" s="118"/>
    </row>
    <row r="7" spans="1:22" x14ac:dyDescent="0.25">
      <c r="B7" s="89" t="s">
        <v>149</v>
      </c>
      <c r="C7" s="5">
        <f>'Proyección de Ventas e Incremen'!I7</f>
        <v>0</v>
      </c>
      <c r="D7" s="5">
        <f>'Proyección de Ventas e Incremen'!J7</f>
        <v>0</v>
      </c>
      <c r="E7" s="5">
        <f>'Proyección de Ventas e Incremen'!K7</f>
        <v>0</v>
      </c>
      <c r="F7" s="5">
        <f>'Proyección de Ventas e Incremen'!L7</f>
        <v>54691199.999999993</v>
      </c>
      <c r="G7" s="5">
        <f>'Proyección de Ventas e Incremen'!M7</f>
        <v>87204600</v>
      </c>
      <c r="H7" s="5">
        <f>'Proyección de Ventas e Incremen'!N7</f>
        <v>92114218.980000004</v>
      </c>
      <c r="I7" s="5">
        <f>'Proyección de Ventas e Incremen'!O7</f>
        <v>96839678.413673997</v>
      </c>
      <c r="J7" s="5">
        <f>'Proyección de Ventas e Incremen'!P7</f>
        <v>102001233.27312282</v>
      </c>
      <c r="K7" s="5">
        <f>'Proyección de Ventas e Incremen'!Q7</f>
        <v>107611301.10314457</v>
      </c>
      <c r="L7" s="5">
        <f>'Proyección de Ventas e Incremen'!R7</f>
        <v>113852756.56712696</v>
      </c>
      <c r="M7" s="5">
        <f>'Proyección de Ventas e Incremen'!S7</f>
        <v>120911627.47428884</v>
      </c>
      <c r="N7" s="5">
        <f>'Proyección de Ventas e Incremen'!T7</f>
        <v>129012706.51506618</v>
      </c>
      <c r="O7" s="5">
        <f>'Proyección de Ventas e Incremen'!U7</f>
        <v>138301621.38415095</v>
      </c>
      <c r="P7" s="5">
        <f>'Proyección de Ventas e Incremen'!V7</f>
        <v>149227449.47349888</v>
      </c>
      <c r="Q7" s="5">
        <f>'Proyección de Ventas e Incremen'!W7</f>
        <v>162210237.57769328</v>
      </c>
      <c r="R7" s="5">
        <f>'Proyección de Ventas e Incremen'!X7</f>
        <v>177782420.38515186</v>
      </c>
      <c r="S7" s="5">
        <f>'Proyección de Ventas e Incremen'!Y7</f>
        <v>196467352.76763132</v>
      </c>
      <c r="T7" s="5">
        <f>'Proyección de Ventas e Incremen'!Z7</f>
        <v>219277212.42395332</v>
      </c>
      <c r="U7" s="5">
        <f>'Proyección de Ventas e Incremen'!AA7</f>
        <v>247366623.33546171</v>
      </c>
      <c r="V7" s="5">
        <f>'Proyección de Ventas e Incremen'!AB7</f>
        <v>282270053.88809538</v>
      </c>
    </row>
    <row r="8" spans="1:22" x14ac:dyDescent="0.25">
      <c r="B8" s="89" t="s">
        <v>154</v>
      </c>
      <c r="C8" s="5">
        <f>'Proyección de Ventas e Incremen'!I8</f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5">
      <c r="B9" s="89" t="s">
        <v>155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</row>
    <row r="10" spans="1:22" ht="15.75" thickBot="1" x14ac:dyDescent="0.3">
      <c r="B10" s="90" t="s">
        <v>156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</row>
    <row r="11" spans="1:22" ht="16.5" thickBot="1" x14ac:dyDescent="0.3">
      <c r="B11" s="91" t="s">
        <v>157</v>
      </c>
      <c r="C11" s="94">
        <f>SUM(C7:C10)</f>
        <v>0</v>
      </c>
      <c r="D11" s="94">
        <f t="shared" ref="D11:N11" si="0">SUM(D7:D10)</f>
        <v>0</v>
      </c>
      <c r="E11" s="94">
        <f t="shared" si="0"/>
        <v>0</v>
      </c>
      <c r="F11" s="94">
        <f t="shared" si="0"/>
        <v>54691199.999999993</v>
      </c>
      <c r="G11" s="94">
        <f t="shared" si="0"/>
        <v>87204600</v>
      </c>
      <c r="H11" s="94">
        <f t="shared" si="0"/>
        <v>92114218.980000004</v>
      </c>
      <c r="I11" s="94">
        <f t="shared" si="0"/>
        <v>96839678.413673997</v>
      </c>
      <c r="J11" s="94">
        <f t="shared" si="0"/>
        <v>102001233.27312282</v>
      </c>
      <c r="K11" s="94">
        <f t="shared" si="0"/>
        <v>107611301.10314457</v>
      </c>
      <c r="L11" s="94">
        <f t="shared" si="0"/>
        <v>113852756.56712696</v>
      </c>
      <c r="M11" s="94">
        <f t="shared" si="0"/>
        <v>120911627.47428884</v>
      </c>
      <c r="N11" s="94">
        <f t="shared" si="0"/>
        <v>129012706.51506618</v>
      </c>
      <c r="O11" s="94">
        <f t="shared" ref="O11" si="1">SUM(O7:O10)</f>
        <v>138301621.38415095</v>
      </c>
      <c r="P11" s="94">
        <f t="shared" ref="P11" si="2">SUM(P7:P10)</f>
        <v>149227449.47349888</v>
      </c>
      <c r="Q11" s="94">
        <f t="shared" ref="Q11" si="3">SUM(Q7:Q10)</f>
        <v>162210237.57769328</v>
      </c>
      <c r="R11" s="94">
        <f t="shared" ref="R11" si="4">SUM(R7:R10)</f>
        <v>177782420.38515186</v>
      </c>
      <c r="S11" s="94">
        <f t="shared" ref="S11" si="5">SUM(S7:S10)</f>
        <v>196467352.76763132</v>
      </c>
      <c r="T11" s="94">
        <f t="shared" ref="T11" si="6">SUM(T7:T10)</f>
        <v>219277212.42395332</v>
      </c>
      <c r="U11" s="94">
        <f t="shared" ref="U11" si="7">SUM(U7:U10)</f>
        <v>247366623.33546171</v>
      </c>
      <c r="V11" s="95">
        <f t="shared" ref="V11" si="8">SUM(V7:V10)</f>
        <v>282270053.88809538</v>
      </c>
    </row>
    <row r="13" spans="1:22" x14ac:dyDescent="0.25">
      <c r="A13" s="125" t="s">
        <v>158</v>
      </c>
      <c r="B13" s="125"/>
    </row>
    <row r="14" spans="1:22" x14ac:dyDescent="0.25">
      <c r="B14" s="89" t="s">
        <v>160</v>
      </c>
      <c r="C14" s="5">
        <f>'Inversión Inicial'!$D$17-C16</f>
        <v>26310000</v>
      </c>
      <c r="D14" s="5">
        <f>'Inversión Inicial'!$D$17-D16</f>
        <v>25320000</v>
      </c>
      <c r="E14" s="5">
        <f>'Inversión Inicial'!$D$17-E16</f>
        <v>24330000</v>
      </c>
      <c r="F14" s="5">
        <f>'Inversión Inicial'!$D$17-F16</f>
        <v>23340000</v>
      </c>
      <c r="G14" s="5">
        <f>'Inversión Inicial'!$D$17-G16</f>
        <v>22350000</v>
      </c>
      <c r="H14" s="5">
        <f>'Inversión Inicial'!$D$17-H16</f>
        <v>21360000</v>
      </c>
      <c r="I14" s="5">
        <f>'Inversión Inicial'!$D$17-I16</f>
        <v>20370000</v>
      </c>
      <c r="J14" s="5">
        <f>'Inversión Inicial'!$D$17-J16</f>
        <v>19380000</v>
      </c>
      <c r="K14" s="5">
        <f>'Inversión Inicial'!$D$17-K16</f>
        <v>18390000</v>
      </c>
      <c r="L14" s="5">
        <f>'Inversión Inicial'!$D$17-L16</f>
        <v>17400000</v>
      </c>
      <c r="M14" s="5">
        <f>'Inversión Inicial'!$D$17-M16</f>
        <v>16410000</v>
      </c>
      <c r="N14" s="5">
        <f>'Inversión Inicial'!$D$17-N16</f>
        <v>15420000</v>
      </c>
      <c r="O14" s="5">
        <f>'Inversión Inicial'!$D$17-O16</f>
        <v>14430000</v>
      </c>
      <c r="P14" s="5">
        <f>'Inversión Inicial'!$D$17-P16</f>
        <v>13440000</v>
      </c>
      <c r="Q14" s="5">
        <f>'Inversión Inicial'!$D$17-Q16</f>
        <v>12450000</v>
      </c>
      <c r="R14" s="5">
        <f>'Inversión Inicial'!$D$17-R16</f>
        <v>11460000</v>
      </c>
      <c r="S14" s="5">
        <f>'Inversión Inicial'!$D$17-S16</f>
        <v>10470000</v>
      </c>
      <c r="T14" s="5">
        <f>'Inversión Inicial'!$D$17-T16</f>
        <v>9480000</v>
      </c>
      <c r="U14" s="5">
        <f>'Inversión Inicial'!$D$17-U16</f>
        <v>8490000</v>
      </c>
      <c r="V14" s="5">
        <f>'Inversión Inicial'!$D$17-V16</f>
        <v>7500000</v>
      </c>
    </row>
    <row r="15" spans="1:22" x14ac:dyDescent="0.25">
      <c r="B15" s="89" t="s">
        <v>159</v>
      </c>
      <c r="C15" s="16">
        <f>'Costos de Operación Gravables'!B41</f>
        <v>1451000</v>
      </c>
      <c r="D15" s="16">
        <f>C15*101%</f>
        <v>1465510</v>
      </c>
      <c r="E15" s="16">
        <f t="shared" ref="E15:V15" si="9">D15*101%</f>
        <v>1480165.1</v>
      </c>
      <c r="F15" s="16">
        <f t="shared" si="9"/>
        <v>1494966.7510000002</v>
      </c>
      <c r="G15" s="16">
        <f t="shared" si="9"/>
        <v>1509916.4185100002</v>
      </c>
      <c r="H15" s="16">
        <f t="shared" si="9"/>
        <v>1525015.5826951002</v>
      </c>
      <c r="I15" s="16">
        <f t="shared" si="9"/>
        <v>1540265.7385220511</v>
      </c>
      <c r="J15" s="16">
        <f t="shared" si="9"/>
        <v>1555668.3959072717</v>
      </c>
      <c r="K15" s="16">
        <f t="shared" si="9"/>
        <v>1571225.0798663443</v>
      </c>
      <c r="L15" s="16">
        <f t="shared" si="9"/>
        <v>1586937.3306650077</v>
      </c>
      <c r="M15" s="16">
        <f t="shared" si="9"/>
        <v>1602806.7039716579</v>
      </c>
      <c r="N15" s="16">
        <f t="shared" si="9"/>
        <v>1618834.7710113744</v>
      </c>
      <c r="O15" s="16">
        <f t="shared" si="9"/>
        <v>1635023.1187214882</v>
      </c>
      <c r="P15" s="16">
        <f t="shared" si="9"/>
        <v>1651373.349908703</v>
      </c>
      <c r="Q15" s="16">
        <f t="shared" si="9"/>
        <v>1667887.0834077902</v>
      </c>
      <c r="R15" s="16">
        <f t="shared" si="9"/>
        <v>1684565.9542418681</v>
      </c>
      <c r="S15" s="16">
        <f t="shared" si="9"/>
        <v>1701411.6137842869</v>
      </c>
      <c r="T15" s="16">
        <f t="shared" si="9"/>
        <v>1718425.7299221298</v>
      </c>
      <c r="U15" s="16">
        <f t="shared" si="9"/>
        <v>1735609.9872213511</v>
      </c>
      <c r="V15" s="16">
        <f t="shared" si="9"/>
        <v>1752966.0870935647</v>
      </c>
    </row>
    <row r="16" spans="1:22" ht="15.75" thickBot="1" x14ac:dyDescent="0.3">
      <c r="B16" s="96" t="s">
        <v>164</v>
      </c>
      <c r="C16" s="97">
        <f>'Amortización y Depreciación'!$G$35*1/4</f>
        <v>990000</v>
      </c>
      <c r="D16" s="97">
        <f>C16+'Amortización y Depreciación'!$G$35*1/4</f>
        <v>1980000</v>
      </c>
      <c r="E16" s="97">
        <f>D16+'Amortización y Depreciación'!$G$35*1/4</f>
        <v>2970000</v>
      </c>
      <c r="F16" s="97">
        <f>E16+'Amortización y Depreciación'!$G$35*1/4</f>
        <v>3960000</v>
      </c>
      <c r="G16" s="97">
        <f>F16+'Amortización y Depreciación'!$G$35*1/4</f>
        <v>4950000</v>
      </c>
      <c r="H16" s="97">
        <f>G16+'Amortización y Depreciación'!$G$35*1/4</f>
        <v>5940000</v>
      </c>
      <c r="I16" s="97">
        <f>H16+'Amortización y Depreciación'!$G$35*1/4</f>
        <v>6930000</v>
      </c>
      <c r="J16" s="97">
        <f>I16+'Amortización y Depreciación'!$G$35*1/4</f>
        <v>7920000</v>
      </c>
      <c r="K16" s="97">
        <f>J16+'Amortización y Depreciación'!$G$35*1/4</f>
        <v>8910000</v>
      </c>
      <c r="L16" s="97">
        <f>K16+'Amortización y Depreciación'!$G$35*1/4</f>
        <v>9900000</v>
      </c>
      <c r="M16" s="97">
        <f>L16+'Amortización y Depreciación'!$G$35*1/4</f>
        <v>10890000</v>
      </c>
      <c r="N16" s="97">
        <f>M16+'Amortización y Depreciación'!$G$35*1/4</f>
        <v>11880000</v>
      </c>
      <c r="O16" s="97">
        <f>N16+'Amortización y Depreciación'!$G$35*1/4</f>
        <v>12870000</v>
      </c>
      <c r="P16" s="97">
        <f>O16+'Amortización y Depreciación'!$G$35*1/4</f>
        <v>13860000</v>
      </c>
      <c r="Q16" s="97">
        <f>P16+'Amortización y Depreciación'!$G$35*1/4</f>
        <v>14850000</v>
      </c>
      <c r="R16" s="97">
        <f>Q16+'Amortización y Depreciación'!$G$35*1/4</f>
        <v>15840000</v>
      </c>
      <c r="S16" s="97">
        <f>R16+'Amortización y Depreciación'!$G$35*1/4</f>
        <v>16830000</v>
      </c>
      <c r="T16" s="97">
        <f>S16+'Amortización y Depreciación'!$G$35*1/4</f>
        <v>17820000</v>
      </c>
      <c r="U16" s="97">
        <f>T16+'Amortización y Depreciación'!$G$35*1/4</f>
        <v>18810000</v>
      </c>
      <c r="V16" s="97">
        <f>U16+'Amortización y Depreciación'!$G$35*1/4</f>
        <v>19800000</v>
      </c>
    </row>
    <row r="17" spans="1:22" ht="16.5" thickBot="1" x14ac:dyDescent="0.3">
      <c r="B17" s="91" t="s">
        <v>163</v>
      </c>
      <c r="C17" s="94">
        <f>SUM(C14:C15)</f>
        <v>27761000</v>
      </c>
      <c r="D17" s="94">
        <f t="shared" ref="D17:N17" si="10">SUM(D12:D15)</f>
        <v>26785510</v>
      </c>
      <c r="E17" s="94">
        <f t="shared" si="10"/>
        <v>25810165.100000001</v>
      </c>
      <c r="F17" s="94">
        <f t="shared" si="10"/>
        <v>24834966.751000002</v>
      </c>
      <c r="G17" s="94">
        <f t="shared" si="10"/>
        <v>23859916.418510001</v>
      </c>
      <c r="H17" s="94">
        <f t="shared" si="10"/>
        <v>22885015.5826951</v>
      </c>
      <c r="I17" s="94">
        <f t="shared" si="10"/>
        <v>21910265.738522053</v>
      </c>
      <c r="J17" s="94">
        <f t="shared" si="10"/>
        <v>20935668.395907272</v>
      </c>
      <c r="K17" s="94">
        <f t="shared" si="10"/>
        <v>19961225.079866346</v>
      </c>
      <c r="L17" s="94">
        <f t="shared" si="10"/>
        <v>18986937.330665007</v>
      </c>
      <c r="M17" s="94">
        <f t="shared" si="10"/>
        <v>18012806.703971658</v>
      </c>
      <c r="N17" s="94">
        <f t="shared" si="10"/>
        <v>17038834.771011375</v>
      </c>
      <c r="O17" s="94">
        <f t="shared" ref="O17:V17" si="11">SUM(O12:O15)</f>
        <v>16065023.118721489</v>
      </c>
      <c r="P17" s="94">
        <f t="shared" si="11"/>
        <v>15091373.349908702</v>
      </c>
      <c r="Q17" s="94">
        <f t="shared" si="11"/>
        <v>14117887.083407789</v>
      </c>
      <c r="R17" s="94">
        <f t="shared" si="11"/>
        <v>13144565.954241868</v>
      </c>
      <c r="S17" s="94">
        <f t="shared" si="11"/>
        <v>12171411.613784287</v>
      </c>
      <c r="T17" s="94">
        <f t="shared" si="11"/>
        <v>11198425.729922131</v>
      </c>
      <c r="U17" s="94">
        <f t="shared" si="11"/>
        <v>10225609.987221351</v>
      </c>
      <c r="V17" s="95">
        <f t="shared" si="11"/>
        <v>9252966.0870935656</v>
      </c>
    </row>
    <row r="19" spans="1:22" x14ac:dyDescent="0.25">
      <c r="A19" s="125" t="s">
        <v>165</v>
      </c>
      <c r="B19" s="126"/>
    </row>
    <row r="20" spans="1:22" x14ac:dyDescent="0.25">
      <c r="B20" s="89" t="s">
        <v>166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</row>
    <row r="21" spans="1:22" x14ac:dyDescent="0.25">
      <c r="B21" s="89" t="s">
        <v>167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</row>
    <row r="22" spans="1:22" ht="15.75" thickBot="1" x14ac:dyDescent="0.3">
      <c r="B22" s="90" t="s">
        <v>168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</row>
    <row r="23" spans="1:22" ht="16.5" thickBot="1" x14ac:dyDescent="0.3">
      <c r="B23" s="91" t="s">
        <v>169</v>
      </c>
      <c r="C23" s="94">
        <f>SUM(C20:C22)</f>
        <v>0</v>
      </c>
      <c r="D23" s="94">
        <f t="shared" ref="D23:N23" si="12">SUM(D20:D22)</f>
        <v>0</v>
      </c>
      <c r="E23" s="94">
        <f t="shared" si="12"/>
        <v>0</v>
      </c>
      <c r="F23" s="94">
        <f t="shared" si="12"/>
        <v>0</v>
      </c>
      <c r="G23" s="94">
        <f t="shared" si="12"/>
        <v>0</v>
      </c>
      <c r="H23" s="94">
        <f t="shared" si="12"/>
        <v>0</v>
      </c>
      <c r="I23" s="94">
        <f t="shared" si="12"/>
        <v>0</v>
      </c>
      <c r="J23" s="94">
        <f t="shared" si="12"/>
        <v>0</v>
      </c>
      <c r="K23" s="94">
        <f t="shared" si="12"/>
        <v>0</v>
      </c>
      <c r="L23" s="94">
        <f t="shared" si="12"/>
        <v>0</v>
      </c>
      <c r="M23" s="94">
        <f t="shared" si="12"/>
        <v>0</v>
      </c>
      <c r="N23" s="94">
        <f t="shared" si="12"/>
        <v>0</v>
      </c>
      <c r="O23" s="94">
        <f t="shared" ref="O23" si="13">SUM(O20:O22)</f>
        <v>0</v>
      </c>
      <c r="P23" s="94">
        <f t="shared" ref="P23" si="14">SUM(P20:P22)</f>
        <v>0</v>
      </c>
      <c r="Q23" s="94">
        <f t="shared" ref="Q23" si="15">SUM(Q20:Q22)</f>
        <v>0</v>
      </c>
      <c r="R23" s="94">
        <f t="shared" ref="R23" si="16">SUM(R20:R22)</f>
        <v>0</v>
      </c>
      <c r="S23" s="94">
        <f t="shared" ref="S23" si="17">SUM(S20:S22)</f>
        <v>0</v>
      </c>
      <c r="T23" s="94">
        <f t="shared" ref="T23" si="18">SUM(T20:T22)</f>
        <v>0</v>
      </c>
      <c r="U23" s="94">
        <f t="shared" ref="U23" si="19">SUM(U20:U22)</f>
        <v>0</v>
      </c>
      <c r="V23" s="95">
        <f t="shared" ref="V23" si="20">SUM(V20:V22)</f>
        <v>0</v>
      </c>
    </row>
    <row r="24" spans="1:22" ht="15.75" thickBot="1" x14ac:dyDescent="0.3"/>
    <row r="25" spans="1:22" ht="22.5" customHeight="1" thickBot="1" x14ac:dyDescent="0.3">
      <c r="A25" s="114" t="s">
        <v>170</v>
      </c>
      <c r="B25" s="115"/>
      <c r="C25" s="98">
        <f>SUM(C11,C17,C23)</f>
        <v>27761000</v>
      </c>
      <c r="D25" s="98">
        <f t="shared" ref="D25:V25" si="21">SUM(D11,D17,D23)</f>
        <v>26785510</v>
      </c>
      <c r="E25" s="98">
        <f t="shared" si="21"/>
        <v>25810165.100000001</v>
      </c>
      <c r="F25" s="98">
        <f t="shared" si="21"/>
        <v>79526166.750999987</v>
      </c>
      <c r="G25" s="98">
        <f t="shared" si="21"/>
        <v>111064516.41851</v>
      </c>
      <c r="H25" s="98">
        <f t="shared" si="21"/>
        <v>114999234.5626951</v>
      </c>
      <c r="I25" s="98">
        <f t="shared" si="21"/>
        <v>118749944.15219605</v>
      </c>
      <c r="J25" s="98">
        <f t="shared" si="21"/>
        <v>122936901.66903009</v>
      </c>
      <c r="K25" s="98">
        <f t="shared" si="21"/>
        <v>127572526.18301092</v>
      </c>
      <c r="L25" s="98">
        <f t="shared" si="21"/>
        <v>132839693.89779197</v>
      </c>
      <c r="M25" s="98">
        <f t="shared" si="21"/>
        <v>138924434.17826051</v>
      </c>
      <c r="N25" s="98">
        <f t="shared" si="21"/>
        <v>146051541.28607756</v>
      </c>
      <c r="O25" s="98">
        <f t="shared" si="21"/>
        <v>154366644.50287244</v>
      </c>
      <c r="P25" s="98">
        <f t="shared" si="21"/>
        <v>164318822.82340759</v>
      </c>
      <c r="Q25" s="98">
        <f t="shared" si="21"/>
        <v>176328124.66110107</v>
      </c>
      <c r="R25" s="98">
        <f t="shared" si="21"/>
        <v>190926986.33939373</v>
      </c>
      <c r="S25" s="98">
        <f t="shared" si="21"/>
        <v>208638764.38141561</v>
      </c>
      <c r="T25" s="98">
        <f t="shared" si="21"/>
        <v>230475638.15387547</v>
      </c>
      <c r="U25" s="98">
        <f t="shared" si="21"/>
        <v>257592233.32268307</v>
      </c>
      <c r="V25" s="99">
        <f t="shared" si="21"/>
        <v>291523019.97518897</v>
      </c>
    </row>
    <row r="26" spans="1:22" ht="15.75" thickBot="1" x14ac:dyDescent="0.3">
      <c r="A26" s="116" t="s">
        <v>171</v>
      </c>
      <c r="B26" s="117"/>
    </row>
    <row r="27" spans="1:22" x14ac:dyDescent="0.25">
      <c r="A27" s="118" t="s">
        <v>172</v>
      </c>
      <c r="B27" s="118"/>
    </row>
    <row r="28" spans="1:22" x14ac:dyDescent="0.25">
      <c r="B28" s="89" t="s">
        <v>35</v>
      </c>
      <c r="C28" s="5">
        <f>SUM('Costos de Operación Gravables'!I10,'Costos de Operación Gravables'!I13)</f>
        <v>37290000</v>
      </c>
      <c r="D28" s="5">
        <f>SUM('Costos de Operación Gravables'!J10,'Costos de Operación Gravables'!J13)</f>
        <v>37290000</v>
      </c>
      <c r="E28" s="5">
        <f>SUM('Costos de Operación Gravables'!K10,'Costos de Operación Gravables'!K13)</f>
        <v>37290000</v>
      </c>
      <c r="F28" s="5">
        <f>SUM('Costos de Operación Gravables'!L10,'Costos de Operación Gravables'!L13)</f>
        <v>23730000</v>
      </c>
      <c r="G28" s="5">
        <f>SUM('Costos de Operación Gravables'!M10,'Costos de Operación Gravables'!M13)</f>
        <v>10170000</v>
      </c>
      <c r="H28" s="5">
        <f>SUM('Costos de Operación Gravables'!N10,'Costos de Operación Gravables'!N13)</f>
        <v>10373400</v>
      </c>
      <c r="I28" s="5">
        <f>SUM('Costos de Operación Gravables'!O10,'Costos de Operación Gravables'!O13)</f>
        <v>10580868</v>
      </c>
      <c r="J28" s="5">
        <f>SUM('Costos de Operación Gravables'!P10,'Costos de Operación Gravables'!P13)</f>
        <v>10792485.359999999</v>
      </c>
      <c r="K28" s="5">
        <f>SUM('Costos de Operación Gravables'!Q10,'Costos de Operación Gravables'!Q13)</f>
        <v>11008335.067199999</v>
      </c>
      <c r="L28" s="5">
        <f>SUM('Costos de Operación Gravables'!R10,'Costos de Operación Gravables'!R13)</f>
        <v>11228501.768544</v>
      </c>
      <c r="M28" s="5">
        <f>SUM('Costos de Operación Gravables'!S10,'Costos de Operación Gravables'!S13)</f>
        <v>11453071.80391488</v>
      </c>
      <c r="N28" s="5">
        <f>SUM('Costos de Operación Gravables'!T10,'Costos de Operación Gravables'!T13)</f>
        <v>11682133.239993177</v>
      </c>
      <c r="O28" s="5">
        <f>SUM('Costos de Operación Gravables'!U10,'Costos de Operación Gravables'!U13)</f>
        <v>11915775.904793041</v>
      </c>
      <c r="P28" s="5">
        <f>SUM('Costos de Operación Gravables'!V10,'Costos de Operación Gravables'!V13)</f>
        <v>12154091.422888901</v>
      </c>
      <c r="Q28" s="5">
        <f>SUM('Costos de Operación Gravables'!W10,'Costos de Operación Gravables'!W13)</f>
        <v>12397173.251346679</v>
      </c>
      <c r="R28" s="5">
        <f>SUM('Costos de Operación Gravables'!X10,'Costos de Operación Gravables'!X13)</f>
        <v>12645116.716373613</v>
      </c>
      <c r="S28" s="5">
        <f>SUM('Costos de Operación Gravables'!Y10,'Costos de Operación Gravables'!Y13)</f>
        <v>12898019.050701085</v>
      </c>
      <c r="T28" s="5">
        <f>SUM('Costos de Operación Gravables'!Z10,'Costos de Operación Gravables'!Z13)</f>
        <v>13155979.431715107</v>
      </c>
      <c r="U28" s="5">
        <f>SUM('Costos de Operación Gravables'!AA10,'Costos de Operación Gravables'!AA13)</f>
        <v>13419099.020349409</v>
      </c>
      <c r="V28" s="5">
        <f>SUM('Costos de Operación Gravables'!AB10,'Costos de Operación Gravables'!AB13)</f>
        <v>13687481.000756398</v>
      </c>
    </row>
    <row r="29" spans="1:22" x14ac:dyDescent="0.25">
      <c r="B29" s="89" t="s">
        <v>173</v>
      </c>
      <c r="C29" s="5">
        <f>'Costos de Operación Gravables'!I16</f>
        <v>0</v>
      </c>
      <c r="D29" s="5">
        <f>'Costos de Operación Gravables'!J16</f>
        <v>0</v>
      </c>
      <c r="E29" s="5">
        <f>'Costos de Operación Gravables'!K16</f>
        <v>0</v>
      </c>
      <c r="F29" s="5">
        <f>'Costos de Operación Gravables'!L16</f>
        <v>11160000</v>
      </c>
      <c r="G29" s="5">
        <f>'Costos de Operación Gravables'!M16</f>
        <v>11829600</v>
      </c>
      <c r="H29" s="5">
        <f>'Costos de Operación Gravables'!N16</f>
        <v>12539376</v>
      </c>
      <c r="I29" s="5">
        <f>'Costos de Operación Gravables'!O16</f>
        <v>13291738.560000001</v>
      </c>
      <c r="J29" s="5">
        <f>'Costos de Operación Gravables'!P16</f>
        <v>14089242.873600001</v>
      </c>
      <c r="K29" s="5">
        <f>'Costos de Operación Gravables'!Q16</f>
        <v>14934597.446016001</v>
      </c>
      <c r="L29" s="5">
        <f>'Costos de Operación Gravables'!R16</f>
        <v>15830673.292776961</v>
      </c>
      <c r="M29" s="5">
        <f>'Costos de Operación Gravables'!S16</f>
        <v>16780513.690343581</v>
      </c>
      <c r="N29" s="5">
        <f>'Costos de Operación Gravables'!T16</f>
        <v>17787344.511764199</v>
      </c>
      <c r="O29" s="5">
        <f>'Costos de Operación Gravables'!U16</f>
        <v>18854585.18247005</v>
      </c>
      <c r="P29" s="5">
        <f>'Costos de Operación Gravables'!V16</f>
        <v>19985860.293418255</v>
      </c>
      <c r="Q29" s="5">
        <f>'Costos de Operación Gravables'!W16</f>
        <v>21185011.911023352</v>
      </c>
      <c r="R29" s="5">
        <f>'Costos de Operación Gravables'!X16</f>
        <v>22456112.625684753</v>
      </c>
      <c r="S29" s="5">
        <f>'Costos de Operación Gravables'!Y16</f>
        <v>23803479.38322584</v>
      </c>
      <c r="T29" s="5">
        <f>'Costos de Operación Gravables'!Z16</f>
        <v>25231688.146219391</v>
      </c>
      <c r="U29" s="5">
        <f>'Costos de Operación Gravables'!AA16</f>
        <v>26745589.434992556</v>
      </c>
      <c r="V29" s="5">
        <f>'Costos de Operación Gravables'!AB16</f>
        <v>28350324.801092111</v>
      </c>
    </row>
    <row r="30" spans="1:22" x14ac:dyDescent="0.25">
      <c r="B30" s="89" t="s">
        <v>102</v>
      </c>
      <c r="C30" s="5">
        <f>'Amortización y Depreciación'!$B$8</f>
        <v>7128803</v>
      </c>
      <c r="D30" s="5">
        <f>'Amortización y Depreciación'!$B$8</f>
        <v>7128803</v>
      </c>
      <c r="E30" s="5">
        <f>'Amortización y Depreciación'!$B$8</f>
        <v>7128803</v>
      </c>
      <c r="F30" s="5">
        <f>'Amortización y Depreciación'!$B$8</f>
        <v>7128803</v>
      </c>
      <c r="G30" s="5">
        <f>'Amortización y Depreciación'!$B$8</f>
        <v>7128803</v>
      </c>
      <c r="H30" s="5">
        <f>'Amortización y Depreciación'!$B$8</f>
        <v>7128803</v>
      </c>
      <c r="I30" s="5">
        <f>'Amortización y Depreciación'!$B$8</f>
        <v>7128803</v>
      </c>
      <c r="J30" s="5">
        <f>'Amortización y Depreciación'!$B$8</f>
        <v>7128803</v>
      </c>
      <c r="K30" s="5">
        <f>'Amortización y Depreciación'!$B$8</f>
        <v>7128803</v>
      </c>
      <c r="L30" s="5">
        <f>'Amortización y Depreciación'!$B$8</f>
        <v>7128803</v>
      </c>
      <c r="M30" s="5">
        <f>'Amortización y Depreciación'!$B$8</f>
        <v>7128803</v>
      </c>
      <c r="N30" s="5">
        <f>'Amortización y Depreciación'!$B$8</f>
        <v>7128803</v>
      </c>
      <c r="O30" s="5">
        <f>'Amortización y Depreciación'!$B$8</f>
        <v>7128803</v>
      </c>
      <c r="P30" s="5">
        <f>'Amortización y Depreciación'!$B$8</f>
        <v>7128803</v>
      </c>
      <c r="Q30" s="5">
        <f>'Amortización y Depreciación'!$B$8</f>
        <v>7128803</v>
      </c>
      <c r="R30" s="5">
        <f>'Amortización y Depreciación'!$B$8</f>
        <v>7128803</v>
      </c>
      <c r="S30" s="5">
        <v>0</v>
      </c>
      <c r="T30" s="5">
        <v>0</v>
      </c>
      <c r="U30" s="5">
        <v>0</v>
      </c>
      <c r="V30" s="5">
        <v>0</v>
      </c>
    </row>
    <row r="31" spans="1:22" x14ac:dyDescent="0.25">
      <c r="B31" s="89" t="s">
        <v>174</v>
      </c>
      <c r="C31" s="5">
        <f>SUM('Costos de Operación Gravables'!I4,'Costos de Operación Gravables'!I7)</f>
        <v>113400000</v>
      </c>
      <c r="D31" s="5">
        <f>SUM('Costos de Operación Gravables'!J4,'Costos de Operación Gravables'!J7)</f>
        <v>113400000</v>
      </c>
      <c r="E31" s="5">
        <f>SUM('Costos de Operación Gravables'!K4,'Costos de Operación Gravables'!K7)</f>
        <v>113400000</v>
      </c>
      <c r="F31" s="5">
        <f>SUM('Costos de Operación Gravables'!L4,'Costos de Operación Gravables'!L7)</f>
        <v>73650000</v>
      </c>
      <c r="G31" s="5">
        <f>SUM('Costos de Operación Gravables'!M4,'Costos de Operación Gravables'!M7)</f>
        <v>33900000</v>
      </c>
      <c r="H31" s="5">
        <f>SUM('Costos de Operación Gravables'!N4,'Costos de Operación Gravables'!N7)</f>
        <v>34578000</v>
      </c>
      <c r="I31" s="5">
        <f>SUM('Costos de Operación Gravables'!O4,'Costos de Operación Gravables'!O7)</f>
        <v>35269560</v>
      </c>
      <c r="J31" s="5">
        <f>SUM('Costos de Operación Gravables'!P4,'Costos de Operación Gravables'!P7)</f>
        <v>35974951.200000003</v>
      </c>
      <c r="K31" s="5">
        <f>SUM('Costos de Operación Gravables'!Q4,'Costos de Operación Gravables'!Q7)</f>
        <v>36694450.224000007</v>
      </c>
      <c r="L31" s="5">
        <f>SUM('Costos de Operación Gravables'!R4,'Costos de Operación Gravables'!R7)</f>
        <v>37428339.228480011</v>
      </c>
      <c r="M31" s="5">
        <f>SUM('Costos de Operación Gravables'!S4,'Costos de Operación Gravables'!S7)</f>
        <v>38176906.01304961</v>
      </c>
      <c r="N31" s="5">
        <f>SUM('Costos de Operación Gravables'!T4,'Costos de Operación Gravables'!T7)</f>
        <v>38940444.133310601</v>
      </c>
      <c r="O31" s="5">
        <f>SUM('Costos de Operación Gravables'!U4,'Costos de Operación Gravables'!U7)</f>
        <v>39719253.015976816</v>
      </c>
      <c r="P31" s="5">
        <f>SUM('Costos de Operación Gravables'!V4,'Costos de Operación Gravables'!V7)</f>
        <v>40513638.076296352</v>
      </c>
      <c r="Q31" s="5">
        <f>SUM('Costos de Operación Gravables'!W4,'Costos de Operación Gravables'!W7)</f>
        <v>41323910.837822281</v>
      </c>
      <c r="R31" s="5">
        <f>SUM('Costos de Operación Gravables'!X4,'Costos de Operación Gravables'!X7)</f>
        <v>42150389.054578729</v>
      </c>
      <c r="S31" s="5">
        <f>SUM('Costos de Operación Gravables'!Y4,'Costos de Operación Gravables'!Y7)</f>
        <v>42993396.835670307</v>
      </c>
      <c r="T31" s="5">
        <f>SUM('Costos de Operación Gravables'!Z4,'Costos de Operación Gravables'!Z7)</f>
        <v>43853264.772383712</v>
      </c>
      <c r="U31" s="5">
        <f>SUM('Costos de Operación Gravables'!AA4,'Costos de Operación Gravables'!AA7)</f>
        <v>44730330.06783139</v>
      </c>
      <c r="V31" s="5">
        <f>SUM('Costos de Operación Gravables'!AB4,'Costos de Operación Gravables'!AB7)</f>
        <v>45624936.669188015</v>
      </c>
    </row>
    <row r="32" spans="1:22" ht="15.75" thickBot="1" x14ac:dyDescent="0.3">
      <c r="B32" s="90" t="s">
        <v>175</v>
      </c>
      <c r="C32" s="27">
        <f>C25*0.04</f>
        <v>1110440</v>
      </c>
      <c r="D32" s="27">
        <f t="shared" ref="D32:E32" si="22">D25*0.04</f>
        <v>1071420.3999999999</v>
      </c>
      <c r="E32" s="27">
        <f t="shared" si="22"/>
        <v>1032406.6040000001</v>
      </c>
      <c r="F32" s="27">
        <f>F25*0.04</f>
        <v>3181046.6700399998</v>
      </c>
      <c r="G32" s="27">
        <f t="shared" ref="G32:N32" si="23">G25*0.04</f>
        <v>4442580.6567404</v>
      </c>
      <c r="H32" s="27">
        <f t="shared" si="23"/>
        <v>4599969.3825078038</v>
      </c>
      <c r="I32" s="27">
        <f t="shared" si="23"/>
        <v>4749997.7660878422</v>
      </c>
      <c r="J32" s="27">
        <f t="shared" si="23"/>
        <v>4917476.0667612031</v>
      </c>
      <c r="K32" s="27">
        <f t="shared" si="23"/>
        <v>5102901.0473204367</v>
      </c>
      <c r="L32" s="27">
        <f t="shared" si="23"/>
        <v>5313587.755911679</v>
      </c>
      <c r="M32" s="27">
        <f t="shared" si="23"/>
        <v>5556977.3671304202</v>
      </c>
      <c r="N32" s="27">
        <f t="shared" si="23"/>
        <v>5842061.6514431024</v>
      </c>
      <c r="O32" s="27">
        <f t="shared" ref="O32:R32" si="24">O25*0.04</f>
        <v>6174665.7801148975</v>
      </c>
      <c r="P32" s="27">
        <f t="shared" si="24"/>
        <v>6572752.9129363038</v>
      </c>
      <c r="Q32" s="27">
        <f t="shared" si="24"/>
        <v>7053124.986444043</v>
      </c>
      <c r="R32" s="27">
        <f t="shared" si="24"/>
        <v>7637079.4535757499</v>
      </c>
      <c r="S32" s="27">
        <f t="shared" ref="S32:V32" si="25">S25*0.04</f>
        <v>8345550.5752566243</v>
      </c>
      <c r="T32" s="27">
        <f t="shared" si="25"/>
        <v>9219025.5261550192</v>
      </c>
      <c r="U32" s="27">
        <f t="shared" si="25"/>
        <v>10303689.332907323</v>
      </c>
      <c r="V32" s="27">
        <f t="shared" si="25"/>
        <v>11660920.799007559</v>
      </c>
    </row>
    <row r="33" spans="1:22" ht="16.5" thickBot="1" x14ac:dyDescent="0.3">
      <c r="B33" s="91" t="s">
        <v>177</v>
      </c>
      <c r="C33" s="94">
        <f>SUM(C28:C32)</f>
        <v>158929243</v>
      </c>
      <c r="D33" s="94">
        <f t="shared" ref="D33:N33" si="26">SUM(D28:D32)</f>
        <v>158890223.40000001</v>
      </c>
      <c r="E33" s="94">
        <f t="shared" si="26"/>
        <v>158851209.604</v>
      </c>
      <c r="F33" s="94">
        <f t="shared" si="26"/>
        <v>118849849.67004</v>
      </c>
      <c r="G33" s="94">
        <f t="shared" si="26"/>
        <v>67470983.656740397</v>
      </c>
      <c r="H33" s="94">
        <f t="shared" si="26"/>
        <v>69219548.382507801</v>
      </c>
      <c r="I33" s="94">
        <f t="shared" si="26"/>
        <v>71020967.326087847</v>
      </c>
      <c r="J33" s="94">
        <f t="shared" si="26"/>
        <v>72902958.500361204</v>
      </c>
      <c r="K33" s="94">
        <f t="shared" si="26"/>
        <v>74869086.784536451</v>
      </c>
      <c r="L33" s="94">
        <f t="shared" si="26"/>
        <v>76929905.04571265</v>
      </c>
      <c r="M33" s="94">
        <f t="shared" si="26"/>
        <v>79096271.87443848</v>
      </c>
      <c r="N33" s="94">
        <f t="shared" si="26"/>
        <v>81380786.536511078</v>
      </c>
      <c r="O33" s="94">
        <f t="shared" ref="O33" si="27">SUM(O28:O32)</f>
        <v>83793082.883354813</v>
      </c>
      <c r="P33" s="94">
        <f t="shared" ref="P33" si="28">SUM(P28:P32)</f>
        <v>86355145.705539808</v>
      </c>
      <c r="Q33" s="94">
        <f t="shared" ref="Q33" si="29">SUM(Q28:Q32)</f>
        <v>89088023.986636356</v>
      </c>
      <c r="R33" s="101">
        <f t="shared" ref="R33" si="30">SUM(R28:R32)</f>
        <v>92017500.850212842</v>
      </c>
      <c r="S33" s="94">
        <f t="shared" ref="S33" si="31">SUM(S28:S32)</f>
        <v>88040445.844853863</v>
      </c>
      <c r="T33" s="94">
        <f t="shared" ref="T33" si="32">SUM(T28:T32)</f>
        <v>91459957.876473233</v>
      </c>
      <c r="U33" s="94">
        <f t="shared" ref="U33" si="33">SUM(U28:U32)</f>
        <v>95198707.856080681</v>
      </c>
      <c r="V33" s="95">
        <f t="shared" ref="V33" si="34">SUM(V28:V32)</f>
        <v>99323663.270044088</v>
      </c>
    </row>
    <row r="35" spans="1:22" x14ac:dyDescent="0.25">
      <c r="A35" s="125" t="s">
        <v>178</v>
      </c>
      <c r="B35" s="125"/>
    </row>
    <row r="36" spans="1:22" ht="15.75" thickBot="1" x14ac:dyDescent="0.3">
      <c r="B36" s="90" t="s">
        <v>15</v>
      </c>
      <c r="C36" s="27">
        <f>'Inversión Inicial'!B9</f>
        <v>126300000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</row>
    <row r="37" spans="1:22" ht="16.5" thickBot="1" x14ac:dyDescent="0.3">
      <c r="B37" s="91" t="s">
        <v>179</v>
      </c>
      <c r="C37" s="94">
        <f>SUM(C36)</f>
        <v>126300000</v>
      </c>
      <c r="D37" s="94">
        <f t="shared" ref="D37:N37" si="35">SUM(D36)</f>
        <v>0</v>
      </c>
      <c r="E37" s="94">
        <f t="shared" si="35"/>
        <v>0</v>
      </c>
      <c r="F37" s="94">
        <f t="shared" si="35"/>
        <v>0</v>
      </c>
      <c r="G37" s="94">
        <f t="shared" si="35"/>
        <v>0</v>
      </c>
      <c r="H37" s="94">
        <f t="shared" si="35"/>
        <v>0</v>
      </c>
      <c r="I37" s="94">
        <f t="shared" si="35"/>
        <v>0</v>
      </c>
      <c r="J37" s="94">
        <f t="shared" si="35"/>
        <v>0</v>
      </c>
      <c r="K37" s="94">
        <f t="shared" si="35"/>
        <v>0</v>
      </c>
      <c r="L37" s="94">
        <f t="shared" si="35"/>
        <v>0</v>
      </c>
      <c r="M37" s="94">
        <f t="shared" si="35"/>
        <v>0</v>
      </c>
      <c r="N37" s="94">
        <f t="shared" si="35"/>
        <v>0</v>
      </c>
      <c r="O37" s="94">
        <f t="shared" ref="O37" si="36">SUM(O36)</f>
        <v>0</v>
      </c>
      <c r="P37" s="94">
        <f t="shared" ref="P37" si="37">SUM(P36)</f>
        <v>0</v>
      </c>
      <c r="Q37" s="94">
        <f t="shared" ref="Q37" si="38">SUM(Q36)</f>
        <v>0</v>
      </c>
      <c r="R37" s="101">
        <f t="shared" ref="R37" si="39">SUM(R36)</f>
        <v>0</v>
      </c>
      <c r="S37" s="101">
        <f t="shared" ref="S37" si="40">SUM(S36)</f>
        <v>0</v>
      </c>
      <c r="T37" s="101">
        <f t="shared" ref="T37" si="41">SUM(T36)</f>
        <v>0</v>
      </c>
      <c r="U37" s="101">
        <f t="shared" ref="U37" si="42">SUM(U36)</f>
        <v>0</v>
      </c>
      <c r="V37" s="95">
        <f t="shared" ref="V37" si="43">SUM(V36)</f>
        <v>0</v>
      </c>
    </row>
    <row r="38" spans="1:22" ht="15.75" thickBot="1" x14ac:dyDescent="0.3"/>
    <row r="39" spans="1:22" ht="22.5" customHeight="1" thickBot="1" x14ac:dyDescent="0.3">
      <c r="A39" s="114" t="s">
        <v>180</v>
      </c>
      <c r="B39" s="115"/>
      <c r="C39" s="98">
        <f>C33+C37</f>
        <v>285229243</v>
      </c>
      <c r="D39" s="98">
        <f t="shared" ref="D39:V39" si="44">D33+D37</f>
        <v>158890223.40000001</v>
      </c>
      <c r="E39" s="98">
        <f>E33+E37</f>
        <v>158851209.604</v>
      </c>
      <c r="F39" s="98">
        <f t="shared" si="44"/>
        <v>118849849.67004</v>
      </c>
      <c r="G39" s="98">
        <f t="shared" si="44"/>
        <v>67470983.656740397</v>
      </c>
      <c r="H39" s="98">
        <f t="shared" si="44"/>
        <v>69219548.382507801</v>
      </c>
      <c r="I39" s="98">
        <f t="shared" si="44"/>
        <v>71020967.326087847</v>
      </c>
      <c r="J39" s="98">
        <f t="shared" si="44"/>
        <v>72902958.500361204</v>
      </c>
      <c r="K39" s="98">
        <f t="shared" si="44"/>
        <v>74869086.784536451</v>
      </c>
      <c r="L39" s="98">
        <f t="shared" si="44"/>
        <v>76929905.04571265</v>
      </c>
      <c r="M39" s="98">
        <f t="shared" si="44"/>
        <v>79096271.87443848</v>
      </c>
      <c r="N39" s="98">
        <f t="shared" si="44"/>
        <v>81380786.536511078</v>
      </c>
      <c r="O39" s="98">
        <f t="shared" si="44"/>
        <v>83793082.883354813</v>
      </c>
      <c r="P39" s="98">
        <f t="shared" si="44"/>
        <v>86355145.705539808</v>
      </c>
      <c r="Q39" s="98">
        <f t="shared" si="44"/>
        <v>89088023.986636356</v>
      </c>
      <c r="R39" s="98">
        <f t="shared" si="44"/>
        <v>92017500.850212842</v>
      </c>
      <c r="S39" s="98">
        <f t="shared" si="44"/>
        <v>88040445.844853863</v>
      </c>
      <c r="T39" s="98">
        <f t="shared" si="44"/>
        <v>91459957.876473233</v>
      </c>
      <c r="U39" s="98">
        <f t="shared" si="44"/>
        <v>95198707.856080681</v>
      </c>
      <c r="V39" s="99">
        <f t="shared" si="44"/>
        <v>99323663.270044088</v>
      </c>
    </row>
    <row r="40" spans="1:22" ht="15.75" thickBot="1" x14ac:dyDescent="0.3"/>
    <row r="41" spans="1:22" ht="15.75" thickBot="1" x14ac:dyDescent="0.3">
      <c r="A41" s="127" t="s">
        <v>181</v>
      </c>
      <c r="B41" s="128"/>
    </row>
    <row r="42" spans="1:22" x14ac:dyDescent="0.25">
      <c r="B42" s="100" t="s">
        <v>182</v>
      </c>
      <c r="C42" s="16">
        <f>'Inversión Inicial'!B22</f>
        <v>44205000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</row>
    <row r="43" spans="1:22" ht="15.75" thickBot="1" x14ac:dyDescent="0.3">
      <c r="B43" s="1"/>
    </row>
    <row r="44" spans="1:22" ht="22.5" customHeight="1" thickBot="1" x14ac:dyDescent="0.3">
      <c r="A44" s="114" t="s">
        <v>185</v>
      </c>
      <c r="B44" s="115"/>
      <c r="C44" s="98">
        <f>C42</f>
        <v>44205000</v>
      </c>
      <c r="D44" s="98">
        <f t="shared" ref="D44:S44" si="45">D42</f>
        <v>0</v>
      </c>
      <c r="E44" s="98">
        <f t="shared" si="45"/>
        <v>0</v>
      </c>
      <c r="F44" s="98">
        <f t="shared" si="45"/>
        <v>0</v>
      </c>
      <c r="G44" s="98">
        <f t="shared" si="45"/>
        <v>0</v>
      </c>
      <c r="H44" s="98">
        <f t="shared" si="45"/>
        <v>0</v>
      </c>
      <c r="I44" s="98">
        <f t="shared" si="45"/>
        <v>0</v>
      </c>
      <c r="J44" s="98">
        <f t="shared" si="45"/>
        <v>0</v>
      </c>
      <c r="K44" s="98">
        <f t="shared" si="45"/>
        <v>0</v>
      </c>
      <c r="L44" s="98">
        <f t="shared" si="45"/>
        <v>0</v>
      </c>
      <c r="M44" s="98">
        <f t="shared" si="45"/>
        <v>0</v>
      </c>
      <c r="N44" s="98">
        <f t="shared" si="45"/>
        <v>0</v>
      </c>
      <c r="O44" s="98">
        <f t="shared" si="45"/>
        <v>0</v>
      </c>
      <c r="P44" s="98">
        <f t="shared" si="45"/>
        <v>0</v>
      </c>
      <c r="Q44" s="98">
        <f t="shared" si="45"/>
        <v>0</v>
      </c>
      <c r="R44" s="98">
        <f t="shared" si="45"/>
        <v>0</v>
      </c>
      <c r="S44" s="98">
        <f t="shared" si="45"/>
        <v>0</v>
      </c>
      <c r="T44" s="98">
        <f t="shared" ref="T44:V44" si="46">T42</f>
        <v>0</v>
      </c>
      <c r="U44" s="98">
        <f t="shared" si="46"/>
        <v>0</v>
      </c>
      <c r="V44" s="99">
        <f t="shared" si="46"/>
        <v>0</v>
      </c>
    </row>
    <row r="45" spans="1:22" ht="15.75" thickBot="1" x14ac:dyDescent="0.3"/>
    <row r="46" spans="1:22" ht="22.5" customHeight="1" thickBot="1" x14ac:dyDescent="0.3">
      <c r="A46" s="114" t="s">
        <v>184</v>
      </c>
      <c r="B46" s="115"/>
      <c r="C46" s="98">
        <f>C25-(C39+C44)</f>
        <v>-301673243</v>
      </c>
      <c r="D46" s="98">
        <f t="shared" ref="D46:V46" si="47">D25-(D39+D44)</f>
        <v>-132104713.40000001</v>
      </c>
      <c r="E46" s="98">
        <f t="shared" si="47"/>
        <v>-133041044.50400001</v>
      </c>
      <c r="F46" s="98">
        <f t="shared" si="47"/>
        <v>-39323682.919040009</v>
      </c>
      <c r="G46" s="98">
        <f t="shared" si="47"/>
        <v>43593532.761769608</v>
      </c>
      <c r="H46" s="98">
        <f t="shared" si="47"/>
        <v>45779686.1801873</v>
      </c>
      <c r="I46" s="98">
        <f t="shared" si="47"/>
        <v>47728976.826108202</v>
      </c>
      <c r="J46" s="98">
        <f t="shared" si="47"/>
        <v>50033943.168668881</v>
      </c>
      <c r="K46" s="98">
        <f t="shared" si="47"/>
        <v>52703439.39847447</v>
      </c>
      <c r="L46" s="98">
        <f t="shared" si="47"/>
        <v>55909788.852079317</v>
      </c>
      <c r="M46" s="98">
        <f t="shared" si="47"/>
        <v>59828162.303822026</v>
      </c>
      <c r="N46" s="98">
        <f t="shared" si="47"/>
        <v>64670754.749566481</v>
      </c>
      <c r="O46" s="98">
        <f t="shared" si="47"/>
        <v>70573561.619517624</v>
      </c>
      <c r="P46" s="98">
        <f t="shared" si="47"/>
        <v>77963677.117867783</v>
      </c>
      <c r="Q46" s="98">
        <f t="shared" si="47"/>
        <v>87240100.674464718</v>
      </c>
      <c r="R46" s="98">
        <f t="shared" si="47"/>
        <v>98909485.489180893</v>
      </c>
      <c r="S46" s="98">
        <f t="shared" si="47"/>
        <v>120598318.53656174</v>
      </c>
      <c r="T46" s="98">
        <f t="shared" si="47"/>
        <v>139015680.27740222</v>
      </c>
      <c r="U46" s="98">
        <f t="shared" si="47"/>
        <v>162393525.46660239</v>
      </c>
      <c r="V46" s="99">
        <f t="shared" si="47"/>
        <v>192199356.70514488</v>
      </c>
    </row>
  </sheetData>
  <mergeCells count="15">
    <mergeCell ref="A35:B35"/>
    <mergeCell ref="A39:B39"/>
    <mergeCell ref="A41:B41"/>
    <mergeCell ref="A44:B44"/>
    <mergeCell ref="A46:B46"/>
    <mergeCell ref="A13:B13"/>
    <mergeCell ref="A19:B19"/>
    <mergeCell ref="A25:B25"/>
    <mergeCell ref="A26:B26"/>
    <mergeCell ref="A27:B27"/>
    <mergeCell ref="A4:B4"/>
    <mergeCell ref="A5:B5"/>
    <mergeCell ref="A6:B6"/>
    <mergeCell ref="A1:V1"/>
    <mergeCell ref="A2:V2"/>
  </mergeCells>
  <phoneticPr fontId="3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B718-16FB-4A74-A162-F0B2BC1D3D9F}">
  <dimension ref="A1:V32"/>
  <sheetViews>
    <sheetView zoomScale="85" zoomScaleNormal="85" workbookViewId="0">
      <selection activeCell="C32" sqref="C32"/>
    </sheetView>
  </sheetViews>
  <sheetFormatPr baseColWidth="10" defaultRowHeight="15" x14ac:dyDescent="0.25"/>
  <cols>
    <col min="2" max="2" width="42.85546875" customWidth="1"/>
    <col min="3" max="22" width="14.28515625" customWidth="1"/>
  </cols>
  <sheetData>
    <row r="1" spans="1:22" ht="30" customHeight="1" thickBot="1" x14ac:dyDescent="0.55000000000000004">
      <c r="A1" s="119" t="s">
        <v>222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</row>
    <row r="2" spans="1:22" ht="22.5" customHeight="1" thickBot="1" x14ac:dyDescent="0.4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4"/>
    </row>
    <row r="3" spans="1:22" ht="15.75" thickBot="1" x14ac:dyDescent="0.3"/>
    <row r="4" spans="1:22" ht="22.5" customHeight="1" thickBot="1" x14ac:dyDescent="0.3">
      <c r="A4" s="114" t="s">
        <v>2</v>
      </c>
      <c r="B4" s="115"/>
      <c r="C4" s="92" t="s">
        <v>3</v>
      </c>
      <c r="D4" s="92" t="s">
        <v>4</v>
      </c>
      <c r="E4" s="92" t="s">
        <v>5</v>
      </c>
      <c r="F4" s="92" t="s">
        <v>6</v>
      </c>
      <c r="G4" s="92" t="s">
        <v>7</v>
      </c>
      <c r="H4" s="92" t="s">
        <v>8</v>
      </c>
      <c r="I4" s="92" t="s">
        <v>9</v>
      </c>
      <c r="J4" s="92" t="s">
        <v>10</v>
      </c>
      <c r="K4" s="92" t="s">
        <v>11</v>
      </c>
      <c r="L4" s="92" t="s">
        <v>12</v>
      </c>
      <c r="M4" s="92" t="s">
        <v>13</v>
      </c>
      <c r="N4" s="92" t="s">
        <v>14</v>
      </c>
      <c r="O4" s="92" t="s">
        <v>191</v>
      </c>
      <c r="P4" s="92" t="s">
        <v>192</v>
      </c>
      <c r="Q4" s="92" t="s">
        <v>193</v>
      </c>
      <c r="R4" s="93" t="s">
        <v>194</v>
      </c>
      <c r="S4" s="92" t="s">
        <v>199</v>
      </c>
      <c r="T4" s="92" t="s">
        <v>200</v>
      </c>
      <c r="U4" s="92" t="s">
        <v>201</v>
      </c>
      <c r="V4" s="93" t="s">
        <v>202</v>
      </c>
    </row>
    <row r="5" spans="1:22" ht="15.75" thickBot="1" x14ac:dyDescent="0.3">
      <c r="A5" s="116" t="s">
        <v>224</v>
      </c>
      <c r="B5" s="117"/>
    </row>
    <row r="6" spans="1:22" x14ac:dyDescent="0.25">
      <c r="B6" s="89" t="s">
        <v>225</v>
      </c>
      <c r="C6" s="5">
        <f>'Proyección de Ventas e Incremen'!I7</f>
        <v>0</v>
      </c>
      <c r="D6" s="5">
        <f>'Proyección de Ventas e Incremen'!J7</f>
        <v>0</v>
      </c>
      <c r="E6" s="5">
        <f>'Proyección de Ventas e Incremen'!K7</f>
        <v>0</v>
      </c>
      <c r="F6" s="5">
        <f>'Proyección de Ventas e Incremen'!L7</f>
        <v>54691199.999999993</v>
      </c>
      <c r="G6" s="5">
        <f>'Proyección de Ventas e Incremen'!M7</f>
        <v>87204600</v>
      </c>
      <c r="H6" s="5">
        <f>'Proyección de Ventas e Incremen'!N7</f>
        <v>92114218.980000004</v>
      </c>
      <c r="I6" s="5">
        <f>'Proyección de Ventas e Incremen'!O7</f>
        <v>96839678.413673997</v>
      </c>
      <c r="J6" s="5">
        <f>'Proyección de Ventas e Incremen'!P7</f>
        <v>102001233.27312282</v>
      </c>
      <c r="K6" s="5">
        <f>'Proyección de Ventas e Incremen'!Q7</f>
        <v>107611301.10314457</v>
      </c>
      <c r="L6" s="5">
        <f>'Proyección de Ventas e Incremen'!R7</f>
        <v>113852756.56712696</v>
      </c>
      <c r="M6" s="5">
        <f>'Proyección de Ventas e Incremen'!S7</f>
        <v>120911627.47428884</v>
      </c>
      <c r="N6" s="5">
        <f>'Proyección de Ventas e Incremen'!T7</f>
        <v>129012706.51506618</v>
      </c>
      <c r="O6" s="5">
        <f>'Proyección de Ventas e Incremen'!U7</f>
        <v>138301621.38415095</v>
      </c>
      <c r="P6" s="5">
        <f>'Proyección de Ventas e Incremen'!V7</f>
        <v>149227449.47349888</v>
      </c>
      <c r="Q6" s="5">
        <f>'Proyección de Ventas e Incremen'!W7</f>
        <v>162210237.57769328</v>
      </c>
      <c r="R6" s="5">
        <f>'Proyección de Ventas e Incremen'!X7</f>
        <v>177782420.38515186</v>
      </c>
      <c r="S6" s="5">
        <f>'Proyección de Ventas e Incremen'!Y7</f>
        <v>196467352.76763132</v>
      </c>
      <c r="T6" s="5">
        <f>'Proyección de Ventas e Incremen'!Z7</f>
        <v>219277212.42395332</v>
      </c>
      <c r="U6" s="5">
        <f>'Proyección de Ventas e Incremen'!AA7</f>
        <v>247366623.33546171</v>
      </c>
      <c r="V6" s="5">
        <f>'Proyección de Ventas e Incremen'!AB7</f>
        <v>282270053.88809538</v>
      </c>
    </row>
    <row r="7" spans="1:22" ht="15.75" thickBot="1" x14ac:dyDescent="0.3">
      <c r="B7" s="89" t="s">
        <v>203</v>
      </c>
      <c r="C7" s="5">
        <f>'Proyección de Ventas e Incremen'!I8</f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 ht="16.5" thickBot="1" x14ac:dyDescent="0.3">
      <c r="B8" s="91" t="s">
        <v>204</v>
      </c>
      <c r="C8" s="94">
        <f t="shared" ref="C8:V8" si="0">SUM(C6:C7)</f>
        <v>0</v>
      </c>
      <c r="D8" s="94">
        <f t="shared" si="0"/>
        <v>0</v>
      </c>
      <c r="E8" s="94">
        <f t="shared" si="0"/>
        <v>0</v>
      </c>
      <c r="F8" s="94">
        <f t="shared" si="0"/>
        <v>54691199.999999993</v>
      </c>
      <c r="G8" s="94">
        <f t="shared" si="0"/>
        <v>87204600</v>
      </c>
      <c r="H8" s="94">
        <f t="shared" si="0"/>
        <v>92114218.980000004</v>
      </c>
      <c r="I8" s="94">
        <f t="shared" si="0"/>
        <v>96839678.413673997</v>
      </c>
      <c r="J8" s="94">
        <f t="shared" si="0"/>
        <v>102001233.27312282</v>
      </c>
      <c r="K8" s="94">
        <f t="shared" si="0"/>
        <v>107611301.10314457</v>
      </c>
      <c r="L8" s="94">
        <f t="shared" si="0"/>
        <v>113852756.56712696</v>
      </c>
      <c r="M8" s="94">
        <f t="shared" si="0"/>
        <v>120911627.47428884</v>
      </c>
      <c r="N8" s="94">
        <f t="shared" si="0"/>
        <v>129012706.51506618</v>
      </c>
      <c r="O8" s="94">
        <f t="shared" si="0"/>
        <v>138301621.38415095</v>
      </c>
      <c r="P8" s="94">
        <f t="shared" si="0"/>
        <v>149227449.47349888</v>
      </c>
      <c r="Q8" s="94">
        <f t="shared" si="0"/>
        <v>162210237.57769328</v>
      </c>
      <c r="R8" s="94">
        <f t="shared" si="0"/>
        <v>177782420.38515186</v>
      </c>
      <c r="S8" s="94">
        <f t="shared" si="0"/>
        <v>196467352.76763132</v>
      </c>
      <c r="T8" s="94">
        <f t="shared" si="0"/>
        <v>219277212.42395332</v>
      </c>
      <c r="U8" s="94">
        <f t="shared" si="0"/>
        <v>247366623.33546171</v>
      </c>
      <c r="V8" s="95">
        <f t="shared" si="0"/>
        <v>282270053.88809538</v>
      </c>
    </row>
    <row r="9" spans="1:22" ht="15.75" thickBot="1" x14ac:dyDescent="0.3"/>
    <row r="10" spans="1:22" ht="15.75" thickBot="1" x14ac:dyDescent="0.3">
      <c r="A10" s="129" t="s">
        <v>205</v>
      </c>
      <c r="B10" s="130"/>
    </row>
    <row r="11" spans="1:22" x14ac:dyDescent="0.25">
      <c r="B11" s="100" t="s">
        <v>15</v>
      </c>
      <c r="C11" s="27">
        <f>'Inversión Inicial'!B9</f>
        <v>126300000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</row>
    <row r="12" spans="1:22" x14ac:dyDescent="0.25">
      <c r="B12" s="89" t="s">
        <v>206</v>
      </c>
      <c r="C12" s="16">
        <f>'Balance General'!C31+'Balance General'!C28</f>
        <v>150690000</v>
      </c>
      <c r="D12" s="16">
        <f>'Balance General'!D31+'Balance General'!D28</f>
        <v>150690000</v>
      </c>
      <c r="E12" s="16">
        <f>'Balance General'!E31+'Balance General'!E28</f>
        <v>150690000</v>
      </c>
      <c r="F12" s="16">
        <f>'Balance General'!F31+'Balance General'!F28</f>
        <v>97380000</v>
      </c>
      <c r="G12" s="16">
        <f>'Balance General'!G31+'Balance General'!G28</f>
        <v>44070000</v>
      </c>
      <c r="H12" s="16">
        <f>'Balance General'!H31+'Balance General'!H28</f>
        <v>44951400</v>
      </c>
      <c r="I12" s="16">
        <f>'Balance General'!I31+'Balance General'!I28</f>
        <v>45850428</v>
      </c>
      <c r="J12" s="16">
        <f>'Balance General'!J31+'Balance General'!J28</f>
        <v>46767436.560000002</v>
      </c>
      <c r="K12" s="16">
        <f>'Balance General'!K31+'Balance General'!K28</f>
        <v>47702785.291200005</v>
      </c>
      <c r="L12" s="16">
        <f>'Balance General'!L31+'Balance General'!L28</f>
        <v>48656840.997024015</v>
      </c>
      <c r="M12" s="16">
        <f>'Balance General'!M31+'Balance General'!M28</f>
        <v>49629977.816964492</v>
      </c>
      <c r="N12" s="16">
        <f>'Balance General'!N31+'Balance General'!N28</f>
        <v>50622577.373303778</v>
      </c>
      <c r="O12" s="16">
        <f>'Balance General'!O31+'Balance General'!O28</f>
        <v>51635028.920769855</v>
      </c>
      <c r="P12" s="16">
        <f>'Balance General'!P31+'Balance General'!P28</f>
        <v>52667729.499185249</v>
      </c>
      <c r="Q12" s="16">
        <f>'Balance General'!Q31+'Balance General'!Q28</f>
        <v>53721084.089168958</v>
      </c>
      <c r="R12" s="16">
        <f>'Balance General'!R31+'Balance General'!R28</f>
        <v>54795505.770952344</v>
      </c>
      <c r="S12" s="16">
        <f>'Balance General'!S31+'Balance General'!S28</f>
        <v>55891415.886371389</v>
      </c>
      <c r="T12" s="16">
        <f>'Balance General'!T31+'Balance General'!T28</f>
        <v>57009244.204098821</v>
      </c>
      <c r="U12" s="16">
        <f>'Balance General'!U31+'Balance General'!U28</f>
        <v>58149429.088180795</v>
      </c>
      <c r="V12" s="16">
        <f>'Balance General'!V31+'Balance General'!V28</f>
        <v>59312417.669944413</v>
      </c>
    </row>
    <row r="13" spans="1:22" x14ac:dyDescent="0.25">
      <c r="B13" s="90" t="s">
        <v>208</v>
      </c>
      <c r="C13" s="16">
        <f>'Balance General'!C23</f>
        <v>0</v>
      </c>
      <c r="D13" s="16">
        <f>'Balance General'!D23</f>
        <v>0</v>
      </c>
      <c r="E13" s="16">
        <f>'Balance General'!E23</f>
        <v>0</v>
      </c>
      <c r="F13" s="16">
        <f>'Balance General'!F23</f>
        <v>0</v>
      </c>
      <c r="G13" s="16">
        <f>'Balance General'!G23</f>
        <v>0</v>
      </c>
      <c r="H13" s="16">
        <f>'Balance General'!H23</f>
        <v>0</v>
      </c>
      <c r="I13" s="16">
        <f>'Balance General'!I23</f>
        <v>0</v>
      </c>
      <c r="J13" s="16">
        <f>'Balance General'!J23</f>
        <v>0</v>
      </c>
      <c r="K13" s="16">
        <f>'Balance General'!K23</f>
        <v>0</v>
      </c>
      <c r="L13" s="16">
        <f>'Balance General'!L23</f>
        <v>0</v>
      </c>
      <c r="M13" s="16">
        <f>'Balance General'!M23</f>
        <v>0</v>
      </c>
      <c r="N13" s="16">
        <f>'Balance General'!N23</f>
        <v>0</v>
      </c>
      <c r="O13" s="16">
        <f>'Balance General'!O23</f>
        <v>0</v>
      </c>
      <c r="P13" s="16">
        <f>'Balance General'!P23</f>
        <v>0</v>
      </c>
      <c r="Q13" s="16">
        <f>'Balance General'!Q23</f>
        <v>0</v>
      </c>
      <c r="R13" s="16">
        <f>'Balance General'!R23</f>
        <v>0</v>
      </c>
      <c r="S13" s="16">
        <f>'Balance General'!S23</f>
        <v>0</v>
      </c>
      <c r="T13" s="16">
        <f>'Balance General'!T23</f>
        <v>0</v>
      </c>
      <c r="U13" s="16">
        <f>'Balance General'!U23</f>
        <v>0</v>
      </c>
      <c r="V13" s="16">
        <f>'Balance General'!V23</f>
        <v>0</v>
      </c>
    </row>
    <row r="14" spans="1:22" x14ac:dyDescent="0.25">
      <c r="B14" s="102" t="s">
        <v>108</v>
      </c>
      <c r="C14" s="103">
        <f>'Amortización y Depreciación'!$G$35*1/4</f>
        <v>990000</v>
      </c>
      <c r="D14" s="103">
        <f>'Amortización y Depreciación'!$G$35*1/4</f>
        <v>990000</v>
      </c>
      <c r="E14" s="103">
        <f>'Amortización y Depreciación'!$G$35*1/4</f>
        <v>990000</v>
      </c>
      <c r="F14" s="103">
        <f>'Amortización y Depreciación'!$G$35*1/4</f>
        <v>990000</v>
      </c>
      <c r="G14" s="103">
        <f>'Amortización y Depreciación'!$G$35*1/4</f>
        <v>990000</v>
      </c>
      <c r="H14" s="103">
        <f>'Amortización y Depreciación'!$G$35*1/4</f>
        <v>990000</v>
      </c>
      <c r="I14" s="103">
        <f>'Amortización y Depreciación'!$G$35*1/4</f>
        <v>990000</v>
      </c>
      <c r="J14" s="103">
        <f>'Amortización y Depreciación'!$G$35*1/4</f>
        <v>990000</v>
      </c>
      <c r="K14" s="103">
        <f>'Amortización y Depreciación'!$G$35*1/4</f>
        <v>990000</v>
      </c>
      <c r="L14" s="103">
        <f>'Amortización y Depreciación'!$G$35*1/4</f>
        <v>990000</v>
      </c>
      <c r="M14" s="103">
        <f>'Amortización y Depreciación'!$G$35*1/4</f>
        <v>990000</v>
      </c>
      <c r="N14" s="103">
        <f>'Amortización y Depreciación'!$G$35*1/4</f>
        <v>990000</v>
      </c>
      <c r="O14" s="103">
        <f>'Amortización y Depreciación'!$G$35*1/4</f>
        <v>990000</v>
      </c>
      <c r="P14" s="103">
        <f>'Amortización y Depreciación'!$G$35*1/4</f>
        <v>990000</v>
      </c>
      <c r="Q14" s="103">
        <f>'Amortización y Depreciación'!$G$35*1/4</f>
        <v>990000</v>
      </c>
      <c r="R14" s="103">
        <f>'Amortización y Depreciación'!$G$35*1/4</f>
        <v>990000</v>
      </c>
      <c r="S14" s="103">
        <f>'Amortización y Depreciación'!$G$35*1/4</f>
        <v>990000</v>
      </c>
      <c r="T14" s="103">
        <f>'Amortización y Depreciación'!$G$35*1/4</f>
        <v>990000</v>
      </c>
      <c r="U14" s="103">
        <f>'Amortización y Depreciación'!$G$35*1/4</f>
        <v>990000</v>
      </c>
      <c r="V14" s="103">
        <f>'Amortización y Depreciación'!$G$35*1/4</f>
        <v>990000</v>
      </c>
    </row>
    <row r="15" spans="1:22" ht="16.5" thickBot="1" x14ac:dyDescent="0.3">
      <c r="B15" s="104" t="s">
        <v>207</v>
      </c>
      <c r="C15" s="105">
        <f>SUM(C11:C14)</f>
        <v>277980000</v>
      </c>
      <c r="D15" s="105">
        <f t="shared" ref="D15:V15" si="1">SUM(D11:D14)</f>
        <v>151680000</v>
      </c>
      <c r="E15" s="105">
        <f t="shared" si="1"/>
        <v>151680000</v>
      </c>
      <c r="F15" s="105">
        <f t="shared" si="1"/>
        <v>98370000</v>
      </c>
      <c r="G15" s="105">
        <f t="shared" si="1"/>
        <v>45060000</v>
      </c>
      <c r="H15" s="105">
        <f t="shared" si="1"/>
        <v>45941400</v>
      </c>
      <c r="I15" s="105">
        <f t="shared" si="1"/>
        <v>46840428</v>
      </c>
      <c r="J15" s="105">
        <f t="shared" si="1"/>
        <v>47757436.560000002</v>
      </c>
      <c r="K15" s="105">
        <f t="shared" si="1"/>
        <v>48692785.291200005</v>
      </c>
      <c r="L15" s="105">
        <f t="shared" si="1"/>
        <v>49646840.997024015</v>
      </c>
      <c r="M15" s="105">
        <f t="shared" si="1"/>
        <v>50619977.816964492</v>
      </c>
      <c r="N15" s="105">
        <f t="shared" si="1"/>
        <v>51612577.373303778</v>
      </c>
      <c r="O15" s="105">
        <f t="shared" si="1"/>
        <v>52625028.920769855</v>
      </c>
      <c r="P15" s="105">
        <f t="shared" si="1"/>
        <v>53657729.499185249</v>
      </c>
      <c r="Q15" s="105">
        <f t="shared" si="1"/>
        <v>54711084.089168958</v>
      </c>
      <c r="R15" s="105">
        <f t="shared" si="1"/>
        <v>55785505.770952344</v>
      </c>
      <c r="S15" s="105">
        <f t="shared" si="1"/>
        <v>56881415.886371389</v>
      </c>
      <c r="T15" s="105">
        <f t="shared" si="1"/>
        <v>57999244.204098821</v>
      </c>
      <c r="U15" s="105">
        <f t="shared" si="1"/>
        <v>59139429.088180795</v>
      </c>
      <c r="V15" s="105">
        <f t="shared" si="1"/>
        <v>60302417.669944413</v>
      </c>
    </row>
    <row r="16" spans="1:22" ht="16.5" thickBot="1" x14ac:dyDescent="0.3">
      <c r="B16" s="91" t="s">
        <v>209</v>
      </c>
      <c r="C16" s="94">
        <f>C8-C15</f>
        <v>-277980000</v>
      </c>
      <c r="D16" s="94">
        <f t="shared" ref="D16:V16" si="2">D8-D15</f>
        <v>-151680000</v>
      </c>
      <c r="E16" s="94">
        <f t="shared" si="2"/>
        <v>-151680000</v>
      </c>
      <c r="F16" s="94">
        <f t="shared" si="2"/>
        <v>-43678800.000000007</v>
      </c>
      <c r="G16" s="94">
        <f t="shared" si="2"/>
        <v>42144600</v>
      </c>
      <c r="H16" s="94">
        <f t="shared" si="2"/>
        <v>46172818.980000004</v>
      </c>
      <c r="I16" s="94">
        <f t="shared" si="2"/>
        <v>49999250.413673997</v>
      </c>
      <c r="J16" s="94">
        <f t="shared" si="2"/>
        <v>54243796.713122815</v>
      </c>
      <c r="K16" s="94">
        <f t="shared" si="2"/>
        <v>58918515.811944567</v>
      </c>
      <c r="L16" s="94">
        <f t="shared" si="2"/>
        <v>64205915.570102945</v>
      </c>
      <c r="M16" s="94">
        <f t="shared" si="2"/>
        <v>70291649.657324344</v>
      </c>
      <c r="N16" s="94">
        <f t="shared" si="2"/>
        <v>77400129.141762406</v>
      </c>
      <c r="O16" s="94">
        <f t="shared" si="2"/>
        <v>85676592.463381097</v>
      </c>
      <c r="P16" s="94">
        <f t="shared" si="2"/>
        <v>95569719.974313632</v>
      </c>
      <c r="Q16" s="94">
        <f t="shared" si="2"/>
        <v>107499153.48852432</v>
      </c>
      <c r="R16" s="94">
        <f t="shared" si="2"/>
        <v>121996914.61419952</v>
      </c>
      <c r="S16" s="94">
        <f>S8-S15</f>
        <v>139585936.88125992</v>
      </c>
      <c r="T16" s="94">
        <f t="shared" si="2"/>
        <v>161277968.2198545</v>
      </c>
      <c r="U16" s="94">
        <f t="shared" si="2"/>
        <v>188227194.2472809</v>
      </c>
      <c r="V16" s="95">
        <f t="shared" si="2"/>
        <v>221967636.21815097</v>
      </c>
    </row>
    <row r="17" spans="1:22" ht="15.75" thickBot="1" x14ac:dyDescent="0.3"/>
    <row r="18" spans="1:22" ht="15.75" thickBot="1" x14ac:dyDescent="0.3">
      <c r="A18" s="129" t="s">
        <v>210</v>
      </c>
      <c r="B18" s="130"/>
    </row>
    <row r="19" spans="1:22" x14ac:dyDescent="0.25">
      <c r="B19" s="100" t="s">
        <v>213</v>
      </c>
      <c r="C19" s="16">
        <f>'Balance General'!C30+'Balance General'!C29+'Balance General'!$C$15</f>
        <v>8579803</v>
      </c>
      <c r="D19" s="16">
        <f>'Balance General'!D30+'Balance General'!D29+'Balance General'!$C$15</f>
        <v>8579803</v>
      </c>
      <c r="E19" s="16">
        <f>'Balance General'!E30+'Balance General'!E29+'Balance General'!$C$15</f>
        <v>8579803</v>
      </c>
      <c r="F19" s="16">
        <f>'Balance General'!F30+'Balance General'!F29+'Balance General'!$C$15</f>
        <v>19739803</v>
      </c>
      <c r="G19" s="16">
        <f>'Balance General'!G30+'Balance General'!G29+'Balance General'!$C$15</f>
        <v>20409403</v>
      </c>
      <c r="H19" s="16">
        <f>'Balance General'!H30+'Balance General'!H29+'Balance General'!$C$15</f>
        <v>21119179</v>
      </c>
      <c r="I19" s="16">
        <f>'Balance General'!I30+'Balance General'!I29+'Balance General'!$C$15</f>
        <v>21871541.560000002</v>
      </c>
      <c r="J19" s="16">
        <f>'Balance General'!J30+'Balance General'!J29+'Balance General'!$C$15</f>
        <v>22669045.873599999</v>
      </c>
      <c r="K19" s="16">
        <f>'Balance General'!K30+'Balance General'!K29+'Balance General'!$C$15</f>
        <v>23514400.446015999</v>
      </c>
      <c r="L19" s="16">
        <f>'Balance General'!L30+'Balance General'!L29+'Balance General'!$C$15</f>
        <v>24410476.292776961</v>
      </c>
      <c r="M19" s="16">
        <f>'Balance General'!M30+'Balance General'!M29+'Balance General'!$C$15</f>
        <v>25360316.690343581</v>
      </c>
      <c r="N19" s="16">
        <f>'Balance General'!N30+'Balance General'!N29+'Balance General'!$C$15</f>
        <v>26367147.511764199</v>
      </c>
      <c r="O19" s="16">
        <f>'Balance General'!O30+'Balance General'!O29+'Balance General'!$C$15</f>
        <v>27434388.18247005</v>
      </c>
      <c r="P19" s="16">
        <f>'Balance General'!P30+'Balance General'!P29+'Balance General'!$C$15</f>
        <v>28565663.293418255</v>
      </c>
      <c r="Q19" s="16">
        <f>'Balance General'!Q30+'Balance General'!Q29+'Balance General'!$C$15</f>
        <v>29764814.911023352</v>
      </c>
      <c r="R19" s="16">
        <f>'Balance General'!R30+'Balance General'!R29+'Balance General'!$C$15</f>
        <v>31035915.625684753</v>
      </c>
      <c r="S19" s="16">
        <f>'Balance General'!S30+'Balance General'!S29+'Balance General'!$C$15</f>
        <v>25254479.38322584</v>
      </c>
      <c r="T19" s="16">
        <f>'Balance General'!T30+'Balance General'!T29+'Balance General'!$C$15</f>
        <v>26682688.146219391</v>
      </c>
      <c r="U19" s="16">
        <f>'Balance General'!U30+'Balance General'!U29+'Balance General'!$C$15</f>
        <v>28196589.434992556</v>
      </c>
      <c r="V19" s="16">
        <f>'Balance General'!V30+'Balance General'!V29+'Balance General'!$C$15</f>
        <v>29801324.801092111</v>
      </c>
    </row>
    <row r="20" spans="1:22" ht="15.75" thickBot="1" x14ac:dyDescent="0.3">
      <c r="B20" s="89" t="s">
        <v>214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</row>
    <row r="21" spans="1:22" ht="16.5" thickBot="1" x14ac:dyDescent="0.3">
      <c r="B21" s="91" t="s">
        <v>217</v>
      </c>
      <c r="C21" s="94">
        <f>C16-SUM(C19:C20)</f>
        <v>-286559803</v>
      </c>
      <c r="D21" s="94">
        <f t="shared" ref="D21:V21" si="3">D16-SUM(D19:D20)</f>
        <v>-160259803</v>
      </c>
      <c r="E21" s="94">
        <f t="shared" si="3"/>
        <v>-160259803</v>
      </c>
      <c r="F21" s="94">
        <f t="shared" si="3"/>
        <v>-63418603.000000007</v>
      </c>
      <c r="G21" s="94">
        <f t="shared" si="3"/>
        <v>21735197</v>
      </c>
      <c r="H21" s="94">
        <f t="shared" si="3"/>
        <v>25053639.980000004</v>
      </c>
      <c r="I21" s="94">
        <f t="shared" si="3"/>
        <v>28127708.853673995</v>
      </c>
      <c r="J21" s="94">
        <f t="shared" si="3"/>
        <v>31574750.839522816</v>
      </c>
      <c r="K21" s="94">
        <f t="shared" si="3"/>
        <v>35404115.365928568</v>
      </c>
      <c r="L21" s="94">
        <f t="shared" si="3"/>
        <v>39795439.277325988</v>
      </c>
      <c r="M21" s="94">
        <f t="shared" si="3"/>
        <v>44931332.966980763</v>
      </c>
      <c r="N21" s="94">
        <f t="shared" si="3"/>
        <v>51032981.629998207</v>
      </c>
      <c r="O21" s="94">
        <f t="shared" si="3"/>
        <v>58242204.280911043</v>
      </c>
      <c r="P21" s="94">
        <f t="shared" si="3"/>
        <v>67004056.680895373</v>
      </c>
      <c r="Q21" s="94">
        <f t="shared" si="3"/>
        <v>77734338.577500969</v>
      </c>
      <c r="R21" s="94">
        <f t="shared" si="3"/>
        <v>90960998.988514766</v>
      </c>
      <c r="S21" s="94">
        <f t="shared" si="3"/>
        <v>114331457.49803407</v>
      </c>
      <c r="T21" s="94">
        <f t="shared" si="3"/>
        <v>134595280.0736351</v>
      </c>
      <c r="U21" s="94">
        <f t="shared" si="3"/>
        <v>160030604.81228834</v>
      </c>
      <c r="V21" s="94">
        <f t="shared" si="3"/>
        <v>192166311.41705886</v>
      </c>
    </row>
    <row r="22" spans="1:22" ht="15.75" thickBot="1" x14ac:dyDescent="0.3"/>
    <row r="23" spans="1:22" ht="15.75" thickBot="1" x14ac:dyDescent="0.3">
      <c r="A23" s="129" t="s">
        <v>215</v>
      </c>
      <c r="B23" s="130"/>
    </row>
    <row r="24" spans="1:22" x14ac:dyDescent="0.25">
      <c r="B24" s="100" t="s">
        <v>211</v>
      </c>
      <c r="C24" s="5">
        <f>0</f>
        <v>0</v>
      </c>
      <c r="D24" s="5">
        <f>0</f>
        <v>0</v>
      </c>
      <c r="E24" s="5">
        <f>0</f>
        <v>0</v>
      </c>
      <c r="F24" s="5">
        <f>0</f>
        <v>0</v>
      </c>
      <c r="G24" s="5">
        <f>0</f>
        <v>0</v>
      </c>
      <c r="H24" s="5">
        <f>0</f>
        <v>0</v>
      </c>
      <c r="I24" s="5">
        <f>0</f>
        <v>0</v>
      </c>
      <c r="J24" s="5">
        <f>0</f>
        <v>0</v>
      </c>
      <c r="K24" s="5">
        <f>0</f>
        <v>0</v>
      </c>
      <c r="L24" s="5">
        <f>0</f>
        <v>0</v>
      </c>
      <c r="M24" s="5">
        <f>0</f>
        <v>0</v>
      </c>
      <c r="N24" s="5">
        <f>0</f>
        <v>0</v>
      </c>
      <c r="O24" s="5">
        <f>0</f>
        <v>0</v>
      </c>
      <c r="P24" s="5">
        <f>0</f>
        <v>0</v>
      </c>
      <c r="Q24" s="5">
        <f>0</f>
        <v>0</v>
      </c>
      <c r="R24" s="5">
        <f>0</f>
        <v>0</v>
      </c>
      <c r="S24" s="5">
        <f>0</f>
        <v>0</v>
      </c>
      <c r="T24" s="5">
        <f>0</f>
        <v>0</v>
      </c>
      <c r="U24" s="5">
        <f>0</f>
        <v>0</v>
      </c>
      <c r="V24" s="5">
        <f>0</f>
        <v>0</v>
      </c>
    </row>
    <row r="25" spans="1:22" ht="15.75" thickBot="1" x14ac:dyDescent="0.3">
      <c r="B25" s="89" t="s">
        <v>212</v>
      </c>
      <c r="C25" s="5">
        <f>0</f>
        <v>0</v>
      </c>
      <c r="D25" s="5">
        <f>0</f>
        <v>0</v>
      </c>
      <c r="E25" s="5">
        <f>0</f>
        <v>0</v>
      </c>
      <c r="F25" s="5">
        <f>0</f>
        <v>0</v>
      </c>
      <c r="G25" s="5">
        <f>0</f>
        <v>0</v>
      </c>
      <c r="H25" s="5">
        <f>0</f>
        <v>0</v>
      </c>
      <c r="I25" s="5">
        <f>0</f>
        <v>0</v>
      </c>
      <c r="J25" s="5">
        <f>0</f>
        <v>0</v>
      </c>
      <c r="K25" s="5">
        <f>0</f>
        <v>0</v>
      </c>
      <c r="L25" s="5">
        <f>0</f>
        <v>0</v>
      </c>
      <c r="M25" s="5">
        <f>0</f>
        <v>0</v>
      </c>
      <c r="N25" s="5">
        <f>0</f>
        <v>0</v>
      </c>
      <c r="O25" s="5">
        <f>0</f>
        <v>0</v>
      </c>
      <c r="P25" s="5">
        <f>0</f>
        <v>0</v>
      </c>
      <c r="Q25" s="5">
        <f>0</f>
        <v>0</v>
      </c>
      <c r="R25" s="5">
        <f>0</f>
        <v>0</v>
      </c>
      <c r="S25" s="5">
        <f>0</f>
        <v>0</v>
      </c>
      <c r="T25" s="5">
        <f>0</f>
        <v>0</v>
      </c>
      <c r="U25" s="5">
        <f>0</f>
        <v>0</v>
      </c>
      <c r="V25" s="5">
        <f>0</f>
        <v>0</v>
      </c>
    </row>
    <row r="26" spans="1:22" ht="16.5" thickBot="1" x14ac:dyDescent="0.3">
      <c r="B26" s="91" t="s">
        <v>216</v>
      </c>
      <c r="C26" s="94">
        <f>C21-SUM(C24:C25)</f>
        <v>-286559803</v>
      </c>
      <c r="D26" s="94">
        <f t="shared" ref="D26:V26" si="4">D21-SUM(D24:D25)</f>
        <v>-160259803</v>
      </c>
      <c r="E26" s="94">
        <f t="shared" si="4"/>
        <v>-160259803</v>
      </c>
      <c r="F26" s="94">
        <f t="shared" si="4"/>
        <v>-63418603.000000007</v>
      </c>
      <c r="G26" s="94">
        <f t="shared" si="4"/>
        <v>21735197</v>
      </c>
      <c r="H26" s="94">
        <f t="shared" si="4"/>
        <v>25053639.980000004</v>
      </c>
      <c r="I26" s="94">
        <f t="shared" si="4"/>
        <v>28127708.853673995</v>
      </c>
      <c r="J26" s="94">
        <f t="shared" si="4"/>
        <v>31574750.839522816</v>
      </c>
      <c r="K26" s="94">
        <f t="shared" si="4"/>
        <v>35404115.365928568</v>
      </c>
      <c r="L26" s="94">
        <f t="shared" si="4"/>
        <v>39795439.277325988</v>
      </c>
      <c r="M26" s="94">
        <f t="shared" si="4"/>
        <v>44931332.966980763</v>
      </c>
      <c r="N26" s="94">
        <f t="shared" si="4"/>
        <v>51032981.629998207</v>
      </c>
      <c r="O26" s="94">
        <f t="shared" si="4"/>
        <v>58242204.280911043</v>
      </c>
      <c r="P26" s="94">
        <f t="shared" si="4"/>
        <v>67004056.680895373</v>
      </c>
      <c r="Q26" s="94">
        <f t="shared" si="4"/>
        <v>77734338.577500969</v>
      </c>
      <c r="R26" s="94">
        <f t="shared" si="4"/>
        <v>90960998.988514766</v>
      </c>
      <c r="S26" s="94">
        <f t="shared" si="4"/>
        <v>114331457.49803407</v>
      </c>
      <c r="T26" s="94">
        <f t="shared" si="4"/>
        <v>134595280.0736351</v>
      </c>
      <c r="U26" s="94">
        <f t="shared" si="4"/>
        <v>160030604.81228834</v>
      </c>
      <c r="V26" s="94">
        <f t="shared" si="4"/>
        <v>192166311.41705886</v>
      </c>
    </row>
    <row r="27" spans="1:22" ht="15.75" thickBot="1" x14ac:dyDescent="0.3"/>
    <row r="28" spans="1:22" ht="15.75" thickBot="1" x14ac:dyDescent="0.3">
      <c r="A28" s="129" t="s">
        <v>218</v>
      </c>
      <c r="B28" s="130"/>
    </row>
    <row r="29" spans="1:22" ht="15.75" thickBot="1" x14ac:dyDescent="0.3">
      <c r="B29" s="106" t="s">
        <v>219</v>
      </c>
      <c r="C29" s="27">
        <f>'Balance General'!C32</f>
        <v>1110440</v>
      </c>
      <c r="D29" s="27">
        <f>'Balance General'!D32</f>
        <v>1071420.3999999999</v>
      </c>
      <c r="E29" s="27">
        <f>'Balance General'!E32</f>
        <v>1032406.6040000001</v>
      </c>
      <c r="F29" s="27">
        <f>'Balance General'!F32</f>
        <v>3181046.6700399998</v>
      </c>
      <c r="G29" s="27">
        <f>'Balance General'!G32</f>
        <v>4442580.6567404</v>
      </c>
      <c r="H29" s="27">
        <f>'Balance General'!H32</f>
        <v>4599969.3825078038</v>
      </c>
      <c r="I29" s="27">
        <f>'Balance General'!I32</f>
        <v>4749997.7660878422</v>
      </c>
      <c r="J29" s="27">
        <f>'Balance General'!J32</f>
        <v>4917476.0667612031</v>
      </c>
      <c r="K29" s="27">
        <f>'Balance General'!K32</f>
        <v>5102901.0473204367</v>
      </c>
      <c r="L29" s="27">
        <f>'Balance General'!L32</f>
        <v>5313587.755911679</v>
      </c>
      <c r="M29" s="27">
        <f>'Balance General'!M32</f>
        <v>5556977.3671304202</v>
      </c>
      <c r="N29" s="27">
        <f>'Balance General'!N32</f>
        <v>5842061.6514431024</v>
      </c>
      <c r="O29" s="27">
        <f>'Balance General'!O32</f>
        <v>6174665.7801148975</v>
      </c>
      <c r="P29" s="27">
        <f>'Balance General'!P32</f>
        <v>6572752.9129363038</v>
      </c>
      <c r="Q29" s="27">
        <f>'Balance General'!Q32</f>
        <v>7053124.986444043</v>
      </c>
      <c r="R29" s="27">
        <f>'Balance General'!R32</f>
        <v>7637079.4535757499</v>
      </c>
      <c r="S29" s="27">
        <f>'Balance General'!S32</f>
        <v>8345550.5752566243</v>
      </c>
      <c r="T29" s="27">
        <f>'Balance General'!T32</f>
        <v>9219025.5261550192</v>
      </c>
      <c r="U29" s="27">
        <f>'Balance General'!U32</f>
        <v>10303689.332907323</v>
      </c>
      <c r="V29" s="27">
        <f>'Balance General'!V32</f>
        <v>11660920.799007559</v>
      </c>
    </row>
    <row r="30" spans="1:22" ht="16.5" thickBot="1" x14ac:dyDescent="0.3">
      <c r="B30" s="91" t="s">
        <v>220</v>
      </c>
      <c r="C30" s="94">
        <f>SUM(C29)</f>
        <v>1110440</v>
      </c>
      <c r="D30" s="94">
        <f t="shared" ref="D30:V30" si="5">SUM(D29)</f>
        <v>1071420.3999999999</v>
      </c>
      <c r="E30" s="94">
        <f t="shared" si="5"/>
        <v>1032406.6040000001</v>
      </c>
      <c r="F30" s="94">
        <f t="shared" si="5"/>
        <v>3181046.6700399998</v>
      </c>
      <c r="G30" s="94">
        <f t="shared" si="5"/>
        <v>4442580.6567404</v>
      </c>
      <c r="H30" s="94">
        <f t="shared" si="5"/>
        <v>4599969.3825078038</v>
      </c>
      <c r="I30" s="94">
        <f t="shared" si="5"/>
        <v>4749997.7660878422</v>
      </c>
      <c r="J30" s="94">
        <f t="shared" si="5"/>
        <v>4917476.0667612031</v>
      </c>
      <c r="K30" s="94">
        <f t="shared" si="5"/>
        <v>5102901.0473204367</v>
      </c>
      <c r="L30" s="94">
        <f t="shared" si="5"/>
        <v>5313587.755911679</v>
      </c>
      <c r="M30" s="94">
        <f t="shared" si="5"/>
        <v>5556977.3671304202</v>
      </c>
      <c r="N30" s="94">
        <f t="shared" si="5"/>
        <v>5842061.6514431024</v>
      </c>
      <c r="O30" s="94">
        <f t="shared" si="5"/>
        <v>6174665.7801148975</v>
      </c>
      <c r="P30" s="94">
        <f t="shared" si="5"/>
        <v>6572752.9129363038</v>
      </c>
      <c r="Q30" s="94">
        <f t="shared" si="5"/>
        <v>7053124.986444043</v>
      </c>
      <c r="R30" s="101">
        <f t="shared" si="5"/>
        <v>7637079.4535757499</v>
      </c>
      <c r="S30" s="101">
        <f t="shared" si="5"/>
        <v>8345550.5752566243</v>
      </c>
      <c r="T30" s="101">
        <f t="shared" si="5"/>
        <v>9219025.5261550192</v>
      </c>
      <c r="U30" s="101">
        <f t="shared" si="5"/>
        <v>10303689.332907323</v>
      </c>
      <c r="V30" s="95">
        <f t="shared" si="5"/>
        <v>11660920.799007559</v>
      </c>
    </row>
    <row r="31" spans="1:22" ht="15.75" thickBot="1" x14ac:dyDescent="0.3"/>
    <row r="32" spans="1:22" ht="22.5" customHeight="1" thickBot="1" x14ac:dyDescent="0.3">
      <c r="A32" s="114" t="s">
        <v>221</v>
      </c>
      <c r="B32" s="115"/>
      <c r="C32" s="98">
        <f>C26-C30</f>
        <v>-287670243</v>
      </c>
      <c r="D32" s="98">
        <f t="shared" ref="D32:V32" si="6">D26-D30</f>
        <v>-161331223.40000001</v>
      </c>
      <c r="E32" s="98">
        <f t="shared" si="6"/>
        <v>-161292209.604</v>
      </c>
      <c r="F32" s="98">
        <f t="shared" si="6"/>
        <v>-66599649.670040004</v>
      </c>
      <c r="G32" s="98">
        <f t="shared" si="6"/>
        <v>17292616.343259599</v>
      </c>
      <c r="H32" s="98">
        <f t="shared" si="6"/>
        <v>20453670.597492199</v>
      </c>
      <c r="I32" s="98">
        <f t="shared" si="6"/>
        <v>23377711.087586153</v>
      </c>
      <c r="J32" s="98">
        <f t="shared" si="6"/>
        <v>26657274.772761613</v>
      </c>
      <c r="K32" s="98">
        <f t="shared" si="6"/>
        <v>30301214.318608131</v>
      </c>
      <c r="L32" s="98">
        <f t="shared" si="6"/>
        <v>34481851.52141431</v>
      </c>
      <c r="M32" s="98">
        <f t="shared" si="6"/>
        <v>39374355.599850342</v>
      </c>
      <c r="N32" s="98">
        <f t="shared" si="6"/>
        <v>45190919.978555106</v>
      </c>
      <c r="O32" s="98">
        <f t="shared" si="6"/>
        <v>52067538.500796147</v>
      </c>
      <c r="P32" s="98">
        <f t="shared" si="6"/>
        <v>60431303.767959073</v>
      </c>
      <c r="Q32" s="98">
        <f t="shared" si="6"/>
        <v>70681213.591056928</v>
      </c>
      <c r="R32" s="98">
        <f t="shared" si="6"/>
        <v>83323919.534939021</v>
      </c>
      <c r="S32" s="98">
        <f t="shared" si="6"/>
        <v>105985906.92277744</v>
      </c>
      <c r="T32" s="98">
        <f t="shared" si="6"/>
        <v>125376254.54748008</v>
      </c>
      <c r="U32" s="98">
        <f t="shared" si="6"/>
        <v>149726915.47938102</v>
      </c>
      <c r="V32" s="98">
        <f t="shared" si="6"/>
        <v>180505390.61805129</v>
      </c>
    </row>
  </sheetData>
  <mergeCells count="9">
    <mergeCell ref="A18:B18"/>
    <mergeCell ref="A23:B23"/>
    <mergeCell ref="A28:B28"/>
    <mergeCell ref="A32:B32"/>
    <mergeCell ref="A1:V1"/>
    <mergeCell ref="A2:V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AB0B-B12D-4C29-844E-1A2701170362}">
  <dimension ref="A1:V36"/>
  <sheetViews>
    <sheetView zoomScale="85" zoomScaleNormal="85" workbookViewId="0">
      <selection activeCell="C15" sqref="C15"/>
    </sheetView>
  </sheetViews>
  <sheetFormatPr baseColWidth="10" defaultRowHeight="15" x14ac:dyDescent="0.25"/>
  <cols>
    <col min="2" max="2" width="42.85546875" customWidth="1"/>
    <col min="3" max="22" width="14.28515625" customWidth="1"/>
  </cols>
  <sheetData>
    <row r="1" spans="1:22" ht="30" customHeight="1" thickBot="1" x14ac:dyDescent="0.55000000000000004">
      <c r="A1" s="119" t="s">
        <v>223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</row>
    <row r="2" spans="1:22" ht="22.5" customHeight="1" thickBot="1" x14ac:dyDescent="0.4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4"/>
    </row>
    <row r="3" spans="1:22" ht="15.75" thickBot="1" x14ac:dyDescent="0.3"/>
    <row r="4" spans="1:22" ht="22.5" customHeight="1" thickBot="1" x14ac:dyDescent="0.3">
      <c r="A4" s="114" t="s">
        <v>2</v>
      </c>
      <c r="B4" s="115"/>
      <c r="C4" s="92" t="s">
        <v>3</v>
      </c>
      <c r="D4" s="92" t="s">
        <v>4</v>
      </c>
      <c r="E4" s="92" t="s">
        <v>5</v>
      </c>
      <c r="F4" s="92" t="s">
        <v>6</v>
      </c>
      <c r="G4" s="92" t="s">
        <v>7</v>
      </c>
      <c r="H4" s="92" t="s">
        <v>8</v>
      </c>
      <c r="I4" s="92" t="s">
        <v>9</v>
      </c>
      <c r="J4" s="92" t="s">
        <v>10</v>
      </c>
      <c r="K4" s="92" t="s">
        <v>11</v>
      </c>
      <c r="L4" s="92" t="s">
        <v>12</v>
      </c>
      <c r="M4" s="92" t="s">
        <v>13</v>
      </c>
      <c r="N4" s="92" t="s">
        <v>14</v>
      </c>
      <c r="O4" s="92" t="s">
        <v>191</v>
      </c>
      <c r="P4" s="92" t="s">
        <v>192</v>
      </c>
      <c r="Q4" s="92" t="s">
        <v>193</v>
      </c>
      <c r="R4" s="93" t="s">
        <v>194</v>
      </c>
      <c r="S4" s="92" t="s">
        <v>199</v>
      </c>
      <c r="T4" s="92" t="s">
        <v>200</v>
      </c>
      <c r="U4" s="92" t="s">
        <v>201</v>
      </c>
      <c r="V4" s="93" t="s">
        <v>202</v>
      </c>
    </row>
    <row r="5" spans="1:22" ht="15.75" thickBot="1" x14ac:dyDescent="0.3">
      <c r="A5" s="127" t="s">
        <v>259</v>
      </c>
      <c r="B5" s="128"/>
    </row>
    <row r="6" spans="1:22" x14ac:dyDescent="0.25">
      <c r="B6" s="100" t="s">
        <v>265</v>
      </c>
      <c r="C6" s="27">
        <f>'Inversión Inicial'!B5</f>
        <v>27300000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x14ac:dyDescent="0.25">
      <c r="B7" s="89" t="s">
        <v>232</v>
      </c>
      <c r="C7" s="16">
        <f>0</f>
        <v>0</v>
      </c>
      <c r="D7" s="16">
        <f>0</f>
        <v>0</v>
      </c>
      <c r="E7" s="16">
        <f>0</f>
        <v>0</v>
      </c>
      <c r="F7" s="16">
        <f>0</f>
        <v>0</v>
      </c>
      <c r="G7" s="16">
        <f>0</f>
        <v>0</v>
      </c>
      <c r="H7" s="16">
        <f>0</f>
        <v>0</v>
      </c>
      <c r="I7" s="16">
        <f>0</f>
        <v>0</v>
      </c>
      <c r="J7" s="16">
        <f>0</f>
        <v>0</v>
      </c>
      <c r="K7" s="16">
        <f>0</f>
        <v>0</v>
      </c>
      <c r="L7" s="16">
        <f>0</f>
        <v>0</v>
      </c>
      <c r="M7" s="16">
        <f>0</f>
        <v>0</v>
      </c>
      <c r="N7" s="16">
        <f>0</f>
        <v>0</v>
      </c>
      <c r="O7" s="16">
        <f>0</f>
        <v>0</v>
      </c>
      <c r="P7" s="16">
        <f>0</f>
        <v>0</v>
      </c>
      <c r="Q7" s="16">
        <f>0</f>
        <v>0</v>
      </c>
      <c r="R7" s="16">
        <f>0</f>
        <v>0</v>
      </c>
      <c r="S7" s="16">
        <f>0</f>
        <v>0</v>
      </c>
      <c r="T7" s="16">
        <f>0</f>
        <v>0</v>
      </c>
      <c r="U7" s="16">
        <f>0</f>
        <v>0</v>
      </c>
      <c r="V7" s="16">
        <f>0</f>
        <v>0</v>
      </c>
    </row>
    <row r="8" spans="1:22" x14ac:dyDescent="0.25">
      <c r="B8" s="90" t="s">
        <v>234</v>
      </c>
      <c r="C8" s="16">
        <f>0</f>
        <v>0</v>
      </c>
      <c r="D8" s="16">
        <f>0</f>
        <v>0</v>
      </c>
      <c r="E8" s="16">
        <f>0</f>
        <v>0</v>
      </c>
      <c r="F8" s="16">
        <f>0</f>
        <v>0</v>
      </c>
      <c r="G8" s="16">
        <f>0</f>
        <v>0</v>
      </c>
      <c r="H8" s="16">
        <f>0</f>
        <v>0</v>
      </c>
      <c r="I8" s="16">
        <f>0</f>
        <v>0</v>
      </c>
      <c r="J8" s="16">
        <f>0</f>
        <v>0</v>
      </c>
      <c r="K8" s="16">
        <f>0</f>
        <v>0</v>
      </c>
      <c r="L8" s="16">
        <f>0</f>
        <v>0</v>
      </c>
      <c r="M8" s="16">
        <f>0</f>
        <v>0</v>
      </c>
      <c r="N8" s="16">
        <f>0</f>
        <v>0</v>
      </c>
      <c r="O8" s="16">
        <f>0</f>
        <v>0</v>
      </c>
      <c r="P8" s="16">
        <f>0</f>
        <v>0</v>
      </c>
      <c r="Q8" s="16">
        <f>0</f>
        <v>0</v>
      </c>
      <c r="R8" s="16">
        <f>0</f>
        <v>0</v>
      </c>
      <c r="S8" s="16">
        <f>0</f>
        <v>0</v>
      </c>
      <c r="T8" s="16">
        <f>0</f>
        <v>0</v>
      </c>
      <c r="U8" s="16">
        <f>0</f>
        <v>0</v>
      </c>
      <c r="V8" s="16">
        <f>0</f>
        <v>0</v>
      </c>
    </row>
    <row r="9" spans="1:22" x14ac:dyDescent="0.25">
      <c r="B9" s="90" t="s">
        <v>233</v>
      </c>
      <c r="C9" s="28">
        <f>SUM('Inversión Inicial'!B3,'Inversión Inicial'!B4,'Inversión Inicial'!B6,'Inversión Inicial'!B7)</f>
        <v>90000000</v>
      </c>
      <c r="D9" s="28">
        <f>0</f>
        <v>0</v>
      </c>
      <c r="E9" s="28">
        <f>0</f>
        <v>0</v>
      </c>
      <c r="F9" s="28">
        <f>0</f>
        <v>0</v>
      </c>
      <c r="G9" s="28">
        <f>0</f>
        <v>0</v>
      </c>
      <c r="H9" s="28">
        <f>0</f>
        <v>0</v>
      </c>
      <c r="I9" s="28">
        <f>0</f>
        <v>0</v>
      </c>
      <c r="J9" s="28">
        <f>0</f>
        <v>0</v>
      </c>
      <c r="K9" s="28">
        <f>0</f>
        <v>0</v>
      </c>
      <c r="L9" s="28">
        <f>0</f>
        <v>0</v>
      </c>
      <c r="M9" s="28">
        <f>0</f>
        <v>0</v>
      </c>
      <c r="N9" s="28">
        <f>0</f>
        <v>0</v>
      </c>
      <c r="O9" s="28">
        <f>0</f>
        <v>0</v>
      </c>
      <c r="P9" s="28">
        <f>0</f>
        <v>0</v>
      </c>
      <c r="Q9" s="28">
        <f>0</f>
        <v>0</v>
      </c>
      <c r="R9" s="28">
        <f>0</f>
        <v>0</v>
      </c>
      <c r="S9" s="28">
        <f>0</f>
        <v>0</v>
      </c>
      <c r="T9" s="28">
        <f>0</f>
        <v>0</v>
      </c>
      <c r="U9" s="28">
        <f>0</f>
        <v>0</v>
      </c>
      <c r="V9" s="28">
        <f>0</f>
        <v>0</v>
      </c>
    </row>
    <row r="10" spans="1:22" ht="15.75" thickBot="1" x14ac:dyDescent="0.3">
      <c r="B10" s="102" t="s">
        <v>258</v>
      </c>
      <c r="C10" s="103">
        <f>'Inversión Inicial'!B8</f>
        <v>9000000</v>
      </c>
      <c r="D10" s="103">
        <f>0</f>
        <v>0</v>
      </c>
      <c r="E10" s="103">
        <f>0</f>
        <v>0</v>
      </c>
      <c r="F10" s="103">
        <f>0</f>
        <v>0</v>
      </c>
      <c r="G10" s="103">
        <f>0</f>
        <v>0</v>
      </c>
      <c r="H10" s="103">
        <f>0</f>
        <v>0</v>
      </c>
      <c r="I10" s="103">
        <f>0</f>
        <v>0</v>
      </c>
      <c r="J10" s="103">
        <f>0</f>
        <v>0</v>
      </c>
      <c r="K10" s="103">
        <f>0</f>
        <v>0</v>
      </c>
      <c r="L10" s="103">
        <f>0</f>
        <v>0</v>
      </c>
      <c r="M10" s="103">
        <f>0</f>
        <v>0</v>
      </c>
      <c r="N10" s="103">
        <f>0</f>
        <v>0</v>
      </c>
      <c r="O10" s="103">
        <f>0</f>
        <v>0</v>
      </c>
      <c r="P10" s="103">
        <f>0</f>
        <v>0</v>
      </c>
      <c r="Q10" s="103">
        <f>0</f>
        <v>0</v>
      </c>
      <c r="R10" s="103">
        <f>0</f>
        <v>0</v>
      </c>
      <c r="S10" s="103">
        <f>0</f>
        <v>0</v>
      </c>
      <c r="T10" s="103">
        <f>0</f>
        <v>0</v>
      </c>
      <c r="U10" s="103">
        <f>0</f>
        <v>0</v>
      </c>
      <c r="V10" s="103">
        <f>0</f>
        <v>0</v>
      </c>
    </row>
    <row r="11" spans="1:22" ht="16.5" thickBot="1" x14ac:dyDescent="0.3">
      <c r="B11" s="91" t="s">
        <v>260</v>
      </c>
      <c r="C11" s="94">
        <f>SUM(C6:C10)</f>
        <v>126300000</v>
      </c>
      <c r="D11" s="94">
        <f t="shared" ref="D11:V11" si="0">SUM(D6:D10)</f>
        <v>0</v>
      </c>
      <c r="E11" s="94">
        <f t="shared" si="0"/>
        <v>0</v>
      </c>
      <c r="F11" s="94">
        <f t="shared" si="0"/>
        <v>0</v>
      </c>
      <c r="G11" s="94">
        <f t="shared" si="0"/>
        <v>0</v>
      </c>
      <c r="H11" s="94">
        <f t="shared" si="0"/>
        <v>0</v>
      </c>
      <c r="I11" s="94">
        <f t="shared" si="0"/>
        <v>0</v>
      </c>
      <c r="J11" s="94">
        <f t="shared" si="0"/>
        <v>0</v>
      </c>
      <c r="K11" s="94">
        <f t="shared" si="0"/>
        <v>0</v>
      </c>
      <c r="L11" s="94">
        <f t="shared" si="0"/>
        <v>0</v>
      </c>
      <c r="M11" s="94">
        <f t="shared" si="0"/>
        <v>0</v>
      </c>
      <c r="N11" s="94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94">
        <f t="shared" si="0"/>
        <v>0</v>
      </c>
      <c r="T11" s="94">
        <f t="shared" si="0"/>
        <v>0</v>
      </c>
      <c r="U11" s="94">
        <f t="shared" si="0"/>
        <v>0</v>
      </c>
      <c r="V11" s="95">
        <f t="shared" si="0"/>
        <v>0</v>
      </c>
    </row>
    <row r="12" spans="1:22" ht="15.75" thickBot="1" x14ac:dyDescent="0.3"/>
    <row r="13" spans="1:22" ht="15.75" thickBot="1" x14ac:dyDescent="0.3">
      <c r="A13" s="127" t="s">
        <v>261</v>
      </c>
      <c r="B13" s="128"/>
    </row>
    <row r="14" spans="1:22" x14ac:dyDescent="0.25">
      <c r="B14" s="89" t="s">
        <v>226</v>
      </c>
      <c r="C14" s="27">
        <f>'Balance General'!C42</f>
        <v>44205000</v>
      </c>
      <c r="D14" s="5">
        <f>0</f>
        <v>0</v>
      </c>
      <c r="E14" s="5">
        <f>0</f>
        <v>0</v>
      </c>
      <c r="F14" s="5">
        <f>0</f>
        <v>0</v>
      </c>
      <c r="G14" s="5">
        <f>0</f>
        <v>0</v>
      </c>
      <c r="H14" s="5">
        <f>0</f>
        <v>0</v>
      </c>
      <c r="I14" s="5">
        <f>0</f>
        <v>0</v>
      </c>
      <c r="J14" s="5">
        <f>0</f>
        <v>0</v>
      </c>
      <c r="K14" s="5">
        <f>0</f>
        <v>0</v>
      </c>
      <c r="L14" s="5">
        <f>0</f>
        <v>0</v>
      </c>
      <c r="M14" s="5">
        <f>0</f>
        <v>0</v>
      </c>
      <c r="N14" s="5">
        <f>0</f>
        <v>0</v>
      </c>
      <c r="O14" s="5">
        <f>0</f>
        <v>0</v>
      </c>
      <c r="P14" s="5">
        <f>0</f>
        <v>0</v>
      </c>
      <c r="Q14" s="5">
        <f>0</f>
        <v>0</v>
      </c>
      <c r="R14" s="5">
        <f>0</f>
        <v>0</v>
      </c>
      <c r="S14" s="5">
        <f>0</f>
        <v>0</v>
      </c>
      <c r="T14" s="5">
        <f>0</f>
        <v>0</v>
      </c>
      <c r="U14" s="5">
        <f>0</f>
        <v>0</v>
      </c>
      <c r="V14" s="5">
        <f>0</f>
        <v>0</v>
      </c>
    </row>
    <row r="15" spans="1:22" x14ac:dyDescent="0.25">
      <c r="B15" s="89" t="s">
        <v>227</v>
      </c>
      <c r="C15" s="5">
        <f>'Inversión Inicial'!B21</f>
        <v>82095000</v>
      </c>
      <c r="D15" s="5">
        <f>0</f>
        <v>0</v>
      </c>
      <c r="E15" s="5">
        <f>0</f>
        <v>0</v>
      </c>
      <c r="F15" s="5">
        <f>0</f>
        <v>0</v>
      </c>
      <c r="G15" s="5">
        <f>0</f>
        <v>0</v>
      </c>
      <c r="H15" s="5">
        <f>0</f>
        <v>0</v>
      </c>
      <c r="I15" s="5">
        <f>0</f>
        <v>0</v>
      </c>
      <c r="J15" s="5">
        <f>0</f>
        <v>0</v>
      </c>
      <c r="K15" s="5">
        <f>0</f>
        <v>0</v>
      </c>
      <c r="L15" s="5">
        <f>0</f>
        <v>0</v>
      </c>
      <c r="M15" s="5">
        <f>0</f>
        <v>0</v>
      </c>
      <c r="N15" s="5">
        <f>0</f>
        <v>0</v>
      </c>
      <c r="O15" s="5">
        <f>0</f>
        <v>0</v>
      </c>
      <c r="P15" s="5">
        <f>0</f>
        <v>0</v>
      </c>
      <c r="Q15" s="5">
        <f>0</f>
        <v>0</v>
      </c>
      <c r="R15" s="5">
        <f>0</f>
        <v>0</v>
      </c>
      <c r="S15" s="5">
        <f>0</f>
        <v>0</v>
      </c>
      <c r="T15" s="5">
        <f>0</f>
        <v>0</v>
      </c>
      <c r="U15" s="5">
        <f>0</f>
        <v>0</v>
      </c>
      <c r="V15" s="5">
        <f>0</f>
        <v>0</v>
      </c>
    </row>
    <row r="16" spans="1:22" ht="15.75" thickBot="1" x14ac:dyDescent="0.3">
      <c r="B16" s="108" t="s">
        <v>72</v>
      </c>
      <c r="C16" s="107">
        <f>'Proyección de Ventas e Incremen'!I7</f>
        <v>0</v>
      </c>
      <c r="D16" s="107">
        <f>'Proyección de Ventas e Incremen'!J7</f>
        <v>0</v>
      </c>
      <c r="E16" s="107">
        <f>'Proyección de Ventas e Incremen'!K7</f>
        <v>0</v>
      </c>
      <c r="F16" s="107">
        <f>'Proyección de Ventas e Incremen'!L7</f>
        <v>54691199.999999993</v>
      </c>
      <c r="G16" s="107">
        <f>'Proyección de Ventas e Incremen'!M7</f>
        <v>87204600</v>
      </c>
      <c r="H16" s="107">
        <f>'Proyección de Ventas e Incremen'!N7</f>
        <v>92114218.980000004</v>
      </c>
      <c r="I16" s="107">
        <f>'Proyección de Ventas e Incremen'!O7</f>
        <v>96839678.413673997</v>
      </c>
      <c r="J16" s="107">
        <f>'Proyección de Ventas e Incremen'!P7</f>
        <v>102001233.27312282</v>
      </c>
      <c r="K16" s="107">
        <f>'Proyección de Ventas e Incremen'!Q7</f>
        <v>107611301.10314457</v>
      </c>
      <c r="L16" s="107">
        <f>'Proyección de Ventas e Incremen'!R7</f>
        <v>113852756.56712696</v>
      </c>
      <c r="M16" s="107">
        <f>'Proyección de Ventas e Incremen'!S7</f>
        <v>120911627.47428884</v>
      </c>
      <c r="N16" s="107">
        <f>'Proyección de Ventas e Incremen'!T7</f>
        <v>129012706.51506618</v>
      </c>
      <c r="O16" s="107">
        <f>'Proyección de Ventas e Incremen'!U7</f>
        <v>138301621.38415095</v>
      </c>
      <c r="P16" s="107">
        <f>'Proyección de Ventas e Incremen'!V7</f>
        <v>149227449.47349888</v>
      </c>
      <c r="Q16" s="107">
        <f>'Proyección de Ventas e Incremen'!W7</f>
        <v>162210237.57769328</v>
      </c>
      <c r="R16" s="107">
        <f>'Proyección de Ventas e Incremen'!X7</f>
        <v>177782420.38515186</v>
      </c>
      <c r="S16" s="107">
        <f>'Proyección de Ventas e Incremen'!Y7</f>
        <v>196467352.76763132</v>
      </c>
      <c r="T16" s="107">
        <f>'Proyección de Ventas e Incremen'!Z7</f>
        <v>219277212.42395332</v>
      </c>
      <c r="U16" s="107">
        <f>'Proyección de Ventas e Incremen'!AA7</f>
        <v>247366623.33546171</v>
      </c>
      <c r="V16" s="107">
        <f>'Proyección de Ventas e Incremen'!AB7</f>
        <v>282270053.88809538</v>
      </c>
    </row>
    <row r="17" spans="1:22" ht="16.5" thickBot="1" x14ac:dyDescent="0.3">
      <c r="B17" s="91" t="s">
        <v>228</v>
      </c>
      <c r="C17" s="94">
        <f>SUM(C14:C16)</f>
        <v>126300000</v>
      </c>
      <c r="D17" s="94">
        <f t="shared" ref="D17:V17" si="1">SUM(D14:D16)</f>
        <v>0</v>
      </c>
      <c r="E17" s="94">
        <f t="shared" si="1"/>
        <v>0</v>
      </c>
      <c r="F17" s="94">
        <f t="shared" si="1"/>
        <v>54691199.999999993</v>
      </c>
      <c r="G17" s="94">
        <f t="shared" si="1"/>
        <v>87204600</v>
      </c>
      <c r="H17" s="94">
        <f t="shared" si="1"/>
        <v>92114218.980000004</v>
      </c>
      <c r="I17" s="94">
        <f t="shared" si="1"/>
        <v>96839678.413673997</v>
      </c>
      <c r="J17" s="94">
        <f t="shared" si="1"/>
        <v>102001233.27312282</v>
      </c>
      <c r="K17" s="94">
        <f t="shared" si="1"/>
        <v>107611301.10314457</v>
      </c>
      <c r="L17" s="94">
        <f t="shared" si="1"/>
        <v>113852756.56712696</v>
      </c>
      <c r="M17" s="94">
        <f t="shared" si="1"/>
        <v>120911627.47428884</v>
      </c>
      <c r="N17" s="94">
        <f t="shared" si="1"/>
        <v>129012706.51506618</v>
      </c>
      <c r="O17" s="94">
        <f t="shared" si="1"/>
        <v>138301621.38415095</v>
      </c>
      <c r="P17" s="94">
        <f t="shared" si="1"/>
        <v>149227449.47349888</v>
      </c>
      <c r="Q17" s="94">
        <f t="shared" si="1"/>
        <v>162210237.57769328</v>
      </c>
      <c r="R17" s="94">
        <f t="shared" si="1"/>
        <v>177782420.38515186</v>
      </c>
      <c r="S17" s="94">
        <f t="shared" si="1"/>
        <v>196467352.76763132</v>
      </c>
      <c r="T17" s="94">
        <f t="shared" si="1"/>
        <v>219277212.42395332</v>
      </c>
      <c r="U17" s="94">
        <f t="shared" si="1"/>
        <v>247366623.33546171</v>
      </c>
      <c r="V17" s="95">
        <f t="shared" si="1"/>
        <v>282270053.88809538</v>
      </c>
    </row>
    <row r="18" spans="1:22" ht="15.75" thickBot="1" x14ac:dyDescent="0.3"/>
    <row r="19" spans="1:22" ht="15.75" thickBot="1" x14ac:dyDescent="0.3">
      <c r="A19" s="127" t="s">
        <v>262</v>
      </c>
      <c r="B19" s="128"/>
    </row>
    <row r="20" spans="1:22" x14ac:dyDescent="0.25">
      <c r="B20" s="100" t="s">
        <v>229</v>
      </c>
      <c r="C20" s="16">
        <f>'Costos de Operación Gravables'!I16</f>
        <v>0</v>
      </c>
      <c r="D20" s="16">
        <f>'Costos de Operación Gravables'!J16</f>
        <v>0</v>
      </c>
      <c r="E20" s="16">
        <f>'Costos de Operación Gravables'!K16</f>
        <v>0</v>
      </c>
      <c r="F20" s="16">
        <f>'Costos de Operación Gravables'!L16</f>
        <v>11160000</v>
      </c>
      <c r="G20" s="16">
        <f>'Costos de Operación Gravables'!M16</f>
        <v>11829600</v>
      </c>
      <c r="H20" s="16">
        <f>'Costos de Operación Gravables'!N16</f>
        <v>12539376</v>
      </c>
      <c r="I20" s="16">
        <f>'Costos de Operación Gravables'!O16</f>
        <v>13291738.560000001</v>
      </c>
      <c r="J20" s="16">
        <f>'Costos de Operación Gravables'!P16</f>
        <v>14089242.873600001</v>
      </c>
      <c r="K20" s="16">
        <f>'Costos de Operación Gravables'!Q16</f>
        <v>14934597.446016001</v>
      </c>
      <c r="L20" s="16">
        <f>'Costos de Operación Gravables'!R16</f>
        <v>15830673.292776961</v>
      </c>
      <c r="M20" s="16">
        <f>'Costos de Operación Gravables'!S16</f>
        <v>16780513.690343581</v>
      </c>
      <c r="N20" s="16">
        <f>'Costos de Operación Gravables'!T16</f>
        <v>17787344.511764199</v>
      </c>
      <c r="O20" s="16">
        <f>'Costos de Operación Gravables'!U16</f>
        <v>18854585.18247005</v>
      </c>
      <c r="P20" s="16">
        <f>'Costos de Operación Gravables'!V16</f>
        <v>19985860.293418255</v>
      </c>
      <c r="Q20" s="16">
        <f>'Costos de Operación Gravables'!W16</f>
        <v>21185011.911023352</v>
      </c>
      <c r="R20" s="16">
        <f>'Costos de Operación Gravables'!X16</f>
        <v>22456112.625684753</v>
      </c>
      <c r="S20" s="16">
        <f>'Costos de Operación Gravables'!Y16</f>
        <v>23803479.38322584</v>
      </c>
      <c r="T20" s="16">
        <f>'Costos de Operación Gravables'!Z16</f>
        <v>25231688.146219391</v>
      </c>
      <c r="U20" s="16">
        <f>'Costos de Operación Gravables'!AA16</f>
        <v>26745589.434992556</v>
      </c>
      <c r="V20" s="16">
        <f>'Costos de Operación Gravables'!AB16</f>
        <v>28350324.801092111</v>
      </c>
    </row>
    <row r="21" spans="1:22" x14ac:dyDescent="0.25">
      <c r="B21" s="89" t="s">
        <v>102</v>
      </c>
      <c r="C21" s="16">
        <f>'Amortización y Depreciación'!$G$4-C22</f>
        <v>3713651</v>
      </c>
      <c r="D21" s="16">
        <f>'Amortización y Depreciación'!$G$4-D22</f>
        <v>3868138.8816</v>
      </c>
      <c r="E21" s="16">
        <f>'Amortización y Depreciación'!$G$4-E22</f>
        <v>4029053.4590745596</v>
      </c>
      <c r="F21" s="16">
        <f>'Amortización y Depreciación'!$G$4-F22</f>
        <v>4196662.0829720609</v>
      </c>
      <c r="G21" s="16">
        <f>'Amortización y Depreciación'!$G$4-G22</f>
        <v>4371243.2256236989</v>
      </c>
      <c r="H21" s="16">
        <f>'Amortización y Depreciación'!$G$4-H22</f>
        <v>4553086.9438096453</v>
      </c>
      <c r="I21" s="16">
        <f>'Amortización y Depreciación'!$G$4-I22</f>
        <v>4742495.3606721256</v>
      </c>
      <c r="J21" s="16">
        <f>'Amortización y Depreciación'!$G$4-J22</f>
        <v>4939783.1676760865</v>
      </c>
      <c r="K21" s="16">
        <f>'Amortización y Depreciación'!$G$4-K22</f>
        <v>5145278.1474514119</v>
      </c>
      <c r="L21" s="16">
        <f>'Amortización y Depreciación'!$G$4-L22</f>
        <v>5359321.7183853909</v>
      </c>
      <c r="M21" s="16">
        <f>'Amortización y Depreciación'!$G$4-M22</f>
        <v>5582269.5018702224</v>
      </c>
      <c r="N21" s="16">
        <f>'Amortización y Depreciación'!$G$4-N22</f>
        <v>5814491.9131480241</v>
      </c>
      <c r="O21" s="16">
        <f>'Amortización y Depreciación'!$G$4-O22</f>
        <v>6056374.7767349817</v>
      </c>
      <c r="P21" s="16">
        <f>'Amortización y Depreciación'!$G$4-P22</f>
        <v>6308319.967447157</v>
      </c>
      <c r="Q21" s="16">
        <f>'Amortización y Depreciación'!$G$4-Q22</f>
        <v>6570746.0780929588</v>
      </c>
      <c r="R21" s="16">
        <f>'Amortización y Depreciación'!$G$4-R22</f>
        <v>6844089.1149416259</v>
      </c>
      <c r="S21" s="16">
        <v>0</v>
      </c>
      <c r="T21" s="16">
        <v>0</v>
      </c>
      <c r="U21" s="16">
        <v>0</v>
      </c>
      <c r="V21" s="16">
        <v>0</v>
      </c>
    </row>
    <row r="22" spans="1:22" x14ac:dyDescent="0.25">
      <c r="B22" s="89" t="s">
        <v>230</v>
      </c>
      <c r="C22" s="16">
        <f>'Amortización y Depreciación'!$F4</f>
        <v>3415152</v>
      </c>
      <c r="D22" s="16">
        <f>'Amortización y Depreciación'!$F5</f>
        <v>3260664.1184</v>
      </c>
      <c r="E22" s="16">
        <f>'Amortización y Depreciación'!$F6</f>
        <v>3099749.5409254404</v>
      </c>
      <c r="F22" s="16">
        <f>'Amortización y Depreciación'!$F7</f>
        <v>2932140.9170279386</v>
      </c>
      <c r="G22" s="16">
        <f>'Amortización y Depreciación'!$F8</f>
        <v>2757559.7743763006</v>
      </c>
      <c r="H22" s="16">
        <f>'Amortización y Depreciación'!$F9</f>
        <v>2575716.0561903547</v>
      </c>
      <c r="I22" s="16">
        <f>'Amortización y Depreciación'!$F10</f>
        <v>2386307.6393278739</v>
      </c>
      <c r="J22" s="16">
        <f>'Amortización y Depreciación'!$F11</f>
        <v>2189019.8323239135</v>
      </c>
      <c r="K22" s="16">
        <f>'Amortización y Depreciación'!$F12</f>
        <v>1983524.8525485883</v>
      </c>
      <c r="L22" s="16">
        <f>'Amortización y Depreciación'!$F13</f>
        <v>1769481.2816146095</v>
      </c>
      <c r="M22" s="16">
        <f>'Amortización y Depreciación'!$F14</f>
        <v>1546533.4981297771</v>
      </c>
      <c r="N22" s="16">
        <f>'Amortización y Depreciación'!$F15</f>
        <v>1314311.0868519761</v>
      </c>
      <c r="O22" s="16">
        <f>'Amortización y Depreciación'!$F16</f>
        <v>1072428.2232650183</v>
      </c>
      <c r="P22" s="16">
        <f>'Amortización y Depreciación'!$F17</f>
        <v>820483.03255284298</v>
      </c>
      <c r="Q22" s="16">
        <f>'Amortización y Depreciación'!$F18</f>
        <v>558056.92190704122</v>
      </c>
      <c r="R22" s="16">
        <f>'Amortización y Depreciación'!$F19</f>
        <v>284713.8850583742</v>
      </c>
      <c r="S22" s="16">
        <f>'Amortización y Depreciación'!$F20</f>
        <v>0</v>
      </c>
      <c r="T22" s="16">
        <f>0</f>
        <v>0</v>
      </c>
      <c r="U22" s="16">
        <f>0</f>
        <v>0</v>
      </c>
      <c r="V22" s="16">
        <f>0</f>
        <v>0</v>
      </c>
    </row>
    <row r="23" spans="1:22" x14ac:dyDescent="0.25">
      <c r="B23" s="89" t="s">
        <v>263</v>
      </c>
      <c r="C23" s="16">
        <f>SUM('Costos de Operación Gravables'!I4,'Costos de Operación Gravables'!I7,'Costos de Operación Gravables'!I10,'Costos de Operación Gravables'!I13)</f>
        <v>150690000</v>
      </c>
      <c r="D23" s="16">
        <f>SUM('Costos de Operación Gravables'!J4,'Costos de Operación Gravables'!J7,'Costos de Operación Gravables'!J10,'Costos de Operación Gravables'!J13)</f>
        <v>150690000</v>
      </c>
      <c r="E23" s="16">
        <f>SUM('Costos de Operación Gravables'!K4,'Costos de Operación Gravables'!K7,'Costos de Operación Gravables'!K10,'Costos de Operación Gravables'!K13)</f>
        <v>150690000</v>
      </c>
      <c r="F23" s="16">
        <f>SUM('Costos de Operación Gravables'!L4,'Costos de Operación Gravables'!L7,'Costos de Operación Gravables'!L10,'Costos de Operación Gravables'!L13)</f>
        <v>97380000</v>
      </c>
      <c r="G23" s="16">
        <f>SUM('Costos de Operación Gravables'!M4,'Costos de Operación Gravables'!M7,'Costos de Operación Gravables'!M10,'Costos de Operación Gravables'!M13)</f>
        <v>44070000</v>
      </c>
      <c r="H23" s="16">
        <f>SUM('Costos de Operación Gravables'!N4,'Costos de Operación Gravables'!N7,'Costos de Operación Gravables'!N10,'Costos de Operación Gravables'!N13)</f>
        <v>44951400</v>
      </c>
      <c r="I23" s="16">
        <f>SUM('Costos de Operación Gravables'!O4,'Costos de Operación Gravables'!O7,'Costos de Operación Gravables'!O10,'Costos de Operación Gravables'!O13)</f>
        <v>45850428</v>
      </c>
      <c r="J23" s="16">
        <f>SUM('Costos de Operación Gravables'!P4,'Costos de Operación Gravables'!P7,'Costos de Operación Gravables'!P10,'Costos de Operación Gravables'!P13)</f>
        <v>46767436.560000002</v>
      </c>
      <c r="K23" s="16">
        <f>SUM('Costos de Operación Gravables'!Q4,'Costos de Operación Gravables'!Q7,'Costos de Operación Gravables'!Q10,'Costos de Operación Gravables'!Q13)</f>
        <v>47702785.291200005</v>
      </c>
      <c r="L23" s="16">
        <f>SUM('Costos de Operación Gravables'!R4,'Costos de Operación Gravables'!R7,'Costos de Operación Gravables'!R10,'Costos de Operación Gravables'!R13)</f>
        <v>48656840.997024015</v>
      </c>
      <c r="M23" s="16">
        <f>SUM('Costos de Operación Gravables'!S4,'Costos de Operación Gravables'!S7,'Costos de Operación Gravables'!S10,'Costos de Operación Gravables'!S13)</f>
        <v>49629977.816964492</v>
      </c>
      <c r="N23" s="16">
        <f>SUM('Costos de Operación Gravables'!T4,'Costos de Operación Gravables'!T7,'Costos de Operación Gravables'!T10,'Costos de Operación Gravables'!T13)</f>
        <v>50622577.373303778</v>
      </c>
      <c r="O23" s="16">
        <f>SUM('Costos de Operación Gravables'!U4,'Costos de Operación Gravables'!U7,'Costos de Operación Gravables'!U10,'Costos de Operación Gravables'!U13)</f>
        <v>51635028.920769855</v>
      </c>
      <c r="P23" s="16">
        <f>SUM('Costos de Operación Gravables'!V4,'Costos de Operación Gravables'!V7,'Costos de Operación Gravables'!V10,'Costos de Operación Gravables'!V13)</f>
        <v>52667729.499185249</v>
      </c>
      <c r="Q23" s="16">
        <f>SUM('Costos de Operación Gravables'!W4,'Costos de Operación Gravables'!W7,'Costos de Operación Gravables'!W10,'Costos de Operación Gravables'!W13)</f>
        <v>53721084.089168958</v>
      </c>
      <c r="R23" s="16">
        <f>SUM('Costos de Operación Gravables'!X4,'Costos de Operación Gravables'!X7,'Costos de Operación Gravables'!X10,'Costos de Operación Gravables'!X13)</f>
        <v>54795505.770952344</v>
      </c>
      <c r="S23" s="16">
        <f>SUM('Costos de Operación Gravables'!Y4,'Costos de Operación Gravables'!Y7,'Costos de Operación Gravables'!Y10,'Costos de Operación Gravables'!Y13)</f>
        <v>55891415.886371389</v>
      </c>
      <c r="T23" s="16">
        <f>SUM('Costos de Operación Gravables'!Z4,'Costos de Operación Gravables'!Z7,'Costos de Operación Gravables'!Z10,'Costos de Operación Gravables'!Z13)</f>
        <v>57009244.204098821</v>
      </c>
      <c r="U23" s="16">
        <f>SUM('Costos de Operación Gravables'!AA4,'Costos de Operación Gravables'!AA7,'Costos de Operación Gravables'!AA10,'Costos de Operación Gravables'!AA13)</f>
        <v>58149429.088180795</v>
      </c>
      <c r="V23" s="16">
        <f>SUM('Costos de Operación Gravables'!AB4,'Costos de Operación Gravables'!AB7,'Costos de Operación Gravables'!AB10,'Costos de Operación Gravables'!AB13)</f>
        <v>59312417.669944413</v>
      </c>
    </row>
    <row r="24" spans="1:22" ht="15.75" thickBot="1" x14ac:dyDescent="0.3">
      <c r="B24" s="90" t="s">
        <v>231</v>
      </c>
      <c r="C24" s="109">
        <f>0</f>
        <v>0</v>
      </c>
      <c r="D24" s="109">
        <f>0</f>
        <v>0</v>
      </c>
      <c r="E24" s="109">
        <f>0</f>
        <v>0</v>
      </c>
      <c r="F24" s="109">
        <f>0</f>
        <v>0</v>
      </c>
      <c r="G24" s="109">
        <f>0</f>
        <v>0</v>
      </c>
      <c r="H24" s="109">
        <f>0</f>
        <v>0</v>
      </c>
      <c r="I24" s="109">
        <f>0</f>
        <v>0</v>
      </c>
      <c r="J24" s="109">
        <f>0</f>
        <v>0</v>
      </c>
      <c r="K24" s="109">
        <f>0</f>
        <v>0</v>
      </c>
      <c r="L24" s="109">
        <f>0</f>
        <v>0</v>
      </c>
      <c r="M24" s="109">
        <f>0</f>
        <v>0</v>
      </c>
      <c r="N24" s="109">
        <f>0</f>
        <v>0</v>
      </c>
      <c r="O24" s="109">
        <f>0</f>
        <v>0</v>
      </c>
      <c r="P24" s="109">
        <f>0</f>
        <v>0</v>
      </c>
      <c r="Q24" s="109">
        <f>0</f>
        <v>0</v>
      </c>
      <c r="R24" s="109">
        <f>0</f>
        <v>0</v>
      </c>
      <c r="S24" s="109">
        <f>0</f>
        <v>0</v>
      </c>
      <c r="T24" s="109">
        <f>0</f>
        <v>0</v>
      </c>
      <c r="U24" s="109">
        <f>0</f>
        <v>0</v>
      </c>
      <c r="V24" s="109">
        <f>0</f>
        <v>0</v>
      </c>
    </row>
    <row r="25" spans="1:22" ht="16.5" thickBot="1" x14ac:dyDescent="0.3">
      <c r="B25" s="91" t="s">
        <v>217</v>
      </c>
      <c r="C25" s="94">
        <f>SUM(C20:C24)</f>
        <v>157818803</v>
      </c>
      <c r="D25" s="94">
        <f t="shared" ref="D25:V25" si="2">SUM(D20:D24)</f>
        <v>157818803</v>
      </c>
      <c r="E25" s="94">
        <f t="shared" si="2"/>
        <v>157818803</v>
      </c>
      <c r="F25" s="94">
        <f t="shared" si="2"/>
        <v>115668803</v>
      </c>
      <c r="G25" s="94">
        <f t="shared" si="2"/>
        <v>63028403</v>
      </c>
      <c r="H25" s="94">
        <f t="shared" si="2"/>
        <v>64619579</v>
      </c>
      <c r="I25" s="94">
        <f t="shared" si="2"/>
        <v>66270969.560000002</v>
      </c>
      <c r="J25" s="94">
        <f t="shared" si="2"/>
        <v>67985482.433600008</v>
      </c>
      <c r="K25" s="94">
        <f t="shared" si="2"/>
        <v>69766185.737216011</v>
      </c>
      <c r="L25" s="94">
        <f t="shared" si="2"/>
        <v>71616317.289800972</v>
      </c>
      <c r="M25" s="94">
        <f t="shared" si="2"/>
        <v>73539294.507308066</v>
      </c>
      <c r="N25" s="94">
        <f t="shared" si="2"/>
        <v>75538724.88506797</v>
      </c>
      <c r="O25" s="94">
        <f t="shared" si="2"/>
        <v>77618417.103239909</v>
      </c>
      <c r="P25" s="94">
        <f t="shared" si="2"/>
        <v>79782392.792603508</v>
      </c>
      <c r="Q25" s="94">
        <f t="shared" si="2"/>
        <v>82034899.000192314</v>
      </c>
      <c r="R25" s="94">
        <f t="shared" si="2"/>
        <v>84380421.396637097</v>
      </c>
      <c r="S25" s="94">
        <f t="shared" si="2"/>
        <v>79694895.269597232</v>
      </c>
      <c r="T25" s="94">
        <f t="shared" si="2"/>
        <v>82240932.350318208</v>
      </c>
      <c r="U25" s="94">
        <f t="shared" si="2"/>
        <v>84895018.523173347</v>
      </c>
      <c r="V25" s="94">
        <f t="shared" si="2"/>
        <v>87662742.471036524</v>
      </c>
    </row>
    <row r="26" spans="1:22" ht="15.75" thickBot="1" x14ac:dyDescent="0.3"/>
    <row r="27" spans="1:22" ht="15.75" thickBot="1" x14ac:dyDescent="0.3">
      <c r="A27" s="127" t="s">
        <v>264</v>
      </c>
      <c r="B27" s="131"/>
    </row>
    <row r="28" spans="1:22" ht="15.75" thickBot="1" x14ac:dyDescent="0.3">
      <c r="B28" s="90" t="s">
        <v>265</v>
      </c>
      <c r="C28" s="27">
        <f>'Amortización y Depreciación'!$G$35</f>
        <v>3960000</v>
      </c>
      <c r="D28" s="27">
        <f>'Amortización y Depreciación'!$G$35</f>
        <v>3960000</v>
      </c>
      <c r="E28" s="27">
        <f>'Amortización y Depreciación'!$G$35</f>
        <v>3960000</v>
      </c>
      <c r="F28" s="27">
        <f>'Amortización y Depreciación'!$G$35</f>
        <v>3960000</v>
      </c>
      <c r="G28" s="27">
        <f>'Amortización y Depreciación'!$G$35</f>
        <v>3960000</v>
      </c>
      <c r="H28" s="27">
        <f>'Amortización y Depreciación'!$G$35</f>
        <v>3960000</v>
      </c>
      <c r="I28" s="27">
        <f>'Amortización y Depreciación'!$G$35</f>
        <v>3960000</v>
      </c>
      <c r="J28" s="27">
        <f>'Amortización y Depreciación'!$G$35</f>
        <v>3960000</v>
      </c>
      <c r="K28" s="27">
        <f>'Amortización y Depreciación'!$G$35</f>
        <v>3960000</v>
      </c>
      <c r="L28" s="27">
        <f>'Amortización y Depreciación'!$G$35</f>
        <v>3960000</v>
      </c>
      <c r="M28" s="27">
        <f>'Amortización y Depreciación'!$G$35</f>
        <v>3960000</v>
      </c>
      <c r="N28" s="27">
        <f>'Amortización y Depreciación'!$G$35</f>
        <v>3960000</v>
      </c>
      <c r="O28" s="27">
        <f>'Amortización y Depreciación'!$G$35</f>
        <v>3960000</v>
      </c>
      <c r="P28" s="27">
        <f>'Amortización y Depreciación'!$G$35</f>
        <v>3960000</v>
      </c>
      <c r="Q28" s="27">
        <f>'Amortización y Depreciación'!$G$35</f>
        <v>3960000</v>
      </c>
      <c r="R28" s="27">
        <f>'Amortización y Depreciación'!$G$35</f>
        <v>3960000</v>
      </c>
      <c r="S28" s="27">
        <f>'Amortización y Depreciación'!$G$35</f>
        <v>3960000</v>
      </c>
      <c r="T28" s="27">
        <f>'Amortización y Depreciación'!$G$35</f>
        <v>3960000</v>
      </c>
      <c r="U28" s="27">
        <f>'Amortización y Depreciación'!$G$35</f>
        <v>3960000</v>
      </c>
      <c r="V28" s="27">
        <f>'Amortización y Depreciación'!$G$35</f>
        <v>3960000</v>
      </c>
    </row>
    <row r="29" spans="1:22" ht="16.5" thickBot="1" x14ac:dyDescent="0.3">
      <c r="B29" s="91" t="s">
        <v>267</v>
      </c>
      <c r="C29" s="94">
        <f>C28</f>
        <v>3960000</v>
      </c>
      <c r="D29" s="94">
        <f t="shared" ref="D29:V29" si="3">D28</f>
        <v>3960000</v>
      </c>
      <c r="E29" s="94">
        <f t="shared" si="3"/>
        <v>3960000</v>
      </c>
      <c r="F29" s="94">
        <f t="shared" si="3"/>
        <v>3960000</v>
      </c>
      <c r="G29" s="94">
        <f t="shared" si="3"/>
        <v>3960000</v>
      </c>
      <c r="H29" s="94">
        <f t="shared" si="3"/>
        <v>3960000</v>
      </c>
      <c r="I29" s="94">
        <f t="shared" si="3"/>
        <v>3960000</v>
      </c>
      <c r="J29" s="94">
        <f t="shared" si="3"/>
        <v>3960000</v>
      </c>
      <c r="K29" s="94">
        <f t="shared" si="3"/>
        <v>3960000</v>
      </c>
      <c r="L29" s="94">
        <f t="shared" si="3"/>
        <v>3960000</v>
      </c>
      <c r="M29" s="94">
        <f t="shared" si="3"/>
        <v>3960000</v>
      </c>
      <c r="N29" s="94">
        <f t="shared" si="3"/>
        <v>3960000</v>
      </c>
      <c r="O29" s="94">
        <f t="shared" si="3"/>
        <v>3960000</v>
      </c>
      <c r="P29" s="94">
        <f t="shared" si="3"/>
        <v>3960000</v>
      </c>
      <c r="Q29" s="94">
        <f t="shared" si="3"/>
        <v>3960000</v>
      </c>
      <c r="R29" s="94">
        <f t="shared" si="3"/>
        <v>3960000</v>
      </c>
      <c r="S29" s="94">
        <f t="shared" si="3"/>
        <v>3960000</v>
      </c>
      <c r="T29" s="94">
        <f t="shared" si="3"/>
        <v>3960000</v>
      </c>
      <c r="U29" s="94">
        <f t="shared" si="3"/>
        <v>3960000</v>
      </c>
      <c r="V29" s="95">
        <f t="shared" si="3"/>
        <v>3960000</v>
      </c>
    </row>
    <row r="30" spans="1:22" ht="15.75" thickBot="1" x14ac:dyDescent="0.3"/>
    <row r="31" spans="1:22" ht="15.75" thickBot="1" x14ac:dyDescent="0.3">
      <c r="A31" s="127" t="s">
        <v>266</v>
      </c>
      <c r="B31" s="131"/>
    </row>
    <row r="32" spans="1:22" ht="15.75" thickBot="1" x14ac:dyDescent="0.3">
      <c r="B32" s="90" t="s">
        <v>219</v>
      </c>
      <c r="C32" s="28">
        <f>'Estado de Resultados'!C29</f>
        <v>1110440</v>
      </c>
      <c r="D32" s="28">
        <f>'Estado de Resultados'!D29</f>
        <v>1071420.3999999999</v>
      </c>
      <c r="E32" s="28">
        <f>'Estado de Resultados'!E29</f>
        <v>1032406.6040000001</v>
      </c>
      <c r="F32" s="28">
        <f>'Estado de Resultados'!F29</f>
        <v>3181046.6700399998</v>
      </c>
      <c r="G32" s="28">
        <f>'Estado de Resultados'!G29</f>
        <v>4442580.6567404</v>
      </c>
      <c r="H32" s="28">
        <f>'Estado de Resultados'!H29</f>
        <v>4599969.3825078038</v>
      </c>
      <c r="I32" s="28">
        <f>'Estado de Resultados'!I29</f>
        <v>4749997.7660878422</v>
      </c>
      <c r="J32" s="28">
        <f>'Estado de Resultados'!J29</f>
        <v>4917476.0667612031</v>
      </c>
      <c r="K32" s="28">
        <f>'Estado de Resultados'!K29</f>
        <v>5102901.0473204367</v>
      </c>
      <c r="L32" s="28">
        <f>'Estado de Resultados'!L29</f>
        <v>5313587.755911679</v>
      </c>
      <c r="M32" s="28">
        <f>'Estado de Resultados'!M29</f>
        <v>5556977.3671304202</v>
      </c>
      <c r="N32" s="28">
        <f>'Estado de Resultados'!N29</f>
        <v>5842061.6514431024</v>
      </c>
      <c r="O32" s="28">
        <f>'Estado de Resultados'!O29</f>
        <v>6174665.7801148975</v>
      </c>
      <c r="P32" s="28">
        <f>'Estado de Resultados'!P29</f>
        <v>6572752.9129363038</v>
      </c>
      <c r="Q32" s="28">
        <f>'Estado de Resultados'!Q29</f>
        <v>7053124.986444043</v>
      </c>
      <c r="R32" s="28">
        <f>'Estado de Resultados'!R29</f>
        <v>7637079.4535757499</v>
      </c>
      <c r="S32" s="28">
        <f>'Estado de Resultados'!S29</f>
        <v>8345550.5752566243</v>
      </c>
      <c r="T32" s="28">
        <f>'Estado de Resultados'!T29</f>
        <v>9219025.5261550192</v>
      </c>
      <c r="U32" s="28">
        <f>'Estado de Resultados'!U29</f>
        <v>10303689.332907323</v>
      </c>
      <c r="V32" s="28">
        <f>'Estado de Resultados'!V29</f>
        <v>11660920.799007559</v>
      </c>
    </row>
    <row r="33" spans="1:22" ht="16.5" thickBot="1" x14ac:dyDescent="0.3">
      <c r="B33" s="91" t="s">
        <v>268</v>
      </c>
      <c r="C33" s="94">
        <f>C32</f>
        <v>1110440</v>
      </c>
      <c r="D33" s="94">
        <f t="shared" ref="D33" si="4">D32</f>
        <v>1071420.3999999999</v>
      </c>
      <c r="E33" s="94">
        <f t="shared" ref="E33" si="5">E32</f>
        <v>1032406.6040000001</v>
      </c>
      <c r="F33" s="94">
        <f t="shared" ref="F33" si="6">F32</f>
        <v>3181046.6700399998</v>
      </c>
      <c r="G33" s="94">
        <f t="shared" ref="G33" si="7">G32</f>
        <v>4442580.6567404</v>
      </c>
      <c r="H33" s="94">
        <f t="shared" ref="H33" si="8">H32</f>
        <v>4599969.3825078038</v>
      </c>
      <c r="I33" s="94">
        <f t="shared" ref="I33" si="9">I32</f>
        <v>4749997.7660878422</v>
      </c>
      <c r="J33" s="94">
        <f t="shared" ref="J33" si="10">J32</f>
        <v>4917476.0667612031</v>
      </c>
      <c r="K33" s="94">
        <f t="shared" ref="K33" si="11">K32</f>
        <v>5102901.0473204367</v>
      </c>
      <c r="L33" s="94">
        <f t="shared" ref="L33" si="12">L32</f>
        <v>5313587.755911679</v>
      </c>
      <c r="M33" s="94">
        <f t="shared" ref="M33" si="13">M32</f>
        <v>5556977.3671304202</v>
      </c>
      <c r="N33" s="94">
        <f t="shared" ref="N33" si="14">N32</f>
        <v>5842061.6514431024</v>
      </c>
      <c r="O33" s="94">
        <f t="shared" ref="O33" si="15">O32</f>
        <v>6174665.7801148975</v>
      </c>
      <c r="P33" s="94">
        <f t="shared" ref="P33" si="16">P32</f>
        <v>6572752.9129363038</v>
      </c>
      <c r="Q33" s="94">
        <f t="shared" ref="Q33" si="17">Q32</f>
        <v>7053124.986444043</v>
      </c>
      <c r="R33" s="94">
        <f t="shared" ref="R33" si="18">R32</f>
        <v>7637079.4535757499</v>
      </c>
      <c r="S33" s="94">
        <f t="shared" ref="S33" si="19">S32</f>
        <v>8345550.5752566243</v>
      </c>
      <c r="T33" s="94">
        <f t="shared" ref="T33" si="20">T32</f>
        <v>9219025.5261550192</v>
      </c>
      <c r="U33" s="94">
        <f t="shared" ref="U33" si="21">U32</f>
        <v>10303689.332907323</v>
      </c>
      <c r="V33" s="95">
        <f t="shared" ref="V33" si="22">V32</f>
        <v>11660920.799007559</v>
      </c>
    </row>
    <row r="34" spans="1:22" ht="15.75" thickBot="1" x14ac:dyDescent="0.3"/>
    <row r="35" spans="1:22" ht="22.5" customHeight="1" thickBot="1" x14ac:dyDescent="0.3">
      <c r="A35" s="114" t="s">
        <v>269</v>
      </c>
      <c r="B35" s="115"/>
      <c r="C35" s="98">
        <f>C17-(SUM(C11,C25,C29,C33))</f>
        <v>-162889243</v>
      </c>
      <c r="D35" s="98">
        <f t="shared" ref="D35:V35" si="23">D17-(SUM(D11,D25,D29,D33))</f>
        <v>-162850223.40000001</v>
      </c>
      <c r="E35" s="98">
        <f t="shared" si="23"/>
        <v>-162811209.604</v>
      </c>
      <c r="F35" s="98">
        <f t="shared" si="23"/>
        <v>-68118649.670040011</v>
      </c>
      <c r="G35" s="98">
        <f t="shared" si="23"/>
        <v>15773616.343259603</v>
      </c>
      <c r="H35" s="98">
        <f t="shared" si="23"/>
        <v>18934670.597492203</v>
      </c>
      <c r="I35" s="98">
        <f t="shared" si="23"/>
        <v>21858711.08758615</v>
      </c>
      <c r="J35" s="98">
        <f t="shared" si="23"/>
        <v>25138274.772761613</v>
      </c>
      <c r="K35" s="98">
        <f t="shared" si="23"/>
        <v>28782214.31860812</v>
      </c>
      <c r="L35" s="98">
        <f t="shared" si="23"/>
        <v>32962851.52141431</v>
      </c>
      <c r="M35" s="98">
        <f t="shared" si="23"/>
        <v>37855355.599850357</v>
      </c>
      <c r="N35" s="98">
        <f t="shared" si="23"/>
        <v>43671919.978555098</v>
      </c>
      <c r="O35" s="98">
        <f t="shared" si="23"/>
        <v>50548538.500796139</v>
      </c>
      <c r="P35" s="98">
        <f t="shared" si="23"/>
        <v>58912303.767959073</v>
      </c>
      <c r="Q35" s="98">
        <f t="shared" si="23"/>
        <v>69162213.591056928</v>
      </c>
      <c r="R35" s="98">
        <f t="shared" si="23"/>
        <v>81804919.534939021</v>
      </c>
      <c r="S35" s="98">
        <f t="shared" si="23"/>
        <v>104466906.92277746</v>
      </c>
      <c r="T35" s="98">
        <f t="shared" si="23"/>
        <v>123857254.54748009</v>
      </c>
      <c r="U35" s="98">
        <f t="shared" si="23"/>
        <v>148207915.47938102</v>
      </c>
      <c r="V35" s="98">
        <f t="shared" si="23"/>
        <v>178986390.61805129</v>
      </c>
    </row>
    <row r="36" spans="1:22" ht="15" customHeight="1" x14ac:dyDescent="0.25"/>
  </sheetData>
  <mergeCells count="9">
    <mergeCell ref="A1:V1"/>
    <mergeCell ref="A2:V2"/>
    <mergeCell ref="A4:B4"/>
    <mergeCell ref="A13:B13"/>
    <mergeCell ref="A35:B35"/>
    <mergeCell ref="A5:B5"/>
    <mergeCell ref="A19:B19"/>
    <mergeCell ref="A27:B27"/>
    <mergeCell ref="A31:B3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4945-5D26-49FE-9776-62F50FFE83AF}">
  <dimension ref="A1:V22"/>
  <sheetViews>
    <sheetView zoomScale="85" zoomScaleNormal="85" workbookViewId="0">
      <selection activeCell="A23" sqref="A23"/>
    </sheetView>
  </sheetViews>
  <sheetFormatPr baseColWidth="10" defaultRowHeight="15" x14ac:dyDescent="0.25"/>
  <cols>
    <col min="2" max="2" width="42.85546875" customWidth="1"/>
    <col min="3" max="22" width="14.28515625" customWidth="1"/>
  </cols>
  <sheetData>
    <row r="1" spans="1:22" ht="30" customHeight="1" thickBot="1" x14ac:dyDescent="0.55000000000000004">
      <c r="A1" s="119" t="s">
        <v>270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</row>
    <row r="2" spans="1:22" ht="22.5" customHeight="1" thickBot="1" x14ac:dyDescent="0.4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4"/>
    </row>
    <row r="3" spans="1:22" ht="15.75" thickBot="1" x14ac:dyDescent="0.3"/>
    <row r="4" spans="1:22" ht="22.5" customHeight="1" thickBot="1" x14ac:dyDescent="0.3">
      <c r="A4" s="114" t="s">
        <v>2</v>
      </c>
      <c r="B4" s="115"/>
      <c r="C4" s="92" t="s">
        <v>3</v>
      </c>
      <c r="D4" s="92" t="s">
        <v>4</v>
      </c>
      <c r="E4" s="92" t="s">
        <v>5</v>
      </c>
      <c r="F4" s="92" t="s">
        <v>6</v>
      </c>
      <c r="G4" s="92" t="s">
        <v>7</v>
      </c>
      <c r="H4" s="92" t="s">
        <v>8</v>
      </c>
      <c r="I4" s="92" t="s">
        <v>9</v>
      </c>
      <c r="J4" s="92" t="s">
        <v>10</v>
      </c>
      <c r="K4" s="92" t="s">
        <v>11</v>
      </c>
      <c r="L4" s="92" t="s">
        <v>12</v>
      </c>
      <c r="M4" s="92" t="s">
        <v>13</v>
      </c>
      <c r="N4" s="92" t="s">
        <v>14</v>
      </c>
      <c r="O4" s="92" t="s">
        <v>191</v>
      </c>
      <c r="P4" s="92" t="s">
        <v>192</v>
      </c>
      <c r="Q4" s="92" t="s">
        <v>193</v>
      </c>
      <c r="R4" s="93" t="s">
        <v>194</v>
      </c>
      <c r="S4" s="92" t="s">
        <v>199</v>
      </c>
      <c r="T4" s="92" t="s">
        <v>200</v>
      </c>
      <c r="U4" s="92" t="s">
        <v>201</v>
      </c>
      <c r="V4" s="93" t="s">
        <v>202</v>
      </c>
    </row>
    <row r="5" spans="1:22" ht="15.75" thickBot="1" x14ac:dyDescent="0.3">
      <c r="A5" s="127" t="s">
        <v>276</v>
      </c>
      <c r="B5" s="128"/>
    </row>
    <row r="6" spans="1:22" x14ac:dyDescent="0.25">
      <c r="B6" s="100" t="s">
        <v>271</v>
      </c>
      <c r="C6" s="27">
        <f>'Estado de Resultados'!C32</f>
        <v>-287670243</v>
      </c>
      <c r="D6" s="27">
        <f>'Estado de Resultados'!D32</f>
        <v>-161331223.40000001</v>
      </c>
      <c r="E6" s="27">
        <f>'Estado de Resultados'!E32</f>
        <v>-161292209.604</v>
      </c>
      <c r="F6" s="27">
        <f>'Estado de Resultados'!F32</f>
        <v>-66599649.670040004</v>
      </c>
      <c r="G6" s="27">
        <f>'Estado de Resultados'!G32</f>
        <v>17292616.343259599</v>
      </c>
      <c r="H6" s="27">
        <f>'Estado de Resultados'!H32</f>
        <v>20453670.597492199</v>
      </c>
      <c r="I6" s="27">
        <f>'Estado de Resultados'!I32</f>
        <v>23377711.087586153</v>
      </c>
      <c r="J6" s="27">
        <f>'Estado de Resultados'!J32</f>
        <v>26657274.772761613</v>
      </c>
      <c r="K6" s="27">
        <f>'Estado de Resultados'!K32</f>
        <v>30301214.318608131</v>
      </c>
      <c r="L6" s="27">
        <f>'Estado de Resultados'!L32</f>
        <v>34481851.52141431</v>
      </c>
      <c r="M6" s="27">
        <f>'Estado de Resultados'!M32</f>
        <v>39374355.599850342</v>
      </c>
      <c r="N6" s="27">
        <f>'Estado de Resultados'!N32</f>
        <v>45190919.978555106</v>
      </c>
      <c r="O6" s="27">
        <f>'Estado de Resultados'!O32</f>
        <v>52067538.500796147</v>
      </c>
      <c r="P6" s="27">
        <f>'Estado de Resultados'!P32</f>
        <v>60431303.767959073</v>
      </c>
      <c r="Q6" s="27">
        <f>'Estado de Resultados'!Q32</f>
        <v>70681213.591056928</v>
      </c>
      <c r="R6" s="27">
        <f>'Estado de Resultados'!R32</f>
        <v>83323919.534939021</v>
      </c>
      <c r="S6" s="27">
        <f>'Estado de Resultados'!S32</f>
        <v>105985906.92277744</v>
      </c>
      <c r="T6" s="27">
        <f>'Estado de Resultados'!T32</f>
        <v>125376254.54748008</v>
      </c>
      <c r="U6" s="27">
        <f>'Estado de Resultados'!U32</f>
        <v>149726915.47938102</v>
      </c>
      <c r="V6" s="27">
        <f>'Estado de Resultados'!V32</f>
        <v>180505390.61805129</v>
      </c>
    </row>
    <row r="7" spans="1:22" x14ac:dyDescent="0.25">
      <c r="B7" s="89" t="s">
        <v>272</v>
      </c>
      <c r="C7" s="16">
        <f>'Flujo de Caja'!C28</f>
        <v>3960000</v>
      </c>
      <c r="D7" s="16">
        <f>'Flujo de Caja'!D28</f>
        <v>3960000</v>
      </c>
      <c r="E7" s="16">
        <f>'Flujo de Caja'!E28</f>
        <v>3960000</v>
      </c>
      <c r="F7" s="16">
        <f>'Flujo de Caja'!F28</f>
        <v>3960000</v>
      </c>
      <c r="G7" s="16">
        <f>'Flujo de Caja'!G28</f>
        <v>3960000</v>
      </c>
      <c r="H7" s="16">
        <f>'Flujo de Caja'!H28</f>
        <v>3960000</v>
      </c>
      <c r="I7" s="16">
        <f>'Flujo de Caja'!I28</f>
        <v>3960000</v>
      </c>
      <c r="J7" s="16">
        <f>'Flujo de Caja'!J28</f>
        <v>3960000</v>
      </c>
      <c r="K7" s="16">
        <f>'Flujo de Caja'!K28</f>
        <v>3960000</v>
      </c>
      <c r="L7" s="16">
        <f>'Flujo de Caja'!L28</f>
        <v>3960000</v>
      </c>
      <c r="M7" s="16">
        <f>'Flujo de Caja'!M28</f>
        <v>3960000</v>
      </c>
      <c r="N7" s="16">
        <f>'Flujo de Caja'!N28</f>
        <v>3960000</v>
      </c>
      <c r="O7" s="16">
        <f>'Flujo de Caja'!O28</f>
        <v>3960000</v>
      </c>
      <c r="P7" s="16">
        <f>'Flujo de Caja'!P28</f>
        <v>3960000</v>
      </c>
      <c r="Q7" s="16">
        <f>'Flujo de Caja'!Q28</f>
        <v>3960000</v>
      </c>
      <c r="R7" s="16">
        <f>'Flujo de Caja'!R28</f>
        <v>3960000</v>
      </c>
      <c r="S7" s="16">
        <f>'Flujo de Caja'!S28</f>
        <v>3960000</v>
      </c>
      <c r="T7" s="16">
        <f>'Flujo de Caja'!T28</f>
        <v>3960000</v>
      </c>
      <c r="U7" s="16">
        <f>'Flujo de Caja'!U28</f>
        <v>3960000</v>
      </c>
      <c r="V7" s="16">
        <f>'Flujo de Caja'!V28</f>
        <v>3960000</v>
      </c>
    </row>
    <row r="8" spans="1:22" x14ac:dyDescent="0.25">
      <c r="B8" s="90" t="s">
        <v>102</v>
      </c>
      <c r="C8" s="16">
        <f>'Flujo de Caja'!C21</f>
        <v>3713651</v>
      </c>
      <c r="D8" s="16">
        <f>'Flujo de Caja'!D21</f>
        <v>3868138.8816</v>
      </c>
      <c r="E8" s="16">
        <f>'Flujo de Caja'!E21</f>
        <v>4029053.4590745596</v>
      </c>
      <c r="F8" s="16">
        <f>'Flujo de Caja'!F21</f>
        <v>4196662.0829720609</v>
      </c>
      <c r="G8" s="16">
        <f>'Flujo de Caja'!G21</f>
        <v>4371243.2256236989</v>
      </c>
      <c r="H8" s="16">
        <f>'Flujo de Caja'!H21</f>
        <v>4553086.9438096453</v>
      </c>
      <c r="I8" s="16">
        <f>'Flujo de Caja'!I21</f>
        <v>4742495.3606721256</v>
      </c>
      <c r="J8" s="16">
        <f>'Flujo de Caja'!J21</f>
        <v>4939783.1676760865</v>
      </c>
      <c r="K8" s="16">
        <f>'Flujo de Caja'!K21</f>
        <v>5145278.1474514119</v>
      </c>
      <c r="L8" s="16">
        <f>'Flujo de Caja'!L21</f>
        <v>5359321.7183853909</v>
      </c>
      <c r="M8" s="16">
        <f>'Flujo de Caja'!M21</f>
        <v>5582269.5018702224</v>
      </c>
      <c r="N8" s="16">
        <f>'Flujo de Caja'!N21</f>
        <v>5814491.9131480241</v>
      </c>
      <c r="O8" s="16">
        <f>'Flujo de Caja'!O21</f>
        <v>6056374.7767349817</v>
      </c>
      <c r="P8" s="16">
        <f>'Flujo de Caja'!P21</f>
        <v>6308319.967447157</v>
      </c>
      <c r="Q8" s="16">
        <f>'Flujo de Caja'!Q21</f>
        <v>6570746.0780929588</v>
      </c>
      <c r="R8" s="16">
        <f>'Flujo de Caja'!R21</f>
        <v>6844089.1149416259</v>
      </c>
      <c r="S8" s="16">
        <f>'Flujo de Caja'!S21</f>
        <v>0</v>
      </c>
      <c r="T8" s="16">
        <f>'Flujo de Caja'!T21</f>
        <v>0</v>
      </c>
      <c r="U8" s="16">
        <f>'Flujo de Caja'!U21</f>
        <v>0</v>
      </c>
      <c r="V8" s="16">
        <f>'Flujo de Caja'!V21</f>
        <v>0</v>
      </c>
    </row>
    <row r="9" spans="1:22" x14ac:dyDescent="0.25">
      <c r="B9" s="90" t="s">
        <v>230</v>
      </c>
      <c r="C9" s="28">
        <f>'Flujo de Caja'!C22</f>
        <v>3415152</v>
      </c>
      <c r="D9" s="28">
        <f>'Flujo de Caja'!D22</f>
        <v>3260664.1184</v>
      </c>
      <c r="E9" s="28">
        <f>'Flujo de Caja'!E22</f>
        <v>3099749.5409254404</v>
      </c>
      <c r="F9" s="28">
        <f>'Flujo de Caja'!F22</f>
        <v>2932140.9170279386</v>
      </c>
      <c r="G9" s="28">
        <f>'Flujo de Caja'!G22</f>
        <v>2757559.7743763006</v>
      </c>
      <c r="H9" s="28">
        <f>'Flujo de Caja'!H22</f>
        <v>2575716.0561903547</v>
      </c>
      <c r="I9" s="28">
        <f>'Flujo de Caja'!I22</f>
        <v>2386307.6393278739</v>
      </c>
      <c r="J9" s="28">
        <f>'Flujo de Caja'!J22</f>
        <v>2189019.8323239135</v>
      </c>
      <c r="K9" s="28">
        <f>'Flujo de Caja'!K22</f>
        <v>1983524.8525485883</v>
      </c>
      <c r="L9" s="28">
        <f>'Flujo de Caja'!L22</f>
        <v>1769481.2816146095</v>
      </c>
      <c r="M9" s="28">
        <f>'Flujo de Caja'!M22</f>
        <v>1546533.4981297771</v>
      </c>
      <c r="N9" s="28">
        <f>'Flujo de Caja'!N22</f>
        <v>1314311.0868519761</v>
      </c>
      <c r="O9" s="28">
        <f>'Flujo de Caja'!O22</f>
        <v>1072428.2232650183</v>
      </c>
      <c r="P9" s="28">
        <f>'Flujo de Caja'!P22</f>
        <v>820483.03255284298</v>
      </c>
      <c r="Q9" s="28">
        <f>'Flujo de Caja'!Q22</f>
        <v>558056.92190704122</v>
      </c>
      <c r="R9" s="28">
        <f>'Flujo de Caja'!R22</f>
        <v>284713.8850583742</v>
      </c>
      <c r="S9" s="28">
        <f>'Flujo de Caja'!S22</f>
        <v>0</v>
      </c>
      <c r="T9" s="28">
        <f>'Flujo de Caja'!T22</f>
        <v>0</v>
      </c>
      <c r="U9" s="28">
        <f>'Flujo de Caja'!U22</f>
        <v>0</v>
      </c>
      <c r="V9" s="28">
        <f>'Flujo de Caja'!V22</f>
        <v>0</v>
      </c>
    </row>
    <row r="10" spans="1:22" ht="15.75" thickBot="1" x14ac:dyDescent="0.3">
      <c r="B10" s="102" t="s">
        <v>273</v>
      </c>
      <c r="C10" s="103">
        <f>'Flujo de Caja'!C32</f>
        <v>1110440</v>
      </c>
      <c r="D10" s="103">
        <f>'Flujo de Caja'!D32</f>
        <v>1071420.3999999999</v>
      </c>
      <c r="E10" s="103">
        <f>'Flujo de Caja'!E32</f>
        <v>1032406.6040000001</v>
      </c>
      <c r="F10" s="103">
        <f>'Flujo de Caja'!F32</f>
        <v>3181046.6700399998</v>
      </c>
      <c r="G10" s="103">
        <f>'Flujo de Caja'!G32</f>
        <v>4442580.6567404</v>
      </c>
      <c r="H10" s="103">
        <f>'Flujo de Caja'!H32</f>
        <v>4599969.3825078038</v>
      </c>
      <c r="I10" s="103">
        <f>'Flujo de Caja'!I32</f>
        <v>4749997.7660878422</v>
      </c>
      <c r="J10" s="103">
        <f>'Flujo de Caja'!J32</f>
        <v>4917476.0667612031</v>
      </c>
      <c r="K10" s="103">
        <f>'Flujo de Caja'!K32</f>
        <v>5102901.0473204367</v>
      </c>
      <c r="L10" s="103">
        <f>'Flujo de Caja'!L32</f>
        <v>5313587.755911679</v>
      </c>
      <c r="M10" s="103">
        <f>'Flujo de Caja'!M32</f>
        <v>5556977.3671304202</v>
      </c>
      <c r="N10" s="103">
        <f>'Flujo de Caja'!N32</f>
        <v>5842061.6514431024</v>
      </c>
      <c r="O10" s="103">
        <f>'Flujo de Caja'!O32</f>
        <v>6174665.7801148975</v>
      </c>
      <c r="P10" s="103">
        <f>'Flujo de Caja'!P32</f>
        <v>6572752.9129363038</v>
      </c>
      <c r="Q10" s="103">
        <f>'Flujo de Caja'!Q32</f>
        <v>7053124.986444043</v>
      </c>
      <c r="R10" s="103">
        <f>'Flujo de Caja'!R32</f>
        <v>7637079.4535757499</v>
      </c>
      <c r="S10" s="103">
        <f>'Flujo de Caja'!S32</f>
        <v>8345550.5752566243</v>
      </c>
      <c r="T10" s="103">
        <f>'Flujo de Caja'!T32</f>
        <v>9219025.5261550192</v>
      </c>
      <c r="U10" s="103">
        <f>'Flujo de Caja'!U32</f>
        <v>10303689.332907323</v>
      </c>
      <c r="V10" s="103">
        <f>'Flujo de Caja'!V32</f>
        <v>11660920.799007559</v>
      </c>
    </row>
    <row r="11" spans="1:22" ht="16.5" thickBot="1" x14ac:dyDescent="0.3">
      <c r="B11" s="91" t="s">
        <v>274</v>
      </c>
      <c r="C11" s="94">
        <f>SUM(C6:C10)</f>
        <v>-275471000</v>
      </c>
      <c r="D11" s="94">
        <f t="shared" ref="D11:V11" si="0">SUM(D6:D10)</f>
        <v>-149171000</v>
      </c>
      <c r="E11" s="94">
        <f t="shared" si="0"/>
        <v>-149171000</v>
      </c>
      <c r="F11" s="94">
        <f t="shared" si="0"/>
        <v>-52329800.000000015</v>
      </c>
      <c r="G11" s="94">
        <f t="shared" si="0"/>
        <v>32824000</v>
      </c>
      <c r="H11" s="94">
        <f t="shared" si="0"/>
        <v>36142442.980000004</v>
      </c>
      <c r="I11" s="94">
        <f t="shared" si="0"/>
        <v>39216511.853674002</v>
      </c>
      <c r="J11" s="94">
        <f t="shared" si="0"/>
        <v>42663553.839522816</v>
      </c>
      <c r="K11" s="94">
        <f t="shared" si="0"/>
        <v>46492918.365928575</v>
      </c>
      <c r="L11" s="94">
        <f t="shared" si="0"/>
        <v>50884242.277325988</v>
      </c>
      <c r="M11" s="94">
        <f t="shared" si="0"/>
        <v>56020135.966980763</v>
      </c>
      <c r="N11" s="94">
        <f t="shared" si="0"/>
        <v>62121784.629998207</v>
      </c>
      <c r="O11" s="94">
        <f t="shared" si="0"/>
        <v>69331007.280911058</v>
      </c>
      <c r="P11" s="94">
        <f t="shared" si="0"/>
        <v>78092859.680895373</v>
      </c>
      <c r="Q11" s="94">
        <f t="shared" si="0"/>
        <v>88823141.577500969</v>
      </c>
      <c r="R11" s="94">
        <f t="shared" si="0"/>
        <v>102049801.98851477</v>
      </c>
      <c r="S11" s="94">
        <f t="shared" si="0"/>
        <v>118291457.49803407</v>
      </c>
      <c r="T11" s="94">
        <f t="shared" si="0"/>
        <v>138555280.0736351</v>
      </c>
      <c r="U11" s="94">
        <f t="shared" si="0"/>
        <v>163990604.81228834</v>
      </c>
      <c r="V11" s="95">
        <f t="shared" si="0"/>
        <v>196126311.41705886</v>
      </c>
    </row>
    <row r="12" spans="1:22" ht="15.75" thickBot="1" x14ac:dyDescent="0.3"/>
    <row r="13" spans="1:22" ht="15.75" thickBot="1" x14ac:dyDescent="0.3">
      <c r="A13" s="127" t="s">
        <v>275</v>
      </c>
      <c r="B13" s="128"/>
    </row>
    <row r="14" spans="1:22" ht="15.75" thickBot="1" x14ac:dyDescent="0.3">
      <c r="B14" s="89" t="s">
        <v>278</v>
      </c>
      <c r="C14" s="27">
        <f>'Inversión Inicial'!D17</f>
        <v>27300000</v>
      </c>
      <c r="D14" s="5">
        <f>0</f>
        <v>0</v>
      </c>
      <c r="E14" s="5">
        <f>0</f>
        <v>0</v>
      </c>
      <c r="F14" s="5">
        <f>0</f>
        <v>0</v>
      </c>
      <c r="G14" s="5">
        <f>0</f>
        <v>0</v>
      </c>
      <c r="H14" s="5">
        <f>0</f>
        <v>0</v>
      </c>
      <c r="I14" s="5">
        <f>0</f>
        <v>0</v>
      </c>
      <c r="J14" s="5">
        <f>0</f>
        <v>0</v>
      </c>
      <c r="K14" s="5">
        <f>0</f>
        <v>0</v>
      </c>
      <c r="L14" s="5">
        <f>0</f>
        <v>0</v>
      </c>
      <c r="M14" s="5">
        <f>0</f>
        <v>0</v>
      </c>
      <c r="N14" s="5">
        <f>0</f>
        <v>0</v>
      </c>
      <c r="O14" s="5">
        <f>0</f>
        <v>0</v>
      </c>
      <c r="P14" s="5">
        <f>0</f>
        <v>0</v>
      </c>
      <c r="Q14" s="5">
        <f>0</f>
        <v>0</v>
      </c>
      <c r="R14" s="5">
        <f>0</f>
        <v>0</v>
      </c>
      <c r="S14" s="5">
        <f>0</f>
        <v>0</v>
      </c>
      <c r="T14" s="5">
        <f>0</f>
        <v>0</v>
      </c>
      <c r="U14" s="5">
        <f>0</f>
        <v>0</v>
      </c>
      <c r="V14" s="5">
        <f>0</f>
        <v>0</v>
      </c>
    </row>
    <row r="15" spans="1:22" ht="16.5" thickBot="1" x14ac:dyDescent="0.3">
      <c r="B15" s="91" t="s">
        <v>277</v>
      </c>
      <c r="C15" s="94">
        <f t="shared" ref="C15:V15" si="1">SUM(C14:C14)</f>
        <v>27300000</v>
      </c>
      <c r="D15" s="94">
        <f t="shared" si="1"/>
        <v>0</v>
      </c>
      <c r="E15" s="94">
        <f t="shared" si="1"/>
        <v>0</v>
      </c>
      <c r="F15" s="94">
        <f t="shared" si="1"/>
        <v>0</v>
      </c>
      <c r="G15" s="94">
        <f t="shared" si="1"/>
        <v>0</v>
      </c>
      <c r="H15" s="94">
        <f t="shared" si="1"/>
        <v>0</v>
      </c>
      <c r="I15" s="94">
        <f t="shared" si="1"/>
        <v>0</v>
      </c>
      <c r="J15" s="94">
        <f t="shared" si="1"/>
        <v>0</v>
      </c>
      <c r="K15" s="94">
        <f t="shared" si="1"/>
        <v>0</v>
      </c>
      <c r="L15" s="94">
        <f t="shared" si="1"/>
        <v>0</v>
      </c>
      <c r="M15" s="94">
        <f t="shared" si="1"/>
        <v>0</v>
      </c>
      <c r="N15" s="94">
        <f t="shared" si="1"/>
        <v>0</v>
      </c>
      <c r="O15" s="94">
        <f t="shared" si="1"/>
        <v>0</v>
      </c>
      <c r="P15" s="94">
        <f t="shared" si="1"/>
        <v>0</v>
      </c>
      <c r="Q15" s="94">
        <f t="shared" si="1"/>
        <v>0</v>
      </c>
      <c r="R15" s="94">
        <f t="shared" si="1"/>
        <v>0</v>
      </c>
      <c r="S15" s="94">
        <f t="shared" si="1"/>
        <v>0</v>
      </c>
      <c r="T15" s="94">
        <f t="shared" si="1"/>
        <v>0</v>
      </c>
      <c r="U15" s="94">
        <f t="shared" si="1"/>
        <v>0</v>
      </c>
      <c r="V15" s="95">
        <f t="shared" si="1"/>
        <v>0</v>
      </c>
    </row>
    <row r="16" spans="1:22" ht="15.75" thickBot="1" x14ac:dyDescent="0.3"/>
    <row r="17" spans="1:22" ht="15.75" thickBot="1" x14ac:dyDescent="0.3">
      <c r="A17" s="127" t="s">
        <v>279</v>
      </c>
      <c r="B17" s="128"/>
    </row>
    <row r="18" spans="1:22" x14ac:dyDescent="0.25">
      <c r="B18" s="100" t="s">
        <v>182</v>
      </c>
      <c r="C18" s="16">
        <f>'Balance General'!C42</f>
        <v>44205000</v>
      </c>
      <c r="D18" s="16">
        <f>'Balance General'!D42</f>
        <v>0</v>
      </c>
      <c r="E18" s="16">
        <f>'Balance General'!E42</f>
        <v>0</v>
      </c>
      <c r="F18" s="16">
        <f>'Balance General'!F42</f>
        <v>0</v>
      </c>
      <c r="G18" s="16">
        <f>'Balance General'!G42</f>
        <v>0</v>
      </c>
      <c r="H18" s="16">
        <f>'Balance General'!H42</f>
        <v>0</v>
      </c>
      <c r="I18" s="16">
        <f>'Balance General'!I42</f>
        <v>0</v>
      </c>
      <c r="J18" s="16">
        <f>'Balance General'!J42</f>
        <v>0</v>
      </c>
      <c r="K18" s="16">
        <f>'Balance General'!K42</f>
        <v>0</v>
      </c>
      <c r="L18" s="16">
        <f>'Balance General'!L42</f>
        <v>0</v>
      </c>
      <c r="M18" s="16">
        <f>'Balance General'!M42</f>
        <v>0</v>
      </c>
      <c r="N18" s="16">
        <f>'Balance General'!N42</f>
        <v>0</v>
      </c>
      <c r="O18" s="16">
        <f>'Balance General'!O42</f>
        <v>0</v>
      </c>
      <c r="P18" s="16">
        <f>'Balance General'!P42</f>
        <v>0</v>
      </c>
      <c r="Q18" s="16">
        <f>'Balance General'!Q42</f>
        <v>0</v>
      </c>
      <c r="R18" s="16">
        <f>'Balance General'!R42</f>
        <v>0</v>
      </c>
      <c r="S18" s="16">
        <f>'Balance General'!S42</f>
        <v>0</v>
      </c>
      <c r="T18" s="16">
        <f>'Balance General'!T42</f>
        <v>0</v>
      </c>
      <c r="U18" s="16">
        <f>'Balance General'!U42</f>
        <v>0</v>
      </c>
      <c r="V18" s="16">
        <f>'Balance General'!V42</f>
        <v>0</v>
      </c>
    </row>
    <row r="19" spans="1:22" x14ac:dyDescent="0.25">
      <c r="B19" s="89" t="s">
        <v>280</v>
      </c>
      <c r="C19" s="16">
        <f>'Flujo de Caja'!C15</f>
        <v>82095000</v>
      </c>
      <c r="D19" s="16">
        <f>'Flujo de Caja'!D15</f>
        <v>0</v>
      </c>
      <c r="E19" s="16">
        <f>'Flujo de Caja'!E15</f>
        <v>0</v>
      </c>
      <c r="F19" s="16">
        <f>'Flujo de Caja'!F15</f>
        <v>0</v>
      </c>
      <c r="G19" s="16">
        <f>'Flujo de Caja'!G15</f>
        <v>0</v>
      </c>
      <c r="H19" s="16">
        <f>'Flujo de Caja'!H15</f>
        <v>0</v>
      </c>
      <c r="I19" s="16">
        <f>'Flujo de Caja'!I15</f>
        <v>0</v>
      </c>
      <c r="J19" s="16">
        <f>'Flujo de Caja'!J15</f>
        <v>0</v>
      </c>
      <c r="K19" s="16">
        <f>'Flujo de Caja'!K15</f>
        <v>0</v>
      </c>
      <c r="L19" s="16">
        <f>'Flujo de Caja'!L15</f>
        <v>0</v>
      </c>
      <c r="M19" s="16">
        <f>'Flujo de Caja'!M15</f>
        <v>0</v>
      </c>
      <c r="N19" s="16">
        <f>'Flujo de Caja'!N15</f>
        <v>0</v>
      </c>
      <c r="O19" s="16">
        <f>'Flujo de Caja'!O15</f>
        <v>0</v>
      </c>
      <c r="P19" s="16">
        <f>'Flujo de Caja'!P15</f>
        <v>0</v>
      </c>
      <c r="Q19" s="16">
        <f>'Flujo de Caja'!Q15</f>
        <v>0</v>
      </c>
      <c r="R19" s="16">
        <f>'Flujo de Caja'!R15</f>
        <v>0</v>
      </c>
      <c r="S19" s="16">
        <f>'Flujo de Caja'!S15</f>
        <v>0</v>
      </c>
      <c r="T19" s="16">
        <f>'Flujo de Caja'!T15</f>
        <v>0</v>
      </c>
      <c r="U19" s="16">
        <f>'Flujo de Caja'!U15</f>
        <v>0</v>
      </c>
      <c r="V19" s="16">
        <f>'Flujo de Caja'!V15</f>
        <v>0</v>
      </c>
    </row>
    <row r="20" spans="1:22" x14ac:dyDescent="0.25">
      <c r="B20" s="89" t="s">
        <v>281</v>
      </c>
      <c r="C20" s="16">
        <f>C8</f>
        <v>3713651</v>
      </c>
      <c r="D20" s="16">
        <f t="shared" ref="D20:V20" si="2">D8</f>
        <v>3868138.8816</v>
      </c>
      <c r="E20" s="16">
        <f t="shared" si="2"/>
        <v>4029053.4590745596</v>
      </c>
      <c r="F20" s="16">
        <f t="shared" si="2"/>
        <v>4196662.0829720609</v>
      </c>
      <c r="G20" s="16">
        <f t="shared" si="2"/>
        <v>4371243.2256236989</v>
      </c>
      <c r="H20" s="16">
        <f t="shared" si="2"/>
        <v>4553086.9438096453</v>
      </c>
      <c r="I20" s="16">
        <f t="shared" si="2"/>
        <v>4742495.3606721256</v>
      </c>
      <c r="J20" s="16">
        <f t="shared" si="2"/>
        <v>4939783.1676760865</v>
      </c>
      <c r="K20" s="16">
        <f t="shared" si="2"/>
        <v>5145278.1474514119</v>
      </c>
      <c r="L20" s="16">
        <f t="shared" si="2"/>
        <v>5359321.7183853909</v>
      </c>
      <c r="M20" s="16">
        <f t="shared" si="2"/>
        <v>5582269.5018702224</v>
      </c>
      <c r="N20" s="16">
        <f t="shared" si="2"/>
        <v>5814491.9131480241</v>
      </c>
      <c r="O20" s="16">
        <f t="shared" si="2"/>
        <v>6056374.7767349817</v>
      </c>
      <c r="P20" s="16">
        <f t="shared" si="2"/>
        <v>6308319.967447157</v>
      </c>
      <c r="Q20" s="16">
        <f t="shared" si="2"/>
        <v>6570746.0780929588</v>
      </c>
      <c r="R20" s="16">
        <f t="shared" si="2"/>
        <v>6844089.1149416259</v>
      </c>
      <c r="S20" s="16">
        <f t="shared" si="2"/>
        <v>0</v>
      </c>
      <c r="T20" s="16">
        <f t="shared" si="2"/>
        <v>0</v>
      </c>
      <c r="U20" s="16">
        <f t="shared" si="2"/>
        <v>0</v>
      </c>
      <c r="V20" s="16">
        <f t="shared" si="2"/>
        <v>0</v>
      </c>
    </row>
    <row r="21" spans="1:22" ht="15.75" thickBot="1" x14ac:dyDescent="0.3">
      <c r="B21" s="89" t="s">
        <v>230</v>
      </c>
      <c r="C21" s="16">
        <f>C9</f>
        <v>3415152</v>
      </c>
      <c r="D21" s="16">
        <f t="shared" ref="D21:V21" si="3">D9</f>
        <v>3260664.1184</v>
      </c>
      <c r="E21" s="16">
        <f t="shared" si="3"/>
        <v>3099749.5409254404</v>
      </c>
      <c r="F21" s="16">
        <f t="shared" si="3"/>
        <v>2932140.9170279386</v>
      </c>
      <c r="G21" s="16">
        <f t="shared" si="3"/>
        <v>2757559.7743763006</v>
      </c>
      <c r="H21" s="16">
        <f t="shared" si="3"/>
        <v>2575716.0561903547</v>
      </c>
      <c r="I21" s="16">
        <f t="shared" si="3"/>
        <v>2386307.6393278739</v>
      </c>
      <c r="J21" s="16">
        <f t="shared" si="3"/>
        <v>2189019.8323239135</v>
      </c>
      <c r="K21" s="16">
        <f t="shared" si="3"/>
        <v>1983524.8525485883</v>
      </c>
      <c r="L21" s="16">
        <f t="shared" si="3"/>
        <v>1769481.2816146095</v>
      </c>
      <c r="M21" s="16">
        <f t="shared" si="3"/>
        <v>1546533.4981297771</v>
      </c>
      <c r="N21" s="16">
        <f t="shared" si="3"/>
        <v>1314311.0868519761</v>
      </c>
      <c r="O21" s="16">
        <f t="shared" si="3"/>
        <v>1072428.2232650183</v>
      </c>
      <c r="P21" s="16">
        <f t="shared" si="3"/>
        <v>820483.03255284298</v>
      </c>
      <c r="Q21" s="16">
        <f t="shared" si="3"/>
        <v>558056.92190704122</v>
      </c>
      <c r="R21" s="16">
        <f t="shared" si="3"/>
        <v>284713.8850583742</v>
      </c>
      <c r="S21" s="16">
        <f t="shared" si="3"/>
        <v>0</v>
      </c>
      <c r="T21" s="16">
        <f t="shared" si="3"/>
        <v>0</v>
      </c>
      <c r="U21" s="16">
        <f t="shared" si="3"/>
        <v>0</v>
      </c>
      <c r="V21" s="16">
        <f t="shared" si="3"/>
        <v>0</v>
      </c>
    </row>
    <row r="22" spans="1:22" ht="16.5" thickBot="1" x14ac:dyDescent="0.3">
      <c r="B22" s="91" t="s">
        <v>282</v>
      </c>
      <c r="C22" s="94">
        <f t="shared" ref="C22:V22" si="4">SUM(C18:C21)</f>
        <v>133428803</v>
      </c>
      <c r="D22" s="94">
        <f t="shared" si="4"/>
        <v>7128803</v>
      </c>
      <c r="E22" s="94">
        <f t="shared" si="4"/>
        <v>7128803</v>
      </c>
      <c r="F22" s="94">
        <f t="shared" si="4"/>
        <v>7128803</v>
      </c>
      <c r="G22" s="94">
        <f t="shared" si="4"/>
        <v>7128803</v>
      </c>
      <c r="H22" s="94">
        <f t="shared" si="4"/>
        <v>7128803</v>
      </c>
      <c r="I22" s="94">
        <f t="shared" si="4"/>
        <v>7128803</v>
      </c>
      <c r="J22" s="94">
        <f t="shared" si="4"/>
        <v>7128803</v>
      </c>
      <c r="K22" s="94">
        <f t="shared" si="4"/>
        <v>7128803</v>
      </c>
      <c r="L22" s="94">
        <f t="shared" si="4"/>
        <v>7128803</v>
      </c>
      <c r="M22" s="94">
        <f t="shared" si="4"/>
        <v>7128803</v>
      </c>
      <c r="N22" s="94">
        <f t="shared" si="4"/>
        <v>7128803</v>
      </c>
      <c r="O22" s="94">
        <f t="shared" si="4"/>
        <v>7128803</v>
      </c>
      <c r="P22" s="94">
        <f t="shared" si="4"/>
        <v>7128803</v>
      </c>
      <c r="Q22" s="94">
        <f t="shared" si="4"/>
        <v>7128803</v>
      </c>
      <c r="R22" s="94">
        <f t="shared" si="4"/>
        <v>7128803</v>
      </c>
      <c r="S22" s="94">
        <f t="shared" si="4"/>
        <v>0</v>
      </c>
      <c r="T22" s="94">
        <f t="shared" si="4"/>
        <v>0</v>
      </c>
      <c r="U22" s="94">
        <f>SUM(U18:U21)</f>
        <v>0</v>
      </c>
      <c r="V22" s="94">
        <f t="shared" si="4"/>
        <v>0</v>
      </c>
    </row>
  </sheetData>
  <mergeCells count="6">
    <mergeCell ref="A17:B17"/>
    <mergeCell ref="A1:V1"/>
    <mergeCell ref="A2:V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46A4-7804-4895-BFC8-4418E32D6B31}">
  <dimension ref="A2:E7"/>
  <sheetViews>
    <sheetView topLeftCell="C1" zoomScale="175" zoomScaleNormal="175" workbookViewId="0">
      <selection activeCell="E4" sqref="E4"/>
    </sheetView>
  </sheetViews>
  <sheetFormatPr baseColWidth="10" defaultRowHeight="15" x14ac:dyDescent="0.25"/>
  <cols>
    <col min="2" max="5" width="18.5703125" customWidth="1"/>
  </cols>
  <sheetData>
    <row r="2" spans="1:5" x14ac:dyDescent="0.25">
      <c r="B2" s="132" t="s">
        <v>283</v>
      </c>
      <c r="C2" s="133"/>
      <c r="D2" s="133"/>
      <c r="E2" s="133"/>
    </row>
    <row r="3" spans="1:5" x14ac:dyDescent="0.25">
      <c r="B3" t="s">
        <v>284</v>
      </c>
      <c r="D3" t="s">
        <v>285</v>
      </c>
      <c r="E3" t="s">
        <v>286</v>
      </c>
    </row>
    <row r="4" spans="1:5" x14ac:dyDescent="0.25">
      <c r="A4" s="113" t="s">
        <v>292</v>
      </c>
      <c r="B4" t="s">
        <v>287</v>
      </c>
      <c r="D4" s="112">
        <v>0</v>
      </c>
      <c r="E4" s="112">
        <f>SUM('Balance General'!C7:V7)</f>
        <v>2477142293.5620599</v>
      </c>
    </row>
    <row r="5" spans="1:5" x14ac:dyDescent="0.25">
      <c r="B5" t="s">
        <v>288</v>
      </c>
      <c r="C5" s="112">
        <f>E4</f>
        <v>2477142293.5620599</v>
      </c>
      <c r="D5" s="112">
        <v>0</v>
      </c>
      <c r="E5" s="112">
        <v>0</v>
      </c>
    </row>
    <row r="6" spans="1:5" x14ac:dyDescent="0.25">
      <c r="B6" s="134" t="s">
        <v>289</v>
      </c>
      <c r="C6" s="134"/>
      <c r="D6" s="112">
        <f>'Inversión Inicial'!D17</f>
        <v>27300000</v>
      </c>
      <c r="E6" s="112">
        <v>0</v>
      </c>
    </row>
    <row r="7" spans="1:5" x14ac:dyDescent="0.25">
      <c r="B7" t="s">
        <v>290</v>
      </c>
      <c r="E7" t="s">
        <v>291</v>
      </c>
    </row>
  </sheetData>
  <mergeCells count="2">
    <mergeCell ref="B2:E2"/>
    <mergeCell ref="B6:C6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AC12-3E07-4199-A46B-8D2DA15B31D9}">
  <dimension ref="A1:D60"/>
  <sheetViews>
    <sheetView workbookViewId="0">
      <selection activeCell="B22" sqref="B22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s="2" customFormat="1" ht="15.75" thickBot="1" x14ac:dyDescent="0.3">
      <c r="A1" s="135" t="s">
        <v>15</v>
      </c>
      <c r="B1" s="136"/>
    </row>
    <row r="2" spans="1:4" x14ac:dyDescent="0.25">
      <c r="A2" s="48" t="s">
        <v>22</v>
      </c>
      <c r="B2" s="8" t="s">
        <v>23</v>
      </c>
    </row>
    <row r="3" spans="1:4" x14ac:dyDescent="0.25">
      <c r="A3" s="4" t="s">
        <v>16</v>
      </c>
      <c r="B3" s="5">
        <f>B29</f>
        <v>15000000</v>
      </c>
    </row>
    <row r="4" spans="1:4" x14ac:dyDescent="0.25">
      <c r="A4" s="4" t="s">
        <v>17</v>
      </c>
      <c r="B4" s="5">
        <f>B37</f>
        <v>11000000</v>
      </c>
    </row>
    <row r="5" spans="1:4" x14ac:dyDescent="0.25">
      <c r="A5" s="4" t="s">
        <v>18</v>
      </c>
      <c r="B5" s="5">
        <f>D17</f>
        <v>27300000</v>
      </c>
    </row>
    <row r="6" spans="1:4" x14ac:dyDescent="0.25">
      <c r="A6" s="4" t="s">
        <v>19</v>
      </c>
      <c r="B6" s="5">
        <f>B45</f>
        <v>48000000</v>
      </c>
    </row>
    <row r="7" spans="1:4" x14ac:dyDescent="0.25">
      <c r="A7" s="4" t="s">
        <v>20</v>
      </c>
      <c r="B7" s="5">
        <f>B52</f>
        <v>16000000</v>
      </c>
    </row>
    <row r="8" spans="1:4" x14ac:dyDescent="0.25">
      <c r="A8" s="4" t="s">
        <v>21</v>
      </c>
      <c r="B8" s="5">
        <f>B60</f>
        <v>9000000</v>
      </c>
    </row>
    <row r="9" spans="1:4" x14ac:dyDescent="0.25">
      <c r="A9" s="3" t="s">
        <v>24</v>
      </c>
      <c r="B9" s="6">
        <f>SUM(B3:B8)</f>
        <v>126300000</v>
      </c>
    </row>
    <row r="10" spans="1:4" ht="15.75" thickBot="1" x14ac:dyDescent="0.3"/>
    <row r="11" spans="1:4" ht="15.75" thickBot="1" x14ac:dyDescent="0.3">
      <c r="A11" s="137" t="s">
        <v>110</v>
      </c>
      <c r="B11" s="138"/>
      <c r="C11" s="138"/>
      <c r="D11" s="139"/>
    </row>
    <row r="12" spans="1:4" x14ac:dyDescent="0.25">
      <c r="A12" s="48" t="s">
        <v>73</v>
      </c>
      <c r="B12" s="48" t="s">
        <v>111</v>
      </c>
      <c r="C12" s="48" t="s">
        <v>112</v>
      </c>
      <c r="D12" s="78" t="s">
        <v>113</v>
      </c>
    </row>
    <row r="13" spans="1:4" x14ac:dyDescent="0.25">
      <c r="A13" s="12" t="s">
        <v>116</v>
      </c>
      <c r="B13" s="12">
        <v>6</v>
      </c>
      <c r="C13" s="16">
        <v>3000000</v>
      </c>
      <c r="D13" s="16">
        <f>C13*B13</f>
        <v>18000000</v>
      </c>
    </row>
    <row r="14" spans="1:4" x14ac:dyDescent="0.25">
      <c r="A14" s="12" t="s">
        <v>114</v>
      </c>
      <c r="B14" s="12">
        <v>6</v>
      </c>
      <c r="C14" s="16">
        <v>800000</v>
      </c>
      <c r="D14" s="16">
        <f t="shared" ref="D14:D15" si="0">C14*B14</f>
        <v>4800000</v>
      </c>
    </row>
    <row r="15" spans="1:4" x14ac:dyDescent="0.25">
      <c r="A15" s="12" t="s">
        <v>131</v>
      </c>
      <c r="B15" s="12">
        <v>6</v>
      </c>
      <c r="C15" s="16">
        <v>300000</v>
      </c>
      <c r="D15" s="16">
        <f t="shared" si="0"/>
        <v>1800000</v>
      </c>
    </row>
    <row r="16" spans="1:4" x14ac:dyDescent="0.25">
      <c r="A16" s="12" t="s">
        <v>115</v>
      </c>
      <c r="B16" s="12">
        <v>6</v>
      </c>
      <c r="C16" s="16">
        <v>450000</v>
      </c>
      <c r="D16" s="16">
        <f>C16*B16</f>
        <v>2700000</v>
      </c>
    </row>
    <row r="17" spans="1:4" x14ac:dyDescent="0.25">
      <c r="A17" s="140" t="s">
        <v>24</v>
      </c>
      <c r="B17" s="141"/>
      <c r="C17" s="142"/>
      <c r="D17" s="6">
        <f>SUM(D13:D16)</f>
        <v>27300000</v>
      </c>
    </row>
    <row r="18" spans="1:4" ht="15.75" thickBot="1" x14ac:dyDescent="0.3"/>
    <row r="19" spans="1:4" ht="15.75" thickBot="1" x14ac:dyDescent="0.3">
      <c r="A19" s="135" t="s">
        <v>182</v>
      </c>
      <c r="B19" s="136"/>
    </row>
    <row r="20" spans="1:4" x14ac:dyDescent="0.25">
      <c r="A20" s="48" t="s">
        <v>22</v>
      </c>
      <c r="B20" s="48" t="s">
        <v>23</v>
      </c>
    </row>
    <row r="21" spans="1:4" x14ac:dyDescent="0.25">
      <c r="A21" s="9" t="s">
        <v>183</v>
      </c>
      <c r="B21" s="5">
        <f>B9*0.65</f>
        <v>82095000</v>
      </c>
    </row>
    <row r="22" spans="1:4" x14ac:dyDescent="0.25">
      <c r="A22" s="9" t="s">
        <v>182</v>
      </c>
      <c r="B22" s="5">
        <f>B9*0.35</f>
        <v>44205000</v>
      </c>
    </row>
    <row r="23" spans="1:4" ht="15.75" thickBot="1" x14ac:dyDescent="0.3"/>
    <row r="24" spans="1:4" ht="15.75" thickBot="1" x14ac:dyDescent="0.3">
      <c r="A24" s="135" t="s">
        <v>235</v>
      </c>
      <c r="B24" s="136"/>
    </row>
    <row r="25" spans="1:4" x14ac:dyDescent="0.25">
      <c r="A25" s="77" t="s">
        <v>73</v>
      </c>
      <c r="B25" s="77" t="s">
        <v>23</v>
      </c>
    </row>
    <row r="26" spans="1:4" x14ac:dyDescent="0.25">
      <c r="A26" s="9" t="s">
        <v>253</v>
      </c>
      <c r="B26" s="16">
        <v>4500000</v>
      </c>
    </row>
    <row r="27" spans="1:4" x14ac:dyDescent="0.25">
      <c r="A27" s="9" t="s">
        <v>254</v>
      </c>
      <c r="B27" s="16">
        <v>6000000</v>
      </c>
    </row>
    <row r="28" spans="1:4" x14ac:dyDescent="0.25">
      <c r="A28" s="9" t="s">
        <v>236</v>
      </c>
      <c r="B28" s="16">
        <v>4500000</v>
      </c>
    </row>
    <row r="29" spans="1:4" x14ac:dyDescent="0.25">
      <c r="A29" s="110" t="s">
        <v>24</v>
      </c>
      <c r="B29" s="111">
        <f>SUM(B26:B28)</f>
        <v>15000000</v>
      </c>
    </row>
    <row r="30" spans="1:4" ht="15.75" thickBot="1" x14ac:dyDescent="0.3"/>
    <row r="31" spans="1:4" ht="15.75" thickBot="1" x14ac:dyDescent="0.3">
      <c r="A31" s="135" t="s">
        <v>237</v>
      </c>
      <c r="B31" s="136"/>
    </row>
    <row r="32" spans="1:4" x14ac:dyDescent="0.25">
      <c r="A32" s="77" t="s">
        <v>73</v>
      </c>
      <c r="B32" s="77" t="s">
        <v>23</v>
      </c>
    </row>
    <row r="33" spans="1:2" x14ac:dyDescent="0.25">
      <c r="A33" s="9" t="s">
        <v>238</v>
      </c>
      <c r="B33" s="16">
        <v>2750000</v>
      </c>
    </row>
    <row r="34" spans="1:2" x14ac:dyDescent="0.25">
      <c r="A34" s="9" t="s">
        <v>239</v>
      </c>
      <c r="B34" s="16">
        <v>4125000</v>
      </c>
    </row>
    <row r="35" spans="1:2" x14ac:dyDescent="0.25">
      <c r="A35" s="9" t="s">
        <v>251</v>
      </c>
      <c r="B35" s="16">
        <v>1375000</v>
      </c>
    </row>
    <row r="36" spans="1:2" x14ac:dyDescent="0.25">
      <c r="A36" s="9" t="s">
        <v>252</v>
      </c>
      <c r="B36" s="16">
        <v>2750000</v>
      </c>
    </row>
    <row r="37" spans="1:2" x14ac:dyDescent="0.25">
      <c r="A37" s="110" t="s">
        <v>24</v>
      </c>
      <c r="B37" s="111">
        <f>SUM(B33:B36)</f>
        <v>11000000</v>
      </c>
    </row>
    <row r="38" spans="1:2" ht="15.75" thickBot="1" x14ac:dyDescent="0.3"/>
    <row r="39" spans="1:2" ht="15.75" thickBot="1" x14ac:dyDescent="0.3">
      <c r="A39" s="135" t="s">
        <v>240</v>
      </c>
      <c r="B39" s="136"/>
    </row>
    <row r="40" spans="1:2" x14ac:dyDescent="0.25">
      <c r="A40" s="77" t="s">
        <v>73</v>
      </c>
      <c r="B40" s="77" t="s">
        <v>23</v>
      </c>
    </row>
    <row r="41" spans="1:2" x14ac:dyDescent="0.25">
      <c r="A41" s="9" t="s">
        <v>250</v>
      </c>
      <c r="B41" s="16">
        <v>10667000</v>
      </c>
    </row>
    <row r="42" spans="1:2" x14ac:dyDescent="0.25">
      <c r="A42" s="9" t="s">
        <v>241</v>
      </c>
      <c r="B42" s="16">
        <v>21333000</v>
      </c>
    </row>
    <row r="43" spans="1:2" x14ac:dyDescent="0.25">
      <c r="A43" s="9" t="s">
        <v>242</v>
      </c>
      <c r="B43" s="16">
        <v>10667000</v>
      </c>
    </row>
    <row r="44" spans="1:2" x14ac:dyDescent="0.25">
      <c r="A44" s="9" t="s">
        <v>243</v>
      </c>
      <c r="B44" s="16">
        <v>5333000</v>
      </c>
    </row>
    <row r="45" spans="1:2" x14ac:dyDescent="0.25">
      <c r="A45" s="110" t="s">
        <v>24</v>
      </c>
      <c r="B45" s="111">
        <f>SUM(B41:B44)</f>
        <v>48000000</v>
      </c>
    </row>
    <row r="46" spans="1:2" ht="15.75" thickBot="1" x14ac:dyDescent="0.3"/>
    <row r="47" spans="1:2" ht="15.75" thickBot="1" x14ac:dyDescent="0.3">
      <c r="A47" s="135" t="s">
        <v>244</v>
      </c>
      <c r="B47" s="136"/>
    </row>
    <row r="48" spans="1:2" x14ac:dyDescent="0.25">
      <c r="A48" s="77" t="s">
        <v>73</v>
      </c>
      <c r="B48" s="77" t="s">
        <v>23</v>
      </c>
    </row>
    <row r="49" spans="1:2" x14ac:dyDescent="0.25">
      <c r="A49" s="9" t="s">
        <v>245</v>
      </c>
      <c r="B49" s="16">
        <v>5333000</v>
      </c>
    </row>
    <row r="50" spans="1:2" x14ac:dyDescent="0.25">
      <c r="A50" s="9" t="s">
        <v>246</v>
      </c>
      <c r="B50" s="16">
        <v>5334000</v>
      </c>
    </row>
    <row r="51" spans="1:2" x14ac:dyDescent="0.25">
      <c r="A51" s="9" t="s">
        <v>247</v>
      </c>
      <c r="B51" s="16">
        <v>5333000</v>
      </c>
    </row>
    <row r="52" spans="1:2" x14ac:dyDescent="0.25">
      <c r="A52" s="110" t="s">
        <v>24</v>
      </c>
      <c r="B52" s="111">
        <f>SUM(B49:B51)</f>
        <v>16000000</v>
      </c>
    </row>
    <row r="53" spans="1:2" ht="15.75" thickBot="1" x14ac:dyDescent="0.3"/>
    <row r="54" spans="1:2" ht="15.75" thickBot="1" x14ac:dyDescent="0.3">
      <c r="A54" s="135" t="s">
        <v>248</v>
      </c>
      <c r="B54" s="136"/>
    </row>
    <row r="55" spans="1:2" x14ac:dyDescent="0.25">
      <c r="A55" s="77" t="s">
        <v>73</v>
      </c>
      <c r="B55" s="77" t="s">
        <v>23</v>
      </c>
    </row>
    <row r="56" spans="1:2" x14ac:dyDescent="0.25">
      <c r="A56" s="9" t="s">
        <v>249</v>
      </c>
      <c r="B56" s="16">
        <v>3375000</v>
      </c>
    </row>
    <row r="57" spans="1:2" x14ac:dyDescent="0.25">
      <c r="A57" s="9" t="s">
        <v>256</v>
      </c>
      <c r="B57" s="16">
        <v>2250000</v>
      </c>
    </row>
    <row r="58" spans="1:2" x14ac:dyDescent="0.25">
      <c r="A58" s="9" t="s">
        <v>255</v>
      </c>
      <c r="B58" s="16">
        <v>563000</v>
      </c>
    </row>
    <row r="59" spans="1:2" x14ac:dyDescent="0.25">
      <c r="A59" s="9" t="s">
        <v>257</v>
      </c>
      <c r="B59" s="16">
        <v>2812000</v>
      </c>
    </row>
    <row r="60" spans="1:2" x14ac:dyDescent="0.25">
      <c r="A60" s="110" t="s">
        <v>24</v>
      </c>
      <c r="B60" s="111">
        <f>SUM(B56:B59)</f>
        <v>9000000</v>
      </c>
    </row>
  </sheetData>
  <mergeCells count="9">
    <mergeCell ref="A39:B39"/>
    <mergeCell ref="A47:B47"/>
    <mergeCell ref="A54:B54"/>
    <mergeCell ref="A19:B19"/>
    <mergeCell ref="A1:B1"/>
    <mergeCell ref="A11:D11"/>
    <mergeCell ref="A24:B24"/>
    <mergeCell ref="A17:C17"/>
    <mergeCell ref="A31:B31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91DE-2512-42FA-BEDA-381D3D29B795}">
  <dimension ref="A1:AB47"/>
  <sheetViews>
    <sheetView workbookViewId="0">
      <selection activeCell="B47" sqref="B47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28" s="2" customFormat="1" ht="15.75" thickBot="1" x14ac:dyDescent="0.3">
      <c r="A1" s="156" t="s">
        <v>25</v>
      </c>
      <c r="B1" s="157"/>
      <c r="C1" s="157"/>
      <c r="D1" s="158"/>
      <c r="F1" s="149" t="s">
        <v>48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8" x14ac:dyDescent="0.25">
      <c r="A2" s="159" t="s">
        <v>26</v>
      </c>
      <c r="B2" s="159"/>
      <c r="C2" s="159"/>
      <c r="D2" s="159"/>
      <c r="F2" s="151" t="s">
        <v>26</v>
      </c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</row>
    <row r="3" spans="1:28" x14ac:dyDescent="0.25">
      <c r="A3" s="7" t="s">
        <v>22</v>
      </c>
      <c r="B3" s="8" t="s">
        <v>27</v>
      </c>
      <c r="C3" s="8" t="s">
        <v>34</v>
      </c>
      <c r="D3" s="8" t="s">
        <v>43</v>
      </c>
      <c r="F3" s="18" t="s">
        <v>49</v>
      </c>
      <c r="G3" s="36" t="s">
        <v>53</v>
      </c>
      <c r="H3" s="17" t="s">
        <v>55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64</v>
      </c>
      <c r="Q3" s="3" t="s">
        <v>65</v>
      </c>
      <c r="R3" s="3" t="s">
        <v>66</v>
      </c>
      <c r="S3" s="3" t="s">
        <v>67</v>
      </c>
      <c r="T3" s="3" t="s">
        <v>68</v>
      </c>
      <c r="U3" s="3" t="s">
        <v>186</v>
      </c>
      <c r="V3" s="3" t="s">
        <v>187</v>
      </c>
      <c r="W3" s="3" t="s">
        <v>188</v>
      </c>
      <c r="X3" s="3" t="s">
        <v>189</v>
      </c>
      <c r="Y3" s="3" t="s">
        <v>195</v>
      </c>
      <c r="Z3" s="3" t="s">
        <v>196</v>
      </c>
      <c r="AA3" s="3" t="s">
        <v>197</v>
      </c>
      <c r="AB3" s="3" t="s">
        <v>198</v>
      </c>
    </row>
    <row r="4" spans="1:28" x14ac:dyDescent="0.25">
      <c r="A4" s="4" t="s">
        <v>28</v>
      </c>
      <c r="B4" s="9">
        <v>1</v>
      </c>
      <c r="C4" s="5">
        <v>4000000</v>
      </c>
      <c r="D4" s="13">
        <f t="shared" ref="D4:D10" si="0">C4*B4</f>
        <v>4000000</v>
      </c>
      <c r="F4" s="37">
        <f>D11</f>
        <v>37800000</v>
      </c>
      <c r="G4" s="16">
        <f>F4*3</f>
        <v>113400000</v>
      </c>
      <c r="H4" s="16" t="s">
        <v>54</v>
      </c>
      <c r="I4" s="15">
        <f>$G$4</f>
        <v>113400000</v>
      </c>
      <c r="J4" s="15">
        <f>$G$4</f>
        <v>113400000</v>
      </c>
      <c r="K4" s="15">
        <f t="shared" ref="K4" si="1">$G$4</f>
        <v>113400000</v>
      </c>
      <c r="L4" s="15">
        <f>$G$4*0.5</f>
        <v>56700000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 x14ac:dyDescent="0.25">
      <c r="A5" s="4" t="s">
        <v>29</v>
      </c>
      <c r="B5" s="9">
        <v>2</v>
      </c>
      <c r="C5" s="5">
        <v>4000000</v>
      </c>
      <c r="D5" s="13">
        <f t="shared" si="0"/>
        <v>8000000</v>
      </c>
      <c r="F5" s="153" t="s">
        <v>69</v>
      </c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spans="1:28" x14ac:dyDescent="0.25">
      <c r="A6" s="4" t="s">
        <v>30</v>
      </c>
      <c r="B6" s="9">
        <v>2</v>
      </c>
      <c r="C6" s="5">
        <v>4000000</v>
      </c>
      <c r="D6" s="13">
        <f t="shared" si="0"/>
        <v>8000000</v>
      </c>
      <c r="F6" s="18" t="s">
        <v>49</v>
      </c>
      <c r="G6" s="17" t="s">
        <v>53</v>
      </c>
      <c r="H6" s="17" t="s">
        <v>55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  <c r="N6" s="3" t="s">
        <v>62</v>
      </c>
      <c r="O6" s="3" t="s">
        <v>63</v>
      </c>
      <c r="P6" s="3" t="s">
        <v>64</v>
      </c>
      <c r="Q6" s="3" t="s">
        <v>65</v>
      </c>
      <c r="R6" s="3" t="s">
        <v>66</v>
      </c>
      <c r="S6" s="3" t="s">
        <v>67</v>
      </c>
      <c r="T6" s="3" t="s">
        <v>68</v>
      </c>
      <c r="U6" s="3" t="s">
        <v>186</v>
      </c>
      <c r="V6" s="3" t="s">
        <v>187</v>
      </c>
      <c r="W6" s="3" t="s">
        <v>188</v>
      </c>
      <c r="X6" s="3" t="s">
        <v>189</v>
      </c>
      <c r="Y6" s="3" t="s">
        <v>195</v>
      </c>
      <c r="Z6" s="3" t="s">
        <v>196</v>
      </c>
      <c r="AA6" s="3" t="s">
        <v>197</v>
      </c>
      <c r="AB6" s="3" t="s">
        <v>198</v>
      </c>
    </row>
    <row r="7" spans="1:28" x14ac:dyDescent="0.25">
      <c r="A7" s="4" t="s">
        <v>50</v>
      </c>
      <c r="B7" s="9">
        <v>3</v>
      </c>
      <c r="C7" s="5">
        <v>2300000</v>
      </c>
      <c r="D7" s="13">
        <f t="shared" si="0"/>
        <v>6900000</v>
      </c>
      <c r="F7" s="5">
        <f>SUM(D7,D9:D10)</f>
        <v>11300000</v>
      </c>
      <c r="G7" s="5">
        <f>F7*3</f>
        <v>33900000</v>
      </c>
      <c r="H7" s="26">
        <v>0.02</v>
      </c>
      <c r="I7" s="30"/>
      <c r="J7" s="31"/>
      <c r="K7" s="31"/>
      <c r="L7" s="32">
        <f>$G$7*0.5</f>
        <v>16950000</v>
      </c>
      <c r="M7" s="15">
        <f>G7</f>
        <v>33900000</v>
      </c>
      <c r="N7" s="15">
        <f>M7*($H$7+1)</f>
        <v>34578000</v>
      </c>
      <c r="O7" s="15">
        <f t="shared" ref="O7:T7" si="2">N7*($H$7+1)</f>
        <v>35269560</v>
      </c>
      <c r="P7" s="15">
        <f t="shared" si="2"/>
        <v>35974951.200000003</v>
      </c>
      <c r="Q7" s="15">
        <f t="shared" si="2"/>
        <v>36694450.224000007</v>
      </c>
      <c r="R7" s="15">
        <f t="shared" si="2"/>
        <v>37428339.228480011</v>
      </c>
      <c r="S7" s="15">
        <f t="shared" si="2"/>
        <v>38176906.01304961</v>
      </c>
      <c r="T7" s="15">
        <f t="shared" si="2"/>
        <v>38940444.133310601</v>
      </c>
      <c r="U7" s="15">
        <f t="shared" ref="U7" si="3">T7*($H$7+1)</f>
        <v>39719253.015976816</v>
      </c>
      <c r="V7" s="15">
        <f t="shared" ref="V7" si="4">U7*($H$7+1)</f>
        <v>40513638.076296352</v>
      </c>
      <c r="W7" s="15">
        <f t="shared" ref="W7" si="5">V7*($H$7+1)</f>
        <v>41323910.837822281</v>
      </c>
      <c r="X7" s="15">
        <f>W7*($H$7+1)</f>
        <v>42150389.054578729</v>
      </c>
      <c r="Y7" s="15">
        <f t="shared" ref="Y7:AB7" si="6">X7*($H$7+1)</f>
        <v>42993396.835670307</v>
      </c>
      <c r="Z7" s="15">
        <f t="shared" si="6"/>
        <v>43853264.772383712</v>
      </c>
      <c r="AA7" s="15">
        <f t="shared" si="6"/>
        <v>44730330.06783139</v>
      </c>
      <c r="AB7" s="15">
        <f t="shared" si="6"/>
        <v>45624936.669188015</v>
      </c>
    </row>
    <row r="8" spans="1:28" x14ac:dyDescent="0.25">
      <c r="A8" s="4" t="s">
        <v>31</v>
      </c>
      <c r="B8" s="9">
        <v>1</v>
      </c>
      <c r="C8" s="5">
        <v>6500000</v>
      </c>
      <c r="D8" s="13">
        <f t="shared" si="0"/>
        <v>6500000</v>
      </c>
      <c r="F8" s="143" t="s">
        <v>35</v>
      </c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</row>
    <row r="9" spans="1:28" x14ac:dyDescent="0.25">
      <c r="A9" s="4" t="s">
        <v>32</v>
      </c>
      <c r="B9" s="9">
        <v>1</v>
      </c>
      <c r="C9" s="5">
        <v>2200000</v>
      </c>
      <c r="D9" s="13">
        <f t="shared" si="0"/>
        <v>2200000</v>
      </c>
      <c r="F9" s="18" t="s">
        <v>49</v>
      </c>
      <c r="G9" s="17" t="s">
        <v>53</v>
      </c>
      <c r="H9" s="17" t="s">
        <v>55</v>
      </c>
      <c r="I9" s="3" t="s">
        <v>57</v>
      </c>
      <c r="J9" s="3" t="s">
        <v>58</v>
      </c>
      <c r="K9" s="3" t="s">
        <v>59</v>
      </c>
      <c r="L9" s="3" t="s">
        <v>60</v>
      </c>
      <c r="M9" s="3" t="s">
        <v>61</v>
      </c>
      <c r="N9" s="3" t="s">
        <v>62</v>
      </c>
      <c r="O9" s="3" t="s">
        <v>63</v>
      </c>
      <c r="P9" s="3" t="s">
        <v>64</v>
      </c>
      <c r="Q9" s="3" t="s">
        <v>65</v>
      </c>
      <c r="R9" s="3" t="s">
        <v>66</v>
      </c>
      <c r="S9" s="3" t="s">
        <v>67</v>
      </c>
      <c r="T9" s="3" t="s">
        <v>68</v>
      </c>
      <c r="U9" s="3" t="s">
        <v>186</v>
      </c>
      <c r="V9" s="3" t="s">
        <v>187</v>
      </c>
      <c r="W9" s="3" t="s">
        <v>188</v>
      </c>
      <c r="X9" s="3" t="s">
        <v>189</v>
      </c>
      <c r="Y9" s="3" t="s">
        <v>195</v>
      </c>
      <c r="Z9" s="3" t="s">
        <v>196</v>
      </c>
      <c r="AA9" s="3" t="s">
        <v>197</v>
      </c>
      <c r="AB9" s="3" t="s">
        <v>198</v>
      </c>
    </row>
    <row r="10" spans="1:28" x14ac:dyDescent="0.25">
      <c r="A10" s="4" t="s">
        <v>33</v>
      </c>
      <c r="B10" s="9">
        <v>1</v>
      </c>
      <c r="C10" s="5">
        <v>2200000</v>
      </c>
      <c r="D10" s="13">
        <f t="shared" si="0"/>
        <v>2200000</v>
      </c>
      <c r="F10" s="5">
        <f>D22</f>
        <v>12430000</v>
      </c>
      <c r="G10" s="16">
        <f>F10*3</f>
        <v>37290000</v>
      </c>
      <c r="H10" s="26" t="s">
        <v>54</v>
      </c>
      <c r="I10" s="15">
        <f>$G$10</f>
        <v>37290000</v>
      </c>
      <c r="J10" s="15">
        <f t="shared" ref="J10:K10" si="7">$G$10</f>
        <v>37290000</v>
      </c>
      <c r="K10" s="15">
        <f t="shared" si="7"/>
        <v>37290000</v>
      </c>
      <c r="L10" s="15">
        <f>$G$10*0.5</f>
        <v>18645000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x14ac:dyDescent="0.25">
      <c r="A11" s="140" t="s">
        <v>85</v>
      </c>
      <c r="B11" s="142"/>
      <c r="C11" s="6">
        <f>SUM(C4:C10)</f>
        <v>25200000</v>
      </c>
      <c r="D11" s="14">
        <f>SUM(D4:D10)</f>
        <v>37800000</v>
      </c>
      <c r="F11" s="143" t="s">
        <v>70</v>
      </c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</row>
    <row r="12" spans="1:28" x14ac:dyDescent="0.25">
      <c r="A12" s="155" t="s">
        <v>35</v>
      </c>
      <c r="B12" s="155"/>
      <c r="C12" s="155"/>
      <c r="D12" s="155"/>
      <c r="F12" s="18" t="s">
        <v>49</v>
      </c>
      <c r="G12" s="17" t="s">
        <v>53</v>
      </c>
      <c r="H12" s="17" t="s">
        <v>55</v>
      </c>
      <c r="I12" s="3" t="s">
        <v>57</v>
      </c>
      <c r="J12" s="3" t="s">
        <v>58</v>
      </c>
      <c r="K12" s="3" t="s">
        <v>59</v>
      </c>
      <c r="L12" s="3" t="s">
        <v>60</v>
      </c>
      <c r="M12" s="3" t="s">
        <v>61</v>
      </c>
      <c r="N12" s="3" t="s">
        <v>62</v>
      </c>
      <c r="O12" s="3" t="s">
        <v>63</v>
      </c>
      <c r="P12" s="3" t="s">
        <v>64</v>
      </c>
      <c r="Q12" s="3" t="s">
        <v>65</v>
      </c>
      <c r="R12" s="3" t="s">
        <v>66</v>
      </c>
      <c r="S12" s="3" t="s">
        <v>67</v>
      </c>
      <c r="T12" s="3" t="s">
        <v>68</v>
      </c>
      <c r="U12" s="3" t="s">
        <v>186</v>
      </c>
      <c r="V12" s="3" t="s">
        <v>187</v>
      </c>
      <c r="W12" s="3" t="s">
        <v>188</v>
      </c>
      <c r="X12" s="3" t="s">
        <v>189</v>
      </c>
      <c r="Y12" s="3" t="s">
        <v>195</v>
      </c>
      <c r="Z12" s="3" t="s">
        <v>196</v>
      </c>
      <c r="AA12" s="3" t="s">
        <v>197</v>
      </c>
      <c r="AB12" s="3" t="s">
        <v>198</v>
      </c>
    </row>
    <row r="13" spans="1:28" x14ac:dyDescent="0.25">
      <c r="A13" s="7" t="s">
        <v>22</v>
      </c>
      <c r="B13" s="8" t="s">
        <v>27</v>
      </c>
      <c r="C13" s="8" t="s">
        <v>34</v>
      </c>
      <c r="D13" s="8" t="s">
        <v>43</v>
      </c>
      <c r="F13" s="5">
        <f>C22*3</f>
        <v>3390000</v>
      </c>
      <c r="G13" s="16">
        <f>F13*3</f>
        <v>10170000</v>
      </c>
      <c r="H13" s="26">
        <v>0.02</v>
      </c>
      <c r="I13" s="30"/>
      <c r="J13" s="31"/>
      <c r="K13" s="31"/>
      <c r="L13" s="15">
        <f>G13*0.5</f>
        <v>5085000</v>
      </c>
      <c r="M13" s="15">
        <f>G13</f>
        <v>10170000</v>
      </c>
      <c r="N13" s="15">
        <f>M13*($H$13+1)</f>
        <v>10373400</v>
      </c>
      <c r="O13" s="15">
        <f t="shared" ref="O13:T13" si="8">N13*($H$13+1)</f>
        <v>10580868</v>
      </c>
      <c r="P13" s="15">
        <f t="shared" si="8"/>
        <v>10792485.359999999</v>
      </c>
      <c r="Q13" s="15">
        <f t="shared" si="8"/>
        <v>11008335.067199999</v>
      </c>
      <c r="R13" s="15">
        <f t="shared" si="8"/>
        <v>11228501.768544</v>
      </c>
      <c r="S13" s="15">
        <f t="shared" si="8"/>
        <v>11453071.80391488</v>
      </c>
      <c r="T13" s="15">
        <f t="shared" si="8"/>
        <v>11682133.239993177</v>
      </c>
      <c r="U13" s="15">
        <f t="shared" ref="U13" si="9">T13*($H$13+1)</f>
        <v>11915775.904793041</v>
      </c>
      <c r="V13" s="15">
        <f t="shared" ref="V13" si="10">U13*($H$13+1)</f>
        <v>12154091.422888901</v>
      </c>
      <c r="W13" s="15">
        <f t="shared" ref="W13" si="11">V13*($H$13+1)</f>
        <v>12397173.251346679</v>
      </c>
      <c r="X13" s="15">
        <f t="shared" ref="X13" si="12">W13*($H$13+1)</f>
        <v>12645116.716373613</v>
      </c>
      <c r="Y13" s="15">
        <f t="shared" ref="Y13" si="13">X13*($H$13+1)</f>
        <v>12898019.050701085</v>
      </c>
      <c r="Z13" s="15">
        <f t="shared" ref="Z13" si="14">Y13*($H$13+1)</f>
        <v>13155979.431715107</v>
      </c>
      <c r="AA13" s="15">
        <f t="shared" ref="AA13" si="15">Z13*($H$13+1)</f>
        <v>13419099.020349409</v>
      </c>
      <c r="AB13" s="15">
        <f t="shared" ref="AB13" si="16">AA13*($H$13+1)</f>
        <v>13687481.000756398</v>
      </c>
    </row>
    <row r="14" spans="1:28" x14ac:dyDescent="0.25">
      <c r="A14" s="11" t="s">
        <v>36</v>
      </c>
      <c r="B14" s="12">
        <f>SUM($B$4:$B$10)</f>
        <v>11</v>
      </c>
      <c r="C14" s="5">
        <v>200000</v>
      </c>
      <c r="D14" s="13">
        <f>C14*B14</f>
        <v>2200000</v>
      </c>
      <c r="F14" s="143" t="s">
        <v>71</v>
      </c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 spans="1:28" x14ac:dyDescent="0.25">
      <c r="A15" s="11" t="s">
        <v>37</v>
      </c>
      <c r="B15" s="12">
        <f t="shared" ref="B15:B21" si="17">SUM($B$4:$B$10)</f>
        <v>11</v>
      </c>
      <c r="C15" s="5">
        <v>25000</v>
      </c>
      <c r="D15" s="13">
        <f t="shared" ref="D15:D21" si="18">C15*B15</f>
        <v>275000</v>
      </c>
      <c r="F15" s="18" t="s">
        <v>49</v>
      </c>
      <c r="G15" s="17" t="s">
        <v>53</v>
      </c>
      <c r="H15" s="17" t="s">
        <v>55</v>
      </c>
      <c r="I15" s="3" t="s">
        <v>57</v>
      </c>
      <c r="J15" s="3" t="s">
        <v>58</v>
      </c>
      <c r="K15" s="3" t="s">
        <v>59</v>
      </c>
      <c r="L15" s="3" t="s">
        <v>60</v>
      </c>
      <c r="M15" s="3" t="s">
        <v>61</v>
      </c>
      <c r="N15" s="3" t="s">
        <v>62</v>
      </c>
      <c r="O15" s="3" t="s">
        <v>63</v>
      </c>
      <c r="P15" s="3" t="s">
        <v>64</v>
      </c>
      <c r="Q15" s="3" t="s">
        <v>65</v>
      </c>
      <c r="R15" s="3" t="s">
        <v>66</v>
      </c>
      <c r="S15" s="3" t="s">
        <v>67</v>
      </c>
      <c r="T15" s="3" t="s">
        <v>68</v>
      </c>
      <c r="U15" s="3" t="s">
        <v>186</v>
      </c>
      <c r="V15" s="3" t="s">
        <v>187</v>
      </c>
      <c r="W15" s="3" t="s">
        <v>188</v>
      </c>
      <c r="X15" s="3" t="s">
        <v>189</v>
      </c>
      <c r="Y15" s="3" t="s">
        <v>195</v>
      </c>
      <c r="Z15" s="3" t="s">
        <v>196</v>
      </c>
      <c r="AA15" s="3" t="s">
        <v>197</v>
      </c>
      <c r="AB15" s="3" t="s">
        <v>198</v>
      </c>
    </row>
    <row r="16" spans="1:28" x14ac:dyDescent="0.25">
      <c r="A16" s="11" t="s">
        <v>38</v>
      </c>
      <c r="B16" s="12">
        <f t="shared" si="17"/>
        <v>11</v>
      </c>
      <c r="C16" s="5">
        <v>200000</v>
      </c>
      <c r="D16" s="13">
        <f t="shared" si="18"/>
        <v>2200000</v>
      </c>
      <c r="F16" s="5">
        <f>D27</f>
        <v>3720000</v>
      </c>
      <c r="G16" s="16">
        <f>F16*3</f>
        <v>11160000</v>
      </c>
      <c r="H16" s="26">
        <v>0.06</v>
      </c>
      <c r="I16" s="30"/>
      <c r="J16" s="31"/>
      <c r="K16" s="31"/>
      <c r="L16" s="15">
        <f>$G$16</f>
        <v>11160000</v>
      </c>
      <c r="M16" s="15">
        <f>L16*($H$16+1)</f>
        <v>11829600</v>
      </c>
      <c r="N16" s="15">
        <f>M16*($H$16+1)</f>
        <v>12539376</v>
      </c>
      <c r="O16" s="15">
        <f t="shared" ref="O16:T16" si="19">N16*($H$16+1)</f>
        <v>13291738.560000001</v>
      </c>
      <c r="P16" s="15">
        <f t="shared" si="19"/>
        <v>14089242.873600001</v>
      </c>
      <c r="Q16" s="15">
        <f t="shared" si="19"/>
        <v>14934597.446016001</v>
      </c>
      <c r="R16" s="15">
        <f t="shared" si="19"/>
        <v>15830673.292776961</v>
      </c>
      <c r="S16" s="15">
        <f t="shared" si="19"/>
        <v>16780513.690343581</v>
      </c>
      <c r="T16" s="15">
        <f t="shared" si="19"/>
        <v>17787344.511764199</v>
      </c>
      <c r="U16" s="15">
        <f t="shared" ref="U16" si="20">T16*($H$16+1)</f>
        <v>18854585.18247005</v>
      </c>
      <c r="V16" s="15">
        <f t="shared" ref="V16" si="21">U16*($H$16+1)</f>
        <v>19985860.293418255</v>
      </c>
      <c r="W16" s="15">
        <f t="shared" ref="W16" si="22">V16*($H$16+1)</f>
        <v>21185011.911023352</v>
      </c>
      <c r="X16" s="15">
        <f t="shared" ref="X16" si="23">W16*($H$16+1)</f>
        <v>22456112.625684753</v>
      </c>
      <c r="Y16" s="15">
        <f t="shared" ref="Y16" si="24">X16*($H$16+1)</f>
        <v>23803479.38322584</v>
      </c>
      <c r="Z16" s="15">
        <f t="shared" ref="Z16" si="25">Y16*($H$16+1)</f>
        <v>25231688.146219391</v>
      </c>
      <c r="AA16" s="15">
        <f t="shared" ref="AA16" si="26">Z16*($H$16+1)</f>
        <v>26745589.434992556</v>
      </c>
      <c r="AB16" s="15">
        <f t="shared" ref="AB16" si="27">AA16*($H$16+1)</f>
        <v>28350324.801092111</v>
      </c>
    </row>
    <row r="17" spans="1:28" x14ac:dyDescent="0.25">
      <c r="A17" s="11" t="s">
        <v>39</v>
      </c>
      <c r="B17" s="12">
        <f t="shared" si="17"/>
        <v>11</v>
      </c>
      <c r="C17" s="5">
        <v>100000</v>
      </c>
      <c r="D17" s="13">
        <f t="shared" si="18"/>
        <v>1100000</v>
      </c>
      <c r="F17" s="143" t="s">
        <v>46</v>
      </c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 spans="1:28" x14ac:dyDescent="0.25">
      <c r="A18" s="11" t="s">
        <v>51</v>
      </c>
      <c r="B18" s="12">
        <f t="shared" si="17"/>
        <v>11</v>
      </c>
      <c r="C18" s="5">
        <v>300000</v>
      </c>
      <c r="D18" s="13">
        <f t="shared" si="18"/>
        <v>3300000</v>
      </c>
      <c r="F18" s="18" t="s">
        <v>49</v>
      </c>
      <c r="G18" s="17" t="s">
        <v>53</v>
      </c>
      <c r="H18" s="17" t="s">
        <v>55</v>
      </c>
      <c r="I18" s="3" t="s">
        <v>57</v>
      </c>
      <c r="J18" s="3" t="s">
        <v>58</v>
      </c>
      <c r="K18" s="3" t="s">
        <v>59</v>
      </c>
      <c r="L18" s="3" t="s">
        <v>60</v>
      </c>
      <c r="M18" s="3" t="s">
        <v>61</v>
      </c>
      <c r="N18" s="3" t="s">
        <v>62</v>
      </c>
      <c r="O18" s="3" t="s">
        <v>63</v>
      </c>
      <c r="P18" s="3" t="s">
        <v>64</v>
      </c>
      <c r="Q18" s="3" t="s">
        <v>65</v>
      </c>
      <c r="R18" s="3" t="s">
        <v>66</v>
      </c>
      <c r="S18" s="3" t="s">
        <v>67</v>
      </c>
      <c r="T18" s="3" t="s">
        <v>68</v>
      </c>
      <c r="U18" s="3" t="s">
        <v>186</v>
      </c>
      <c r="V18" s="3" t="s">
        <v>187</v>
      </c>
      <c r="W18" s="3" t="s">
        <v>188</v>
      </c>
      <c r="X18" s="3" t="s">
        <v>189</v>
      </c>
      <c r="Y18" s="3" t="s">
        <v>195</v>
      </c>
      <c r="Z18" s="3" t="s">
        <v>196</v>
      </c>
      <c r="AA18" s="3" t="s">
        <v>197</v>
      </c>
      <c r="AB18" s="3" t="s">
        <v>198</v>
      </c>
    </row>
    <row r="19" spans="1:28" x14ac:dyDescent="0.25">
      <c r="A19" s="11" t="s">
        <v>40</v>
      </c>
      <c r="B19" s="12">
        <f t="shared" si="17"/>
        <v>11</v>
      </c>
      <c r="C19" s="5">
        <v>200000</v>
      </c>
      <c r="D19" s="13">
        <f t="shared" si="18"/>
        <v>2200000</v>
      </c>
      <c r="F19" s="27">
        <f>D31</f>
        <v>1451000</v>
      </c>
      <c r="G19" s="28" t="s">
        <v>54</v>
      </c>
      <c r="H19" s="29" t="s">
        <v>54</v>
      </c>
      <c r="I19" s="15">
        <f>$F$19</f>
        <v>1451000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x14ac:dyDescent="0.25">
      <c r="A20" s="11" t="s">
        <v>41</v>
      </c>
      <c r="B20" s="12">
        <f t="shared" si="17"/>
        <v>11</v>
      </c>
      <c r="C20" s="5">
        <v>15000</v>
      </c>
      <c r="D20" s="13">
        <f t="shared" si="18"/>
        <v>165000</v>
      </c>
      <c r="F20" s="145" t="s">
        <v>56</v>
      </c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 spans="1:28" ht="15.75" thickBot="1" x14ac:dyDescent="0.3">
      <c r="A21" s="11" t="s">
        <v>42</v>
      </c>
      <c r="B21" s="12">
        <f t="shared" si="17"/>
        <v>11</v>
      </c>
      <c r="C21" s="5">
        <v>90000</v>
      </c>
      <c r="D21" s="13">
        <f t="shared" si="18"/>
        <v>990000</v>
      </c>
      <c r="I21" s="35">
        <f>SUM(I4,I7,I10,I13,I16,I19)</f>
        <v>152141000</v>
      </c>
      <c r="J21" s="35">
        <f t="shared" ref="J21:AB21" si="28">SUM(J4,J7,J10,J13,J16,J19)</f>
        <v>150690000</v>
      </c>
      <c r="K21" s="35">
        <f t="shared" si="28"/>
        <v>150690000</v>
      </c>
      <c r="L21" s="35">
        <f t="shared" si="28"/>
        <v>108540000</v>
      </c>
      <c r="M21" s="35">
        <f t="shared" si="28"/>
        <v>55899600</v>
      </c>
      <c r="N21" s="35">
        <f t="shared" si="28"/>
        <v>57490776</v>
      </c>
      <c r="O21" s="35">
        <f t="shared" si="28"/>
        <v>59142166.560000002</v>
      </c>
      <c r="P21" s="35">
        <f t="shared" si="28"/>
        <v>60856679.433600001</v>
      </c>
      <c r="Q21" s="35">
        <f t="shared" si="28"/>
        <v>62637382.737216003</v>
      </c>
      <c r="R21" s="35">
        <f t="shared" si="28"/>
        <v>64487514.289800972</v>
      </c>
      <c r="S21" s="35">
        <f t="shared" si="28"/>
        <v>66410491.507308073</v>
      </c>
      <c r="T21" s="35">
        <f t="shared" si="28"/>
        <v>68409921.88506797</v>
      </c>
      <c r="U21" s="35">
        <f t="shared" si="28"/>
        <v>70489614.103239909</v>
      </c>
      <c r="V21" s="35">
        <f t="shared" si="28"/>
        <v>72653589.792603508</v>
      </c>
      <c r="W21" s="35">
        <f t="shared" si="28"/>
        <v>74906096.000192314</v>
      </c>
      <c r="X21" s="35">
        <f>SUM(X4,X7,X10,X13,X16,X19)</f>
        <v>77251618.396637097</v>
      </c>
      <c r="Y21" s="35">
        <f>SUM(Y4,Y7,Y10,Y13,Y16,Y19)</f>
        <v>79694895.269597232</v>
      </c>
      <c r="Z21" s="35">
        <f t="shared" si="28"/>
        <v>82240932.350318208</v>
      </c>
      <c r="AA21" s="35">
        <f t="shared" si="28"/>
        <v>84895018.523173347</v>
      </c>
      <c r="AB21" s="35">
        <f t="shared" si="28"/>
        <v>87662742.471036524</v>
      </c>
    </row>
    <row r="22" spans="1:28" x14ac:dyDescent="0.25">
      <c r="A22" s="140" t="s">
        <v>85</v>
      </c>
      <c r="B22" s="142"/>
      <c r="C22" s="6">
        <f>SUM(C14:C21)</f>
        <v>1130000</v>
      </c>
      <c r="D22" s="14">
        <f>SUM(D14:D21)</f>
        <v>12430000</v>
      </c>
    </row>
    <row r="23" spans="1:28" x14ac:dyDescent="0.25">
      <c r="A23" s="155" t="s">
        <v>44</v>
      </c>
      <c r="B23" s="155"/>
      <c r="C23" s="155"/>
      <c r="D23" s="155"/>
    </row>
    <row r="24" spans="1:28" x14ac:dyDescent="0.25">
      <c r="A24" s="7" t="s">
        <v>22</v>
      </c>
      <c r="B24" s="8" t="s">
        <v>27</v>
      </c>
      <c r="C24" s="8" t="s">
        <v>34</v>
      </c>
      <c r="D24" s="8" t="s">
        <v>43</v>
      </c>
    </row>
    <row r="25" spans="1:28" x14ac:dyDescent="0.25">
      <c r="A25" s="11" t="s">
        <v>45</v>
      </c>
      <c r="B25" s="9">
        <v>1</v>
      </c>
      <c r="C25" s="5">
        <v>220000</v>
      </c>
      <c r="D25" s="13">
        <f>C25*B25</f>
        <v>220000</v>
      </c>
    </row>
    <row r="26" spans="1:28" x14ac:dyDescent="0.25">
      <c r="A26" s="11" t="s">
        <v>176</v>
      </c>
      <c r="B26" s="9">
        <v>1</v>
      </c>
      <c r="C26" s="5">
        <v>3500000</v>
      </c>
      <c r="D26" s="13">
        <f t="shared" ref="D26" si="29">C26*B26</f>
        <v>3500000</v>
      </c>
    </row>
    <row r="27" spans="1:28" x14ac:dyDescent="0.25">
      <c r="A27" s="140" t="s">
        <v>85</v>
      </c>
      <c r="B27" s="142"/>
      <c r="C27" s="6">
        <f>SUM(C25:C26)</f>
        <v>3720000</v>
      </c>
      <c r="D27" s="14">
        <f>SUM(D25:D26)</f>
        <v>3720000</v>
      </c>
    </row>
    <row r="28" spans="1:28" x14ac:dyDescent="0.25">
      <c r="A28" s="155" t="s">
        <v>46</v>
      </c>
      <c r="B28" s="155"/>
      <c r="C28" s="155"/>
      <c r="D28" s="155"/>
    </row>
    <row r="29" spans="1:28" x14ac:dyDescent="0.25">
      <c r="A29" s="7" t="s">
        <v>22</v>
      </c>
      <c r="B29" s="8" t="s">
        <v>27</v>
      </c>
      <c r="C29" s="8" t="s">
        <v>34</v>
      </c>
      <c r="D29" s="8" t="s">
        <v>43</v>
      </c>
    </row>
    <row r="30" spans="1:28" x14ac:dyDescent="0.25">
      <c r="A30" s="11" t="s">
        <v>47</v>
      </c>
      <c r="B30" s="9">
        <v>1</v>
      </c>
      <c r="C30" s="5">
        <f>B41</f>
        <v>1451000</v>
      </c>
      <c r="D30" s="5">
        <f>C30*B30</f>
        <v>1451000</v>
      </c>
    </row>
    <row r="31" spans="1:28" x14ac:dyDescent="0.25">
      <c r="A31" s="140" t="s">
        <v>85</v>
      </c>
      <c r="B31" s="142"/>
      <c r="C31" s="6">
        <f>SUM(C29:C30)</f>
        <v>1451000</v>
      </c>
      <c r="D31" s="14">
        <f>SUM(D29:D30)</f>
        <v>1451000</v>
      </c>
    </row>
    <row r="32" spans="1:28" ht="15.75" thickBot="1" x14ac:dyDescent="0.3"/>
    <row r="33" spans="1:4" ht="15.75" thickBot="1" x14ac:dyDescent="0.3">
      <c r="A33" s="147" t="s">
        <v>117</v>
      </c>
      <c r="B33" s="148"/>
      <c r="C33" s="75"/>
      <c r="D33" s="75"/>
    </row>
    <row r="34" spans="1:4" x14ac:dyDescent="0.25">
      <c r="A34" s="48" t="s">
        <v>73</v>
      </c>
      <c r="B34" s="48" t="s">
        <v>23</v>
      </c>
      <c r="C34" s="43"/>
      <c r="D34" s="43"/>
    </row>
    <row r="35" spans="1:4" x14ac:dyDescent="0.25">
      <c r="A35" s="11" t="s">
        <v>118</v>
      </c>
      <c r="B35" s="13">
        <v>1288000</v>
      </c>
      <c r="C35" s="21"/>
      <c r="D35" s="21"/>
    </row>
    <row r="36" spans="1:4" x14ac:dyDescent="0.25">
      <c r="A36" s="11" t="s">
        <v>119</v>
      </c>
      <c r="B36" s="13">
        <v>30000</v>
      </c>
      <c r="C36" s="21"/>
      <c r="D36" s="21"/>
    </row>
    <row r="37" spans="1:4" x14ac:dyDescent="0.25">
      <c r="A37" s="11" t="s">
        <v>120</v>
      </c>
      <c r="B37" s="13">
        <v>69000</v>
      </c>
      <c r="C37" s="21"/>
      <c r="D37" s="21"/>
    </row>
    <row r="38" spans="1:4" x14ac:dyDescent="0.25">
      <c r="A38" s="11" t="s">
        <v>121</v>
      </c>
      <c r="B38" s="13">
        <v>64000</v>
      </c>
      <c r="C38" s="21"/>
      <c r="D38" s="21"/>
    </row>
    <row r="39" spans="1:4" x14ac:dyDescent="0.25">
      <c r="A39" s="11" t="s">
        <v>122</v>
      </c>
      <c r="B39" s="13" t="s">
        <v>54</v>
      </c>
      <c r="C39" s="21"/>
      <c r="D39" s="21"/>
    </row>
    <row r="40" spans="1:4" x14ac:dyDescent="0.25">
      <c r="A40" s="11" t="s">
        <v>123</v>
      </c>
      <c r="B40" s="13" t="s">
        <v>54</v>
      </c>
      <c r="C40" s="21"/>
      <c r="D40" s="21"/>
    </row>
    <row r="41" spans="1:4" x14ac:dyDescent="0.25">
      <c r="A41" s="10" t="s">
        <v>85</v>
      </c>
      <c r="B41" s="6">
        <f>SUM(B35:B38)</f>
        <v>1451000</v>
      </c>
      <c r="C41" s="21"/>
      <c r="D41" s="21"/>
    </row>
    <row r="42" spans="1:4" ht="15.75" thickBot="1" x14ac:dyDescent="0.3">
      <c r="C42" s="21"/>
      <c r="D42" s="21"/>
    </row>
    <row r="43" spans="1:4" ht="15.75" thickBot="1" x14ac:dyDescent="0.3">
      <c r="A43" s="147" t="s">
        <v>124</v>
      </c>
      <c r="B43" s="148"/>
    </row>
    <row r="44" spans="1:4" x14ac:dyDescent="0.25">
      <c r="A44" s="48" t="s">
        <v>73</v>
      </c>
      <c r="B44" s="48" t="s">
        <v>23</v>
      </c>
    </row>
    <row r="45" spans="1:4" x14ac:dyDescent="0.25">
      <c r="A45" s="11" t="s">
        <v>125</v>
      </c>
      <c r="B45" s="13">
        <f>'Inversión Inicial'!D17</f>
        <v>27300000</v>
      </c>
    </row>
    <row r="46" spans="1:4" x14ac:dyDescent="0.25">
      <c r="A46" s="11" t="s">
        <v>117</v>
      </c>
      <c r="B46" s="13">
        <f>B41</f>
        <v>1451000</v>
      </c>
    </row>
    <row r="47" spans="1:4" x14ac:dyDescent="0.25">
      <c r="A47" s="10" t="s">
        <v>85</v>
      </c>
      <c r="B47" s="6">
        <f>SUM(B45:B46)</f>
        <v>28751000</v>
      </c>
    </row>
  </sheetData>
  <mergeCells count="19">
    <mergeCell ref="F1:AB1"/>
    <mergeCell ref="F2:AB2"/>
    <mergeCell ref="F5:AB5"/>
    <mergeCell ref="F8:AB8"/>
    <mergeCell ref="A28:D28"/>
    <mergeCell ref="A27:B27"/>
    <mergeCell ref="A1:D1"/>
    <mergeCell ref="A2:D2"/>
    <mergeCell ref="A11:B11"/>
    <mergeCell ref="A12:D12"/>
    <mergeCell ref="A22:B22"/>
    <mergeCell ref="A23:D23"/>
    <mergeCell ref="F11:AB11"/>
    <mergeCell ref="F14:AB14"/>
    <mergeCell ref="F17:AB17"/>
    <mergeCell ref="F20:AB20"/>
    <mergeCell ref="A33:B33"/>
    <mergeCell ref="A43:B43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149F-9A8A-4C52-AFE5-81AF962EF674}">
  <dimension ref="A1:AB32"/>
  <sheetViews>
    <sheetView workbookViewId="0">
      <selection activeCell="L7" sqref="L7"/>
    </sheetView>
  </sheetViews>
  <sheetFormatPr baseColWidth="10" defaultRowHeight="15" x14ac:dyDescent="0.25"/>
  <cols>
    <col min="1" max="1" width="30.42578125" customWidth="1"/>
    <col min="2" max="2" width="17.140625" customWidth="1"/>
    <col min="3" max="3" width="18.5703125" customWidth="1"/>
    <col min="4" max="4" width="18.28515625" customWidth="1"/>
    <col min="5" max="5" width="19.42578125" customWidth="1"/>
    <col min="6" max="6" width="18.140625" customWidth="1"/>
    <col min="8" max="8" width="48.85546875" customWidth="1"/>
    <col min="9" max="28" width="14.28515625" customWidth="1"/>
  </cols>
  <sheetData>
    <row r="1" spans="1:28" s="2" customFormat="1" ht="15.75" thickBot="1" x14ac:dyDescent="0.3">
      <c r="A1" s="168" t="s">
        <v>77</v>
      </c>
      <c r="B1" s="169"/>
      <c r="C1" s="169"/>
      <c r="D1" s="169"/>
      <c r="E1" s="169"/>
      <c r="F1" s="170"/>
      <c r="H1" s="172" t="s">
        <v>87</v>
      </c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spans="1:28" x14ac:dyDescent="0.25">
      <c r="A2" s="161" t="s">
        <v>72</v>
      </c>
      <c r="B2" s="161"/>
      <c r="C2" s="161"/>
      <c r="D2" s="161"/>
      <c r="E2" s="161"/>
      <c r="F2" s="161"/>
      <c r="H2" s="174" t="s">
        <v>151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</row>
    <row r="3" spans="1:28" x14ac:dyDescent="0.25">
      <c r="A3" s="171" t="s">
        <v>73</v>
      </c>
      <c r="B3" s="171"/>
      <c r="C3" s="8" t="s">
        <v>27</v>
      </c>
      <c r="D3" s="8" t="s">
        <v>52</v>
      </c>
      <c r="E3" s="8" t="s">
        <v>84</v>
      </c>
      <c r="F3" s="8" t="s">
        <v>74</v>
      </c>
      <c r="H3" s="18" t="s">
        <v>88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64</v>
      </c>
      <c r="Q3" s="3" t="s">
        <v>65</v>
      </c>
      <c r="R3" s="3" t="s">
        <v>66</v>
      </c>
      <c r="S3" s="3" t="s">
        <v>67</v>
      </c>
      <c r="T3" s="3" t="s">
        <v>68</v>
      </c>
      <c r="U3" s="3" t="s">
        <v>186</v>
      </c>
      <c r="V3" s="3" t="s">
        <v>187</v>
      </c>
      <c r="W3" s="3" t="s">
        <v>188</v>
      </c>
      <c r="X3" s="3" t="s">
        <v>189</v>
      </c>
      <c r="Y3" s="3" t="s">
        <v>195</v>
      </c>
      <c r="Z3" s="3" t="s">
        <v>196</v>
      </c>
      <c r="AA3" s="3" t="s">
        <v>197</v>
      </c>
      <c r="AB3" s="3" t="s">
        <v>198</v>
      </c>
    </row>
    <row r="4" spans="1:28" x14ac:dyDescent="0.25">
      <c r="A4" s="160" t="s">
        <v>76</v>
      </c>
      <c r="B4" s="160"/>
      <c r="C4" s="9" t="s">
        <v>54</v>
      </c>
      <c r="D4" s="5">
        <v>0</v>
      </c>
      <c r="E4" s="13">
        <f>D4*3</f>
        <v>0</v>
      </c>
      <c r="F4" s="13">
        <f>D4*12</f>
        <v>0</v>
      </c>
      <c r="H4" s="67" t="s">
        <v>89</v>
      </c>
      <c r="I4" s="59">
        <v>1.2800000000000001E-2</v>
      </c>
      <c r="J4" s="59">
        <v>1.2800000000000001E-2</v>
      </c>
      <c r="K4" s="59">
        <v>1.2800000000000001E-2</v>
      </c>
      <c r="L4" s="59">
        <v>1.2800000000000001E-2</v>
      </c>
      <c r="M4" s="60">
        <v>1.1299999999999999E-2</v>
      </c>
      <c r="N4" s="60">
        <v>1.1299999999999999E-2</v>
      </c>
      <c r="O4" s="60">
        <v>1.1299999999999999E-2</v>
      </c>
      <c r="P4" s="60">
        <v>1.1299999999999999E-2</v>
      </c>
      <c r="Q4" s="60">
        <v>0.01</v>
      </c>
      <c r="R4" s="60">
        <v>0.01</v>
      </c>
      <c r="S4" s="60">
        <v>0.01</v>
      </c>
      <c r="T4" s="60">
        <v>0.01</v>
      </c>
      <c r="U4" s="60">
        <v>8.9999999999999993E-3</v>
      </c>
      <c r="V4" s="60">
        <v>8.9999999999999993E-3</v>
      </c>
      <c r="W4" s="60">
        <v>8.9999999999999993E-3</v>
      </c>
      <c r="X4" s="60">
        <v>8.9999999999999993E-3</v>
      </c>
      <c r="Y4" s="60">
        <v>8.0999999999999996E-3</v>
      </c>
      <c r="Z4" s="60">
        <v>8.0999999999999996E-3</v>
      </c>
      <c r="AA4" s="60">
        <v>8.0999999999999996E-3</v>
      </c>
      <c r="AB4" s="60">
        <v>8.0999999999999996E-3</v>
      </c>
    </row>
    <row r="5" spans="1:28" x14ac:dyDescent="0.25">
      <c r="A5" s="160" t="s">
        <v>83</v>
      </c>
      <c r="B5" s="160"/>
      <c r="C5" s="9" t="s">
        <v>54</v>
      </c>
      <c r="D5" s="5">
        <v>30000</v>
      </c>
      <c r="E5" s="13">
        <f t="shared" ref="E5:E6" si="0">D5*3</f>
        <v>90000</v>
      </c>
      <c r="F5" s="13">
        <f>D5*12</f>
        <v>360000</v>
      </c>
      <c r="H5" s="68" t="s">
        <v>90</v>
      </c>
      <c r="I5" s="62"/>
      <c r="J5" s="62"/>
      <c r="K5" s="62"/>
      <c r="L5" s="63"/>
      <c r="M5" s="64">
        <v>5.2499999999999998E-2</v>
      </c>
      <c r="N5" s="64">
        <v>4.4999999999999998E-2</v>
      </c>
      <c r="O5" s="64">
        <v>0.04</v>
      </c>
      <c r="P5" s="64">
        <v>4.2000000000000003E-2</v>
      </c>
      <c r="Q5" s="64">
        <v>4.4999999999999998E-2</v>
      </c>
      <c r="R5" s="64">
        <v>4.8000000000000001E-2</v>
      </c>
      <c r="S5" s="64">
        <v>5.1999999999999998E-2</v>
      </c>
      <c r="T5" s="64">
        <v>5.7000000000000002E-2</v>
      </c>
      <c r="U5" s="64">
        <v>6.3E-2</v>
      </c>
      <c r="V5" s="64">
        <v>7.0000000000000007E-2</v>
      </c>
      <c r="W5" s="64">
        <v>7.8E-2</v>
      </c>
      <c r="X5" s="64">
        <v>8.6999999999999994E-2</v>
      </c>
      <c r="Y5" s="64">
        <v>9.7000000000000003E-2</v>
      </c>
      <c r="Z5" s="64">
        <v>0.108</v>
      </c>
      <c r="AA5" s="64">
        <v>0.12</v>
      </c>
      <c r="AB5" s="64">
        <v>0.13300000000000001</v>
      </c>
    </row>
    <row r="6" spans="1:28" x14ac:dyDescent="0.25">
      <c r="A6" s="160" t="s">
        <v>75</v>
      </c>
      <c r="B6" s="160"/>
      <c r="C6" s="9" t="s">
        <v>54</v>
      </c>
      <c r="D6" s="5">
        <v>300</v>
      </c>
      <c r="E6" s="13">
        <f t="shared" si="0"/>
        <v>900</v>
      </c>
      <c r="F6" s="13">
        <f>D6*12</f>
        <v>3600</v>
      </c>
      <c r="H6" s="68" t="s">
        <v>92</v>
      </c>
      <c r="I6" s="65"/>
      <c r="J6" s="65"/>
      <c r="K6" s="65"/>
      <c r="L6" s="64">
        <f>SUM(L4:L5)</f>
        <v>1.2800000000000001E-2</v>
      </c>
      <c r="M6" s="64">
        <f t="shared" ref="M6:T6" si="1">SUM(M4:M5)</f>
        <v>6.3799999999999996E-2</v>
      </c>
      <c r="N6" s="64">
        <f t="shared" si="1"/>
        <v>5.6299999999999996E-2</v>
      </c>
      <c r="O6" s="64">
        <f t="shared" si="1"/>
        <v>5.1299999999999998E-2</v>
      </c>
      <c r="P6" s="64">
        <f t="shared" si="1"/>
        <v>5.33E-2</v>
      </c>
      <c r="Q6" s="64">
        <f t="shared" si="1"/>
        <v>5.5E-2</v>
      </c>
      <c r="R6" s="64">
        <f t="shared" si="1"/>
        <v>5.8000000000000003E-2</v>
      </c>
      <c r="S6" s="64">
        <f t="shared" si="1"/>
        <v>6.2E-2</v>
      </c>
      <c r="T6" s="64">
        <f t="shared" si="1"/>
        <v>6.7000000000000004E-2</v>
      </c>
      <c r="U6" s="64">
        <f t="shared" ref="U6:AB6" si="2">SUM(U4:U5)</f>
        <v>7.1999999999999995E-2</v>
      </c>
      <c r="V6" s="64">
        <f t="shared" si="2"/>
        <v>7.9000000000000001E-2</v>
      </c>
      <c r="W6" s="64">
        <f t="shared" si="2"/>
        <v>8.6999999999999994E-2</v>
      </c>
      <c r="X6" s="64">
        <f t="shared" si="2"/>
        <v>9.5999999999999988E-2</v>
      </c>
      <c r="Y6" s="64">
        <f t="shared" si="2"/>
        <v>0.1051</v>
      </c>
      <c r="Z6" s="64">
        <f t="shared" si="2"/>
        <v>0.11609999999999999</v>
      </c>
      <c r="AA6" s="64">
        <f t="shared" si="2"/>
        <v>0.12809999999999999</v>
      </c>
      <c r="AB6" s="64">
        <f t="shared" si="2"/>
        <v>0.1411</v>
      </c>
    </row>
    <row r="7" spans="1:28" x14ac:dyDescent="0.25">
      <c r="A7" s="163" t="s">
        <v>78</v>
      </c>
      <c r="B7" s="163"/>
      <c r="C7" s="163"/>
      <c r="D7" s="163"/>
      <c r="E7" s="163"/>
      <c r="F7" s="163"/>
      <c r="H7" s="66" t="s">
        <v>91</v>
      </c>
      <c r="I7" s="30"/>
      <c r="J7" s="31"/>
      <c r="K7" s="31"/>
      <c r="L7" s="39">
        <f>((E12/3)*2)*(1+L6)</f>
        <v>54691199.999999993</v>
      </c>
      <c r="M7" s="56">
        <f>E12*(1+M6+L6)</f>
        <v>87204600</v>
      </c>
      <c r="N7" s="56">
        <f>M7*(1+N6)</f>
        <v>92114218.980000004</v>
      </c>
      <c r="O7" s="56">
        <f t="shared" ref="O7:T7" si="3">N7*(1+O6)</f>
        <v>96839678.413673997</v>
      </c>
      <c r="P7" s="56">
        <f t="shared" si="3"/>
        <v>102001233.27312282</v>
      </c>
      <c r="Q7" s="56">
        <f t="shared" si="3"/>
        <v>107611301.10314457</v>
      </c>
      <c r="R7" s="56">
        <f t="shared" si="3"/>
        <v>113852756.56712696</v>
      </c>
      <c r="S7" s="56">
        <f t="shared" si="3"/>
        <v>120911627.47428884</v>
      </c>
      <c r="T7" s="56">
        <f t="shared" si="3"/>
        <v>129012706.51506618</v>
      </c>
      <c r="U7" s="56">
        <f t="shared" ref="U7" si="4">T7*(1+U6)</f>
        <v>138301621.38415095</v>
      </c>
      <c r="V7" s="56">
        <f t="shared" ref="V7" si="5">U7*(1+V6)</f>
        <v>149227449.47349888</v>
      </c>
      <c r="W7" s="56">
        <f t="shared" ref="W7" si="6">V7*(1+W6)</f>
        <v>162210237.57769328</v>
      </c>
      <c r="X7" s="56">
        <f t="shared" ref="X7" si="7">W7*(1+X6)</f>
        <v>177782420.38515186</v>
      </c>
      <c r="Y7" s="56">
        <f t="shared" ref="Y7" si="8">X7*(1+Y6)</f>
        <v>196467352.76763132</v>
      </c>
      <c r="Z7" s="56">
        <f t="shared" ref="Z7" si="9">Y7*(1+Z6)</f>
        <v>219277212.42395332</v>
      </c>
      <c r="AA7" s="56">
        <f t="shared" ref="AA7" si="10">Z7*(1+AA6)</f>
        <v>247366623.33546171</v>
      </c>
      <c r="AB7" s="56">
        <f t="shared" ref="AB7" si="11">AA7*(1+AB6)</f>
        <v>282270053.88809538</v>
      </c>
    </row>
    <row r="8" spans="1:28" x14ac:dyDescent="0.25">
      <c r="A8" s="7" t="s">
        <v>79</v>
      </c>
      <c r="B8" s="8" t="s">
        <v>52</v>
      </c>
      <c r="C8" s="8" t="s">
        <v>80</v>
      </c>
      <c r="D8" s="8" t="s">
        <v>81</v>
      </c>
      <c r="E8" s="8" t="s">
        <v>86</v>
      </c>
      <c r="F8" s="8" t="s">
        <v>82</v>
      </c>
      <c r="G8" s="47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</row>
    <row r="9" spans="1:28" x14ac:dyDescent="0.25">
      <c r="A9" s="40" t="s">
        <v>76</v>
      </c>
      <c r="B9" s="16">
        <f>D4</f>
        <v>0</v>
      </c>
      <c r="C9" s="50">
        <v>9000</v>
      </c>
      <c r="D9" s="51">
        <f>B9*$C$9</f>
        <v>0</v>
      </c>
      <c r="E9" s="13">
        <f t="shared" ref="E9:E11" si="12">D9*3</f>
        <v>0</v>
      </c>
      <c r="F9" s="51">
        <f>D9*12</f>
        <v>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43"/>
      <c r="V9" s="43"/>
      <c r="W9" s="43"/>
      <c r="X9" s="43"/>
    </row>
    <row r="10" spans="1:28" x14ac:dyDescent="0.25">
      <c r="A10" s="49" t="s">
        <v>83</v>
      </c>
      <c r="B10" s="16">
        <f>D5</f>
        <v>30000</v>
      </c>
      <c r="C10" s="50">
        <f>C9*0.09</f>
        <v>810</v>
      </c>
      <c r="D10" s="51">
        <f>B10*$C$10</f>
        <v>24300000</v>
      </c>
      <c r="E10" s="13">
        <f t="shared" si="12"/>
        <v>72900000</v>
      </c>
      <c r="F10" s="51">
        <f>D10*12</f>
        <v>291600000</v>
      </c>
      <c r="H10" s="22"/>
      <c r="I10" s="57"/>
      <c r="J10" s="57"/>
      <c r="K10" s="57"/>
      <c r="L10" s="57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8" x14ac:dyDescent="0.25">
      <c r="A11" s="49" t="s">
        <v>75</v>
      </c>
      <c r="B11" s="5">
        <v>300</v>
      </c>
      <c r="C11" s="50">
        <f>C9</f>
        <v>9000</v>
      </c>
      <c r="D11" s="51">
        <f>B11*$C$11</f>
        <v>2700000</v>
      </c>
      <c r="E11" s="13">
        <f t="shared" si="12"/>
        <v>8100000</v>
      </c>
      <c r="F11" s="51">
        <f>D11*12</f>
        <v>32400000</v>
      </c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</row>
    <row r="12" spans="1:28" x14ac:dyDescent="0.25">
      <c r="A12" s="167" t="s">
        <v>85</v>
      </c>
      <c r="B12" s="167"/>
      <c r="C12" s="54">
        <f>SUM(C10:C11)</f>
        <v>9810</v>
      </c>
      <c r="D12" s="55">
        <f>SUM(D9:D11)</f>
        <v>27000000</v>
      </c>
      <c r="E12" s="55">
        <f t="shared" ref="E12:F12" si="13">SUM(E9:E11)</f>
        <v>81000000</v>
      </c>
      <c r="F12" s="56">
        <f t="shared" si="13"/>
        <v>324000000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43"/>
      <c r="V12" s="43"/>
      <c r="W12" s="43"/>
      <c r="X12" s="43"/>
    </row>
    <row r="13" spans="1:28" ht="15.75" thickBot="1" x14ac:dyDescent="0.3">
      <c r="A13" s="45"/>
      <c r="B13" s="19"/>
      <c r="C13" s="19"/>
      <c r="D13" s="19"/>
      <c r="E13" s="19"/>
      <c r="H13" s="22"/>
      <c r="I13" s="57"/>
      <c r="J13" s="21"/>
      <c r="K13" s="21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</row>
    <row r="14" spans="1:28" ht="15.75" thickBot="1" x14ac:dyDescent="0.3">
      <c r="A14" s="165" t="s">
        <v>126</v>
      </c>
      <c r="B14" s="166"/>
      <c r="C14" s="22"/>
      <c r="D14" s="42"/>
      <c r="E14" s="42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</row>
    <row r="15" spans="1:28" x14ac:dyDescent="0.25">
      <c r="A15" s="7" t="s">
        <v>73</v>
      </c>
      <c r="B15" s="48" t="s">
        <v>23</v>
      </c>
      <c r="C15" s="22"/>
      <c r="D15" s="42"/>
      <c r="E15" s="42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43"/>
      <c r="V15" s="43"/>
      <c r="W15" s="43"/>
      <c r="X15" s="43"/>
    </row>
    <row r="16" spans="1:28" x14ac:dyDescent="0.25">
      <c r="A16" s="79" t="s">
        <v>128</v>
      </c>
      <c r="B16" s="80">
        <f>'Costos de Operación Gravables'!$B$47*0.65</f>
        <v>18688150</v>
      </c>
      <c r="C16" s="22"/>
      <c r="D16" s="42"/>
      <c r="E16" s="42"/>
      <c r="H16" s="22"/>
      <c r="I16" s="57"/>
      <c r="J16" s="21"/>
      <c r="K16" s="21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</row>
    <row r="17" spans="1:24" x14ac:dyDescent="0.25">
      <c r="A17" s="79" t="s">
        <v>127</v>
      </c>
      <c r="B17" s="80">
        <f>'Costos de Operación Gravables'!$B$47*0.35</f>
        <v>10062850</v>
      </c>
      <c r="C17" s="22"/>
      <c r="D17" s="42"/>
      <c r="E17" s="42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</row>
    <row r="18" spans="1:24" x14ac:dyDescent="0.25">
      <c r="A18" s="17" t="s">
        <v>85</v>
      </c>
      <c r="B18" s="81">
        <f>SUM(B16:B17)</f>
        <v>28751000</v>
      </c>
      <c r="C18" s="22"/>
      <c r="D18" s="42"/>
      <c r="E18" s="42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43"/>
      <c r="V18" s="43"/>
      <c r="W18" s="43"/>
      <c r="X18" s="43"/>
    </row>
    <row r="19" spans="1:24" x14ac:dyDescent="0.25">
      <c r="A19" s="21"/>
      <c r="B19" s="46"/>
      <c r="C19" s="22"/>
      <c r="D19" s="42"/>
      <c r="E19" s="42"/>
      <c r="H19" s="22"/>
      <c r="I19" s="57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x14ac:dyDescent="0.25">
      <c r="A20" s="21"/>
      <c r="B20" s="46"/>
      <c r="C20" s="22"/>
      <c r="D20" s="42"/>
      <c r="E20" s="42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</row>
    <row r="21" spans="1:24" x14ac:dyDescent="0.25">
      <c r="A21" s="21"/>
      <c r="B21" s="46"/>
      <c r="C21" s="22"/>
      <c r="D21" s="42"/>
      <c r="E21" s="42"/>
      <c r="H21" s="21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x14ac:dyDescent="0.25">
      <c r="A22" s="58"/>
      <c r="B22" s="58"/>
      <c r="C22" s="23"/>
      <c r="D22" s="44"/>
      <c r="E22" s="44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x14ac:dyDescent="0.25">
      <c r="A23" s="25"/>
      <c r="B23" s="25"/>
      <c r="C23" s="25"/>
      <c r="D23" s="25"/>
      <c r="E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x14ac:dyDescent="0.25">
      <c r="A24" s="45"/>
      <c r="B24" s="19"/>
      <c r="C24" s="19"/>
      <c r="D24" s="19"/>
      <c r="E24" s="19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x14ac:dyDescent="0.25">
      <c r="A25" s="21"/>
      <c r="B25" s="41"/>
      <c r="C25" s="22"/>
      <c r="D25" s="42"/>
      <c r="E25" s="42"/>
    </row>
    <row r="26" spans="1:24" x14ac:dyDescent="0.25">
      <c r="A26" s="21"/>
      <c r="B26" s="41"/>
      <c r="C26" s="22"/>
      <c r="D26" s="42"/>
      <c r="E26" s="42"/>
    </row>
    <row r="27" spans="1:24" x14ac:dyDescent="0.25">
      <c r="A27" s="58"/>
      <c r="B27" s="58"/>
      <c r="C27" s="23"/>
      <c r="D27" s="44"/>
      <c r="E27" s="44"/>
    </row>
    <row r="28" spans="1:24" x14ac:dyDescent="0.25">
      <c r="A28" s="25"/>
      <c r="B28" s="25"/>
      <c r="C28" s="25"/>
      <c r="D28" s="25"/>
      <c r="E28" s="20"/>
    </row>
    <row r="29" spans="1:24" x14ac:dyDescent="0.25">
      <c r="A29" s="45"/>
      <c r="B29" s="19"/>
      <c r="C29" s="19"/>
      <c r="D29" s="19"/>
      <c r="E29" s="19"/>
    </row>
    <row r="30" spans="1:24" x14ac:dyDescent="0.25">
      <c r="A30" s="21"/>
      <c r="B30" s="41"/>
      <c r="C30" s="22"/>
      <c r="D30" s="22"/>
      <c r="E30" s="22"/>
    </row>
    <row r="31" spans="1:24" x14ac:dyDescent="0.25">
      <c r="A31" s="162"/>
      <c r="B31" s="162"/>
      <c r="C31" s="23"/>
      <c r="D31" s="44"/>
      <c r="E31" s="44"/>
    </row>
    <row r="32" spans="1:24" x14ac:dyDescent="0.25">
      <c r="A32" s="21"/>
      <c r="B32" s="21"/>
      <c r="C32" s="21"/>
      <c r="D32" s="21"/>
      <c r="E32" s="21"/>
    </row>
  </sheetData>
  <mergeCells count="17">
    <mergeCell ref="H8:T8"/>
    <mergeCell ref="A1:F1"/>
    <mergeCell ref="A3:B3"/>
    <mergeCell ref="A4:B4"/>
    <mergeCell ref="H1:AB1"/>
    <mergeCell ref="H2:AB2"/>
    <mergeCell ref="H11:T11"/>
    <mergeCell ref="H14:T14"/>
    <mergeCell ref="H17:T17"/>
    <mergeCell ref="H20:T20"/>
    <mergeCell ref="A14:B14"/>
    <mergeCell ref="A12:B12"/>
    <mergeCell ref="A5:B5"/>
    <mergeCell ref="A6:B6"/>
    <mergeCell ref="A2:F2"/>
    <mergeCell ref="A31:B31"/>
    <mergeCell ref="A7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C4F0-5BFC-482F-89B6-94882D93CCD7}">
  <dimension ref="A1:P53"/>
  <sheetViews>
    <sheetView topLeftCell="A13" workbookViewId="0">
      <selection activeCell="G35" sqref="G35"/>
    </sheetView>
  </sheetViews>
  <sheetFormatPr baseColWidth="10" defaultRowHeight="15" x14ac:dyDescent="0.25"/>
  <cols>
    <col min="1" max="1" width="50" customWidth="1"/>
    <col min="2" max="2" width="27.140625" customWidth="1"/>
    <col min="4" max="4" width="20.28515625" style="21" customWidth="1"/>
    <col min="5" max="16" width="14.28515625" style="21" customWidth="1"/>
  </cols>
  <sheetData>
    <row r="1" spans="1:16" s="2" customFormat="1" ht="15.75" thickBot="1" x14ac:dyDescent="0.3">
      <c r="A1" s="178" t="s">
        <v>93</v>
      </c>
      <c r="B1" s="179"/>
      <c r="D1" s="176" t="s">
        <v>98</v>
      </c>
      <c r="E1" s="177"/>
      <c r="F1" s="177"/>
      <c r="G1" s="177"/>
      <c r="H1" s="177"/>
      <c r="I1" s="177"/>
      <c r="J1" s="75"/>
      <c r="K1" s="75"/>
      <c r="L1" s="75"/>
      <c r="M1" s="75"/>
      <c r="N1" s="75"/>
      <c r="O1" s="75"/>
      <c r="P1" s="75"/>
    </row>
    <row r="2" spans="1:16" x14ac:dyDescent="0.25">
      <c r="A2" s="180" t="s">
        <v>97</v>
      </c>
      <c r="B2" s="180"/>
      <c r="D2" s="76" t="s">
        <v>99</v>
      </c>
      <c r="E2" s="76" t="s">
        <v>100</v>
      </c>
      <c r="F2" s="76" t="s">
        <v>101</v>
      </c>
      <c r="G2" s="76" t="s">
        <v>102</v>
      </c>
      <c r="H2" s="76" t="s">
        <v>106</v>
      </c>
      <c r="I2" s="76" t="s">
        <v>104</v>
      </c>
      <c r="J2" s="58"/>
      <c r="K2" s="58"/>
      <c r="L2" s="58"/>
      <c r="M2" s="58"/>
      <c r="N2" s="58"/>
      <c r="O2" s="58"/>
      <c r="P2" s="58"/>
    </row>
    <row r="3" spans="1:16" x14ac:dyDescent="0.25">
      <c r="A3" s="70" t="s">
        <v>73</v>
      </c>
      <c r="B3" s="8" t="s">
        <v>27</v>
      </c>
      <c r="D3" s="3" t="s">
        <v>103</v>
      </c>
      <c r="E3" s="24">
        <f>B4</f>
        <v>82095000</v>
      </c>
      <c r="F3" s="24">
        <v>0</v>
      </c>
      <c r="G3" s="24">
        <v>0</v>
      </c>
      <c r="H3" s="24">
        <v>0</v>
      </c>
      <c r="I3" s="38">
        <f>E3</f>
        <v>82095000</v>
      </c>
      <c r="J3" s="19"/>
      <c r="K3" s="19"/>
      <c r="L3" s="19"/>
      <c r="M3" s="19"/>
      <c r="N3" s="19"/>
      <c r="O3" s="19"/>
      <c r="P3" s="19"/>
    </row>
    <row r="4" spans="1:16" x14ac:dyDescent="0.25">
      <c r="A4" s="49" t="s">
        <v>94</v>
      </c>
      <c r="B4" s="5">
        <f>'Inversión Inicial'!B9*0.65</f>
        <v>82095000</v>
      </c>
      <c r="D4" s="3" t="s">
        <v>57</v>
      </c>
      <c r="E4" s="24">
        <f>I3</f>
        <v>82095000</v>
      </c>
      <c r="F4" s="24">
        <f>E4*$B$7</f>
        <v>3415152</v>
      </c>
      <c r="G4" s="24">
        <f>$B$8</f>
        <v>7128803</v>
      </c>
      <c r="H4" s="24">
        <f>G4-F4</f>
        <v>3713651</v>
      </c>
      <c r="I4" s="38">
        <f t="shared" ref="I4:I19" si="0">E4-H4</f>
        <v>78381349</v>
      </c>
      <c r="J4" s="74"/>
      <c r="K4" s="74"/>
      <c r="L4" s="74"/>
      <c r="M4" s="74"/>
      <c r="N4" s="74"/>
      <c r="O4" s="74"/>
      <c r="P4" s="74"/>
    </row>
    <row r="5" spans="1:16" x14ac:dyDescent="0.25">
      <c r="A5" s="49" t="s">
        <v>95</v>
      </c>
      <c r="B5" s="5">
        <v>0</v>
      </c>
      <c r="D5" s="3" t="s">
        <v>58</v>
      </c>
      <c r="E5" s="24">
        <f>I4</f>
        <v>78381349</v>
      </c>
      <c r="F5" s="24">
        <f>E5*$B$7</f>
        <v>3260664.1184</v>
      </c>
      <c r="G5" s="24">
        <f t="shared" ref="G5:G14" si="1">$B$8</f>
        <v>7128803</v>
      </c>
      <c r="H5" s="24">
        <f t="shared" ref="H5:H19" si="2">G5-F5</f>
        <v>3868138.8816</v>
      </c>
      <c r="I5" s="38">
        <f t="shared" si="0"/>
        <v>74513210.118400007</v>
      </c>
      <c r="J5" s="61"/>
      <c r="K5" s="61"/>
      <c r="L5" s="61"/>
      <c r="M5" s="61"/>
      <c r="N5" s="61"/>
      <c r="O5" s="61"/>
      <c r="P5" s="61"/>
    </row>
    <row r="6" spans="1:16" x14ac:dyDescent="0.25">
      <c r="A6" s="49" t="s">
        <v>96</v>
      </c>
      <c r="B6" s="9" t="s">
        <v>190</v>
      </c>
      <c r="D6" s="3" t="s">
        <v>59</v>
      </c>
      <c r="E6" s="24">
        <f t="shared" ref="E6:E19" si="3">I5</f>
        <v>74513210.118400007</v>
      </c>
      <c r="F6" s="24">
        <f t="shared" ref="F6:F19" si="4">E6*$B$7</f>
        <v>3099749.5409254404</v>
      </c>
      <c r="G6" s="24">
        <f t="shared" si="1"/>
        <v>7128803</v>
      </c>
      <c r="H6" s="24">
        <f t="shared" si="2"/>
        <v>4029053.4590745596</v>
      </c>
      <c r="I6" s="38">
        <f t="shared" si="0"/>
        <v>70484156.659325451</v>
      </c>
      <c r="J6" s="61"/>
      <c r="K6" s="61"/>
      <c r="L6" s="61"/>
      <c r="M6" s="61"/>
      <c r="N6" s="61"/>
      <c r="O6" s="61"/>
      <c r="P6" s="61"/>
    </row>
    <row r="7" spans="1:16" x14ac:dyDescent="0.25">
      <c r="A7" s="49" t="s">
        <v>105</v>
      </c>
      <c r="B7" s="69">
        <v>4.1599999999999998E-2</v>
      </c>
      <c r="D7" s="3" t="s">
        <v>60</v>
      </c>
      <c r="E7" s="24">
        <f t="shared" si="3"/>
        <v>70484156.659325451</v>
      </c>
      <c r="F7" s="24">
        <f t="shared" si="4"/>
        <v>2932140.9170279386</v>
      </c>
      <c r="G7" s="24">
        <f t="shared" si="1"/>
        <v>7128803</v>
      </c>
      <c r="H7" s="24">
        <f t="shared" si="2"/>
        <v>4196662.0829720609</v>
      </c>
      <c r="I7" s="38">
        <f t="shared" si="0"/>
        <v>66287494.576353386</v>
      </c>
      <c r="J7" s="61"/>
      <c r="K7" s="61"/>
      <c r="L7" s="61"/>
      <c r="M7" s="61"/>
      <c r="N7" s="61"/>
      <c r="O7" s="61"/>
      <c r="P7" s="61"/>
    </row>
    <row r="8" spans="1:16" x14ac:dyDescent="0.25">
      <c r="A8" s="49" t="s">
        <v>107</v>
      </c>
      <c r="B8" s="5">
        <v>7128803</v>
      </c>
      <c r="D8" s="3" t="s">
        <v>61</v>
      </c>
      <c r="E8" s="24">
        <f t="shared" si="3"/>
        <v>66287494.576353386</v>
      </c>
      <c r="F8" s="24">
        <f t="shared" si="4"/>
        <v>2757559.7743763006</v>
      </c>
      <c r="G8" s="24">
        <f t="shared" si="1"/>
        <v>7128803</v>
      </c>
      <c r="H8" s="24">
        <f t="shared" si="2"/>
        <v>4371243.2256236989</v>
      </c>
      <c r="I8" s="38">
        <f t="shared" si="0"/>
        <v>61916251.350729689</v>
      </c>
    </row>
    <row r="9" spans="1:16" x14ac:dyDescent="0.25">
      <c r="A9" s="45"/>
      <c r="B9" s="19"/>
      <c r="C9" s="71"/>
      <c r="D9" s="3" t="s">
        <v>62</v>
      </c>
      <c r="E9" s="24">
        <f t="shared" si="3"/>
        <v>61916251.350729689</v>
      </c>
      <c r="F9" s="24">
        <f t="shared" si="4"/>
        <v>2575716.0561903547</v>
      </c>
      <c r="G9" s="24">
        <f t="shared" si="1"/>
        <v>7128803</v>
      </c>
      <c r="H9" s="24">
        <f t="shared" si="2"/>
        <v>4553086.9438096453</v>
      </c>
      <c r="I9" s="38">
        <f t="shared" si="0"/>
        <v>57363164.406920046</v>
      </c>
      <c r="J9" s="25"/>
      <c r="K9" s="25"/>
      <c r="L9" s="25"/>
      <c r="M9" s="25"/>
      <c r="N9" s="25"/>
      <c r="O9" s="25"/>
      <c r="P9" s="25"/>
    </row>
    <row r="10" spans="1:16" x14ac:dyDescent="0.25">
      <c r="A10" s="40"/>
      <c r="B10" s="72"/>
      <c r="D10" s="3" t="s">
        <v>63</v>
      </c>
      <c r="E10" s="24">
        <f t="shared" si="3"/>
        <v>57363164.406920046</v>
      </c>
      <c r="F10" s="24">
        <f t="shared" si="4"/>
        <v>2386307.6393278739</v>
      </c>
      <c r="G10" s="24">
        <f t="shared" si="1"/>
        <v>7128803</v>
      </c>
      <c r="H10" s="24">
        <f t="shared" si="2"/>
        <v>4742495.3606721256</v>
      </c>
      <c r="I10" s="38">
        <f t="shared" si="0"/>
        <v>52620669.046247922</v>
      </c>
      <c r="J10" s="19"/>
      <c r="K10" s="19"/>
      <c r="L10" s="19"/>
      <c r="M10" s="19"/>
      <c r="N10" s="19"/>
      <c r="O10" s="19"/>
      <c r="P10" s="19"/>
    </row>
    <row r="11" spans="1:16" x14ac:dyDescent="0.25">
      <c r="A11" s="73"/>
      <c r="B11" s="72"/>
      <c r="D11" s="3" t="s">
        <v>64</v>
      </c>
      <c r="E11" s="24">
        <f t="shared" si="3"/>
        <v>52620669.046247922</v>
      </c>
      <c r="F11" s="24">
        <f t="shared" si="4"/>
        <v>2189019.8323239135</v>
      </c>
      <c r="G11" s="24">
        <f t="shared" si="1"/>
        <v>7128803</v>
      </c>
      <c r="H11" s="24">
        <f t="shared" si="2"/>
        <v>4939783.1676760865</v>
      </c>
      <c r="I11" s="38">
        <f t="shared" si="0"/>
        <v>47680885.878571838</v>
      </c>
    </row>
    <row r="12" spans="1:16" x14ac:dyDescent="0.25">
      <c r="A12" s="73"/>
      <c r="B12" s="72"/>
      <c r="D12" s="3" t="s">
        <v>65</v>
      </c>
      <c r="E12" s="24">
        <f t="shared" si="3"/>
        <v>47680885.878571838</v>
      </c>
      <c r="F12" s="24">
        <f t="shared" si="4"/>
        <v>1983524.8525485883</v>
      </c>
      <c r="G12" s="24">
        <f t="shared" si="1"/>
        <v>7128803</v>
      </c>
      <c r="H12" s="24">
        <f t="shared" si="2"/>
        <v>5145278.1474514119</v>
      </c>
      <c r="I12" s="38">
        <f t="shared" si="0"/>
        <v>42535607.731120422</v>
      </c>
      <c r="J12" s="25"/>
      <c r="K12" s="25"/>
      <c r="L12" s="25"/>
      <c r="M12" s="25"/>
      <c r="N12" s="25"/>
      <c r="O12" s="25"/>
      <c r="P12" s="25"/>
    </row>
    <row r="13" spans="1:16" x14ac:dyDescent="0.25">
      <c r="A13" s="19"/>
      <c r="B13" s="52"/>
      <c r="D13" s="3" t="s">
        <v>66</v>
      </c>
      <c r="E13" s="24">
        <f t="shared" si="3"/>
        <v>42535607.731120422</v>
      </c>
      <c r="F13" s="24">
        <f t="shared" si="4"/>
        <v>1769481.2816146095</v>
      </c>
      <c r="G13" s="24">
        <f t="shared" si="1"/>
        <v>7128803</v>
      </c>
      <c r="H13" s="24">
        <f t="shared" si="2"/>
        <v>5359321.7183853909</v>
      </c>
      <c r="I13" s="38">
        <f t="shared" si="0"/>
        <v>37176286.012735032</v>
      </c>
      <c r="J13" s="19"/>
      <c r="K13" s="19"/>
      <c r="L13" s="19"/>
      <c r="M13" s="19"/>
      <c r="N13" s="19"/>
      <c r="O13" s="19"/>
      <c r="P13" s="19"/>
    </row>
    <row r="14" spans="1:16" x14ac:dyDescent="0.25">
      <c r="A14" s="45"/>
      <c r="B14" s="19"/>
      <c r="D14" s="3" t="s">
        <v>67</v>
      </c>
      <c r="E14" s="24">
        <f t="shared" si="3"/>
        <v>37176286.012735032</v>
      </c>
      <c r="F14" s="24">
        <f t="shared" si="4"/>
        <v>1546533.4981297771</v>
      </c>
      <c r="G14" s="24">
        <f t="shared" si="1"/>
        <v>7128803</v>
      </c>
      <c r="H14" s="24">
        <f t="shared" si="2"/>
        <v>5582269.5018702224</v>
      </c>
      <c r="I14" s="38">
        <f t="shared" si="0"/>
        <v>31594016.510864809</v>
      </c>
      <c r="J14" s="57"/>
      <c r="K14" s="57"/>
      <c r="L14" s="57"/>
      <c r="M14" s="57"/>
      <c r="N14" s="57"/>
      <c r="O14" s="57"/>
      <c r="P14" s="57"/>
    </row>
    <row r="15" spans="1:16" x14ac:dyDescent="0.25">
      <c r="A15" s="21"/>
      <c r="B15" s="22"/>
      <c r="D15" s="3" t="s">
        <v>68</v>
      </c>
      <c r="E15" s="24">
        <f t="shared" si="3"/>
        <v>31594016.510864809</v>
      </c>
      <c r="F15" s="24">
        <f t="shared" si="4"/>
        <v>1314311.0868519761</v>
      </c>
      <c r="G15" s="24">
        <f>$B$8</f>
        <v>7128803</v>
      </c>
      <c r="H15" s="24">
        <f t="shared" si="2"/>
        <v>5814491.9131480241</v>
      </c>
      <c r="I15" s="38">
        <f t="shared" si="0"/>
        <v>25779524.597716786</v>
      </c>
      <c r="J15" s="25"/>
      <c r="K15" s="25"/>
      <c r="L15" s="25"/>
      <c r="M15" s="25"/>
      <c r="N15" s="25"/>
      <c r="O15" s="25"/>
      <c r="P15" s="25"/>
    </row>
    <row r="16" spans="1:16" x14ac:dyDescent="0.25">
      <c r="A16" s="21"/>
      <c r="B16" s="22"/>
      <c r="D16" s="3" t="s">
        <v>186</v>
      </c>
      <c r="E16" s="24">
        <f t="shared" si="3"/>
        <v>25779524.597716786</v>
      </c>
      <c r="F16" s="24">
        <f t="shared" si="4"/>
        <v>1072428.2232650183</v>
      </c>
      <c r="G16" s="24">
        <f t="shared" ref="G16:G19" si="5">$B$8</f>
        <v>7128803</v>
      </c>
      <c r="H16" s="24">
        <f t="shared" si="2"/>
        <v>6056374.7767349817</v>
      </c>
      <c r="I16" s="38">
        <f t="shared" si="0"/>
        <v>19723149.820981804</v>
      </c>
      <c r="J16" s="19"/>
      <c r="K16" s="19"/>
      <c r="L16" s="19"/>
      <c r="M16" s="19"/>
      <c r="N16" s="19"/>
      <c r="O16" s="19"/>
      <c r="P16" s="19"/>
    </row>
    <row r="17" spans="1:16" x14ac:dyDescent="0.25">
      <c r="A17" s="21"/>
      <c r="B17" s="22"/>
      <c r="D17" s="3" t="s">
        <v>187</v>
      </c>
      <c r="E17" s="24">
        <f t="shared" si="3"/>
        <v>19723149.820981804</v>
      </c>
      <c r="F17" s="24">
        <f t="shared" si="4"/>
        <v>820483.03255284298</v>
      </c>
      <c r="G17" s="24">
        <f t="shared" si="5"/>
        <v>7128803</v>
      </c>
      <c r="H17" s="24">
        <f t="shared" si="2"/>
        <v>6308319.967447157</v>
      </c>
      <c r="I17" s="38">
        <f t="shared" si="0"/>
        <v>13414829.853534646</v>
      </c>
      <c r="L17" s="57"/>
      <c r="M17" s="57"/>
      <c r="N17" s="57"/>
      <c r="O17" s="57"/>
      <c r="P17" s="57"/>
    </row>
    <row r="18" spans="1:16" x14ac:dyDescent="0.25">
      <c r="A18" s="21"/>
      <c r="B18" s="22"/>
      <c r="D18" s="3" t="s">
        <v>188</v>
      </c>
      <c r="E18" s="24">
        <f t="shared" si="3"/>
        <v>13414829.853534646</v>
      </c>
      <c r="F18" s="24">
        <f t="shared" si="4"/>
        <v>558056.92190704122</v>
      </c>
      <c r="G18" s="24">
        <f t="shared" si="5"/>
        <v>7128803</v>
      </c>
      <c r="H18" s="24">
        <f t="shared" si="2"/>
        <v>6570746.0780929588</v>
      </c>
      <c r="I18" s="38">
        <f t="shared" si="0"/>
        <v>6844083.7754416876</v>
      </c>
      <c r="L18" s="25"/>
      <c r="M18" s="25"/>
      <c r="N18" s="25"/>
      <c r="O18" s="25"/>
      <c r="P18" s="25"/>
    </row>
    <row r="19" spans="1:16" x14ac:dyDescent="0.25">
      <c r="A19" s="21"/>
      <c r="B19" s="22"/>
      <c r="D19" s="3" t="s">
        <v>189</v>
      </c>
      <c r="E19" s="24">
        <f t="shared" si="3"/>
        <v>6844083.7754416876</v>
      </c>
      <c r="F19" s="24">
        <f t="shared" si="4"/>
        <v>284713.8850583742</v>
      </c>
      <c r="G19" s="24">
        <f t="shared" si="5"/>
        <v>7128803</v>
      </c>
      <c r="H19" s="24">
        <f t="shared" si="2"/>
        <v>6844089.1149416259</v>
      </c>
      <c r="I19" s="38">
        <f t="shared" si="0"/>
        <v>-5.3394999383017421</v>
      </c>
      <c r="L19" s="19"/>
      <c r="M19" s="19"/>
      <c r="N19" s="19"/>
      <c r="O19" s="19"/>
      <c r="P19" s="19"/>
    </row>
    <row r="20" spans="1:16" ht="15.75" thickBot="1" x14ac:dyDescent="0.3">
      <c r="A20" s="21"/>
      <c r="B20" s="22"/>
    </row>
    <row r="21" spans="1:16" ht="15.75" thickBot="1" x14ac:dyDescent="0.3">
      <c r="A21" s="21"/>
      <c r="B21" s="22"/>
      <c r="D21" s="181" t="s">
        <v>108</v>
      </c>
      <c r="E21" s="182"/>
      <c r="F21" s="182"/>
      <c r="G21" s="182"/>
      <c r="H21" s="182"/>
      <c r="I21" s="182"/>
      <c r="J21" s="182"/>
      <c r="K21" s="183"/>
      <c r="L21" s="25"/>
      <c r="M21" s="25"/>
      <c r="N21" s="25"/>
      <c r="O21" s="25"/>
      <c r="P21" s="25"/>
    </row>
    <row r="22" spans="1:16" x14ac:dyDescent="0.25">
      <c r="A22" s="21"/>
      <c r="B22" s="22"/>
      <c r="D22" s="82" t="s">
        <v>109</v>
      </c>
      <c r="E22" s="82" t="s">
        <v>140</v>
      </c>
      <c r="F22" s="82" t="s">
        <v>147</v>
      </c>
      <c r="G22" s="82" t="s">
        <v>142</v>
      </c>
      <c r="H22" s="82" t="s">
        <v>143</v>
      </c>
      <c r="I22" s="82" t="s">
        <v>144</v>
      </c>
      <c r="J22" s="83" t="s">
        <v>145</v>
      </c>
      <c r="K22" s="82" t="s">
        <v>146</v>
      </c>
      <c r="L22" s="23"/>
      <c r="M22" s="23"/>
      <c r="N22" s="23"/>
      <c r="O22" s="23"/>
      <c r="P22" s="23"/>
    </row>
    <row r="23" spans="1:16" x14ac:dyDescent="0.25">
      <c r="A23" s="19"/>
      <c r="B23" s="23"/>
      <c r="D23" s="53" t="s">
        <v>129</v>
      </c>
      <c r="E23" s="84" t="s">
        <v>141</v>
      </c>
      <c r="F23" s="24">
        <f>'Inversión Inicial'!$C$13</f>
        <v>3000000</v>
      </c>
      <c r="G23" s="24">
        <f t="shared" ref="G23:K34" si="6">$F23*G$36</f>
        <v>600000</v>
      </c>
      <c r="H23" s="24">
        <f t="shared" si="6"/>
        <v>1200000</v>
      </c>
      <c r="I23" s="24">
        <f t="shared" si="6"/>
        <v>1800000</v>
      </c>
      <c r="J23" s="24">
        <f t="shared" si="6"/>
        <v>2400000</v>
      </c>
      <c r="K23" s="24">
        <f t="shared" si="6"/>
        <v>3000000</v>
      </c>
    </row>
    <row r="24" spans="1:16" x14ac:dyDescent="0.25">
      <c r="A24" s="164"/>
      <c r="B24" s="164"/>
      <c r="D24" s="38" t="s">
        <v>132</v>
      </c>
      <c r="E24" s="84" t="s">
        <v>141</v>
      </c>
      <c r="F24" s="24">
        <f>'Inversión Inicial'!$C$15</f>
        <v>300000</v>
      </c>
      <c r="G24" s="24">
        <f t="shared" si="6"/>
        <v>60000</v>
      </c>
      <c r="H24" s="24">
        <f t="shared" si="6"/>
        <v>120000</v>
      </c>
      <c r="I24" s="24">
        <f t="shared" si="6"/>
        <v>180000</v>
      </c>
      <c r="J24" s="24">
        <f t="shared" si="6"/>
        <v>240000</v>
      </c>
      <c r="K24" s="24">
        <f t="shared" si="6"/>
        <v>300000</v>
      </c>
    </row>
    <row r="25" spans="1:16" x14ac:dyDescent="0.25">
      <c r="A25" s="45"/>
      <c r="B25" s="19"/>
      <c r="D25" s="53" t="s">
        <v>130</v>
      </c>
      <c r="E25" s="84" t="s">
        <v>141</v>
      </c>
      <c r="F25" s="24">
        <f>'Inversión Inicial'!$C$13</f>
        <v>3000000</v>
      </c>
      <c r="G25" s="24">
        <f t="shared" si="6"/>
        <v>600000</v>
      </c>
      <c r="H25" s="24">
        <f t="shared" si="6"/>
        <v>1200000</v>
      </c>
      <c r="I25" s="24">
        <f t="shared" si="6"/>
        <v>1800000</v>
      </c>
      <c r="J25" s="24">
        <f t="shared" si="6"/>
        <v>2400000</v>
      </c>
      <c r="K25" s="24">
        <f t="shared" si="6"/>
        <v>3000000</v>
      </c>
    </row>
    <row r="26" spans="1:16" x14ac:dyDescent="0.25">
      <c r="A26" s="21"/>
      <c r="B26" s="22"/>
      <c r="D26" s="38" t="s">
        <v>133</v>
      </c>
      <c r="E26" s="84" t="s">
        <v>141</v>
      </c>
      <c r="F26" s="24">
        <f>'Inversión Inicial'!$C$15</f>
        <v>300000</v>
      </c>
      <c r="G26" s="24">
        <f t="shared" si="6"/>
        <v>60000</v>
      </c>
      <c r="H26" s="24">
        <f t="shared" si="6"/>
        <v>120000</v>
      </c>
      <c r="I26" s="24">
        <f t="shared" si="6"/>
        <v>180000</v>
      </c>
      <c r="J26" s="24">
        <f t="shared" si="6"/>
        <v>240000</v>
      </c>
      <c r="K26" s="24">
        <f t="shared" si="6"/>
        <v>300000</v>
      </c>
    </row>
    <row r="27" spans="1:16" x14ac:dyDescent="0.25">
      <c r="A27" s="21"/>
      <c r="B27" s="22"/>
      <c r="D27" s="17" t="s">
        <v>134</v>
      </c>
      <c r="E27" s="84" t="s">
        <v>141</v>
      </c>
      <c r="F27" s="24">
        <f>'Inversión Inicial'!$C$13</f>
        <v>3000000</v>
      </c>
      <c r="G27" s="24">
        <f t="shared" si="6"/>
        <v>600000</v>
      </c>
      <c r="H27" s="24">
        <f t="shared" si="6"/>
        <v>1200000</v>
      </c>
      <c r="I27" s="24">
        <f t="shared" si="6"/>
        <v>1800000</v>
      </c>
      <c r="J27" s="24">
        <f t="shared" si="6"/>
        <v>2400000</v>
      </c>
      <c r="K27" s="24">
        <f t="shared" si="6"/>
        <v>3000000</v>
      </c>
    </row>
    <row r="28" spans="1:16" x14ac:dyDescent="0.25">
      <c r="A28" s="19"/>
      <c r="B28" s="23"/>
      <c r="D28" s="17" t="s">
        <v>135</v>
      </c>
      <c r="E28" s="84" t="s">
        <v>141</v>
      </c>
      <c r="F28" s="24">
        <f>'Inversión Inicial'!$C$15</f>
        <v>300000</v>
      </c>
      <c r="G28" s="24">
        <f t="shared" si="6"/>
        <v>60000</v>
      </c>
      <c r="H28" s="24">
        <f t="shared" si="6"/>
        <v>120000</v>
      </c>
      <c r="I28" s="24">
        <f t="shared" si="6"/>
        <v>180000</v>
      </c>
      <c r="J28" s="24">
        <f t="shared" si="6"/>
        <v>240000</v>
      </c>
      <c r="K28" s="24">
        <f t="shared" si="6"/>
        <v>300000</v>
      </c>
    </row>
    <row r="29" spans="1:16" x14ac:dyDescent="0.25">
      <c r="A29" s="164"/>
      <c r="B29" s="164"/>
      <c r="D29" s="17" t="s">
        <v>136</v>
      </c>
      <c r="E29" s="84" t="s">
        <v>141</v>
      </c>
      <c r="F29" s="24">
        <f>'Inversión Inicial'!$C$13</f>
        <v>3000000</v>
      </c>
      <c r="G29" s="24">
        <f t="shared" si="6"/>
        <v>600000</v>
      </c>
      <c r="H29" s="24">
        <f t="shared" si="6"/>
        <v>1200000</v>
      </c>
      <c r="I29" s="24">
        <f t="shared" si="6"/>
        <v>1800000</v>
      </c>
      <c r="J29" s="24">
        <f t="shared" si="6"/>
        <v>2400000</v>
      </c>
      <c r="K29" s="24">
        <f t="shared" si="6"/>
        <v>3000000</v>
      </c>
    </row>
    <row r="30" spans="1:16" x14ac:dyDescent="0.25">
      <c r="A30" s="45"/>
      <c r="B30" s="19"/>
      <c r="D30" s="17" t="s">
        <v>137</v>
      </c>
      <c r="E30" s="84" t="s">
        <v>141</v>
      </c>
      <c r="F30" s="24">
        <f>'Inversión Inicial'!$C$15</f>
        <v>300000</v>
      </c>
      <c r="G30" s="24">
        <f t="shared" si="6"/>
        <v>60000</v>
      </c>
      <c r="H30" s="24">
        <f t="shared" si="6"/>
        <v>120000</v>
      </c>
      <c r="I30" s="24">
        <f t="shared" si="6"/>
        <v>180000</v>
      </c>
      <c r="J30" s="24">
        <f t="shared" si="6"/>
        <v>240000</v>
      </c>
      <c r="K30" s="24">
        <f t="shared" si="6"/>
        <v>300000</v>
      </c>
    </row>
    <row r="31" spans="1:16" x14ac:dyDescent="0.25">
      <c r="A31" s="21"/>
      <c r="B31" s="22"/>
      <c r="D31" s="17" t="s">
        <v>138</v>
      </c>
      <c r="E31" s="84" t="s">
        <v>141</v>
      </c>
      <c r="F31" s="24">
        <f>'Inversión Inicial'!$C$13</f>
        <v>3000000</v>
      </c>
      <c r="G31" s="24">
        <f t="shared" si="6"/>
        <v>600000</v>
      </c>
      <c r="H31" s="24">
        <f t="shared" si="6"/>
        <v>1200000</v>
      </c>
      <c r="I31" s="24">
        <f t="shared" si="6"/>
        <v>1800000</v>
      </c>
      <c r="J31" s="24">
        <f t="shared" si="6"/>
        <v>2400000</v>
      </c>
      <c r="K31" s="24">
        <f t="shared" si="6"/>
        <v>3000000</v>
      </c>
    </row>
    <row r="32" spans="1:16" x14ac:dyDescent="0.25">
      <c r="A32" s="19"/>
      <c r="B32" s="23"/>
      <c r="D32" s="17" t="s">
        <v>139</v>
      </c>
      <c r="E32" s="84" t="s">
        <v>141</v>
      </c>
      <c r="F32" s="24">
        <f>'Inversión Inicial'!$C$15</f>
        <v>300000</v>
      </c>
      <c r="G32" s="24">
        <f t="shared" si="6"/>
        <v>60000</v>
      </c>
      <c r="H32" s="24">
        <f t="shared" si="6"/>
        <v>120000</v>
      </c>
      <c r="I32" s="24">
        <f t="shared" si="6"/>
        <v>180000</v>
      </c>
      <c r="J32" s="24">
        <f t="shared" si="6"/>
        <v>240000</v>
      </c>
      <c r="K32" s="24">
        <f t="shared" si="6"/>
        <v>300000</v>
      </c>
    </row>
    <row r="33" spans="1:11" x14ac:dyDescent="0.25">
      <c r="A33" s="21"/>
      <c r="B33" s="21"/>
      <c r="D33" s="17" t="s">
        <v>161</v>
      </c>
      <c r="E33" s="84" t="s">
        <v>141</v>
      </c>
      <c r="F33" s="24">
        <f>'Inversión Inicial'!$C$13</f>
        <v>3000000</v>
      </c>
      <c r="G33" s="24">
        <f t="shared" si="6"/>
        <v>600000</v>
      </c>
      <c r="H33" s="24">
        <f t="shared" si="6"/>
        <v>1200000</v>
      </c>
      <c r="I33" s="24">
        <f t="shared" si="6"/>
        <v>1800000</v>
      </c>
      <c r="J33" s="24">
        <f t="shared" si="6"/>
        <v>2400000</v>
      </c>
      <c r="K33" s="24">
        <f t="shared" si="6"/>
        <v>3000000</v>
      </c>
    </row>
    <row r="34" spans="1:11" x14ac:dyDescent="0.25">
      <c r="D34" s="17" t="s">
        <v>162</v>
      </c>
      <c r="E34" s="84" t="s">
        <v>141</v>
      </c>
      <c r="F34" s="24">
        <f>'Inversión Inicial'!$C$15</f>
        <v>300000</v>
      </c>
      <c r="G34" s="24">
        <f t="shared" si="6"/>
        <v>60000</v>
      </c>
      <c r="H34" s="24">
        <f t="shared" si="6"/>
        <v>120000</v>
      </c>
      <c r="I34" s="24">
        <f t="shared" si="6"/>
        <v>180000</v>
      </c>
      <c r="J34" s="24">
        <f t="shared" si="6"/>
        <v>240000</v>
      </c>
      <c r="K34" s="24">
        <f t="shared" si="6"/>
        <v>300000</v>
      </c>
    </row>
    <row r="35" spans="1:11" x14ac:dyDescent="0.25">
      <c r="D35" s="187" t="s">
        <v>148</v>
      </c>
      <c r="E35" s="188"/>
      <c r="F35" s="189"/>
      <c r="G35" s="55">
        <f>SUM(G23:G34)</f>
        <v>3960000</v>
      </c>
      <c r="H35" s="55">
        <f t="shared" ref="H35:K35" si="7">SUM(H23:H34)</f>
        <v>7920000</v>
      </c>
      <c r="I35" s="55">
        <f t="shared" si="7"/>
        <v>11880000</v>
      </c>
      <c r="J35" s="55">
        <f t="shared" si="7"/>
        <v>15840000</v>
      </c>
      <c r="K35" s="55">
        <f t="shared" si="7"/>
        <v>19800000</v>
      </c>
    </row>
    <row r="36" spans="1:11" x14ac:dyDescent="0.25">
      <c r="D36" s="184" t="s">
        <v>150</v>
      </c>
      <c r="E36" s="185"/>
      <c r="F36" s="186"/>
      <c r="G36" s="88">
        <v>0.2</v>
      </c>
      <c r="H36" s="88">
        <v>0.4</v>
      </c>
      <c r="I36" s="88">
        <v>0.6</v>
      </c>
      <c r="J36" s="88">
        <v>0.8</v>
      </c>
      <c r="K36" s="88">
        <v>1</v>
      </c>
    </row>
    <row r="37" spans="1:11" ht="15.75" thickBot="1" x14ac:dyDescent="0.3"/>
    <row r="38" spans="1:11" ht="15.75" thickBot="1" x14ac:dyDescent="0.3">
      <c r="D38" s="85" t="s">
        <v>108</v>
      </c>
      <c r="E38" s="86"/>
      <c r="F38" s="86"/>
      <c r="G38" s="86"/>
      <c r="H38" s="86"/>
      <c r="I38" s="86"/>
      <c r="J38" s="86"/>
      <c r="K38" s="87"/>
    </row>
    <row r="39" spans="1:11" x14ac:dyDescent="0.25">
      <c r="D39" s="82" t="s">
        <v>109</v>
      </c>
      <c r="E39" s="82" t="s">
        <v>140</v>
      </c>
      <c r="F39" s="82" t="s">
        <v>147</v>
      </c>
      <c r="G39" s="82" t="s">
        <v>142</v>
      </c>
      <c r="H39" s="82" t="s">
        <v>143</v>
      </c>
      <c r="I39" s="82" t="s">
        <v>144</v>
      </c>
      <c r="J39" s="83" t="s">
        <v>145</v>
      </c>
      <c r="K39" s="82" t="s">
        <v>146</v>
      </c>
    </row>
    <row r="40" spans="1:11" x14ac:dyDescent="0.25">
      <c r="D40" s="53" t="s">
        <v>129</v>
      </c>
      <c r="E40" s="84" t="s">
        <v>141</v>
      </c>
      <c r="F40" s="24">
        <f>'Inversión Inicial'!$C$13</f>
        <v>3000000</v>
      </c>
      <c r="G40" s="24">
        <f t="shared" ref="G40:K51" si="8">$F40-($F40*G$53)</f>
        <v>2400000</v>
      </c>
      <c r="H40" s="24">
        <f t="shared" si="8"/>
        <v>1800000</v>
      </c>
      <c r="I40" s="24">
        <f t="shared" si="8"/>
        <v>1200000</v>
      </c>
      <c r="J40" s="24">
        <f t="shared" si="8"/>
        <v>600000</v>
      </c>
      <c r="K40" s="24">
        <f t="shared" si="8"/>
        <v>0</v>
      </c>
    </row>
    <row r="41" spans="1:11" x14ac:dyDescent="0.25">
      <c r="D41" s="38" t="s">
        <v>132</v>
      </c>
      <c r="E41" s="84" t="s">
        <v>141</v>
      </c>
      <c r="F41" s="24">
        <f>'Inversión Inicial'!$C$15</f>
        <v>300000</v>
      </c>
      <c r="G41" s="24">
        <f t="shared" si="8"/>
        <v>240000</v>
      </c>
      <c r="H41" s="24">
        <f t="shared" si="8"/>
        <v>180000</v>
      </c>
      <c r="I41" s="24">
        <f t="shared" si="8"/>
        <v>120000</v>
      </c>
      <c r="J41" s="24">
        <f t="shared" si="8"/>
        <v>60000</v>
      </c>
      <c r="K41" s="24">
        <f t="shared" si="8"/>
        <v>0</v>
      </c>
    </row>
    <row r="42" spans="1:11" x14ac:dyDescent="0.25">
      <c r="D42" s="53" t="s">
        <v>130</v>
      </c>
      <c r="E42" s="84" t="s">
        <v>141</v>
      </c>
      <c r="F42" s="24">
        <f>'Inversión Inicial'!$C$13</f>
        <v>3000000</v>
      </c>
      <c r="G42" s="24">
        <f t="shared" si="8"/>
        <v>2400000</v>
      </c>
      <c r="H42" s="24">
        <f t="shared" si="8"/>
        <v>1800000</v>
      </c>
      <c r="I42" s="24">
        <f t="shared" si="8"/>
        <v>1200000</v>
      </c>
      <c r="J42" s="24">
        <f t="shared" si="8"/>
        <v>600000</v>
      </c>
      <c r="K42" s="24">
        <f t="shared" si="8"/>
        <v>0</v>
      </c>
    </row>
    <row r="43" spans="1:11" x14ac:dyDescent="0.25">
      <c r="D43" s="38" t="s">
        <v>133</v>
      </c>
      <c r="E43" s="84" t="s">
        <v>141</v>
      </c>
      <c r="F43" s="24">
        <f>'Inversión Inicial'!$C$15</f>
        <v>300000</v>
      </c>
      <c r="G43" s="24">
        <f t="shared" si="8"/>
        <v>240000</v>
      </c>
      <c r="H43" s="24">
        <f t="shared" si="8"/>
        <v>180000</v>
      </c>
      <c r="I43" s="24">
        <f t="shared" si="8"/>
        <v>120000</v>
      </c>
      <c r="J43" s="24">
        <f t="shared" si="8"/>
        <v>60000</v>
      </c>
      <c r="K43" s="24">
        <f t="shared" si="8"/>
        <v>0</v>
      </c>
    </row>
    <row r="44" spans="1:11" x14ac:dyDescent="0.25">
      <c r="D44" s="17" t="s">
        <v>134</v>
      </c>
      <c r="E44" s="84" t="s">
        <v>141</v>
      </c>
      <c r="F44" s="24">
        <f>'Inversión Inicial'!$C$13</f>
        <v>3000000</v>
      </c>
      <c r="G44" s="24">
        <f t="shared" si="8"/>
        <v>2400000</v>
      </c>
      <c r="H44" s="24">
        <f t="shared" si="8"/>
        <v>1800000</v>
      </c>
      <c r="I44" s="24">
        <f t="shared" si="8"/>
        <v>1200000</v>
      </c>
      <c r="J44" s="24">
        <f t="shared" si="8"/>
        <v>600000</v>
      </c>
      <c r="K44" s="24">
        <f t="shared" si="8"/>
        <v>0</v>
      </c>
    </row>
    <row r="45" spans="1:11" x14ac:dyDescent="0.25">
      <c r="D45" s="17" t="s">
        <v>135</v>
      </c>
      <c r="E45" s="84" t="s">
        <v>141</v>
      </c>
      <c r="F45" s="24">
        <f>'Inversión Inicial'!$C$15</f>
        <v>300000</v>
      </c>
      <c r="G45" s="24">
        <f t="shared" si="8"/>
        <v>240000</v>
      </c>
      <c r="H45" s="24">
        <f t="shared" si="8"/>
        <v>180000</v>
      </c>
      <c r="I45" s="24">
        <f t="shared" si="8"/>
        <v>120000</v>
      </c>
      <c r="J45" s="24">
        <f t="shared" si="8"/>
        <v>60000</v>
      </c>
      <c r="K45" s="24">
        <f t="shared" si="8"/>
        <v>0</v>
      </c>
    </row>
    <row r="46" spans="1:11" x14ac:dyDescent="0.25">
      <c r="D46" s="17" t="s">
        <v>136</v>
      </c>
      <c r="E46" s="84" t="s">
        <v>141</v>
      </c>
      <c r="F46" s="24">
        <f>'Inversión Inicial'!$C$13</f>
        <v>3000000</v>
      </c>
      <c r="G46" s="24">
        <f t="shared" si="8"/>
        <v>2400000</v>
      </c>
      <c r="H46" s="24">
        <f t="shared" si="8"/>
        <v>1800000</v>
      </c>
      <c r="I46" s="24">
        <f t="shared" si="8"/>
        <v>1200000</v>
      </c>
      <c r="J46" s="24">
        <f t="shared" si="8"/>
        <v>600000</v>
      </c>
      <c r="K46" s="24">
        <f t="shared" si="8"/>
        <v>0</v>
      </c>
    </row>
    <row r="47" spans="1:11" x14ac:dyDescent="0.25">
      <c r="D47" s="17" t="s">
        <v>137</v>
      </c>
      <c r="E47" s="84" t="s">
        <v>141</v>
      </c>
      <c r="F47" s="24">
        <f>'Inversión Inicial'!$C$15</f>
        <v>300000</v>
      </c>
      <c r="G47" s="24">
        <f t="shared" si="8"/>
        <v>240000</v>
      </c>
      <c r="H47" s="24">
        <f t="shared" si="8"/>
        <v>180000</v>
      </c>
      <c r="I47" s="24">
        <f t="shared" si="8"/>
        <v>120000</v>
      </c>
      <c r="J47" s="24">
        <f t="shared" si="8"/>
        <v>60000</v>
      </c>
      <c r="K47" s="24">
        <f t="shared" si="8"/>
        <v>0</v>
      </c>
    </row>
    <row r="48" spans="1:11" x14ac:dyDescent="0.25">
      <c r="D48" s="17" t="s">
        <v>138</v>
      </c>
      <c r="E48" s="84" t="s">
        <v>141</v>
      </c>
      <c r="F48" s="24">
        <f>'Inversión Inicial'!$C$13</f>
        <v>3000000</v>
      </c>
      <c r="G48" s="24">
        <f t="shared" si="8"/>
        <v>2400000</v>
      </c>
      <c r="H48" s="24">
        <f t="shared" si="8"/>
        <v>1800000</v>
      </c>
      <c r="I48" s="24">
        <f t="shared" si="8"/>
        <v>1200000</v>
      </c>
      <c r="J48" s="24">
        <f t="shared" si="8"/>
        <v>600000</v>
      </c>
      <c r="K48" s="24">
        <f t="shared" si="8"/>
        <v>0</v>
      </c>
    </row>
    <row r="49" spans="4:11" x14ac:dyDescent="0.25">
      <c r="D49" s="17" t="s">
        <v>139</v>
      </c>
      <c r="E49" s="84" t="s">
        <v>141</v>
      </c>
      <c r="F49" s="24">
        <f>'Inversión Inicial'!$C$15</f>
        <v>300000</v>
      </c>
      <c r="G49" s="24">
        <f t="shared" si="8"/>
        <v>240000</v>
      </c>
      <c r="H49" s="24">
        <f t="shared" si="8"/>
        <v>180000</v>
      </c>
      <c r="I49" s="24">
        <f t="shared" si="8"/>
        <v>120000</v>
      </c>
      <c r="J49" s="24">
        <f t="shared" si="8"/>
        <v>60000</v>
      </c>
      <c r="K49" s="24">
        <f t="shared" si="8"/>
        <v>0</v>
      </c>
    </row>
    <row r="50" spans="4:11" x14ac:dyDescent="0.25">
      <c r="D50" s="17" t="s">
        <v>161</v>
      </c>
      <c r="E50" s="84" t="s">
        <v>141</v>
      </c>
      <c r="F50" s="24">
        <f>'Inversión Inicial'!$C$13</f>
        <v>3000000</v>
      </c>
      <c r="G50" s="24">
        <f t="shared" si="8"/>
        <v>2400000</v>
      </c>
      <c r="H50" s="24">
        <f t="shared" si="8"/>
        <v>1800000</v>
      </c>
      <c r="I50" s="24">
        <f t="shared" si="8"/>
        <v>1200000</v>
      </c>
      <c r="J50" s="24">
        <f t="shared" si="8"/>
        <v>600000</v>
      </c>
      <c r="K50" s="24">
        <f t="shared" si="8"/>
        <v>0</v>
      </c>
    </row>
    <row r="51" spans="4:11" x14ac:dyDescent="0.25">
      <c r="D51" s="17" t="s">
        <v>162</v>
      </c>
      <c r="E51" s="84" t="s">
        <v>141</v>
      </c>
      <c r="F51" s="24">
        <f>'Inversión Inicial'!$C$15</f>
        <v>300000</v>
      </c>
      <c r="G51" s="24">
        <f t="shared" si="8"/>
        <v>240000</v>
      </c>
      <c r="H51" s="24">
        <f t="shared" si="8"/>
        <v>180000</v>
      </c>
      <c r="I51" s="24">
        <f t="shared" si="8"/>
        <v>120000</v>
      </c>
      <c r="J51" s="24">
        <f t="shared" si="8"/>
        <v>60000</v>
      </c>
      <c r="K51" s="24">
        <f t="shared" si="8"/>
        <v>0</v>
      </c>
    </row>
    <row r="52" spans="4:11" x14ac:dyDescent="0.25">
      <c r="D52" s="187" t="s">
        <v>148</v>
      </c>
      <c r="E52" s="188"/>
      <c r="F52" s="189"/>
      <c r="G52" s="55">
        <f>SUM(G40:G51)</f>
        <v>15840000</v>
      </c>
      <c r="H52" s="55">
        <f t="shared" ref="H52:K52" si="9">SUM(H40:H51)</f>
        <v>11880000</v>
      </c>
      <c r="I52" s="55">
        <f t="shared" si="9"/>
        <v>7920000</v>
      </c>
      <c r="J52" s="55">
        <f t="shared" si="9"/>
        <v>3960000</v>
      </c>
      <c r="K52" s="55">
        <f t="shared" si="9"/>
        <v>0</v>
      </c>
    </row>
    <row r="53" spans="4:11" x14ac:dyDescent="0.25">
      <c r="D53" s="184" t="s">
        <v>150</v>
      </c>
      <c r="E53" s="185"/>
      <c r="F53" s="186"/>
      <c r="G53" s="88">
        <v>0.2</v>
      </c>
      <c r="H53" s="88">
        <v>0.4</v>
      </c>
      <c r="I53" s="88">
        <v>0.6</v>
      </c>
      <c r="J53" s="88">
        <v>0.8</v>
      </c>
      <c r="K53" s="88">
        <v>1</v>
      </c>
    </row>
  </sheetData>
  <mergeCells count="10">
    <mergeCell ref="D53:F53"/>
    <mergeCell ref="D52:F52"/>
    <mergeCell ref="D36:F36"/>
    <mergeCell ref="D35:F35"/>
    <mergeCell ref="A29:B29"/>
    <mergeCell ref="D1:I1"/>
    <mergeCell ref="A24:B24"/>
    <mergeCell ref="A1:B1"/>
    <mergeCell ref="A2:B2"/>
    <mergeCell ref="D21:K21"/>
  </mergeCells>
  <phoneticPr fontId="3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Balance General</vt:lpstr>
      <vt:lpstr>Estado de Resultados</vt:lpstr>
      <vt:lpstr>Flujo de Caja</vt:lpstr>
      <vt:lpstr>Flujo de Efectivo</vt:lpstr>
      <vt:lpstr>Costos Fijos y ETC</vt:lpstr>
      <vt:lpstr>Inversión Inicial</vt:lpstr>
      <vt:lpstr>Costos de Operación Gravables</vt:lpstr>
      <vt:lpstr>Proyección de Ventas e Incremen</vt:lpstr>
      <vt:lpstr>Amortización y Depreciación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2025-11-11T19:01:53Z</dcterms:created>
  <dcterms:modified xsi:type="dcterms:W3CDTF">2026-01-09T00:11:16Z</dcterms:modified>
</cp:coreProperties>
</file>