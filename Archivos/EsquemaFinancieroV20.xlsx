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GitHubProyecto\anteproyecto\Archivos\"/>
    </mc:Choice>
  </mc:AlternateContent>
  <xr:revisionPtr revIDLastSave="0" documentId="13_ncr:1_{34DD23D8-42FB-4FE7-ADEA-74BD9ADDC108}" xr6:coauthVersionLast="47" xr6:coauthVersionMax="47" xr10:uidLastSave="{00000000-0000-0000-0000-000000000000}"/>
  <bookViews>
    <workbookView xWindow="19500" yWindow="0" windowWidth="18810" windowHeight="15600" firstSheet="8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2" l="1"/>
  <c r="C11" i="4"/>
  <c r="C27" i="10"/>
  <c r="C20" i="10"/>
  <c r="C21" i="10" s="1"/>
  <c r="C22" i="10" s="1"/>
  <c r="C23" i="10" s="1"/>
  <c r="C19" i="10"/>
  <c r="H23" i="10"/>
  <c r="H22" i="10"/>
  <c r="H21" i="10"/>
  <c r="H20" i="10"/>
  <c r="H19" i="10"/>
  <c r="B48" i="3"/>
  <c r="J9" i="12"/>
  <c r="E14" i="8"/>
  <c r="F14" i="8"/>
  <c r="G14" i="8"/>
  <c r="H14" i="8"/>
  <c r="D14" i="8"/>
  <c r="E15" i="8"/>
  <c r="F15" i="8"/>
  <c r="G15" i="8"/>
  <c r="H15" i="8"/>
  <c r="D15" i="8"/>
  <c r="E13" i="8"/>
  <c r="F13" i="8"/>
  <c r="G13" i="8"/>
  <c r="H13" i="8"/>
  <c r="D13" i="8"/>
  <c r="E17" i="8"/>
  <c r="F17" i="8"/>
  <c r="G17" i="8"/>
  <c r="H17" i="8"/>
  <c r="D17" i="8"/>
  <c r="E18" i="8"/>
  <c r="F18" i="8"/>
  <c r="G18" i="8"/>
  <c r="H18" i="8"/>
  <c r="D18" i="8"/>
  <c r="E12" i="9" l="1"/>
  <c r="F12" i="9"/>
  <c r="G12" i="9"/>
  <c r="H12" i="9"/>
  <c r="D12" i="9"/>
  <c r="E11" i="9"/>
  <c r="F11" i="9"/>
  <c r="G11" i="9"/>
  <c r="H11" i="9"/>
  <c r="D11" i="9"/>
  <c r="C18" i="10"/>
  <c r="H5" i="10"/>
  <c r="C3" i="10"/>
  <c r="C5" i="10" s="1"/>
  <c r="C4" i="10"/>
  <c r="C6" i="10"/>
  <c r="C7" i="10"/>
  <c r="D7" i="7" l="1"/>
  <c r="H14" i="7"/>
  <c r="G14" i="7"/>
  <c r="F14" i="7"/>
  <c r="E14" i="7"/>
  <c r="E15" i="7"/>
  <c r="F15" i="7"/>
  <c r="G15" i="7"/>
  <c r="H15" i="7"/>
  <c r="D14" i="7"/>
  <c r="E13" i="7"/>
  <c r="F13" i="7"/>
  <c r="G13" i="7"/>
  <c r="H13" i="7"/>
  <c r="D13" i="7"/>
  <c r="E11" i="7"/>
  <c r="F11" i="7"/>
  <c r="G11" i="7"/>
  <c r="H11" i="7"/>
  <c r="D11" i="7"/>
  <c r="E12" i="7"/>
  <c r="F12" i="7"/>
  <c r="G12" i="7"/>
  <c r="H12" i="7"/>
  <c r="D12" i="7"/>
  <c r="G13" i="3"/>
  <c r="J15" i="3" s="1"/>
  <c r="I15" i="3"/>
  <c r="I28" i="3" s="1"/>
  <c r="G20" i="3"/>
  <c r="J20" i="3"/>
  <c r="K20" i="3" s="1"/>
  <c r="L20" i="3" s="1"/>
  <c r="M20" i="3" s="1"/>
  <c r="N20" i="3" s="1"/>
  <c r="G23" i="3"/>
  <c r="J23" i="3"/>
  <c r="J25" i="3" s="1"/>
  <c r="I25" i="3"/>
  <c r="J31" i="3"/>
  <c r="K31" i="3" s="1"/>
  <c r="L31" i="3" s="1"/>
  <c r="M31" i="3" s="1"/>
  <c r="N31" i="3" s="1"/>
  <c r="J39" i="3"/>
  <c r="K39" i="3"/>
  <c r="L39" i="3"/>
  <c r="M39" i="3"/>
  <c r="N39" i="3"/>
  <c r="J28" i="3" l="1"/>
  <c r="J34" i="3" s="1"/>
  <c r="J43" i="3" s="1"/>
  <c r="K23" i="3"/>
  <c r="J40" i="3" l="1"/>
  <c r="K15" i="3"/>
  <c r="K25" i="3"/>
  <c r="L23" i="3"/>
  <c r="J44" i="3"/>
  <c r="K28" i="3" l="1"/>
  <c r="K34" i="3" s="1"/>
  <c r="K43" i="3" s="1"/>
  <c r="L15" i="3"/>
  <c r="M23" i="3"/>
  <c r="L25" i="3"/>
  <c r="K40" i="3" l="1"/>
  <c r="L28" i="3"/>
  <c r="L34" i="3" s="1"/>
  <c r="N15" i="3"/>
  <c r="M15" i="3"/>
  <c r="K44" i="3"/>
  <c r="N23" i="3"/>
  <c r="N25" i="3" s="1"/>
  <c r="M25" i="3"/>
  <c r="L40" i="3"/>
  <c r="L43" i="3"/>
  <c r="L44" i="3" s="1"/>
  <c r="M28" i="3" l="1"/>
  <c r="M34" i="3" s="1"/>
  <c r="M40" i="3" s="1"/>
  <c r="N28" i="3"/>
  <c r="N34" i="3" s="1"/>
  <c r="N40" i="3" s="1"/>
  <c r="N43" i="3" l="1"/>
  <c r="N44" i="3" s="1"/>
  <c r="M43" i="3"/>
  <c r="M44" i="3" s="1"/>
  <c r="O43" i="3"/>
  <c r="O44" i="3" l="1"/>
  <c r="H7" i="7" l="1"/>
  <c r="G7" i="7"/>
  <c r="F7" i="7"/>
  <c r="E7" i="7"/>
  <c r="D6" i="7" l="1"/>
  <c r="D8" i="7" s="1"/>
  <c r="D15" i="7" s="1"/>
  <c r="C8" i="7"/>
  <c r="B9" i="2" l="1"/>
  <c r="D21" i="9"/>
  <c r="E21" i="9"/>
  <c r="F21" i="9"/>
  <c r="G21" i="9"/>
  <c r="H21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E13" i="6" l="1"/>
  <c r="F13" i="6" s="1"/>
  <c r="G13" i="6" s="1"/>
  <c r="H13" i="6" s="1"/>
  <c r="H24" i="6"/>
  <c r="H25" i="6" s="1"/>
  <c r="C24" i="6"/>
  <c r="C25" i="6" s="1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20" i="9"/>
  <c r="F20" i="9"/>
  <c r="G20" i="9"/>
  <c r="H20" i="9"/>
  <c r="D20" i="9"/>
  <c r="B24" i="4"/>
  <c r="C23" i="9" l="1"/>
  <c r="H16" i="9"/>
  <c r="H17" i="9" s="1"/>
  <c r="G16" i="9"/>
  <c r="G17" i="9" s="1"/>
  <c r="F16" i="9"/>
  <c r="F17" i="9" s="1"/>
  <c r="E16" i="9"/>
  <c r="E17" i="9" s="1"/>
  <c r="D16" i="9"/>
  <c r="D17" i="9" s="1"/>
  <c r="D11" i="4"/>
  <c r="F11" i="4" s="1"/>
  <c r="C10" i="4"/>
  <c r="D10" i="4" s="1"/>
  <c r="C22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J18" i="5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K7" i="4" l="1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D8" i="6"/>
  <c r="F8" i="8"/>
  <c r="F9" i="8" s="1"/>
  <c r="F7" i="6"/>
  <c r="F8" i="6" s="1"/>
  <c r="K18" i="4"/>
  <c r="K21" i="4" s="1"/>
  <c r="K22" i="4" s="1"/>
  <c r="F6" i="7"/>
  <c r="M15" i="4"/>
  <c r="M16" i="4"/>
  <c r="M19" i="4" s="1"/>
  <c r="J24" i="4"/>
  <c r="L15" i="4"/>
  <c r="L16" i="4"/>
  <c r="L19" i="4" s="1"/>
  <c r="G6" i="7"/>
  <c r="G8" i="8"/>
  <c r="G9" i="8" s="1"/>
  <c r="N7" i="4"/>
  <c r="H7" i="6" s="1"/>
  <c r="H8" i="6" s="1"/>
  <c r="M18" i="4" l="1"/>
  <c r="M24" i="4" s="1"/>
  <c r="M21" i="4"/>
  <c r="M22" i="4" s="1"/>
  <c r="L18" i="4"/>
  <c r="L21" i="4"/>
  <c r="L22" i="4" s="1"/>
  <c r="K24" i="4"/>
  <c r="N16" i="4"/>
  <c r="N19" i="4" s="1"/>
  <c r="N15" i="4"/>
  <c r="L24" i="4"/>
  <c r="H8" i="8"/>
  <c r="H9" i="8" s="1"/>
  <c r="H6" i="7"/>
  <c r="N18" i="4" l="1"/>
  <c r="N21" i="4"/>
  <c r="N22" i="4" s="1"/>
  <c r="O22" i="4"/>
  <c r="N24" i="4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9" i="6" l="1"/>
  <c r="D20" i="6"/>
  <c r="K7" i="3"/>
  <c r="K10" i="3"/>
  <c r="K4" i="3"/>
  <c r="D25" i="3"/>
  <c r="D26" i="3" s="1"/>
  <c r="C26" i="3"/>
  <c r="J4" i="10" l="1"/>
  <c r="E19" i="6"/>
  <c r="L4" i="3"/>
  <c r="E20" i="6"/>
  <c r="J48" i="3"/>
  <c r="L10" i="3"/>
  <c r="E8" i="7"/>
  <c r="L7" i="3"/>
  <c r="M4" i="3"/>
  <c r="J9" i="10" l="1"/>
  <c r="J10" i="10" s="1"/>
  <c r="J11" i="10" s="1"/>
  <c r="F19" i="6"/>
  <c r="K48" i="3"/>
  <c r="D6" i="12"/>
  <c r="F20" i="6"/>
  <c r="M7" i="3"/>
  <c r="G20" i="6" s="1"/>
  <c r="M10" i="3"/>
  <c r="F8" i="7"/>
  <c r="N4" i="3"/>
  <c r="C6" i="12" l="1"/>
  <c r="G19" i="6"/>
  <c r="L48" i="3"/>
  <c r="E6" i="12"/>
  <c r="G8" i="7"/>
  <c r="N10" i="3"/>
  <c r="N7" i="3"/>
  <c r="H20" i="6" s="1"/>
  <c r="H26" i="10" l="1"/>
  <c r="H28" i="10" s="1"/>
  <c r="H19" i="6"/>
  <c r="M48" i="3"/>
  <c r="F6" i="12"/>
  <c r="H8" i="7"/>
  <c r="H19" i="7" s="1"/>
  <c r="C26" i="10" l="1"/>
  <c r="C28" i="10" s="1"/>
  <c r="N48" i="3"/>
  <c r="O48" i="3" s="1"/>
  <c r="H22" i="7" l="1"/>
  <c r="H20" i="8" s="1"/>
  <c r="H10" i="9" s="1"/>
  <c r="G6" i="12"/>
  <c r="H21" i="6"/>
  <c r="H27" i="6" s="1"/>
  <c r="H24" i="7" l="1"/>
  <c r="G7" i="12" s="1"/>
  <c r="H32" i="6" l="1"/>
  <c r="C1" i="11"/>
  <c r="D16" i="8" l="1"/>
  <c r="D7" i="9" l="1"/>
  <c r="E16" i="8"/>
  <c r="D25" i="8"/>
  <c r="D12" i="6" s="1"/>
  <c r="D14" i="6" s="1"/>
  <c r="D16" i="6" s="1"/>
  <c r="F16" i="8" l="1"/>
  <c r="E7" i="9"/>
  <c r="E25" i="8"/>
  <c r="E12" i="6" s="1"/>
  <c r="E14" i="6" s="1"/>
  <c r="E16" i="6" s="1"/>
  <c r="G16" i="8" l="1"/>
  <c r="F7" i="9"/>
  <c r="F25" i="8"/>
  <c r="F12" i="6" s="1"/>
  <c r="F14" i="6" s="1"/>
  <c r="F16" i="6" s="1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6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5" i="8"/>
  <c r="G12" i="6" s="1"/>
  <c r="G14" i="6" s="1"/>
  <c r="G16" i="6" s="1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21" i="8"/>
  <c r="H23" i="8" s="1"/>
  <c r="H7" i="9"/>
  <c r="H25" i="8"/>
  <c r="H12" i="6" s="1"/>
  <c r="H14" i="6" s="1"/>
  <c r="H16" i="6" s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7" i="8" l="1"/>
  <c r="H6" i="9" s="1"/>
  <c r="B5" i="2"/>
  <c r="B46" i="3"/>
  <c r="C12" i="8" s="1"/>
  <c r="C21" i="8" s="1"/>
  <c r="C23" i="8" s="1"/>
  <c r="C27" i="8" s="1"/>
  <c r="C6" i="9" l="1"/>
  <c r="C13" i="9" s="1"/>
  <c r="J4" i="12"/>
  <c r="B49" i="3"/>
  <c r="B17" i="4" s="1"/>
  <c r="C22" i="4" s="1"/>
  <c r="C16" i="9"/>
  <c r="C17" i="9" s="1"/>
  <c r="C6" i="8" l="1"/>
  <c r="C20" i="9"/>
  <c r="B16" i="4"/>
  <c r="C21" i="9" s="1"/>
  <c r="C15" i="7"/>
  <c r="C19" i="7" s="1"/>
  <c r="C23" i="4"/>
  <c r="C24" i="4" s="1"/>
  <c r="C7" i="8"/>
  <c r="C9" i="8" s="1"/>
  <c r="B4" i="5"/>
  <c r="E3" i="5" s="1"/>
  <c r="I3" i="5" s="1"/>
  <c r="E4" i="5" s="1"/>
  <c r="F4" i="5" s="1"/>
  <c r="B18" i="4"/>
  <c r="C7" i="6" l="1"/>
  <c r="C30" i="6"/>
  <c r="C25" i="9"/>
  <c r="C8" i="6"/>
  <c r="C16" i="6" s="1"/>
  <c r="C21" i="6" s="1"/>
  <c r="C27" i="6" s="1"/>
  <c r="B8" i="5"/>
  <c r="C24" i="7"/>
  <c r="D9" i="9"/>
  <c r="D23" i="9" s="1"/>
  <c r="B9" i="5"/>
  <c r="G6" i="5"/>
  <c r="G7" i="5"/>
  <c r="G4" i="5"/>
  <c r="G5" i="5"/>
  <c r="D18" i="7" l="1"/>
  <c r="D19" i="7" s="1"/>
  <c r="D19" i="8"/>
  <c r="E18" i="7"/>
  <c r="E19" i="8"/>
  <c r="G18" i="7"/>
  <c r="G19" i="7" s="1"/>
  <c r="G22" i="7" s="1"/>
  <c r="G20" i="8" s="1"/>
  <c r="G10" i="9" s="1"/>
  <c r="G19" i="8"/>
  <c r="F18" i="7"/>
  <c r="F19" i="8"/>
  <c r="D30" i="6"/>
  <c r="E30" i="6" s="1"/>
  <c r="F30" i="6" s="1"/>
  <c r="G30" i="6" s="1"/>
  <c r="H30" i="6" s="1"/>
  <c r="C34" i="6"/>
  <c r="C36" i="6" s="1"/>
  <c r="F24" i="6"/>
  <c r="F25" i="6" s="1"/>
  <c r="F19" i="7"/>
  <c r="F22" i="7" s="1"/>
  <c r="F20" i="8" s="1"/>
  <c r="F10" i="9" s="1"/>
  <c r="E24" i="6"/>
  <c r="E25" i="6" s="1"/>
  <c r="E19" i="7"/>
  <c r="G24" i="6"/>
  <c r="G25" i="6" s="1"/>
  <c r="D24" i="6"/>
  <c r="D25" i="6" s="1"/>
  <c r="D22" i="7"/>
  <c r="H4" i="5"/>
  <c r="K8" i="5"/>
  <c r="E22" i="7" l="1"/>
  <c r="E20" i="8" s="1"/>
  <c r="E10" i="9" s="1"/>
  <c r="D24" i="7"/>
  <c r="D32" i="6" s="1"/>
  <c r="F21" i="6"/>
  <c r="F24" i="7"/>
  <c r="F32" i="6" s="1"/>
  <c r="E21" i="6"/>
  <c r="G21" i="6"/>
  <c r="G27" i="6" s="1"/>
  <c r="D8" i="9"/>
  <c r="I4" i="5"/>
  <c r="E5" i="5" s="1"/>
  <c r="F5" i="5" s="1"/>
  <c r="G4" i="12"/>
  <c r="E7" i="12" l="1"/>
  <c r="C7" i="12"/>
  <c r="E21" i="8"/>
  <c r="E23" i="8" s="1"/>
  <c r="E27" i="8" s="1"/>
  <c r="F34" i="6"/>
  <c r="D21" i="6"/>
  <c r="D27" i="6" s="1"/>
  <c r="D20" i="8"/>
  <c r="G24" i="7"/>
  <c r="F4" i="12"/>
  <c r="E24" i="7"/>
  <c r="H5" i="5"/>
  <c r="I5" i="5" s="1"/>
  <c r="E6" i="5" s="1"/>
  <c r="E9" i="9"/>
  <c r="E23" i="9" s="1"/>
  <c r="E27" i="6"/>
  <c r="D4" i="12"/>
  <c r="H34" i="6"/>
  <c r="H36" i="6" s="1"/>
  <c r="F27" i="6"/>
  <c r="E4" i="12"/>
  <c r="D22" i="9"/>
  <c r="G5" i="12"/>
  <c r="F5" i="12"/>
  <c r="E6" i="9" l="1"/>
  <c r="J6" i="12"/>
  <c r="F7" i="12"/>
  <c r="D7" i="12"/>
  <c r="D21" i="8"/>
  <c r="D23" i="8" s="1"/>
  <c r="D27" i="8" s="1"/>
  <c r="D10" i="9"/>
  <c r="E8" i="9"/>
  <c r="E22" i="9" s="1"/>
  <c r="C5" i="12"/>
  <c r="C4" i="12"/>
  <c r="E32" i="6"/>
  <c r="E34" i="6" s="1"/>
  <c r="E36" i="6" s="1"/>
  <c r="E8" i="12" s="1"/>
  <c r="G32" i="6"/>
  <c r="G34" i="6" s="1"/>
  <c r="G36" i="6" s="1"/>
  <c r="G8" i="12" s="1"/>
  <c r="F36" i="6"/>
  <c r="F8" i="12" s="1"/>
  <c r="E5" i="12"/>
  <c r="D5" i="12"/>
  <c r="F6" i="5"/>
  <c r="D6" i="9" l="1"/>
  <c r="J5" i="12"/>
  <c r="D13" i="9"/>
  <c r="E13" i="9"/>
  <c r="F9" i="9"/>
  <c r="F23" i="9" s="1"/>
  <c r="F21" i="8"/>
  <c r="F23" i="8" s="1"/>
  <c r="F27" i="8" s="1"/>
  <c r="H6" i="5"/>
  <c r="F6" i="9" l="1"/>
  <c r="J7" i="12"/>
  <c r="F8" i="9"/>
  <c r="F13" i="9" s="1"/>
  <c r="I6" i="5"/>
  <c r="E7" i="5" s="1"/>
  <c r="F7" i="5" l="1"/>
  <c r="F22" i="9"/>
  <c r="G9" i="9" l="1"/>
  <c r="G23" i="9" s="1"/>
  <c r="G21" i="8"/>
  <c r="G23" i="8" s="1"/>
  <c r="G27" i="8" s="1"/>
  <c r="H7" i="5"/>
  <c r="G6" i="9" l="1"/>
  <c r="J8" i="12"/>
  <c r="G8" i="9"/>
  <c r="G13" i="9" s="1"/>
  <c r="I7" i="5"/>
  <c r="E8" i="5" s="1"/>
  <c r="M5" i="12" l="1"/>
  <c r="M7" i="12"/>
  <c r="M6" i="12"/>
  <c r="F8" i="5"/>
  <c r="G22" i="9"/>
  <c r="H9" i="9" l="1"/>
  <c r="H23" i="9" s="1"/>
  <c r="H8" i="5"/>
  <c r="H8" i="9" l="1"/>
  <c r="H13" i="9" s="1"/>
  <c r="I8" i="5"/>
  <c r="H22" i="9" l="1"/>
  <c r="F24" i="9"/>
  <c r="F25" i="9" s="1"/>
  <c r="D24" i="9"/>
  <c r="D25" i="9" s="1"/>
  <c r="H24" i="9"/>
  <c r="H25" i="9" s="1"/>
  <c r="E24" i="9"/>
  <c r="E25" i="9" s="1"/>
  <c r="D34" i="6"/>
  <c r="D36" i="6" s="1"/>
  <c r="D8" i="12" s="1"/>
  <c r="G24" i="9"/>
  <c r="G25" i="9" s="1"/>
</calcChain>
</file>

<file path=xl/sharedStrings.xml><?xml version="1.0" encoding="utf-8"?>
<sst xmlns="http://schemas.openxmlformats.org/spreadsheetml/2006/main" count="543" uniqueCount="317">
  <si>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</si>
  <si>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</si>
  <si>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</si>
  <si>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</si>
  <si>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</si>
  <si>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</si>
  <si>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</si>
  <si>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</si>
  <si>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</si>
  <si>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</si>
  <si>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</si>
  <si>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</si>
  <si>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</si>
  <si>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</si>
  <si>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</si>
  <si>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</si>
  <si>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</si>
  <si>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</si>
  <si>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</si>
  <si>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</si>
  <si>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</si>
  <si>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</si>
  <si>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</si>
  <si>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</si>
  <si>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</si>
  <si>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</si>
  <si>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</si>
  <si>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</si>
  <si>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</si>
  <si>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</si>
  <si>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</si>
  <si>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</si>
  <si>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</si>
  <si>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</si>
  <si>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</si>
  <si>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</si>
  <si>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</si>
  <si>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</si>
  <si>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</si>
  <si>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</si>
  <si>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</si>
  <si>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</si>
  <si>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</si>
  <si>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</si>
  <si>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</si>
  <si>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</si>
  <si>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</si>
  <si>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</si>
  <si>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</si>
  <si>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</si>
  <si>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</si>
  <si>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</si>
  <si>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</si>
  <si>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</si>
  <si>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</si>
  <si>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</si>
  <si>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</si>
  <si>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</si>
  <si>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</si>
  <si>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</si>
  <si>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</si>
  <si>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</si>
  <si>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</si>
  <si>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</si>
  <si>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</si>
  <si>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</si>
  <si>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</si>
  <si>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</si>
  <si>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</si>
  <si>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</si>
  <si>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</si>
  <si>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</si>
  <si>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</si>
  <si>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</si>
  <si>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</si>
  <si>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</si>
  <si>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</si>
  <si>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</si>
  <si>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</si>
  <si>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</si>
  <si>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</si>
  <si>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</si>
  <si>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</si>
  <si>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</si>
  <si>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</si>
  <si>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</si>
  <si>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</si>
  <si>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</si>
  <si>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</si>
  <si>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</si>
  <si>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</si>
  <si>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</si>
  <si>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</si>
  <si>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Total Activos Corrientes</t>
  </si>
  <si>
    <t>ACTIVOS NO CORRIENTES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</si>
  <si>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</si>
  <si>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</si>
  <si>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</si>
  <si>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</si>
  <si>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</si>
  <si>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</si>
  <si>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</si>
  <si>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</si>
  <si>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</si>
  <si>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</si>
  <si>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</si>
  <si>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</si>
  <si>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</si>
  <si>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</si>
  <si>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</si>
  <si>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</si>
  <si>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</si>
  <si>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</si>
  <si>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</si>
  <si>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</si>
  <si>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</si>
  <si>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</si>
  <si>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</si>
  <si>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</si>
  <si>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</si>
  <si>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</si>
  <si>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</si>
  <si>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</si>
  <si>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</si>
  <si>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</si>
  <si>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</si>
  <si>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</si>
  <si>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</si>
  <si>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</si>
  <si>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</si>
  <si>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</si>
  <si>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</si>
  <si>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</si>
  <si>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</si>
  <si>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</si>
  <si>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</si>
  <si>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</si>
  <si>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</si>
  <si>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</si>
  <si>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</si>
  <si>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</si>
  <si>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</si>
  <si>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</si>
  <si>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</si>
  <si>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</si>
  <si>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</si>
  <si>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</si>
  <si>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</si>
  <si>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</si>
  <si>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</si>
  <si>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</si>
  <si>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</si>
  <si>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</si>
  <si>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</si>
  <si>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</si>
  <si>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</si>
  <si>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</si>
  <si>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</si>
  <si>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</si>
  <si>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</si>
  <si>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</si>
  <si>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</si>
  <si>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</si>
  <si>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</si>
  <si>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</si>
  <si>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</si>
  <si>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</si>
  <si>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</si>
  <si>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</si>
  <si>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</si>
  <si>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</si>
  <si>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</si>
  <si>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</si>
  <si>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</si>
  <si>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</si>
  <si>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</si>
  <si>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</si>
  <si>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</si>
  <si>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</si>
  <si>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</si>
  <si>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</si>
  <si>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</si>
  <si>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</si>
  <si>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</si>
  <si>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</si>
  <si>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</si>
  <si>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</si>
  <si>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</si>
  <si>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</si>
  <si>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</si>
  <si>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</si>
  <si>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</si>
  <si>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</si>
  <si>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</si>
  <si>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</si>
  <si>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</si>
  <si>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</si>
  <si>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</si>
  <si>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</si>
  <si>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</si>
  <si>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</si>
  <si>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</si>
  <si>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</si>
  <si>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</si>
  <si>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</si>
  <si>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</si>
  <si>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</si>
  <si>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</si>
  <si>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</si>
  <si>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</si>
  <si>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</si>
  <si>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</si>
  <si>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</si>
  <si>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</si>
  <si>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</si>
  <si>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</si>
  <si>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</si>
  <si>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</si>
  <si>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</si>
  <si>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</si>
  <si>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</si>
  <si>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</si>
  <si>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</si>
  <si>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</si>
  <si>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Depreciación anual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</si>
  <si>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</si>
  <si>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</si>
  <si>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</si>
  <si>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</si>
  <si>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</si>
  <si>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</si>
  <si>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</si>
  <si>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</si>
  <si>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</si>
  <si>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</si>
  <si>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</si>
  <si>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</si>
  <si>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</si>
  <si>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</si>
  <si>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</si>
  <si>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</si>
  <si>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</si>
  <si>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</si>
  <si>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</si>
  <si>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</si>
  <si>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</si>
  <si>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</si>
  <si>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</si>
  <si>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</si>
  <si>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</si>
  <si>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</si>
  <si>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</si>
  <si>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</si>
  <si>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</si>
  <si>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</si>
  <si>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</si>
  <si>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</si>
  <si>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</si>
  <si>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</si>
  <si>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</si>
  <si>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</si>
  <si>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</si>
  <si>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</si>
  <si>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</si>
  <si>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</si>
  <si>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</si>
  <si>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</si>
  <si>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</si>
  <si>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</si>
  <si>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</si>
  <si>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</si>
  <si>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</si>
  <si>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</si>
  <si>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</si>
  <si>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</si>
  <si>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</si>
  <si>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</si>
  <si>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</si>
  <si>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</si>
  <si>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</si>
  <si>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</si>
  <si>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</si>
  <si>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</si>
  <si>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</si>
  <si>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</si>
  <si>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</si>
  <si>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AÑOS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</si>
  <si>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</si>
  <si>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</si>
  <si>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</si>
  <si>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</si>
  <si>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</si>
  <si>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</si>
  <si>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</si>
  <si>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</si>
  <si>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</si>
  <si>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</si>
  <si>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</si>
  <si>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</si>
  <si>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</si>
  <si>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</si>
  <si>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</si>
  <si>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</si>
  <si>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</si>
  <si>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</si>
  <si>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</si>
  <si>
    <t>Propiedad, planta y Equipos</t>
  </si>
  <si>
    <t>Efectivo y equivalente de efectivo</t>
  </si>
  <si>
    <t>Gastos de utiles y papelería</t>
  </si>
  <si>
    <t>Gastos en marketing</t>
  </si>
  <si>
    <t>Salarios a empleados</t>
  </si>
  <si>
    <t>Prestaciones sociales y parafiscales</t>
  </si>
  <si>
    <t>Inversiones hacia servicios e infraestructura TI</t>
  </si>
  <si>
    <t>Papelería y accesorios</t>
  </si>
  <si>
    <t>Pago de cuotas de préstamo</t>
  </si>
  <si>
    <t>Abono al capital</t>
  </si>
  <si>
    <t>Servicio de Internet y 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</si>
</sst>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1" fillId="0" borderId="0" xfId="0" applyFont="1" applyBorder="1" applyAlignment="1">
      <alignment horizontal="left"/>
    </xf>
    <xf numFmtId="164" fontId="0" fillId="0" borderId="25" xfId="0" applyNumberFormat="1" applyBorder="1" applyAlignment="1">
      <alignment horizontal="center"/>
    </xf>
    <xf numFmtId="0" fontId="7" fillId="2" borderId="13" xfId="0" applyFont="1" applyFill="1" applyBorder="1"/>
    <xf numFmtId="164" fontId="1" fillId="2" borderId="28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6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F22" sqref="F2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4" t="s">
        <v>0</v>
      </c>
      <c r="B1" s="145"/>
    </row>
    <row r="2" spans="1:4" x14ac:dyDescent="0.25">
      <c r="A2" s="1" t="s">
        <v>1</v>
      </c>
      <c r="B2" s="1" t="s">
        <v>2</v>
      </c>
    </row>
    <row r="3" spans="1:4" x14ac:dyDescent="0.25">
      <c r="A3" s="106" t="s">
        <v>178</v>
      </c>
      <c r="B3" s="3">
        <f>B23</f>
        <v>5000000</v>
      </c>
    </row>
    <row r="4" spans="1:4" x14ac:dyDescent="0.25">
      <c r="A4" s="106" t="s">
        <v>177</v>
      </c>
      <c r="B4" s="3">
        <f>B31</f>
        <v>3740000</v>
      </c>
    </row>
    <row r="5" spans="1:4" x14ac:dyDescent="0.25">
      <c r="A5" s="106" t="s">
        <v>3</v>
      </c>
      <c r="B5" s="3">
        <f>D16</f>
        <v>8200000</v>
      </c>
    </row>
    <row r="6" spans="1:4" x14ac:dyDescent="0.25">
      <c r="A6" s="106" t="s">
        <v>244</v>
      </c>
      <c r="B6" s="3">
        <f>B37</f>
        <v>7000000</v>
      </c>
    </row>
    <row r="7" spans="1:4" x14ac:dyDescent="0.25">
      <c r="A7" s="106" t="s">
        <v>4</v>
      </c>
      <c r="B7" s="3">
        <f>B44</f>
        <v>6000000</v>
      </c>
    </row>
    <row r="8" spans="1:4" x14ac:dyDescent="0.25">
      <c r="A8" s="106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6" t="s">
        <v>174</v>
      </c>
      <c r="B11" s="153"/>
      <c r="C11" s="153"/>
      <c r="D11" s="147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179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180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50" t="s">
        <v>6</v>
      </c>
      <c r="B16" s="151"/>
      <c r="C16" s="152"/>
      <c r="D16" s="5">
        <f>SUM(D13:D15)</f>
        <v>8200000</v>
      </c>
    </row>
    <row r="17" spans="1:2" ht="15.75" thickBot="1" x14ac:dyDescent="0.3"/>
    <row r="18" spans="1:2" ht="15.75" thickBot="1" x14ac:dyDescent="0.3">
      <c r="A18" s="146" t="s">
        <v>175</v>
      </c>
      <c r="B18" s="147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181</v>
      </c>
      <c r="B20" s="7">
        <v>1500000</v>
      </c>
    </row>
    <row r="21" spans="1:2" x14ac:dyDescent="0.25">
      <c r="A21" s="8" t="s">
        <v>182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6" t="s">
        <v>176</v>
      </c>
      <c r="B25" s="147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185</v>
      </c>
      <c r="B27" s="7">
        <v>920000</v>
      </c>
    </row>
    <row r="28" spans="1:2" x14ac:dyDescent="0.25">
      <c r="A28" s="8" t="s">
        <v>186</v>
      </c>
      <c r="B28" s="7">
        <v>1300000</v>
      </c>
    </row>
    <row r="29" spans="1:2" x14ac:dyDescent="0.25">
      <c r="A29" s="8" t="s">
        <v>187</v>
      </c>
      <c r="B29" s="7">
        <v>600000</v>
      </c>
    </row>
    <row r="30" spans="1:2" x14ac:dyDescent="0.25">
      <c r="A30" s="8" t="s">
        <v>188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6" t="s">
        <v>243</v>
      </c>
      <c r="B33" s="147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184</v>
      </c>
      <c r="B35" s="7">
        <v>3500000</v>
      </c>
    </row>
    <row r="36" spans="1:2" x14ac:dyDescent="0.25">
      <c r="A36" s="8" t="s">
        <v>183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6" t="s">
        <v>14</v>
      </c>
      <c r="B39" s="147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189</v>
      </c>
      <c r="B41" s="7">
        <v>2000000</v>
      </c>
    </row>
    <row r="42" spans="1:2" x14ac:dyDescent="0.25">
      <c r="A42" s="8" t="s">
        <v>190</v>
      </c>
      <c r="B42" s="7">
        <v>2000000</v>
      </c>
    </row>
    <row r="43" spans="1:2" x14ac:dyDescent="0.25">
      <c r="A43" s="8" t="s">
        <v>191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6" t="s">
        <v>15</v>
      </c>
      <c r="B46" s="147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192</v>
      </c>
      <c r="B48" s="7">
        <v>1500000</v>
      </c>
    </row>
    <row r="49" spans="1:4" x14ac:dyDescent="0.25">
      <c r="A49" s="8" t="s">
        <v>193</v>
      </c>
      <c r="B49" s="7">
        <v>1000000</v>
      </c>
    </row>
    <row r="50" spans="1:4" x14ac:dyDescent="0.25">
      <c r="A50" s="8" t="s">
        <v>194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8"/>
      <c r="B55" s="149"/>
      <c r="C55" s="149"/>
      <c r="D55" s="149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topLeftCell="H2" zoomScale="130" zoomScaleNormal="130" workbookViewId="0">
      <selection activeCell="C10" sqref="C10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70" t="s">
        <v>51</v>
      </c>
      <c r="B1" s="171"/>
      <c r="C1" s="171"/>
      <c r="D1" s="171"/>
      <c r="E1" s="171"/>
      <c r="F1" s="172"/>
      <c r="H1" s="173" t="s">
        <v>52</v>
      </c>
      <c r="I1" s="174"/>
      <c r="J1" s="174"/>
      <c r="K1" s="174"/>
      <c r="L1" s="174"/>
      <c r="M1" s="174"/>
      <c r="N1" s="175"/>
    </row>
    <row r="2" spans="1:14" x14ac:dyDescent="0.25">
      <c r="A2" s="176" t="s">
        <v>53</v>
      </c>
      <c r="B2" s="176"/>
      <c r="C2" s="176"/>
      <c r="D2" s="176"/>
      <c r="E2" s="176"/>
      <c r="F2" s="176"/>
      <c r="H2" s="177" t="s">
        <v>54</v>
      </c>
      <c r="I2" s="178"/>
      <c r="J2" s="178"/>
      <c r="K2" s="178"/>
      <c r="L2" s="178"/>
      <c r="M2" s="178"/>
      <c r="N2" s="179"/>
    </row>
    <row r="3" spans="1:14" x14ac:dyDescent="0.25">
      <c r="A3" s="180" t="s">
        <v>7</v>
      </c>
      <c r="B3" s="180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158</v>
      </c>
      <c r="K3" s="20" t="s">
        <v>159</v>
      </c>
      <c r="L3" s="20" t="s">
        <v>160</v>
      </c>
      <c r="M3" s="20" t="s">
        <v>161</v>
      </c>
      <c r="N3" s="20" t="s">
        <v>162</v>
      </c>
    </row>
    <row r="4" spans="1:14" x14ac:dyDescent="0.25">
      <c r="A4" s="181" t="s">
        <v>59</v>
      </c>
      <c r="B4" s="181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81" t="s">
        <v>61</v>
      </c>
      <c r="B5" s="181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81" t="s">
        <v>63</v>
      </c>
      <c r="B6" s="181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82" t="s">
        <v>65</v>
      </c>
      <c r="B7" s="182"/>
      <c r="C7" s="182"/>
      <c r="D7" s="182"/>
      <c r="E7" s="182"/>
      <c r="F7" s="182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69"/>
      <c r="I8" s="169"/>
      <c r="J8" s="169"/>
      <c r="K8" s="169"/>
      <c r="L8" s="169"/>
      <c r="M8" s="169"/>
      <c r="N8" s="169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8" t="s">
        <v>255</v>
      </c>
      <c r="I9" s="159"/>
      <c r="J9" s="159"/>
      <c r="K9" s="159"/>
      <c r="L9" s="159"/>
      <c r="M9" s="159"/>
      <c r="N9" s="160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61" t="s">
        <v>58</v>
      </c>
      <c r="I10" s="162"/>
      <c r="J10" s="105" t="s">
        <v>158</v>
      </c>
      <c r="K10" s="105" t="s">
        <v>159</v>
      </c>
      <c r="L10" s="105" t="s">
        <v>160</v>
      </c>
      <c r="M10" s="105" t="s">
        <v>161</v>
      </c>
      <c r="N10" s="105" t="s">
        <v>162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63" t="s">
        <v>256</v>
      </c>
      <c r="I11" s="164"/>
      <c r="J11" s="164"/>
      <c r="K11" s="164"/>
      <c r="L11" s="164"/>
      <c r="M11" s="164"/>
      <c r="N11" s="165"/>
    </row>
    <row r="12" spans="1:14" x14ac:dyDescent="0.25">
      <c r="A12" s="166" t="s">
        <v>28</v>
      </c>
      <c r="B12" s="166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7" t="s">
        <v>257</v>
      </c>
      <c r="I12" s="168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7" t="s">
        <v>258</v>
      </c>
      <c r="I13" s="168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5" t="s">
        <v>72</v>
      </c>
      <c r="B14" s="157"/>
      <c r="C14" s="38"/>
      <c r="D14" s="42"/>
      <c r="E14" s="42"/>
      <c r="H14" s="163" t="s">
        <v>259</v>
      </c>
      <c r="I14" s="164"/>
      <c r="J14" s="164"/>
      <c r="K14" s="164"/>
      <c r="L14" s="164"/>
      <c r="M14" s="164"/>
      <c r="N14" s="165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6" t="s">
        <v>248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195</v>
      </c>
      <c r="B16" s="3">
        <f>'Costos de Operación Gravables'!$B$49*0.45</f>
        <v>15790950</v>
      </c>
      <c r="C16" s="38"/>
      <c r="D16" s="42"/>
      <c r="E16" s="42"/>
      <c r="H16" s="116" t="s">
        <v>249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196</v>
      </c>
      <c r="B17" s="3">
        <f>'Costos de Operación Gravables'!$B$49*0.55</f>
        <v>19300050</v>
      </c>
      <c r="C17" s="38"/>
      <c r="D17" s="42"/>
      <c r="E17" s="42"/>
      <c r="H17" s="163" t="s">
        <v>252</v>
      </c>
      <c r="I17" s="164"/>
      <c r="J17" s="164"/>
      <c r="K17" s="164"/>
      <c r="L17" s="164"/>
      <c r="M17" s="164"/>
      <c r="N17" s="165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67" t="s">
        <v>250</v>
      </c>
      <c r="I18" s="168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67" t="s">
        <v>251</v>
      </c>
      <c r="I19" s="168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5" t="s">
        <v>197</v>
      </c>
      <c r="B20" s="156"/>
      <c r="C20" s="157"/>
      <c r="D20" s="42"/>
      <c r="E20" s="42"/>
      <c r="H20" s="163" t="s">
        <v>289</v>
      </c>
      <c r="I20" s="164"/>
      <c r="J20" s="164"/>
      <c r="K20" s="164"/>
      <c r="L20" s="164"/>
      <c r="M20" s="164"/>
      <c r="N20" s="165"/>
      <c r="O20" s="104" t="s">
        <v>267</v>
      </c>
      <c r="P20" s="23"/>
    </row>
    <row r="21" spans="1:16" x14ac:dyDescent="0.25">
      <c r="A21" s="11" t="s">
        <v>7</v>
      </c>
      <c r="B21" s="101" t="s">
        <v>198</v>
      </c>
      <c r="C21" s="101" t="s">
        <v>2</v>
      </c>
      <c r="D21" s="42"/>
      <c r="E21" s="42"/>
      <c r="H21" s="167" t="s">
        <v>260</v>
      </c>
      <c r="I21" s="168"/>
      <c r="J21" s="119">
        <f>(SUM(J15:J16)/12)/SUM(J18:J19)</f>
        <v>2752.2935779816517</v>
      </c>
      <c r="K21" s="119">
        <f t="shared" ref="K21:N21" si="9">(SUM(K15:K16)/12)/SUM(K18:K19)</f>
        <v>2878.8990825688074</v>
      </c>
      <c r="L21" s="119">
        <f t="shared" si="9"/>
        <v>2991.1761467889905</v>
      </c>
      <c r="M21" s="119">
        <f t="shared" si="9"/>
        <v>3101.8496642201826</v>
      </c>
      <c r="N21" s="119">
        <f t="shared" si="9"/>
        <v>3210.4144024678885</v>
      </c>
      <c r="O21" s="124">
        <f>AVERAGE(J21:N21)</f>
        <v>2986.9265748055041</v>
      </c>
      <c r="P21" s="122"/>
    </row>
    <row r="22" spans="1:16" x14ac:dyDescent="0.25">
      <c r="A22" s="102" t="s">
        <v>200</v>
      </c>
      <c r="B22" s="79">
        <v>0.5</v>
      </c>
      <c r="C22" s="3">
        <f>$B$17*B22</f>
        <v>9650025</v>
      </c>
      <c r="D22" s="46"/>
      <c r="E22" s="46"/>
      <c r="H22" s="167" t="s">
        <v>263</v>
      </c>
      <c r="I22" s="168"/>
      <c r="J22" s="119">
        <f>J21*12</f>
        <v>33027.522935779823</v>
      </c>
      <c r="K22" s="119">
        <f t="shared" ref="K22:N22" si="10">K21*12</f>
        <v>34546.788990825691</v>
      </c>
      <c r="L22" s="119">
        <f t="shared" si="10"/>
        <v>35894.113761467888</v>
      </c>
      <c r="M22" s="119">
        <f t="shared" si="10"/>
        <v>37222.195970642191</v>
      </c>
      <c r="N22" s="119">
        <f t="shared" si="10"/>
        <v>38524.972829614664</v>
      </c>
      <c r="O22" s="124">
        <f>AVERAGE(J22:N22)</f>
        <v>35843.118897666049</v>
      </c>
      <c r="P22" s="24"/>
    </row>
    <row r="23" spans="1:16" x14ac:dyDescent="0.25">
      <c r="A23" s="102" t="s">
        <v>199</v>
      </c>
      <c r="B23" s="79">
        <v>0.5</v>
      </c>
      <c r="C23" s="3">
        <f>$B$17*B23</f>
        <v>9650025</v>
      </c>
      <c r="D23" s="47"/>
      <c r="E23" s="48"/>
      <c r="H23" s="163" t="s">
        <v>254</v>
      </c>
      <c r="I23" s="164"/>
      <c r="J23" s="164"/>
      <c r="K23" s="164"/>
      <c r="L23" s="164"/>
      <c r="M23" s="164"/>
      <c r="N23" s="165"/>
      <c r="O23" s="18"/>
    </row>
    <row r="24" spans="1:16" x14ac:dyDescent="0.25">
      <c r="A24" s="9" t="s">
        <v>28</v>
      </c>
      <c r="B24" s="107">
        <f>SUM(B22:B23)</f>
        <v>1</v>
      </c>
      <c r="C24" s="10">
        <f>SUM(C22:C23)</f>
        <v>19300050</v>
      </c>
      <c r="D24" s="18"/>
      <c r="E24" s="18"/>
      <c r="H24" s="117" t="s">
        <v>253</v>
      </c>
      <c r="I24" s="118"/>
      <c r="J24" s="120">
        <f>SUM(J18:J19)*12</f>
        <v>59330.879999999997</v>
      </c>
      <c r="K24" s="120">
        <f>SUM(K18:K19)*12</f>
        <v>71412.598393881432</v>
      </c>
      <c r="L24" s="120">
        <f>SUM(L18:L19)*12</f>
        <v>88458.146422449878</v>
      </c>
      <c r="M24" s="120">
        <f>SUM(M18:M19)*12</f>
        <v>113025.11476349673</v>
      </c>
      <c r="N24" s="120">
        <f>SUM(N18:N19)*12</f>
        <v>150044.93496139569</v>
      </c>
      <c r="O24" s="110"/>
    </row>
    <row r="25" spans="1:16" x14ac:dyDescent="0.25">
      <c r="B25" s="49"/>
      <c r="C25" s="38"/>
      <c r="D25" s="42"/>
      <c r="E25" s="42"/>
      <c r="I25" s="109"/>
      <c r="J25" s="110"/>
      <c r="K25" s="110"/>
      <c r="L25" s="110"/>
      <c r="M25" s="110"/>
      <c r="N25" s="110"/>
      <c r="O25" s="110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1"/>
      <c r="K27" s="111"/>
      <c r="L27" s="111"/>
      <c r="M27" s="111"/>
      <c r="N27" s="111"/>
      <c r="O27" s="111"/>
    </row>
    <row r="28" spans="1:16" x14ac:dyDescent="0.25">
      <c r="A28" s="47"/>
      <c r="B28" s="47"/>
      <c r="C28" s="47"/>
      <c r="D28" s="47"/>
      <c r="E28" s="48"/>
      <c r="I28" s="109"/>
      <c r="J28" s="109"/>
      <c r="K28" s="109"/>
      <c r="L28" s="109"/>
      <c r="M28" s="109"/>
      <c r="N28" s="109"/>
      <c r="O28" s="109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4"/>
      <c r="B31" s="154"/>
      <c r="C31" s="44"/>
      <c r="D31" s="46"/>
      <c r="E31" s="46"/>
    </row>
  </sheetData>
  <mergeCells count="27">
    <mergeCell ref="A14:B14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zoomScale="115" zoomScaleNormal="115" workbookViewId="0">
      <selection activeCell="A21" sqref="A21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206" t="s">
        <v>17</v>
      </c>
      <c r="B1" s="197"/>
      <c r="C1" s="197"/>
      <c r="D1" s="207"/>
      <c r="F1" s="196" t="s">
        <v>17</v>
      </c>
      <c r="G1" s="197"/>
      <c r="H1" s="197"/>
      <c r="I1" s="197"/>
      <c r="J1" s="197"/>
      <c r="K1" s="197"/>
      <c r="L1" s="197"/>
      <c r="M1" s="197"/>
      <c r="N1" s="198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8" t="s">
        <v>18</v>
      </c>
      <c r="B2" s="208"/>
      <c r="C2" s="208"/>
      <c r="D2" s="208"/>
      <c r="F2" s="203" t="s">
        <v>18</v>
      </c>
      <c r="G2" s="204"/>
      <c r="H2" s="204"/>
      <c r="I2" s="204"/>
      <c r="J2" s="204"/>
      <c r="K2" s="204"/>
      <c r="L2" s="204"/>
      <c r="M2" s="204"/>
      <c r="N2" s="204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205" t="s">
        <v>25</v>
      </c>
      <c r="G5" s="205"/>
      <c r="H5" s="205"/>
      <c r="I5" s="205"/>
      <c r="J5" s="205"/>
      <c r="K5" s="205"/>
      <c r="L5" s="205"/>
      <c r="M5" s="205"/>
      <c r="N5" s="205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6" t="s">
        <v>28</v>
      </c>
      <c r="B6" s="166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9" t="s">
        <v>25</v>
      </c>
      <c r="B7" s="210"/>
      <c r="C7" s="210"/>
      <c r="D7" s="211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205" t="s">
        <v>172</v>
      </c>
      <c r="G8" s="205"/>
      <c r="H8" s="205"/>
      <c r="I8" s="205"/>
      <c r="J8" s="205"/>
      <c r="K8" s="205"/>
      <c r="L8" s="205"/>
      <c r="M8" s="205"/>
      <c r="N8" s="205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205" t="s">
        <v>302</v>
      </c>
      <c r="G11" s="205"/>
      <c r="H11" s="205"/>
      <c r="I11" s="205"/>
      <c r="J11" s="205"/>
      <c r="K11" s="205"/>
      <c r="L11" s="205"/>
      <c r="M11" s="205"/>
      <c r="N11" s="205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5" t="s">
        <v>22</v>
      </c>
      <c r="G12" s="136" t="s">
        <v>44</v>
      </c>
      <c r="H12" s="136" t="s">
        <v>23</v>
      </c>
      <c r="I12" s="135" t="s">
        <v>45</v>
      </c>
      <c r="J12" s="135" t="s">
        <v>46</v>
      </c>
      <c r="K12" s="135" t="s">
        <v>47</v>
      </c>
      <c r="L12" s="135" t="s">
        <v>48</v>
      </c>
      <c r="M12" s="135" t="s">
        <v>49</v>
      </c>
      <c r="N12" s="135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3" t="s">
        <v>6</v>
      </c>
      <c r="G14" s="194"/>
      <c r="H14" s="194"/>
      <c r="I14" s="194"/>
      <c r="J14" s="194"/>
      <c r="K14" s="194"/>
      <c r="L14" s="194"/>
      <c r="M14" s="194"/>
      <c r="N14" s="19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50" t="s">
        <v>28</v>
      </c>
      <c r="B17" s="152"/>
      <c r="C17" s="5">
        <f>SUM(C9:C16)</f>
        <v>894289</v>
      </c>
      <c r="D17" s="14">
        <f>SUM(D9:D16)</f>
        <v>1788578</v>
      </c>
      <c r="F17" s="196" t="s">
        <v>272</v>
      </c>
      <c r="G17" s="197"/>
      <c r="H17" s="197"/>
      <c r="I17" s="197"/>
      <c r="J17" s="197"/>
      <c r="K17" s="197"/>
      <c r="L17" s="197"/>
      <c r="M17" s="197"/>
      <c r="N17" s="198"/>
      <c r="O17" s="24"/>
      <c r="P17" s="11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202" t="s">
        <v>171</v>
      </c>
      <c r="B18" s="202"/>
      <c r="C18" s="202"/>
      <c r="D18" s="202"/>
      <c r="F18" s="199" t="s">
        <v>246</v>
      </c>
      <c r="G18" s="200"/>
      <c r="H18" s="200"/>
      <c r="I18" s="200"/>
      <c r="J18" s="200"/>
      <c r="K18" s="200"/>
      <c r="L18" s="200"/>
      <c r="M18" s="200"/>
      <c r="N18" s="20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5" t="s">
        <v>22</v>
      </c>
      <c r="G19" s="136" t="s">
        <v>44</v>
      </c>
      <c r="H19" s="136" t="s">
        <v>23</v>
      </c>
      <c r="I19" s="135" t="s">
        <v>45</v>
      </c>
      <c r="J19" s="135" t="s">
        <v>46</v>
      </c>
      <c r="K19" s="135" t="s">
        <v>47</v>
      </c>
      <c r="L19" s="135" t="s">
        <v>48</v>
      </c>
      <c r="M19" s="135" t="s">
        <v>49</v>
      </c>
      <c r="N19" s="135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316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170</v>
      </c>
      <c r="B21" s="8">
        <v>1</v>
      </c>
      <c r="C21" s="3">
        <v>3500000</v>
      </c>
      <c r="D21" s="12">
        <f t="shared" ref="D21" si="5">C21*B21</f>
        <v>3500000</v>
      </c>
      <c r="F21" s="190" t="s">
        <v>245</v>
      </c>
      <c r="G21" s="191"/>
      <c r="H21" s="191"/>
      <c r="I21" s="191"/>
      <c r="J21" s="191"/>
      <c r="K21" s="191"/>
      <c r="L21" s="191"/>
      <c r="M21" s="191"/>
      <c r="N21" s="191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50" t="s">
        <v>28</v>
      </c>
      <c r="B22" s="152"/>
      <c r="C22" s="5">
        <f>SUM(C20:C21)</f>
        <v>3720000</v>
      </c>
      <c r="D22" s="14">
        <f>SUM(D20:D21)</f>
        <v>3720000</v>
      </c>
      <c r="F22" s="135" t="s">
        <v>22</v>
      </c>
      <c r="G22" s="136" t="s">
        <v>44</v>
      </c>
      <c r="H22" s="136" t="s">
        <v>23</v>
      </c>
      <c r="I22" s="135" t="s">
        <v>45</v>
      </c>
      <c r="J22" s="135" t="s">
        <v>46</v>
      </c>
      <c r="K22" s="135" t="s">
        <v>47</v>
      </c>
      <c r="L22" s="135" t="s">
        <v>48</v>
      </c>
      <c r="M22" s="135" t="s">
        <v>49</v>
      </c>
      <c r="N22" s="135" t="s">
        <v>50</v>
      </c>
    </row>
    <row r="23" spans="1:30" ht="15.75" thickBot="1" x14ac:dyDescent="0.3">
      <c r="A23" s="202" t="s">
        <v>167</v>
      </c>
      <c r="B23" s="202"/>
      <c r="C23" s="202"/>
      <c r="D23" s="202"/>
      <c r="F23" s="69">
        <v>120000</v>
      </c>
      <c r="G23" s="72">
        <f>F23*12</f>
        <v>1440000</v>
      </c>
      <c r="H23" s="126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269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3" t="s">
        <v>6</v>
      </c>
      <c r="G24" s="194"/>
      <c r="H24" s="194"/>
      <c r="I24" s="194"/>
      <c r="J24" s="194"/>
      <c r="K24" s="194"/>
      <c r="L24" s="194"/>
      <c r="M24" s="194"/>
      <c r="N24" s="195"/>
      <c r="P24" t="s">
        <v>270</v>
      </c>
    </row>
    <row r="25" spans="1:30" ht="15.75" thickBot="1" x14ac:dyDescent="0.3">
      <c r="A25" s="15" t="s">
        <v>167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271</v>
      </c>
    </row>
    <row r="26" spans="1:30" ht="15.75" thickBot="1" x14ac:dyDescent="0.3">
      <c r="A26" s="150" t="s">
        <v>28</v>
      </c>
      <c r="B26" s="152"/>
      <c r="C26" s="5">
        <f>SUM(C25)</f>
        <v>1451000</v>
      </c>
      <c r="D26" s="14">
        <f>SUM(D25)</f>
        <v>1451000</v>
      </c>
    </row>
    <row r="27" spans="1:30" ht="15.75" thickBot="1" x14ac:dyDescent="0.3">
      <c r="F27" s="193" t="s">
        <v>273</v>
      </c>
      <c r="G27" s="194"/>
      <c r="H27" s="194"/>
      <c r="I27" s="194"/>
      <c r="J27" s="194"/>
      <c r="K27" s="194"/>
      <c r="L27" s="194"/>
      <c r="M27" s="194"/>
      <c r="N27" s="195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5"/>
      <c r="B29" s="115"/>
      <c r="I29" s="127"/>
      <c r="J29" s="127"/>
      <c r="K29" s="127"/>
      <c r="L29" s="127"/>
      <c r="M29" s="127"/>
      <c r="N29" s="127"/>
    </row>
    <row r="30" spans="1:30" ht="15.75" thickBot="1" x14ac:dyDescent="0.3">
      <c r="A30" s="115"/>
      <c r="B30" s="115"/>
      <c r="F30" s="184" t="s">
        <v>77</v>
      </c>
      <c r="G30" s="185"/>
      <c r="H30" s="185"/>
      <c r="I30" s="185"/>
      <c r="J30" s="185"/>
      <c r="K30" s="185"/>
      <c r="L30" s="185"/>
      <c r="M30" s="185"/>
      <c r="N30" s="186"/>
    </row>
    <row r="31" spans="1:30" x14ac:dyDescent="0.25">
      <c r="A31" s="115"/>
      <c r="B31" s="115"/>
      <c r="J31" s="128">
        <f>'Amortización y Depreciación'!G18</f>
        <v>1640000</v>
      </c>
      <c r="K31" s="128">
        <f>J31</f>
        <v>1640000</v>
      </c>
      <c r="L31" s="128">
        <f t="shared" ref="L31:N31" si="9">K31</f>
        <v>1640000</v>
      </c>
      <c r="M31" s="128">
        <f t="shared" si="9"/>
        <v>1640000</v>
      </c>
      <c r="N31" s="12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7" t="s">
        <v>274</v>
      </c>
      <c r="G33" s="188"/>
      <c r="H33" s="188"/>
      <c r="I33" s="188"/>
      <c r="J33" s="188"/>
      <c r="K33" s="188"/>
      <c r="L33" s="188"/>
      <c r="M33" s="188"/>
      <c r="N33" s="189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6" t="s">
        <v>294</v>
      </c>
      <c r="B35" s="198"/>
    </row>
    <row r="36" spans="1:15" ht="15.75" thickBot="1" x14ac:dyDescent="0.3">
      <c r="A36" s="15" t="s">
        <v>38</v>
      </c>
      <c r="B36" s="12">
        <v>1288000</v>
      </c>
      <c r="F36" s="196" t="s">
        <v>261</v>
      </c>
      <c r="G36" s="197"/>
      <c r="H36" s="197"/>
      <c r="I36" s="197"/>
      <c r="J36" s="197"/>
      <c r="K36" s="197"/>
      <c r="L36" s="197"/>
      <c r="M36" s="197"/>
      <c r="N36" s="198"/>
    </row>
    <row r="37" spans="1:15" x14ac:dyDescent="0.25">
      <c r="A37" s="15" t="s">
        <v>39</v>
      </c>
      <c r="B37" s="12">
        <v>30000</v>
      </c>
      <c r="F37" s="199" t="s">
        <v>262</v>
      </c>
      <c r="G37" s="200"/>
      <c r="H37" s="200"/>
      <c r="I37" s="200"/>
      <c r="J37" s="200"/>
      <c r="K37" s="200"/>
      <c r="L37" s="200"/>
      <c r="M37" s="200"/>
      <c r="N37" s="201"/>
    </row>
    <row r="38" spans="1:15" x14ac:dyDescent="0.25">
      <c r="A38" s="15" t="s">
        <v>40</v>
      </c>
      <c r="B38" s="12">
        <v>69000</v>
      </c>
      <c r="F38" s="163" t="s">
        <v>58</v>
      </c>
      <c r="G38" s="164"/>
      <c r="H38" s="165"/>
      <c r="I38" s="135" t="s">
        <v>45</v>
      </c>
      <c r="J38" s="135" t="s">
        <v>46</v>
      </c>
      <c r="K38" s="135" t="s">
        <v>47</v>
      </c>
      <c r="L38" s="135" t="s">
        <v>48</v>
      </c>
      <c r="M38" s="135" t="s">
        <v>49</v>
      </c>
      <c r="N38" s="135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67" t="s">
        <v>253</v>
      </c>
      <c r="G39" s="183"/>
      <c r="H39" s="168"/>
      <c r="I39" s="121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67" t="s">
        <v>275</v>
      </c>
      <c r="G40" s="183"/>
      <c r="H40" s="168"/>
      <c r="I40" s="121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90" t="s">
        <v>264</v>
      </c>
      <c r="G41" s="191"/>
      <c r="H41" s="191"/>
      <c r="I41" s="191"/>
      <c r="J41" s="191"/>
      <c r="K41" s="191"/>
      <c r="L41" s="191"/>
      <c r="M41" s="191"/>
      <c r="N41" s="192"/>
    </row>
    <row r="42" spans="1:15" x14ac:dyDescent="0.25">
      <c r="A42" s="19" t="s">
        <v>28</v>
      </c>
      <c r="B42" s="5">
        <f>SUM(B36:B39)</f>
        <v>1451000</v>
      </c>
      <c r="F42" s="163" t="s">
        <v>58</v>
      </c>
      <c r="G42" s="164"/>
      <c r="H42" s="165"/>
      <c r="I42" s="135" t="s">
        <v>45</v>
      </c>
      <c r="J42" s="135" t="s">
        <v>46</v>
      </c>
      <c r="K42" s="135" t="s">
        <v>47</v>
      </c>
      <c r="L42" s="135" t="s">
        <v>48</v>
      </c>
      <c r="M42" s="135" t="s">
        <v>49</v>
      </c>
      <c r="N42" s="135" t="s">
        <v>50</v>
      </c>
      <c r="O42" s="135" t="s">
        <v>267</v>
      </c>
    </row>
    <row r="43" spans="1:15" ht="15.75" thickBot="1" x14ac:dyDescent="0.3">
      <c r="F43" s="167" t="s">
        <v>265</v>
      </c>
      <c r="G43" s="183"/>
      <c r="H43" s="168"/>
      <c r="I43" s="121"/>
      <c r="J43" s="119">
        <f>(J34/12)/(J39/12)</f>
        <v>2406.6714668651471</v>
      </c>
      <c r="K43" s="119">
        <f t="shared" ref="K43:N43" si="12">(K34/12)/(K39/12)</f>
        <v>2148.9119994427797</v>
      </c>
      <c r="L43" s="119">
        <f t="shared" si="12"/>
        <v>1905.688339375123</v>
      </c>
      <c r="M43" s="119">
        <f t="shared" si="12"/>
        <v>1638.5322301111421</v>
      </c>
      <c r="N43" s="119">
        <f t="shared" si="12"/>
        <v>1356.0923484562215</v>
      </c>
      <c r="O43" s="123">
        <f>AVERAGE(J43:N43)</f>
        <v>1891.1792768500825</v>
      </c>
    </row>
    <row r="44" spans="1:15" ht="15.75" thickBot="1" x14ac:dyDescent="0.3">
      <c r="A44" s="196" t="s">
        <v>298</v>
      </c>
      <c r="B44" s="198"/>
      <c r="F44" s="167" t="s">
        <v>266</v>
      </c>
      <c r="G44" s="183"/>
      <c r="H44" s="168"/>
      <c r="I44" s="121"/>
      <c r="J44" s="119">
        <f>J43*12</f>
        <v>28880.057602381763</v>
      </c>
      <c r="K44" s="119">
        <f t="shared" ref="K44:N44" si="13">K43*12</f>
        <v>25786.943993313354</v>
      </c>
      <c r="L44" s="119">
        <f t="shared" si="13"/>
        <v>22868.260072501474</v>
      </c>
      <c r="M44" s="119">
        <f t="shared" si="13"/>
        <v>19662.386761333706</v>
      </c>
      <c r="N44" s="119">
        <f t="shared" si="13"/>
        <v>16273.108181474658</v>
      </c>
      <c r="O44" s="123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90" t="s">
        <v>288</v>
      </c>
      <c r="G45" s="191"/>
      <c r="H45" s="191"/>
      <c r="I45" s="191"/>
      <c r="J45" s="191"/>
      <c r="K45" s="191"/>
      <c r="L45" s="191"/>
      <c r="M45" s="191"/>
      <c r="N45" s="192"/>
    </row>
    <row r="46" spans="1:15" x14ac:dyDescent="0.25">
      <c r="A46" s="15" t="s">
        <v>296</v>
      </c>
      <c r="B46" s="12">
        <f>'Inversión Inicial'!D16</f>
        <v>8200000</v>
      </c>
      <c r="F46" s="163" t="s">
        <v>58</v>
      </c>
      <c r="G46" s="164"/>
      <c r="H46" s="165"/>
      <c r="I46" s="135" t="s">
        <v>45</v>
      </c>
      <c r="J46" s="135" t="s">
        <v>46</v>
      </c>
      <c r="K46" s="135" t="s">
        <v>47</v>
      </c>
      <c r="L46" s="135" t="s">
        <v>48</v>
      </c>
      <c r="M46" s="135" t="s">
        <v>49</v>
      </c>
      <c r="N46" s="135" t="s">
        <v>50</v>
      </c>
    </row>
    <row r="47" spans="1:15" x14ac:dyDescent="0.25">
      <c r="A47" s="15" t="s">
        <v>295</v>
      </c>
      <c r="B47" s="12">
        <f>B42</f>
        <v>1451000</v>
      </c>
      <c r="F47" s="212" t="s">
        <v>253</v>
      </c>
      <c r="G47" s="212"/>
      <c r="H47" s="212"/>
      <c r="I47" s="121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29" t="s">
        <v>267</v>
      </c>
    </row>
    <row r="48" spans="1:15" x14ac:dyDescent="0.25">
      <c r="A48" s="106" t="s">
        <v>297</v>
      </c>
      <c r="B48" s="12">
        <f>SUM('Inversión Inicial'!B3:B8)-'Inversión Inicial'!B5</f>
        <v>25440000</v>
      </c>
      <c r="F48" s="212" t="s">
        <v>266</v>
      </c>
      <c r="G48" s="212"/>
      <c r="H48" s="212"/>
      <c r="I48" s="121"/>
      <c r="J48" s="119">
        <f>J34/J47</f>
        <v>349769.58651773469</v>
      </c>
      <c r="K48" s="119">
        <f t="shared" ref="K48:N48" si="14">K34/K47</f>
        <v>312308.54391901731</v>
      </c>
      <c r="L48" s="119">
        <f t="shared" si="14"/>
        <v>276960.03865585121</v>
      </c>
      <c r="M48" s="119">
        <f t="shared" si="14"/>
        <v>238133.35077615269</v>
      </c>
      <c r="N48" s="119">
        <f t="shared" si="14"/>
        <v>197085.42130897086</v>
      </c>
      <c r="O48" s="123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5:N45"/>
    <mergeCell ref="F46:H46"/>
    <mergeCell ref="F47:H47"/>
    <mergeCell ref="F48:H48"/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B16" sqref="B16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13" t="s">
        <v>73</v>
      </c>
      <c r="B1" s="214"/>
      <c r="D1" s="215" t="s">
        <v>207</v>
      </c>
      <c r="E1" s="216"/>
      <c r="F1" s="216"/>
      <c r="G1" s="216"/>
      <c r="H1" s="216"/>
      <c r="I1" s="216"/>
      <c r="J1" s="17"/>
      <c r="K1" s="17"/>
      <c r="L1" s="17"/>
      <c r="M1" s="17"/>
      <c r="N1" s="17"/>
      <c r="O1" s="17"/>
      <c r="P1" s="17"/>
    </row>
    <row r="2" spans="1:16" x14ac:dyDescent="0.25">
      <c r="A2" s="217" t="s">
        <v>74</v>
      </c>
      <c r="B2" s="217"/>
      <c r="D2" s="55" t="s">
        <v>75</v>
      </c>
      <c r="E2" s="55" t="s">
        <v>76</v>
      </c>
      <c r="F2" s="55" t="s">
        <v>208</v>
      </c>
      <c r="G2" s="55" t="s">
        <v>209</v>
      </c>
      <c r="H2" s="55" t="s">
        <v>315</v>
      </c>
      <c r="I2" s="55" t="s">
        <v>210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211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205</v>
      </c>
      <c r="B4" s="3">
        <f>'Proyección de Ventas e Incremen'!B16</f>
        <v>15790950</v>
      </c>
      <c r="D4" s="20" t="s">
        <v>212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204</v>
      </c>
      <c r="B5" s="3">
        <v>0</v>
      </c>
      <c r="D5" s="20" t="s">
        <v>213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206</v>
      </c>
      <c r="B6" s="8" t="s">
        <v>88</v>
      </c>
      <c r="D6" s="20" t="s">
        <v>214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203</v>
      </c>
      <c r="B7" s="59">
        <v>0.16639999999999999</v>
      </c>
      <c r="D7" s="20" t="s">
        <v>215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202</v>
      </c>
      <c r="B8" s="3">
        <f>((B4*1.44780279145524)/4)</f>
        <v>5715545.3724325309</v>
      </c>
      <c r="D8" s="20" t="s">
        <v>216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201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4" t="s">
        <v>293</v>
      </c>
      <c r="E10" s="185"/>
      <c r="F10" s="185"/>
      <c r="G10" s="185"/>
      <c r="H10" s="185"/>
      <c r="I10" s="185"/>
      <c r="J10" s="185"/>
      <c r="K10" s="186"/>
    </row>
    <row r="11" spans="1:16" x14ac:dyDescent="0.25">
      <c r="A11" s="61"/>
      <c r="B11" s="60"/>
      <c r="D11" s="63" t="s">
        <v>78</v>
      </c>
      <c r="E11" s="63" t="s">
        <v>79</v>
      </c>
      <c r="F11" s="63" t="s">
        <v>80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81</v>
      </c>
      <c r="E12" s="8" t="s">
        <v>82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83</v>
      </c>
      <c r="E13" s="8" t="s">
        <v>82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241</v>
      </c>
      <c r="E14" s="8" t="s">
        <v>82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84</v>
      </c>
      <c r="E15" s="8" t="s">
        <v>82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85</v>
      </c>
      <c r="E16" s="8" t="s">
        <v>82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242</v>
      </c>
      <c r="E17" s="8" t="s">
        <v>82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63" t="s">
        <v>86</v>
      </c>
      <c r="E18" s="164"/>
      <c r="F18" s="165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50" t="s">
        <v>87</v>
      </c>
      <c r="E19" s="151"/>
      <c r="F19" s="152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84" t="s">
        <v>77</v>
      </c>
      <c r="E21" s="185"/>
      <c r="F21" s="185"/>
      <c r="G21" s="185"/>
      <c r="H21" s="185"/>
      <c r="I21" s="185"/>
      <c r="J21" s="185"/>
      <c r="K21" s="186"/>
      <c r="M21" s="47"/>
      <c r="N21" s="47"/>
      <c r="O21" s="47"/>
      <c r="P21" s="47"/>
    </row>
    <row r="22" spans="1:16" x14ac:dyDescent="0.25">
      <c r="B22" s="38"/>
      <c r="D22" s="63" t="s">
        <v>78</v>
      </c>
      <c r="E22" s="63" t="s">
        <v>79</v>
      </c>
      <c r="F22" s="63" t="s">
        <v>80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81</v>
      </c>
      <c r="E23" s="8" t="s">
        <v>82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69"/>
      <c r="B24" s="169"/>
      <c r="D24" s="5" t="s">
        <v>83</v>
      </c>
      <c r="E24" s="8" t="s">
        <v>82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241</v>
      </c>
      <c r="E25" s="8" t="s">
        <v>82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84</v>
      </c>
      <c r="E26" s="8" t="s">
        <v>82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85</v>
      </c>
      <c r="E27" s="8" t="s">
        <v>82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242</v>
      </c>
      <c r="E28" s="8" t="s">
        <v>82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69"/>
      <c r="B29" s="169"/>
      <c r="D29" s="163" t="s">
        <v>86</v>
      </c>
      <c r="E29" s="164"/>
      <c r="F29" s="165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50" t="s">
        <v>87</v>
      </c>
      <c r="E30" s="151"/>
      <c r="F30" s="152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topLeftCell="A4" zoomScale="85" zoomScaleNormal="85" workbookViewId="0">
      <selection activeCell="E24" sqref="E24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22" t="s">
        <v>89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286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91</v>
      </c>
      <c r="B5" s="229"/>
    </row>
    <row r="6" spans="1:8" x14ac:dyDescent="0.25">
      <c r="A6" s="230" t="s">
        <v>92</v>
      </c>
      <c r="B6" s="230"/>
    </row>
    <row r="7" spans="1:8" ht="15.75" thickBot="1" x14ac:dyDescent="0.3">
      <c r="B7" s="67" t="s">
        <v>307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93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20" t="s">
        <v>94</v>
      </c>
      <c r="B10" s="221"/>
    </row>
    <row r="11" spans="1:8" x14ac:dyDescent="0.25">
      <c r="B11" s="67" t="s">
        <v>306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67" t="s">
        <v>77</v>
      </c>
      <c r="C12" s="3">
        <v>0</v>
      </c>
      <c r="D12" s="3">
        <f>-'Flujo de Caja'!D25</f>
        <v>-1640000</v>
      </c>
      <c r="E12" s="3">
        <f>-'Flujo de Caja'!E25</f>
        <v>-1640000</v>
      </c>
      <c r="F12" s="3">
        <f>-'Flujo de Caja'!F25</f>
        <v>-1640000</v>
      </c>
      <c r="G12" s="3">
        <f>-'Flujo de Caja'!G25</f>
        <v>-1640000</v>
      </c>
      <c r="H12" s="3">
        <f>-'Flujo de Caja'!H25</f>
        <v>-1640000</v>
      </c>
    </row>
    <row r="13" spans="1:8" ht="15.75" thickBot="1" x14ac:dyDescent="0.3">
      <c r="B13" s="67" t="s">
        <v>165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95</v>
      </c>
      <c r="C14" s="71">
        <f>C11+C13</f>
        <v>0</v>
      </c>
      <c r="D14" s="71">
        <f>SUM(D11:D13)</f>
        <v>8011000</v>
      </c>
      <c r="E14" s="71">
        <f>SUM(E11:E13)</f>
        <v>8011000</v>
      </c>
      <c r="F14" s="71">
        <f>SUM(F11:F13)</f>
        <v>8011000</v>
      </c>
      <c r="G14" s="71">
        <f>SUM(G11:G13)</f>
        <v>8011000</v>
      </c>
      <c r="H14" s="71">
        <f>SUM(H11:H13)</f>
        <v>8011000</v>
      </c>
    </row>
    <row r="15" spans="1:8" ht="15.75" thickBot="1" x14ac:dyDescent="0.3"/>
    <row r="16" spans="1:8" ht="22.5" customHeight="1" thickBot="1" x14ac:dyDescent="0.3">
      <c r="A16" s="218" t="s">
        <v>96</v>
      </c>
      <c r="B16" s="219"/>
      <c r="C16" s="73">
        <f t="shared" ref="C16:H16" si="2">C8+C14</f>
        <v>35091000</v>
      </c>
      <c r="D16" s="73">
        <f t="shared" si="2"/>
        <v>171307000</v>
      </c>
      <c r="E16" s="73">
        <f t="shared" si="2"/>
        <v>213600663.99999997</v>
      </c>
      <c r="F16" s="73">
        <f t="shared" si="2"/>
        <v>272604897.56799996</v>
      </c>
      <c r="G16" s="73">
        <f t="shared" si="2"/>
        <v>358597914.27759993</v>
      </c>
      <c r="H16" s="73">
        <f t="shared" si="2"/>
        <v>489717420.21742237</v>
      </c>
    </row>
    <row r="17" spans="1:8" ht="15.75" thickBot="1" x14ac:dyDescent="0.3">
      <c r="A17" s="231" t="s">
        <v>97</v>
      </c>
      <c r="B17" s="232"/>
    </row>
    <row r="18" spans="1:8" x14ac:dyDescent="0.25">
      <c r="A18" s="233" t="s">
        <v>98</v>
      </c>
      <c r="B18" s="234"/>
    </row>
    <row r="19" spans="1:8" x14ac:dyDescent="0.25">
      <c r="B19" s="67" t="s">
        <v>284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ht="15.75" thickBot="1" x14ac:dyDescent="0.3">
      <c r="B20" s="67" t="s">
        <v>285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6.5" thickBot="1" x14ac:dyDescent="0.3">
      <c r="B21" s="70" t="s">
        <v>99</v>
      </c>
      <c r="C21" s="71">
        <f t="shared" ref="C21:H21" si="3">SUM(C19:C20)</f>
        <v>0</v>
      </c>
      <c r="D21" s="71">
        <f t="shared" si="3"/>
        <v>141149936</v>
      </c>
      <c r="E21" s="71">
        <f t="shared" si="3"/>
        <v>151819389.59999999</v>
      </c>
      <c r="F21" s="71">
        <f t="shared" si="3"/>
        <v>166933658.16000003</v>
      </c>
      <c r="G21" s="71">
        <f t="shared" si="3"/>
        <v>183555293.35200003</v>
      </c>
      <c r="H21" s="71">
        <f t="shared" si="3"/>
        <v>201834788.22576007</v>
      </c>
    </row>
    <row r="23" spans="1:8" x14ac:dyDescent="0.25">
      <c r="A23" s="220" t="s">
        <v>100</v>
      </c>
      <c r="B23" s="221"/>
    </row>
    <row r="24" spans="1:8" ht="15.75" thickBot="1" x14ac:dyDescent="0.3">
      <c r="B24" s="68" t="s">
        <v>166</v>
      </c>
      <c r="C24" s="69">
        <f>'Estado de Resultados'!C18</f>
        <v>0</v>
      </c>
      <c r="D24" s="69">
        <f>'Estado de Resultados'!D18</f>
        <v>5715545.3724325309</v>
      </c>
      <c r="E24" s="69">
        <f>'Estado de Resultados'!E18</f>
        <v>5715545.3724325309</v>
      </c>
      <c r="F24" s="69">
        <f>'Estado de Resultados'!F18</f>
        <v>5715545.3724325309</v>
      </c>
      <c r="G24" s="69">
        <f>'Estado de Resultados'!G18</f>
        <v>5715545.3724325309</v>
      </c>
      <c r="H24" s="69">
        <f>'Estado de Resultados'!H18</f>
        <v>0</v>
      </c>
    </row>
    <row r="25" spans="1:8" ht="16.5" thickBot="1" x14ac:dyDescent="0.3">
      <c r="B25" s="70" t="s">
        <v>101</v>
      </c>
      <c r="C25" s="71">
        <f>SUM(C24)</f>
        <v>0</v>
      </c>
      <c r="D25" s="71">
        <f t="shared" ref="D25:H25" si="4">SUM(D24)</f>
        <v>5715545.3724325309</v>
      </c>
      <c r="E25" s="71">
        <f t="shared" si="4"/>
        <v>5715545.3724325309</v>
      </c>
      <c r="F25" s="71">
        <f t="shared" si="4"/>
        <v>5715545.3724325309</v>
      </c>
      <c r="G25" s="71">
        <f t="shared" si="4"/>
        <v>5715545.3724325309</v>
      </c>
      <c r="H25" s="71">
        <f t="shared" si="4"/>
        <v>0</v>
      </c>
    </row>
    <row r="26" spans="1:8" ht="15.75" thickBot="1" x14ac:dyDescent="0.3"/>
    <row r="27" spans="1:8" ht="22.5" customHeight="1" thickBot="1" x14ac:dyDescent="0.3">
      <c r="A27" s="218" t="s">
        <v>102</v>
      </c>
      <c r="B27" s="219"/>
      <c r="C27" s="73">
        <f>C21+C25</f>
        <v>0</v>
      </c>
      <c r="D27" s="73">
        <f>D21+D25</f>
        <v>146865481.37243253</v>
      </c>
      <c r="E27" s="73">
        <f>E21+E25</f>
        <v>157534934.97243252</v>
      </c>
      <c r="F27" s="73">
        <f t="shared" ref="F27:H27" si="5">F21+F25</f>
        <v>172649203.53243256</v>
      </c>
      <c r="G27" s="73">
        <f t="shared" si="5"/>
        <v>189270838.72443256</v>
      </c>
      <c r="H27" s="73">
        <f t="shared" si="5"/>
        <v>201834788.22576007</v>
      </c>
    </row>
    <row r="28" spans="1:8" ht="15.75" thickBot="1" x14ac:dyDescent="0.3"/>
    <row r="29" spans="1:8" ht="15.75" thickBot="1" x14ac:dyDescent="0.3">
      <c r="A29" s="231" t="s">
        <v>103</v>
      </c>
      <c r="B29" s="232"/>
    </row>
    <row r="30" spans="1:8" x14ac:dyDescent="0.25">
      <c r="B30" s="74" t="s">
        <v>12</v>
      </c>
      <c r="C30" s="7">
        <f>'Proyección de Ventas e Incremen'!B18</f>
        <v>35091000</v>
      </c>
      <c r="D30" s="7">
        <f>C30</f>
        <v>35091000</v>
      </c>
      <c r="E30" s="7">
        <f t="shared" ref="E30:H30" si="6">D30</f>
        <v>35091000</v>
      </c>
      <c r="F30" s="7">
        <f t="shared" si="6"/>
        <v>35091000</v>
      </c>
      <c r="G30" s="7">
        <f t="shared" si="6"/>
        <v>35091000</v>
      </c>
      <c r="H30" s="7">
        <f t="shared" si="6"/>
        <v>35091000</v>
      </c>
    </row>
    <row r="31" spans="1:8" x14ac:dyDescent="0.25">
      <c r="B31" s="74" t="s">
        <v>287</v>
      </c>
      <c r="C31" s="7">
        <v>0</v>
      </c>
      <c r="D31" s="7">
        <v>-22272468</v>
      </c>
      <c r="E31" s="7">
        <v>-11253005</v>
      </c>
      <c r="F31" s="7">
        <v>4048954</v>
      </c>
      <c r="G31" s="7">
        <v>28265835</v>
      </c>
      <c r="H31" s="7">
        <v>69693393</v>
      </c>
    </row>
    <row r="32" spans="1:8" x14ac:dyDescent="0.25">
      <c r="B32" s="67" t="s">
        <v>163</v>
      </c>
      <c r="C32" s="7">
        <v>0</v>
      </c>
      <c r="D32" s="3">
        <f>'Estado de Resultados'!D24</f>
        <v>11622987.107918855</v>
      </c>
      <c r="E32" s="3">
        <f>'Estado de Resultados'!E24</f>
        <v>32227733.867918842</v>
      </c>
      <c r="F32" s="3">
        <f>'Estado de Resultados'!F24</f>
        <v>60815740.723118834</v>
      </c>
      <c r="G32" s="3">
        <f>'Estado de Resultados'!G24</f>
        <v>105970240.08555879</v>
      </c>
      <c r="H32" s="3">
        <f>'Estado de Resultados'!H24</f>
        <v>183098239.22914052</v>
      </c>
    </row>
    <row r="33" spans="1:10" ht="15.75" thickBot="1" x14ac:dyDescent="0.3">
      <c r="B33" s="47"/>
    </row>
    <row r="34" spans="1:10" ht="22.5" customHeight="1" thickBot="1" x14ac:dyDescent="0.3">
      <c r="A34" s="218" t="s">
        <v>104</v>
      </c>
      <c r="B34" s="219"/>
      <c r="C34" s="73">
        <f>SUM(C30:C32)</f>
        <v>35091000</v>
      </c>
      <c r="D34" s="73">
        <f>SUM(D30:D32)</f>
        <v>24441519.107918855</v>
      </c>
      <c r="E34" s="73">
        <f t="shared" ref="E34:H34" si="7">SUM(E30:E32)</f>
        <v>56065728.867918842</v>
      </c>
      <c r="F34" s="73">
        <f t="shared" si="7"/>
        <v>99955694.723118842</v>
      </c>
      <c r="G34" s="73">
        <f t="shared" si="7"/>
        <v>169327075.08555877</v>
      </c>
      <c r="H34" s="73">
        <f t="shared" si="7"/>
        <v>287882632.22914052</v>
      </c>
    </row>
    <row r="35" spans="1:10" ht="15.75" thickBot="1" x14ac:dyDescent="0.3"/>
    <row r="36" spans="1:10" ht="22.5" customHeight="1" thickBot="1" x14ac:dyDescent="0.3">
      <c r="A36" s="218" t="s">
        <v>164</v>
      </c>
      <c r="B36" s="219"/>
      <c r="C36" s="73">
        <f t="shared" ref="C36:H36" si="8">C27+C34</f>
        <v>35091000</v>
      </c>
      <c r="D36" s="73">
        <f>D27+D34</f>
        <v>171307000.48035139</v>
      </c>
      <c r="E36" s="73">
        <f t="shared" si="8"/>
        <v>213600663.84035137</v>
      </c>
      <c r="F36" s="73">
        <f t="shared" si="8"/>
        <v>272604898.2555514</v>
      </c>
      <c r="G36" s="73">
        <f t="shared" si="8"/>
        <v>358597913.80999136</v>
      </c>
      <c r="H36" s="73">
        <f t="shared" si="8"/>
        <v>489717420.45490062</v>
      </c>
      <c r="J36" s="39"/>
    </row>
    <row r="38" spans="1:10" x14ac:dyDescent="0.25">
      <c r="D38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selection activeCell="C31" sqref="C31:C32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22" t="s">
        <v>220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221</v>
      </c>
      <c r="B5" s="229"/>
    </row>
    <row r="6" spans="1:8" x14ac:dyDescent="0.25">
      <c r="B6" s="108" t="s">
        <v>247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08" t="s">
        <v>304</v>
      </c>
      <c r="C7" s="7"/>
      <c r="D7" s="7">
        <f>'Costos de Operación Gravables'!J10</f>
        <v>44640000</v>
      </c>
      <c r="E7" s="7">
        <f>'Costos de Operación Gravables'!K10</f>
        <v>47318400</v>
      </c>
      <c r="F7" s="7">
        <f>'Costos de Operación Gravables'!L10</f>
        <v>52050240.000000007</v>
      </c>
      <c r="G7" s="7">
        <f>'Costos de Operación Gravables'!M10</f>
        <v>57255264.000000015</v>
      </c>
      <c r="H7" s="7">
        <f>'Costos de Operación Gravables'!N10</f>
        <v>62980790.400000021</v>
      </c>
    </row>
    <row r="8" spans="1:8" ht="16.5" thickBot="1" x14ac:dyDescent="0.3">
      <c r="B8" s="70" t="s">
        <v>222</v>
      </c>
      <c r="C8" s="71">
        <f>SUM(C6:C7)</f>
        <v>0</v>
      </c>
      <c r="D8" s="71">
        <f>D6-D7</f>
        <v>118656000</v>
      </c>
      <c r="E8" s="71">
        <f t="shared" ref="E8:H8" si="0">E6-E7</f>
        <v>158271263.99999997</v>
      </c>
      <c r="F8" s="71">
        <f t="shared" si="0"/>
        <v>212543657.56799996</v>
      </c>
      <c r="G8" s="71">
        <f t="shared" si="0"/>
        <v>293331650.27759993</v>
      </c>
      <c r="H8" s="71">
        <f t="shared" si="0"/>
        <v>418725629.81742233</v>
      </c>
    </row>
    <row r="9" spans="1:8" ht="15.75" thickBot="1" x14ac:dyDescent="0.3"/>
    <row r="10" spans="1:8" ht="15.75" thickBot="1" x14ac:dyDescent="0.3">
      <c r="A10" s="231" t="s">
        <v>277</v>
      </c>
      <c r="B10" s="232"/>
    </row>
    <row r="11" spans="1:8" x14ac:dyDescent="0.25">
      <c r="A11" s="139"/>
      <c r="B11" s="108" t="s">
        <v>299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139"/>
      <c r="B12" s="108" t="s">
        <v>303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08" t="s">
        <v>300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08" t="s">
        <v>305</v>
      </c>
      <c r="C14" s="140"/>
      <c r="D14" s="140">
        <f>'Costos de Operación Gravables'!J23</f>
        <v>1440000</v>
      </c>
      <c r="E14" s="140">
        <f>'Costos de Operación Gravables'!K23</f>
        <v>1526400</v>
      </c>
      <c r="F14" s="140">
        <f>'Costos de Operación Gravables'!L23</f>
        <v>1617984</v>
      </c>
      <c r="G14" s="140">
        <f>'Costos de Operación Gravables'!M23</f>
        <v>1715063.04</v>
      </c>
      <c r="H14" s="140">
        <f>'Costos de Operación Gravables'!N23</f>
        <v>1817966.8224000002</v>
      </c>
    </row>
    <row r="15" spans="1:8" ht="16.5" thickBot="1" x14ac:dyDescent="0.3">
      <c r="B15" s="70" t="s">
        <v>276</v>
      </c>
      <c r="C15" s="71">
        <f>C8-C13</f>
        <v>0</v>
      </c>
      <c r="D15" s="71">
        <f>D8-SUM(D11:D14)</f>
        <v>23597064</v>
      </c>
      <c r="E15" s="71">
        <f t="shared" ref="E15:H15" si="1">E8-SUM(E11:E13)</f>
        <v>55296674.399999976</v>
      </c>
      <c r="F15" s="71">
        <f t="shared" si="1"/>
        <v>99278223.407999963</v>
      </c>
      <c r="G15" s="71">
        <f t="shared" si="1"/>
        <v>168746683.96559989</v>
      </c>
      <c r="H15" s="71">
        <f t="shared" si="1"/>
        <v>281689598.8140623</v>
      </c>
    </row>
    <row r="16" spans="1:8" ht="15.75" thickBot="1" x14ac:dyDescent="0.3"/>
    <row r="17" spans="1:8" ht="15.75" thickBot="1" x14ac:dyDescent="0.3">
      <c r="A17" s="231" t="s">
        <v>278</v>
      </c>
      <c r="B17" s="232"/>
    </row>
    <row r="18" spans="1:8" ht="15.75" thickBot="1" x14ac:dyDescent="0.3">
      <c r="B18" s="108" t="s">
        <v>301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280</v>
      </c>
      <c r="C19" s="71">
        <f>C15-C18</f>
        <v>0</v>
      </c>
      <c r="D19" s="71">
        <f t="shared" ref="D19:H19" si="2">D15-D18</f>
        <v>17881518.62756747</v>
      </c>
      <c r="E19" s="71">
        <f t="shared" si="2"/>
        <v>49581129.027567446</v>
      </c>
      <c r="F19" s="71">
        <f t="shared" si="2"/>
        <v>93562678.035567433</v>
      </c>
      <c r="G19" s="71">
        <f t="shared" si="2"/>
        <v>163031138.59316736</v>
      </c>
      <c r="H19" s="71">
        <f t="shared" si="2"/>
        <v>281689598.8140623</v>
      </c>
    </row>
    <row r="20" spans="1:8" ht="15.75" thickBot="1" x14ac:dyDescent="0.3"/>
    <row r="21" spans="1:8" ht="15.75" thickBot="1" x14ac:dyDescent="0.3">
      <c r="A21" s="231" t="s">
        <v>281</v>
      </c>
      <c r="B21" s="232"/>
    </row>
    <row r="22" spans="1:8" x14ac:dyDescent="0.25">
      <c r="B22" s="108" t="s">
        <v>282</v>
      </c>
      <c r="C22" s="7"/>
      <c r="D22" s="7">
        <f>D19*0.35</f>
        <v>6258531.5196486143</v>
      </c>
      <c r="E22" s="7">
        <f>E19*0.35</f>
        <v>17353395.159648605</v>
      </c>
      <c r="F22" s="7">
        <f t="shared" ref="F22:H22" si="3">F19*0.35</f>
        <v>32746937.312448598</v>
      </c>
      <c r="G22" s="7">
        <f t="shared" si="3"/>
        <v>57060898.507608578</v>
      </c>
      <c r="H22" s="7">
        <f t="shared" si="3"/>
        <v>98591359.584921792</v>
      </c>
    </row>
    <row r="23" spans="1:8" ht="15.75" thickBot="1" x14ac:dyDescent="0.3"/>
    <row r="24" spans="1:8" ht="23.25" customHeight="1" thickBot="1" x14ac:dyDescent="0.3">
      <c r="A24" s="226" t="s">
        <v>283</v>
      </c>
      <c r="B24" s="227"/>
      <c r="C24" s="73">
        <f>C19-C22</f>
        <v>0</v>
      </c>
      <c r="D24" s="73">
        <f>D19-D22</f>
        <v>11622987.107918855</v>
      </c>
      <c r="E24" s="73">
        <f t="shared" ref="E24:G24" si="4">E19-E22</f>
        <v>32227733.867918842</v>
      </c>
      <c r="F24" s="73">
        <f t="shared" si="4"/>
        <v>60815740.723118834</v>
      </c>
      <c r="G24" s="73">
        <f t="shared" si="4"/>
        <v>105970240.08555879</v>
      </c>
      <c r="H24" s="73">
        <f>H19-H22</f>
        <v>183098239.22914052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zoomScaleNormal="100" workbookViewId="0">
      <selection activeCell="D27" sqref="D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226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168</v>
      </c>
      <c r="B5" s="232"/>
    </row>
    <row r="6" spans="1:8" x14ac:dyDescent="0.25">
      <c r="B6" s="83" t="s">
        <v>169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173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217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218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31" t="s">
        <v>219</v>
      </c>
      <c r="B11" s="232"/>
    </row>
    <row r="12" spans="1:8" x14ac:dyDescent="0.25">
      <c r="B12" s="83" t="s">
        <v>223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312</v>
      </c>
      <c r="C13" s="3"/>
      <c r="D13" s="3">
        <f>'Costos de Operación Gravables'!J10</f>
        <v>44640000</v>
      </c>
      <c r="E13" s="3">
        <f>'Costos de Operación Gravables'!K10</f>
        <v>47318400</v>
      </c>
      <c r="F13" s="3">
        <f>'Costos de Operación Gravables'!L10</f>
        <v>52050240.000000007</v>
      </c>
      <c r="G13" s="3">
        <f>'Costos de Operación Gravables'!M10</f>
        <v>57255264.000000015</v>
      </c>
      <c r="H13" s="3">
        <f>'Costos de Operación Gravables'!N10</f>
        <v>62980790.400000021</v>
      </c>
    </row>
    <row r="14" spans="1:8" x14ac:dyDescent="0.25">
      <c r="B14" s="83" t="s">
        <v>313</v>
      </c>
      <c r="C14" s="3"/>
      <c r="D14" s="3">
        <f>'Costos de Operación Gravables'!J20</f>
        <v>156000</v>
      </c>
      <c r="E14" s="3">
        <f>'Costos de Operación Gravables'!K20</f>
        <v>165360</v>
      </c>
      <c r="F14" s="3">
        <f>'Costos de Operación Gravables'!L20</f>
        <v>175281.6</v>
      </c>
      <c r="G14" s="3">
        <f>'Costos de Operación Gravables'!M20</f>
        <v>185798.49600000001</v>
      </c>
      <c r="H14" s="3">
        <f>'Costos de Operación Gravables'!N20</f>
        <v>196946.40576000002</v>
      </c>
    </row>
    <row r="15" spans="1:8" x14ac:dyDescent="0.25">
      <c r="B15" s="83" t="s">
        <v>309</v>
      </c>
      <c r="C15" s="3"/>
      <c r="D15" s="3">
        <f>'Costos de Operación Gravables'!J23</f>
        <v>1440000</v>
      </c>
      <c r="E15" s="3">
        <f>'Costos de Operación Gravables'!K23</f>
        <v>1526400</v>
      </c>
      <c r="F15" s="3">
        <f>'Costos de Operación Gravables'!L23</f>
        <v>1617984</v>
      </c>
      <c r="G15" s="3">
        <f>'Costos de Operación Gravables'!M23</f>
        <v>1715063.04</v>
      </c>
      <c r="H15" s="3">
        <f>'Costos de Operación Gravables'!N23</f>
        <v>1817966.8224000002</v>
      </c>
    </row>
    <row r="16" spans="1:8" x14ac:dyDescent="0.25">
      <c r="B16" s="83" t="s">
        <v>224</v>
      </c>
      <c r="C16" s="3"/>
      <c r="D16" s="3">
        <f>'Amortización y Depreciación'!G18</f>
        <v>1640000</v>
      </c>
      <c r="E16" s="3">
        <f>D16</f>
        <v>1640000</v>
      </c>
      <c r="F16" s="3">
        <f t="shared" ref="F16:H16" si="1">E16</f>
        <v>1640000</v>
      </c>
      <c r="G16" s="3">
        <f t="shared" si="1"/>
        <v>1640000</v>
      </c>
      <c r="H16" s="3">
        <f t="shared" si="1"/>
        <v>1640000</v>
      </c>
    </row>
    <row r="17" spans="1:8" x14ac:dyDescent="0.25">
      <c r="B17" s="83" t="s">
        <v>310</v>
      </c>
      <c r="C17" s="3"/>
      <c r="D17" s="3">
        <f>'Costos de Operación Gravables'!J4</f>
        <v>72000000</v>
      </c>
      <c r="E17" s="3">
        <f>'Costos de Operación Gravables'!K4</f>
        <v>79200000</v>
      </c>
      <c r="F17" s="3">
        <f>'Costos de Operación Gravables'!L4</f>
        <v>87120000</v>
      </c>
      <c r="G17" s="3">
        <f>'Costos de Operación Gravables'!M4</f>
        <v>95832000.000000015</v>
      </c>
      <c r="H17" s="3">
        <f>'Costos de Operación Gravables'!N4</f>
        <v>105415200.00000003</v>
      </c>
    </row>
    <row r="18" spans="1:8" x14ac:dyDescent="0.25">
      <c r="B18" s="83" t="s">
        <v>311</v>
      </c>
      <c r="C18" s="3"/>
      <c r="D18" s="3">
        <f>'Costos de Operación Gravables'!J7</f>
        <v>21462936</v>
      </c>
      <c r="E18" s="3">
        <f>'Costos de Operación Gravables'!K7</f>
        <v>23609229.600000001</v>
      </c>
      <c r="F18" s="3">
        <f>'Costos de Operación Gravables'!L7</f>
        <v>25970152.560000002</v>
      </c>
      <c r="G18" s="3">
        <f>'Costos de Operación Gravables'!M7</f>
        <v>28567167.816000003</v>
      </c>
      <c r="H18" s="3">
        <f>'Costos de Operación Gravables'!N7</f>
        <v>31423884.597600006</v>
      </c>
    </row>
    <row r="19" spans="1:8" x14ac:dyDescent="0.25">
      <c r="B19" s="83" t="s">
        <v>314</v>
      </c>
      <c r="C19" s="3"/>
      <c r="D19" s="3">
        <f>'Amortización y Depreciación'!G4</f>
        <v>5715545.3724325309</v>
      </c>
      <c r="E19" s="3">
        <f>'Amortización y Depreciación'!G5</f>
        <v>5715545.3724325309</v>
      </c>
      <c r="F19" s="3">
        <f>'Amortización y Depreciación'!G6</f>
        <v>5715545.3724325309</v>
      </c>
      <c r="G19" s="3">
        <f>'Amortización y Depreciación'!G7</f>
        <v>5715545.3724325309</v>
      </c>
      <c r="H19" s="3"/>
    </row>
    <row r="20" spans="1:8" ht="15.75" thickBot="1" x14ac:dyDescent="0.3">
      <c r="B20" s="83" t="s">
        <v>282</v>
      </c>
      <c r="C20" s="3"/>
      <c r="D20" s="3">
        <f>'Estado de Resultados'!D22</f>
        <v>6258531.5196486143</v>
      </c>
      <c r="E20" s="3">
        <f>'Estado de Resultados'!E22</f>
        <v>17353395.159648605</v>
      </c>
      <c r="F20" s="3">
        <f>'Estado de Resultados'!F22</f>
        <v>32746937.312448598</v>
      </c>
      <c r="G20" s="3">
        <f>'Estado de Resultados'!G22</f>
        <v>57060898.507608578</v>
      </c>
      <c r="H20" s="3">
        <f>'Estado de Resultados'!H22</f>
        <v>98591359.584921792</v>
      </c>
    </row>
    <row r="21" spans="1:8" ht="16.5" thickBot="1" x14ac:dyDescent="0.3">
      <c r="B21" s="70" t="s">
        <v>225</v>
      </c>
      <c r="C21" s="71">
        <f t="shared" ref="C21:H21" si="2">SUM(C12:C20)</f>
        <v>35091000</v>
      </c>
      <c r="D21" s="71">
        <f t="shared" si="2"/>
        <v>153313012.89208114</v>
      </c>
      <c r="E21" s="71">
        <f t="shared" si="2"/>
        <v>176528330.13208112</v>
      </c>
      <c r="F21" s="71">
        <f t="shared" si="2"/>
        <v>207036140.84488115</v>
      </c>
      <c r="G21" s="71">
        <f t="shared" si="2"/>
        <v>247971737.23204112</v>
      </c>
      <c r="H21" s="71">
        <f t="shared" si="2"/>
        <v>302066147.81068188</v>
      </c>
    </row>
    <row r="22" spans="1:8" ht="15.75" thickBot="1" x14ac:dyDescent="0.3"/>
    <row r="23" spans="1:8" ht="15.75" customHeight="1" thickBot="1" x14ac:dyDescent="0.3">
      <c r="A23" s="235" t="s">
        <v>233</v>
      </c>
      <c r="B23" s="236"/>
      <c r="C23" s="112">
        <f>-C21</f>
        <v>-35091000</v>
      </c>
      <c r="D23" s="71">
        <f>D9-D21</f>
        <v>9982987.1079188585</v>
      </c>
      <c r="E23" s="71">
        <f>E9-E21</f>
        <v>29061333.867918849</v>
      </c>
      <c r="F23" s="71">
        <f>F9-F21</f>
        <v>57557756.723118812</v>
      </c>
      <c r="G23" s="71">
        <f>G9-G21</f>
        <v>102615177.04555881</v>
      </c>
      <c r="H23" s="71">
        <f>H9-H21</f>
        <v>179640272.40674049</v>
      </c>
    </row>
    <row r="25" spans="1:8" x14ac:dyDescent="0.25">
      <c r="B25" s="15" t="s">
        <v>114</v>
      </c>
      <c r="C25" s="3"/>
      <c r="D25" s="3">
        <f>D16</f>
        <v>1640000</v>
      </c>
      <c r="E25" s="3">
        <f>D25</f>
        <v>1640000</v>
      </c>
      <c r="F25" s="3">
        <f t="shared" ref="F25:H25" si="3">E25</f>
        <v>1640000</v>
      </c>
      <c r="G25" s="3">
        <f t="shared" si="3"/>
        <v>1640000</v>
      </c>
      <c r="H25" s="3">
        <f t="shared" si="3"/>
        <v>1640000</v>
      </c>
    </row>
    <row r="26" spans="1:8" ht="15.75" thickBot="1" x14ac:dyDescent="0.3"/>
    <row r="27" spans="1:8" ht="22.5" customHeight="1" thickBot="1" x14ac:dyDescent="0.3">
      <c r="A27" s="218" t="s">
        <v>234</v>
      </c>
      <c r="B27" s="219"/>
      <c r="C27" s="73">
        <f>C23</f>
        <v>-35091000</v>
      </c>
      <c r="D27" s="73">
        <f>D23+D25</f>
        <v>11622987.107918859</v>
      </c>
      <c r="E27" s="73">
        <f t="shared" ref="E27:H27" si="4">E23+E25</f>
        <v>30701333.867918849</v>
      </c>
      <c r="F27" s="73">
        <f t="shared" si="4"/>
        <v>59197756.723118812</v>
      </c>
      <c r="G27" s="73">
        <f t="shared" si="4"/>
        <v>104255177.04555881</v>
      </c>
      <c r="H27" s="73">
        <f t="shared" si="4"/>
        <v>181280272.40674049</v>
      </c>
    </row>
    <row r="36" ht="22.5" customHeight="1" x14ac:dyDescent="0.25"/>
    <row r="37" ht="15" customHeight="1" x14ac:dyDescent="0.25"/>
  </sheetData>
  <mergeCells count="7">
    <mergeCell ref="A23:B23"/>
    <mergeCell ref="A27:B27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topLeftCell="A10" zoomScale="115" zoomScaleNormal="115" workbookViewId="0">
      <selection activeCell="I14" sqref="I14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112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113</v>
      </c>
      <c r="B5" s="232"/>
    </row>
    <row r="6" spans="1:8" x14ac:dyDescent="0.25">
      <c r="B6" s="137" t="s">
        <v>232</v>
      </c>
      <c r="C6" s="69">
        <f>'Flujo de Caja'!C27</f>
        <v>-35091000</v>
      </c>
      <c r="D6" s="69">
        <f>'Flujo de Caja'!D27</f>
        <v>11622987.107918859</v>
      </c>
      <c r="E6" s="69">
        <f>'Flujo de Caja'!E27</f>
        <v>30701333.867918849</v>
      </c>
      <c r="F6" s="69">
        <f>'Flujo de Caja'!F27</f>
        <v>59197756.723118812</v>
      </c>
      <c r="G6" s="69">
        <f>'Flujo de Caja'!G27</f>
        <v>104255177.04555881</v>
      </c>
      <c r="H6" s="69">
        <f>'Flujo de Caja'!H27</f>
        <v>181280272.40674049</v>
      </c>
    </row>
    <row r="7" spans="1:8" x14ac:dyDescent="0.25">
      <c r="B7" s="108" t="s">
        <v>292</v>
      </c>
      <c r="C7" s="7">
        <v>0</v>
      </c>
      <c r="D7" s="7">
        <f>'Flujo de Caja'!D16</f>
        <v>1640000</v>
      </c>
      <c r="E7" s="7">
        <f>'Flujo de Caja'!E16</f>
        <v>1640000</v>
      </c>
      <c r="F7" s="7">
        <f>'Flujo de Caja'!F16</f>
        <v>1640000</v>
      </c>
      <c r="G7" s="7">
        <f>'Flujo de Caja'!G16</f>
        <v>1640000</v>
      </c>
      <c r="H7" s="7">
        <f>'Flujo de Caja'!H16</f>
        <v>1640000</v>
      </c>
    </row>
    <row r="8" spans="1:8" x14ac:dyDescent="0.25">
      <c r="B8" s="138" t="s">
        <v>290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38" t="s">
        <v>291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x14ac:dyDescent="0.25">
      <c r="B10" s="138" t="s">
        <v>231</v>
      </c>
      <c r="C10" s="72">
        <f>'Flujo de Caja'!C20</f>
        <v>0</v>
      </c>
      <c r="D10" s="72">
        <f>'Flujo de Caja'!D20</f>
        <v>6258531.5196486143</v>
      </c>
      <c r="E10" s="72">
        <f>'Flujo de Caja'!E20</f>
        <v>17353395.159648605</v>
      </c>
      <c r="F10" s="72">
        <f>'Flujo de Caja'!F20</f>
        <v>32746937.312448598</v>
      </c>
      <c r="G10" s="72">
        <f>'Flujo de Caja'!G20</f>
        <v>57060898.507608578</v>
      </c>
      <c r="H10" s="72">
        <f>'Flujo de Caja'!H20</f>
        <v>98591359.584921792</v>
      </c>
    </row>
    <row r="11" spans="1:8" x14ac:dyDescent="0.25">
      <c r="B11" s="108" t="s">
        <v>308</v>
      </c>
      <c r="C11" s="7">
        <v>0</v>
      </c>
      <c r="D11" s="7">
        <f>'Costos de Operación Gravables'!J20</f>
        <v>156000</v>
      </c>
      <c r="E11" s="7">
        <f>'Costos de Operación Gravables'!K20</f>
        <v>165360</v>
      </c>
      <c r="F11" s="7">
        <f>'Costos de Operación Gravables'!L20</f>
        <v>175281.6</v>
      </c>
      <c r="G11" s="7">
        <f>'Costos de Operación Gravables'!M20</f>
        <v>185798.49600000001</v>
      </c>
      <c r="H11" s="7">
        <f>'Costos de Operación Gravables'!N20</f>
        <v>196946.40576000002</v>
      </c>
    </row>
    <row r="12" spans="1:8" x14ac:dyDescent="0.25">
      <c r="B12" s="108" t="s">
        <v>309</v>
      </c>
      <c r="C12" s="7">
        <v>0</v>
      </c>
      <c r="D12" s="7">
        <f>'Costos de Operación Gravables'!J23</f>
        <v>1440000</v>
      </c>
      <c r="E12" s="7">
        <f>'Costos de Operación Gravables'!K23</f>
        <v>1526400</v>
      </c>
      <c r="F12" s="7">
        <f>'Costos de Operación Gravables'!L23</f>
        <v>1617984</v>
      </c>
      <c r="G12" s="7">
        <f>'Costos de Operación Gravables'!M23</f>
        <v>1715063.04</v>
      </c>
      <c r="H12" s="7">
        <f>'Costos de Operación Gravables'!N23</f>
        <v>1817966.8224000002</v>
      </c>
    </row>
    <row r="13" spans="1:8" ht="16.5" thickBot="1" x14ac:dyDescent="0.3">
      <c r="B13" s="141" t="s">
        <v>115</v>
      </c>
      <c r="C13" s="142">
        <f>SUM(C6:C12)</f>
        <v>-35091000</v>
      </c>
      <c r="D13" s="142">
        <f>SUM(D6:D12)</f>
        <v>26833064.000000004</v>
      </c>
      <c r="E13" s="142">
        <f t="shared" ref="E13:H13" si="0">SUM(E6:E12)</f>
        <v>57102034.399999984</v>
      </c>
      <c r="F13" s="142">
        <f t="shared" si="0"/>
        <v>101093505.00799993</v>
      </c>
      <c r="G13" s="142">
        <f t="shared" si="0"/>
        <v>170572482.46159992</v>
      </c>
      <c r="H13" s="142">
        <f t="shared" si="0"/>
        <v>283526545.21982223</v>
      </c>
    </row>
    <row r="14" spans="1:8" ht="15.75" thickBot="1" x14ac:dyDescent="0.3"/>
    <row r="15" spans="1:8" ht="15.75" thickBot="1" x14ac:dyDescent="0.3">
      <c r="A15" s="231" t="s">
        <v>116</v>
      </c>
      <c r="B15" s="232"/>
    </row>
    <row r="16" spans="1:8" ht="15.75" thickBot="1" x14ac:dyDescent="0.3">
      <c r="B16" s="108" t="s">
        <v>227</v>
      </c>
      <c r="C16" s="69">
        <f>'Inversión Inicial'!B5</f>
        <v>8200000</v>
      </c>
      <c r="D16" s="3">
        <f>0</f>
        <v>0</v>
      </c>
      <c r="E16" s="3">
        <f>0</f>
        <v>0</v>
      </c>
      <c r="F16" s="3">
        <f>0</f>
        <v>0</v>
      </c>
      <c r="G16" s="3">
        <f>0</f>
        <v>0</v>
      </c>
      <c r="H16" s="3">
        <f>0</f>
        <v>0</v>
      </c>
    </row>
    <row r="17" spans="1:8" ht="16.5" thickBot="1" x14ac:dyDescent="0.3">
      <c r="B17" s="70" t="s">
        <v>117</v>
      </c>
      <c r="C17" s="71">
        <f t="shared" ref="C17:H17" si="1">SUM(C16:C16)</f>
        <v>8200000</v>
      </c>
      <c r="D17" s="71">
        <f t="shared" si="1"/>
        <v>0</v>
      </c>
      <c r="E17" s="71">
        <f t="shared" si="1"/>
        <v>0</v>
      </c>
      <c r="F17" s="71">
        <f t="shared" si="1"/>
        <v>0</v>
      </c>
      <c r="G17" s="71">
        <f t="shared" si="1"/>
        <v>0</v>
      </c>
      <c r="H17" s="71">
        <f t="shared" si="1"/>
        <v>0</v>
      </c>
    </row>
    <row r="18" spans="1:8" ht="15.75" thickBot="1" x14ac:dyDescent="0.3"/>
    <row r="19" spans="1:8" ht="15.75" thickBot="1" x14ac:dyDescent="0.3">
      <c r="A19" s="231" t="s">
        <v>118</v>
      </c>
      <c r="B19" s="232"/>
    </row>
    <row r="20" spans="1:8" x14ac:dyDescent="0.25">
      <c r="B20" s="137" t="s">
        <v>230</v>
      </c>
      <c r="C20" s="7">
        <f>'Proyección de Ventas e Incremen'!B17</f>
        <v>19300050</v>
      </c>
      <c r="D20" s="7">
        <f>0</f>
        <v>0</v>
      </c>
      <c r="E20" s="7">
        <f>0</f>
        <v>0</v>
      </c>
      <c r="F20" s="7">
        <f>0</f>
        <v>0</v>
      </c>
      <c r="G20" s="7">
        <f>0</f>
        <v>0</v>
      </c>
      <c r="H20" s="7">
        <f>0</f>
        <v>0</v>
      </c>
    </row>
    <row r="21" spans="1:8" x14ac:dyDescent="0.25">
      <c r="B21" s="108" t="s">
        <v>228</v>
      </c>
      <c r="C21" s="7">
        <f>'Proyección de Ventas e Incremen'!B16</f>
        <v>15790950</v>
      </c>
      <c r="D21" s="7">
        <f>0</f>
        <v>0</v>
      </c>
      <c r="E21" s="7">
        <f>0</f>
        <v>0</v>
      </c>
      <c r="F21" s="7">
        <f>0</f>
        <v>0</v>
      </c>
      <c r="G21" s="7">
        <f>0</f>
        <v>0</v>
      </c>
      <c r="H21" s="7">
        <f>0</f>
        <v>0</v>
      </c>
    </row>
    <row r="22" spans="1:8" x14ac:dyDescent="0.25">
      <c r="B22" s="108" t="s">
        <v>119</v>
      </c>
      <c r="C22" s="7">
        <f t="shared" ref="C22:H23" si="2">C8</f>
        <v>0</v>
      </c>
      <c r="D22" s="7">
        <f t="shared" si="2"/>
        <v>3087931.2924325308</v>
      </c>
      <c r="E22" s="7">
        <f t="shared" si="2"/>
        <v>3601763.0594933042</v>
      </c>
      <c r="F22" s="7">
        <f t="shared" si="2"/>
        <v>4201096.4325929899</v>
      </c>
      <c r="G22" s="7">
        <f t="shared" si="2"/>
        <v>4900158.8789764633</v>
      </c>
      <c r="H22" s="7">
        <f t="shared" si="2"/>
        <v>-5.5994384038448329E-2</v>
      </c>
    </row>
    <row r="23" spans="1:8" x14ac:dyDescent="0.25">
      <c r="B23" s="108" t="s">
        <v>111</v>
      </c>
      <c r="C23" s="7">
        <f t="shared" si="2"/>
        <v>0</v>
      </c>
      <c r="D23" s="7">
        <f t="shared" si="2"/>
        <v>2627614.08</v>
      </c>
      <c r="E23" s="7">
        <f t="shared" si="2"/>
        <v>2113782.3129392266</v>
      </c>
      <c r="F23" s="7">
        <f t="shared" si="2"/>
        <v>1514448.939839541</v>
      </c>
      <c r="G23" s="7">
        <f t="shared" si="2"/>
        <v>815386.49345606752</v>
      </c>
      <c r="H23" s="7">
        <f t="shared" si="2"/>
        <v>5.5994384038448329E-2</v>
      </c>
    </row>
    <row r="24" spans="1:8" ht="15.75" thickBot="1" x14ac:dyDescent="0.3">
      <c r="B24" s="108" t="s">
        <v>229</v>
      </c>
      <c r="C24" s="7">
        <v>0</v>
      </c>
      <c r="D24" s="7">
        <f>ABS('Balance General'!$D$31-'Balance General'!D31)</f>
        <v>0</v>
      </c>
      <c r="E24" s="7">
        <f>ABS('Balance General'!$D$31-'Balance General'!E31)</f>
        <v>11019463</v>
      </c>
      <c r="F24" s="7">
        <f>ABS('Balance General'!$D$31-'Balance General'!F31)</f>
        <v>26321422</v>
      </c>
      <c r="G24" s="7">
        <f>ABS('Balance General'!$D$31-'Balance General'!G31)</f>
        <v>50538303</v>
      </c>
      <c r="H24" s="7">
        <f>ABS('Balance General'!$D$31-'Balance General'!H31)</f>
        <v>91965861</v>
      </c>
    </row>
    <row r="25" spans="1:8" ht="16.5" thickBot="1" x14ac:dyDescent="0.3">
      <c r="B25" s="70" t="s">
        <v>120</v>
      </c>
      <c r="C25" s="71">
        <f>SUM(C20:C24)</f>
        <v>35091000</v>
      </c>
      <c r="D25" s="71">
        <f t="shared" ref="D25:H25" si="3">SUM(D20:D24)</f>
        <v>5715545.3724325309</v>
      </c>
      <c r="E25" s="71">
        <f t="shared" si="3"/>
        <v>16735008.37243253</v>
      </c>
      <c r="F25" s="71">
        <f t="shared" si="3"/>
        <v>32036967.37243253</v>
      </c>
      <c r="G25" s="71">
        <f t="shared" si="3"/>
        <v>56253848.37243253</v>
      </c>
      <c r="H25" s="71">
        <f t="shared" si="3"/>
        <v>91965861</v>
      </c>
    </row>
  </sheetData>
  <mergeCells count="6">
    <mergeCell ref="A19:B19"/>
    <mergeCell ref="A1:H1"/>
    <mergeCell ref="A2:H2"/>
    <mergeCell ref="A4:B4"/>
    <mergeCell ref="A5:B5"/>
    <mergeCell ref="A15:B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topLeftCell="A7" zoomScale="115" zoomScaleNormal="115" workbookViewId="0">
      <selection activeCell="C23" sqref="C23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37" t="s">
        <v>135</v>
      </c>
      <c r="C2" s="238"/>
      <c r="G2" s="245" t="s">
        <v>142</v>
      </c>
      <c r="H2" s="246"/>
      <c r="I2" s="246"/>
      <c r="J2" s="247"/>
    </row>
    <row r="3" spans="1:10" x14ac:dyDescent="0.25">
      <c r="B3" s="15" t="s">
        <v>235</v>
      </c>
      <c r="C3" s="125">
        <f>'Proyección de Ventas e Incremen'!J21</f>
        <v>2752.2935779816517</v>
      </c>
      <c r="G3" s="243" t="s">
        <v>121</v>
      </c>
      <c r="H3" s="244"/>
      <c r="I3" s="130" t="s">
        <v>122</v>
      </c>
      <c r="J3" s="130" t="s">
        <v>123</v>
      </c>
    </row>
    <row r="4" spans="1:10" x14ac:dyDescent="0.25">
      <c r="A4" s="75"/>
      <c r="B4" s="15" t="s">
        <v>236</v>
      </c>
      <c r="C4" s="93">
        <f>SUM('Proyección de Ventas e Incremen'!J18:J19)*12</f>
        <v>59330.879999999997</v>
      </c>
      <c r="G4" s="248" t="s">
        <v>124</v>
      </c>
      <c r="H4" s="249"/>
      <c r="I4" s="78">
        <v>0</v>
      </c>
      <c r="J4" s="78">
        <f>'Costos de Operación Gravables'!J15</f>
        <v>139553936</v>
      </c>
    </row>
    <row r="5" spans="1:10" x14ac:dyDescent="0.25">
      <c r="B5" s="15" t="s">
        <v>237</v>
      </c>
      <c r="C5" s="125">
        <f>C3*C4</f>
        <v>163296000</v>
      </c>
      <c r="G5" s="133" t="s">
        <v>125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238</v>
      </c>
      <c r="C6" s="125">
        <f>'Costos de Operación Gravables'!J28</f>
        <v>141149936</v>
      </c>
      <c r="G6" s="248" t="s">
        <v>126</v>
      </c>
      <c r="H6" s="249"/>
      <c r="I6" s="78">
        <f>'Costos de Operación Gravables'!J25</f>
        <v>1596000</v>
      </c>
      <c r="J6" s="78">
        <v>0</v>
      </c>
    </row>
    <row r="7" spans="1:10" x14ac:dyDescent="0.25">
      <c r="B7" s="15" t="s">
        <v>239</v>
      </c>
      <c r="C7" s="125">
        <f>C6/C4</f>
        <v>2379.0298744936872</v>
      </c>
      <c r="G7" s="248" t="s">
        <v>132</v>
      </c>
      <c r="H7" s="249"/>
      <c r="I7" s="78">
        <v>0</v>
      </c>
      <c r="J7" s="78">
        <f>'Amortización y Depreciación'!G18</f>
        <v>1640000</v>
      </c>
    </row>
    <row r="8" spans="1:10" x14ac:dyDescent="0.25">
      <c r="B8" s="15" t="s">
        <v>268</v>
      </c>
      <c r="C8" s="125"/>
      <c r="G8" s="248" t="s">
        <v>133</v>
      </c>
      <c r="H8" s="249"/>
      <c r="I8" s="78">
        <v>0</v>
      </c>
      <c r="J8" s="78">
        <v>0</v>
      </c>
    </row>
    <row r="9" spans="1:10" x14ac:dyDescent="0.25">
      <c r="B9" s="15" t="s">
        <v>240</v>
      </c>
      <c r="C9" s="15"/>
      <c r="G9" s="241" t="s">
        <v>127</v>
      </c>
      <c r="H9" s="242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128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1" t="s">
        <v>28</v>
      </c>
      <c r="H11" s="132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9" t="s">
        <v>129</v>
      </c>
      <c r="C17" s="240"/>
      <c r="G17" s="239" t="s">
        <v>129</v>
      </c>
      <c r="H17" s="240"/>
    </row>
    <row r="18" spans="2:8" x14ac:dyDescent="0.25">
      <c r="B18" s="84" t="s">
        <v>130</v>
      </c>
      <c r="C18" s="134">
        <f>C4</f>
        <v>59330.879999999997</v>
      </c>
      <c r="G18" s="84" t="s">
        <v>130</v>
      </c>
      <c r="H18" s="134">
        <f>'[1]Proyección de Ventas e Incremen'!J18</f>
        <v>408.24</v>
      </c>
    </row>
    <row r="19" spans="2:8" x14ac:dyDescent="0.25">
      <c r="B19" s="85" t="s">
        <v>131</v>
      </c>
      <c r="C19" s="78">
        <f>J11/C18</f>
        <v>2617.7486260106034</v>
      </c>
      <c r="G19" s="85" t="s">
        <v>131</v>
      </c>
      <c r="H19" s="78">
        <f>J11/H18</f>
        <v>380446.13364687434</v>
      </c>
    </row>
    <row r="20" spans="2:8" x14ac:dyDescent="0.25">
      <c r="B20" s="85" t="s">
        <v>136</v>
      </c>
      <c r="C20" s="78">
        <f>SUM(I11:J11)/C18</f>
        <v>2647.3386135516616</v>
      </c>
      <c r="G20" s="85" t="s">
        <v>136</v>
      </c>
      <c r="H20" s="78">
        <f>SUM(I11:J11)/H18</f>
        <v>384746.54516950808</v>
      </c>
    </row>
    <row r="21" spans="2:8" x14ac:dyDescent="0.25">
      <c r="B21" s="85" t="s">
        <v>134</v>
      </c>
      <c r="C21" s="78">
        <f>C20*0.19</f>
        <v>502.99433657481569</v>
      </c>
      <c r="G21" s="85" t="s">
        <v>134</v>
      </c>
      <c r="H21" s="78">
        <f>H20*0.19</f>
        <v>73101.843582206537</v>
      </c>
    </row>
    <row r="22" spans="2:8" x14ac:dyDescent="0.25">
      <c r="B22" s="85" t="s">
        <v>137</v>
      </c>
      <c r="C22" s="78">
        <f>C20+C21</f>
        <v>3150.3329501264775</v>
      </c>
      <c r="G22" s="85" t="s">
        <v>137</v>
      </c>
      <c r="H22" s="78">
        <f>SUM(H20:H21)</f>
        <v>457848.38875171461</v>
      </c>
    </row>
    <row r="23" spans="2:8" x14ac:dyDescent="0.25">
      <c r="B23" s="85" t="s">
        <v>135</v>
      </c>
      <c r="C23" s="113">
        <f>((C20-C19)*C18)/(C22-C20)</f>
        <v>3490.2977475948014</v>
      </c>
      <c r="G23" s="85" t="s">
        <v>135</v>
      </c>
      <c r="H23" s="113">
        <f>((H20-H19)*H18)/(H22-H20)</f>
        <v>24.015810189872216</v>
      </c>
    </row>
    <row r="24" spans="2:8" ht="15.75" thickBot="1" x14ac:dyDescent="0.3"/>
    <row r="25" spans="2:8" ht="15.75" thickBot="1" x14ac:dyDescent="0.3">
      <c r="B25" s="239" t="s">
        <v>138</v>
      </c>
      <c r="C25" s="240"/>
      <c r="G25" s="239" t="s">
        <v>138</v>
      </c>
      <c r="H25" s="240"/>
    </row>
    <row r="26" spans="2:8" x14ac:dyDescent="0.25">
      <c r="B26" s="84" t="s">
        <v>140</v>
      </c>
      <c r="C26" s="86">
        <f>C22</f>
        <v>3150.3329501264775</v>
      </c>
      <c r="G26" s="84" t="s">
        <v>140</v>
      </c>
      <c r="H26" s="86">
        <f>H22</f>
        <v>457848.38875171461</v>
      </c>
    </row>
    <row r="27" spans="2:8" x14ac:dyDescent="0.25">
      <c r="B27" s="85" t="s">
        <v>139</v>
      </c>
      <c r="C27" s="113">
        <f>C18</f>
        <v>59330.879999999997</v>
      </c>
      <c r="G27" s="85" t="s">
        <v>139</v>
      </c>
      <c r="H27" s="113">
        <f>H18</f>
        <v>408.24</v>
      </c>
    </row>
    <row r="28" spans="2:8" x14ac:dyDescent="0.25">
      <c r="B28" s="85" t="s">
        <v>141</v>
      </c>
      <c r="C28" s="78">
        <f>C26*C27</f>
        <v>186912026.22400001</v>
      </c>
      <c r="G28" s="85" t="s">
        <v>141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topLeftCell="A3456" zoomScale="85" zoomScaleNormal="85" workbookViewId="0">
      <selection activeCell="C3494" sqref="C3494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143</v>
      </c>
      <c r="D3" s="92" t="s">
        <v>144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topLeftCell="B1" zoomScale="130" zoomScaleNormal="130" workbookViewId="0">
      <selection activeCell="G7" sqref="G7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50" t="s">
        <v>150</v>
      </c>
      <c r="C2" s="251"/>
      <c r="D2" s="251"/>
      <c r="E2" s="251"/>
      <c r="F2" s="251"/>
      <c r="G2" s="252"/>
      <c r="I2" s="253" t="s">
        <v>151</v>
      </c>
      <c r="J2" s="254"/>
      <c r="L2" s="253" t="s">
        <v>152</v>
      </c>
      <c r="M2" s="254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157</v>
      </c>
      <c r="M3" s="99" t="s">
        <v>2</v>
      </c>
    </row>
    <row r="4" spans="2:13" x14ac:dyDescent="0.25">
      <c r="B4" s="95" t="s">
        <v>145</v>
      </c>
      <c r="C4" s="93">
        <f>'Balance General'!D8/'Balance General'!D21</f>
        <v>1.156897442730686</v>
      </c>
      <c r="D4" s="93">
        <f>'Balance General'!E8/'Balance General'!E21</f>
        <v>1.3541726425173295</v>
      </c>
      <c r="E4" s="93">
        <f>'Balance General'!F8/'Balance General'!F21</f>
        <v>1.5850242574472071</v>
      </c>
      <c r="F4" s="93">
        <f>'Balance General'!G8/'Balance General'!G21</f>
        <v>1.9099798642433425</v>
      </c>
      <c r="G4" s="93">
        <f>'Balance General'!H8/'Balance General'!H21</f>
        <v>2.3866372316283502</v>
      </c>
      <c r="I4" s="98" t="s">
        <v>45</v>
      </c>
      <c r="J4" s="3">
        <f>'Flujo de Caja'!C27</f>
        <v>-35091000</v>
      </c>
      <c r="L4" s="98" t="s">
        <v>153</v>
      </c>
      <c r="M4" s="59">
        <v>0.15</v>
      </c>
    </row>
    <row r="5" spans="2:13" x14ac:dyDescent="0.25">
      <c r="B5" s="95" t="s">
        <v>146</v>
      </c>
      <c r="C5" s="94">
        <f>'Balance General'!D27/'Balance General'!D16</f>
        <v>0.85732329310788546</v>
      </c>
      <c r="D5" s="94">
        <f>'Balance General'!E27/'Balance General'!E16</f>
        <v>0.73752081113583312</v>
      </c>
      <c r="E5" s="94">
        <f>'Balance General'!F27/'Balance General'!F16</f>
        <v>0.63333126100335768</v>
      </c>
      <c r="F5" s="94">
        <f>'Balance General'!G27/'Balance General'!G16</f>
        <v>0.52780797430381343</v>
      </c>
      <c r="G5" s="94">
        <f>'Balance General'!H27/'Balance General'!H16</f>
        <v>0.41214541262622523</v>
      </c>
      <c r="I5" s="98" t="s">
        <v>46</v>
      </c>
      <c r="J5" s="3">
        <f>'Flujo de Caja'!D27</f>
        <v>11622987.107918859</v>
      </c>
      <c r="L5" s="98" t="s">
        <v>154</v>
      </c>
      <c r="M5" s="3">
        <f>NPV(M4,J5:J9)</f>
        <v>221981620.31687796</v>
      </c>
    </row>
    <row r="6" spans="2:13" x14ac:dyDescent="0.25">
      <c r="B6" s="95" t="s">
        <v>147</v>
      </c>
      <c r="C6" s="94">
        <f>'Estado de Resultados'!D15/'Estado de Resultados'!D6</f>
        <v>0.14450485008818342</v>
      </c>
      <c r="D6" s="94">
        <f>'Estado de Resultados'!E15/'Estado de Resultados'!E6</f>
        <v>0.268966218068239</v>
      </c>
      <c r="E6" s="94">
        <f>'Estado de Resultados'!F15/'Estado de Resultados'!F6</f>
        <v>0.37520980007668436</v>
      </c>
      <c r="F6" s="94">
        <f>'Estado de Resultados'!G15/'Estado de Resultados'!G6</f>
        <v>0.4813262477674331</v>
      </c>
      <c r="G6" s="94">
        <f>'Estado de Resultados'!H15/'Estado de Resultados'!H6</f>
        <v>0.58477443312239696</v>
      </c>
      <c r="I6" s="98" t="s">
        <v>47</v>
      </c>
      <c r="J6" s="3">
        <f>'Flujo de Caja'!E27</f>
        <v>30701333.867918849</v>
      </c>
      <c r="L6" s="98" t="s">
        <v>155</v>
      </c>
      <c r="M6" s="59">
        <f>IRR(J4:J9)</f>
        <v>0.96045711389111244</v>
      </c>
    </row>
    <row r="7" spans="2:13" x14ac:dyDescent="0.25">
      <c r="B7" s="96" t="s">
        <v>148</v>
      </c>
      <c r="C7" s="97">
        <f>'Estado de Resultados'!D24/'Estado de Resultados'!D6</f>
        <v>7.1177414682042764E-2</v>
      </c>
      <c r="D7" s="97">
        <f>'Estado de Resultados'!E24/'Estado de Resultados'!E6</f>
        <v>0.15675755892046619</v>
      </c>
      <c r="E7" s="97">
        <f>'Estado de Resultados'!F24/'Estado de Resultados'!F6</f>
        <v>0.22984559085490378</v>
      </c>
      <c r="F7" s="97">
        <f>'Estado de Resultados'!G24/'Estado de Resultados'!G6</f>
        <v>0.30226524656208353</v>
      </c>
      <c r="G7" s="97">
        <f>'Estado de Resultados'!H24/'Estado de Resultados'!H6</f>
        <v>0.38010338152955808</v>
      </c>
      <c r="I7" s="98" t="s">
        <v>48</v>
      </c>
      <c r="J7" s="3">
        <f>'Flujo de Caja'!F27</f>
        <v>59197756.723118812</v>
      </c>
      <c r="L7" s="98" t="s">
        <v>156</v>
      </c>
      <c r="M7" s="143">
        <f>-NPV(M4,J5:J9)/J4</f>
        <v>6.3258847088107482</v>
      </c>
    </row>
    <row r="8" spans="2:13" x14ac:dyDescent="0.25">
      <c r="B8" s="95" t="s">
        <v>149</v>
      </c>
      <c r="C8" s="94">
        <f>'Estado de Resultados'!D24/'Balance General'!C36</f>
        <v>0.33122416311643599</v>
      </c>
      <c r="D8" s="94">
        <f>'Estado de Resultados'!E24/'Balance General'!D36</f>
        <v>0.18812852818361797</v>
      </c>
      <c r="E8" s="94">
        <f>'Estado de Resultados'!F24/'Balance General'!E36</f>
        <v>0.2847170024179958</v>
      </c>
      <c r="F8" s="94">
        <f>'Estado de Resultados'!G24/'Balance General'!F36</f>
        <v>0.38873197350334399</v>
      </c>
      <c r="G8" s="94">
        <f>'Estado de Resultados'!H24/'Balance General'!G36</f>
        <v>0.51059482550742874</v>
      </c>
      <c r="I8" s="98" t="s">
        <v>49</v>
      </c>
      <c r="J8" s="3">
        <f>'Flujo de Caja'!G27</f>
        <v>104255177.04555881</v>
      </c>
    </row>
    <row r="9" spans="2:13" x14ac:dyDescent="0.25">
      <c r="I9" s="98" t="s">
        <v>50</v>
      </c>
      <c r="J9" s="3">
        <f>'Flujo de Caja'!H27</f>
        <v>181280272.40674049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2026-05-25T16:58:48Z</dcterms:modified>
</cp:coreProperties>
</file>