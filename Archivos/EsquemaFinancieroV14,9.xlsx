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OneDrive\Escritorio\TexProyecto\Archivos\"/>
    </mc:Choice>
  </mc:AlternateContent>
  <xr:revisionPtr revIDLastSave="0" documentId="8_{9067B8CB-1F47-4CCB-A2A2-B7B787081746}" xr6:coauthVersionLast="47" xr6:coauthVersionMax="47" xr10:uidLastSave="{00000000-0000-0000-0000-000000000000}"/>
  <bookViews>
    <workbookView xWindow="6045" yWindow="0" windowWidth="22875" windowHeight="14715" firstSheet="7" activeTab="10" xr2:uid="{00000000-000D-0000-FFFF-FFFF00000000}"/>
  </bookViews>
  <sheets>
    <sheet name="Inversión Inicial" sheetId="2" r:id="rId1"/>
    <sheet name="Proyección de Ventas e Incremen" sheetId="4" r:id="rId2"/>
    <sheet name="Costos de Operación Gravables" sheetId="3" r:id="rId3"/>
    <sheet name="Amortización y Depreciación" sheetId="5" r:id="rId4"/>
    <sheet name="Balance General" sheetId="6" r:id="rId5"/>
    <sheet name="Estado de Resultados" sheetId="7" r:id="rId6"/>
    <sheet name="Flujo de Caja" sheetId="8" r:id="rId7"/>
    <sheet name="Flujo de Efectivo" sheetId="9" r:id="rId8"/>
    <sheet name="Costos Fijos y Punto de Equil." sheetId="10" r:id="rId9"/>
    <sheet name="Grafica Punto de Equilibrio" sheetId="11" r:id="rId10"/>
    <sheet name="Indicadores Financieros" sheetId="12" r:id="rId11"/>
  </sheets>
  <externalReferences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" i="9" l="1"/>
  <c r="E23" i="9"/>
  <c r="F23" i="9"/>
  <c r="G23" i="9"/>
  <c r="H23" i="9"/>
  <c r="C23" i="9"/>
  <c r="E22" i="9"/>
  <c r="F22" i="9"/>
  <c r="G22" i="9"/>
  <c r="H22" i="9"/>
  <c r="D22" i="9"/>
  <c r="D19" i="9"/>
  <c r="E19" i="9"/>
  <c r="F19" i="9"/>
  <c r="G19" i="9"/>
  <c r="H19" i="9"/>
  <c r="C19" i="9"/>
  <c r="C18" i="9"/>
  <c r="D11" i="9"/>
  <c r="E7" i="9"/>
  <c r="F7" i="9"/>
  <c r="G7" i="9"/>
  <c r="H7" i="9"/>
  <c r="D10" i="9"/>
  <c r="E10" i="9"/>
  <c r="F10" i="9"/>
  <c r="G10" i="9"/>
  <c r="H10" i="9"/>
  <c r="C10" i="9"/>
  <c r="D6" i="9"/>
  <c r="E6" i="9"/>
  <c r="F6" i="9"/>
  <c r="G6" i="9"/>
  <c r="H6" i="9"/>
  <c r="C6" i="9"/>
  <c r="C305" i="11"/>
  <c r="D305" i="11"/>
  <c r="C306" i="11"/>
  <c r="D306" i="11"/>
  <c r="C307" i="11"/>
  <c r="D307" i="11"/>
  <c r="C308" i="11"/>
  <c r="D308" i="11"/>
  <c r="C309" i="11"/>
  <c r="D309" i="11"/>
  <c r="C310" i="11"/>
  <c r="D310" i="11"/>
  <c r="C311" i="11"/>
  <c r="D311" i="11"/>
  <c r="C312" i="11"/>
  <c r="D312" i="11"/>
  <c r="C313" i="11"/>
  <c r="D313" i="11"/>
  <c r="C314" i="11"/>
  <c r="D314" i="11"/>
  <c r="C315" i="11"/>
  <c r="D315" i="11"/>
  <c r="C316" i="11"/>
  <c r="D316" i="11"/>
  <c r="C317" i="11"/>
  <c r="D317" i="11"/>
  <c r="C318" i="11"/>
  <c r="D318" i="11"/>
  <c r="C319" i="11"/>
  <c r="D319" i="11"/>
  <c r="C320" i="11"/>
  <c r="D320" i="11"/>
  <c r="C321" i="11"/>
  <c r="D321" i="11"/>
  <c r="C322" i="11"/>
  <c r="D322" i="11"/>
  <c r="C323" i="11"/>
  <c r="D323" i="11"/>
  <c r="C324" i="11"/>
  <c r="D324" i="11"/>
  <c r="C325" i="11"/>
  <c r="D325" i="11"/>
  <c r="C326" i="11"/>
  <c r="D326" i="11"/>
  <c r="C327" i="11"/>
  <c r="D327" i="11"/>
  <c r="C328" i="11"/>
  <c r="D328" i="11"/>
  <c r="C329" i="11"/>
  <c r="D329" i="11"/>
  <c r="C330" i="11"/>
  <c r="D330" i="11"/>
  <c r="C331" i="11"/>
  <c r="D331" i="11"/>
  <c r="C332" i="11"/>
  <c r="D332" i="11"/>
  <c r="C333" i="11"/>
  <c r="D333" i="11"/>
  <c r="C334" i="11"/>
  <c r="D334" i="11"/>
  <c r="C335" i="11"/>
  <c r="D335" i="11"/>
  <c r="C336" i="11"/>
  <c r="D336" i="11"/>
  <c r="C337" i="11"/>
  <c r="D337" i="11"/>
  <c r="C338" i="11"/>
  <c r="D338" i="11"/>
  <c r="C339" i="11"/>
  <c r="D339" i="11"/>
  <c r="C340" i="11"/>
  <c r="D340" i="11"/>
  <c r="C341" i="11"/>
  <c r="D341" i="11"/>
  <c r="C342" i="11"/>
  <c r="D342" i="11"/>
  <c r="C343" i="11"/>
  <c r="D343" i="11"/>
  <c r="C344" i="11"/>
  <c r="D344" i="11"/>
  <c r="C345" i="11"/>
  <c r="D345" i="11"/>
  <c r="C346" i="11"/>
  <c r="D346" i="11"/>
  <c r="C347" i="11"/>
  <c r="D347" i="11"/>
  <c r="C348" i="11"/>
  <c r="D348" i="11"/>
  <c r="C349" i="11"/>
  <c r="D349" i="11"/>
  <c r="C350" i="11"/>
  <c r="D350" i="11"/>
  <c r="C351" i="11"/>
  <c r="D351" i="11"/>
  <c r="C352" i="11"/>
  <c r="D352" i="11"/>
  <c r="C353" i="11"/>
  <c r="D353" i="11"/>
  <c r="C354" i="11"/>
  <c r="D354" i="11"/>
  <c r="C355" i="11"/>
  <c r="D355" i="11"/>
  <c r="C356" i="11"/>
  <c r="D356" i="11"/>
  <c r="C357" i="11"/>
  <c r="D357" i="11"/>
  <c r="C358" i="11"/>
  <c r="D358" i="11"/>
  <c r="C359" i="11"/>
  <c r="D359" i="11"/>
  <c r="C360" i="11"/>
  <c r="D360" i="11"/>
  <c r="C361" i="11"/>
  <c r="D361" i="11"/>
  <c r="C362" i="11"/>
  <c r="D362" i="11"/>
  <c r="C363" i="11"/>
  <c r="D363" i="11"/>
  <c r="C364" i="11"/>
  <c r="D364" i="11"/>
  <c r="C365" i="11"/>
  <c r="D365" i="11"/>
  <c r="C366" i="11"/>
  <c r="D366" i="11"/>
  <c r="C367" i="11"/>
  <c r="D367" i="11"/>
  <c r="C368" i="11"/>
  <c r="D368" i="11"/>
  <c r="C369" i="11"/>
  <c r="D369" i="11"/>
  <c r="C370" i="11"/>
  <c r="D370" i="11"/>
  <c r="C371" i="11"/>
  <c r="D371" i="11"/>
  <c r="C372" i="11"/>
  <c r="D372" i="11"/>
  <c r="C373" i="11"/>
  <c r="D373" i="11"/>
  <c r="C374" i="11"/>
  <c r="D374" i="11"/>
  <c r="C375" i="11"/>
  <c r="D375" i="11"/>
  <c r="C376" i="11"/>
  <c r="D376" i="11"/>
  <c r="C377" i="11"/>
  <c r="D377" i="11"/>
  <c r="C378" i="11"/>
  <c r="D378" i="11"/>
  <c r="C379" i="11"/>
  <c r="D379" i="11"/>
  <c r="C380" i="11"/>
  <c r="D380" i="11"/>
  <c r="C381" i="11"/>
  <c r="D381" i="11"/>
  <c r="C382" i="11"/>
  <c r="D382" i="11"/>
  <c r="C383" i="11"/>
  <c r="D383" i="11"/>
  <c r="C384" i="11"/>
  <c r="D384" i="11"/>
  <c r="C385" i="11"/>
  <c r="D385" i="11"/>
  <c r="C386" i="11"/>
  <c r="D386" i="11"/>
  <c r="C387" i="11"/>
  <c r="D387" i="11"/>
  <c r="C388" i="11"/>
  <c r="D388" i="11"/>
  <c r="C389" i="11"/>
  <c r="D389" i="11"/>
  <c r="C390" i="11"/>
  <c r="D390" i="11"/>
  <c r="C391" i="11"/>
  <c r="D391" i="11"/>
  <c r="C392" i="11"/>
  <c r="D392" i="11"/>
  <c r="C393" i="11"/>
  <c r="D393" i="11"/>
  <c r="C394" i="11"/>
  <c r="D394" i="11"/>
  <c r="C395" i="11"/>
  <c r="D395" i="11"/>
  <c r="C396" i="11"/>
  <c r="D396" i="11"/>
  <c r="C397" i="11"/>
  <c r="D397" i="11"/>
  <c r="C398" i="11"/>
  <c r="D398" i="11"/>
  <c r="C399" i="11"/>
  <c r="D399" i="11"/>
  <c r="C400" i="11"/>
  <c r="D400" i="11"/>
  <c r="C401" i="11"/>
  <c r="D401" i="11"/>
  <c r="C402" i="11"/>
  <c r="D402" i="11"/>
  <c r="C403" i="11"/>
  <c r="D403" i="11"/>
  <c r="C404" i="11"/>
  <c r="D404" i="11"/>
  <c r="C405" i="11"/>
  <c r="D405" i="11"/>
  <c r="C406" i="11"/>
  <c r="D406" i="11"/>
  <c r="C407" i="11"/>
  <c r="D407" i="11"/>
  <c r="C408" i="11"/>
  <c r="D408" i="11"/>
  <c r="C409" i="11"/>
  <c r="D409" i="11"/>
  <c r="C410" i="11"/>
  <c r="D410" i="11"/>
  <c r="C411" i="11"/>
  <c r="D411" i="11"/>
  <c r="C412" i="11"/>
  <c r="D412" i="11"/>
  <c r="C413" i="11"/>
  <c r="D413" i="11"/>
  <c r="C414" i="11"/>
  <c r="D414" i="11"/>
  <c r="C415" i="11"/>
  <c r="D415" i="11"/>
  <c r="C416" i="11"/>
  <c r="D416" i="11"/>
  <c r="C417" i="11"/>
  <c r="D417" i="11"/>
  <c r="C418" i="11"/>
  <c r="D418" i="11"/>
  <c r="C419" i="11"/>
  <c r="D419" i="11"/>
  <c r="C420" i="11"/>
  <c r="D420" i="11"/>
  <c r="C421" i="11"/>
  <c r="D421" i="11"/>
  <c r="C422" i="11"/>
  <c r="D422" i="11"/>
  <c r="C423" i="11"/>
  <c r="D423" i="11"/>
  <c r="C424" i="11"/>
  <c r="D424" i="11"/>
  <c r="C425" i="11"/>
  <c r="D425" i="11"/>
  <c r="C426" i="11"/>
  <c r="D426" i="11"/>
  <c r="C427" i="11"/>
  <c r="D427" i="11"/>
  <c r="C428" i="11"/>
  <c r="D428" i="11"/>
  <c r="C429" i="11"/>
  <c r="D429" i="11"/>
  <c r="C430" i="11"/>
  <c r="D430" i="11"/>
  <c r="C431" i="11"/>
  <c r="D431" i="11"/>
  <c r="C432" i="11"/>
  <c r="D432" i="11"/>
  <c r="C433" i="11"/>
  <c r="D433" i="11"/>
  <c r="C434" i="11"/>
  <c r="D434" i="11"/>
  <c r="C435" i="11"/>
  <c r="D435" i="11"/>
  <c r="C436" i="11"/>
  <c r="D436" i="11"/>
  <c r="C437" i="11"/>
  <c r="D437" i="11"/>
  <c r="C438" i="11"/>
  <c r="D438" i="11"/>
  <c r="C439" i="11"/>
  <c r="D439" i="11"/>
  <c r="C440" i="11"/>
  <c r="D440" i="11"/>
  <c r="C441" i="11"/>
  <c r="D441" i="11"/>
  <c r="C442" i="11"/>
  <c r="D442" i="11"/>
  <c r="C443" i="11"/>
  <c r="D443" i="11"/>
  <c r="C444" i="11"/>
  <c r="D444" i="11"/>
  <c r="C445" i="11"/>
  <c r="D445" i="11"/>
  <c r="C446" i="11"/>
  <c r="D446" i="11"/>
  <c r="C447" i="11"/>
  <c r="D447" i="11"/>
  <c r="C448" i="11"/>
  <c r="D448" i="11"/>
  <c r="C449" i="11"/>
  <c r="D449" i="11"/>
  <c r="C450" i="11"/>
  <c r="D450" i="11"/>
  <c r="C451" i="11"/>
  <c r="D451" i="11"/>
  <c r="C452" i="11"/>
  <c r="D452" i="11"/>
  <c r="C453" i="11"/>
  <c r="D453" i="11"/>
  <c r="C454" i="11"/>
  <c r="D454" i="11"/>
  <c r="C455" i="11"/>
  <c r="D455" i="11"/>
  <c r="C456" i="11"/>
  <c r="D456" i="11"/>
  <c r="C457" i="11"/>
  <c r="D457" i="11"/>
  <c r="C458" i="11"/>
  <c r="D458" i="11"/>
  <c r="C459" i="11"/>
  <c r="D459" i="11"/>
  <c r="C460" i="11"/>
  <c r="D460" i="11"/>
  <c r="C461" i="11"/>
  <c r="D461" i="11"/>
  <c r="C462" i="11"/>
  <c r="D462" i="11"/>
  <c r="C463" i="11"/>
  <c r="D463" i="11"/>
  <c r="C464" i="11"/>
  <c r="D464" i="11"/>
  <c r="C465" i="11"/>
  <c r="D465" i="11"/>
  <c r="C466" i="11"/>
  <c r="D466" i="11"/>
  <c r="C467" i="11"/>
  <c r="D467" i="11"/>
  <c r="C468" i="11"/>
  <c r="D468" i="11"/>
  <c r="C469" i="11"/>
  <c r="D469" i="11"/>
  <c r="C470" i="11"/>
  <c r="D470" i="11"/>
  <c r="C471" i="11"/>
  <c r="D471" i="11"/>
  <c r="C472" i="11"/>
  <c r="D472" i="11"/>
  <c r="C473" i="11"/>
  <c r="D473" i="11"/>
  <c r="C474" i="11"/>
  <c r="D474" i="11"/>
  <c r="C475" i="11"/>
  <c r="D475" i="11"/>
  <c r="C476" i="11"/>
  <c r="D476" i="11"/>
  <c r="C477" i="11"/>
  <c r="D477" i="11"/>
  <c r="C478" i="11"/>
  <c r="D478" i="11"/>
  <c r="C479" i="11"/>
  <c r="D479" i="11"/>
  <c r="C480" i="11"/>
  <c r="D480" i="11"/>
  <c r="C481" i="11"/>
  <c r="D481" i="11"/>
  <c r="C482" i="11"/>
  <c r="D482" i="11"/>
  <c r="C483" i="11"/>
  <c r="D483" i="11"/>
  <c r="C484" i="11"/>
  <c r="D484" i="11"/>
  <c r="C485" i="11"/>
  <c r="D485" i="11"/>
  <c r="C486" i="11"/>
  <c r="D486" i="11"/>
  <c r="C487" i="11"/>
  <c r="D487" i="11"/>
  <c r="C488" i="11"/>
  <c r="D488" i="11"/>
  <c r="C489" i="11"/>
  <c r="D489" i="11"/>
  <c r="C490" i="11"/>
  <c r="D490" i="11"/>
  <c r="C491" i="11"/>
  <c r="D491" i="11"/>
  <c r="C492" i="11"/>
  <c r="D492" i="11"/>
  <c r="C493" i="11"/>
  <c r="D493" i="11"/>
  <c r="C494" i="11"/>
  <c r="D494" i="11"/>
  <c r="C495" i="11"/>
  <c r="D495" i="11"/>
  <c r="C496" i="11"/>
  <c r="D496" i="11"/>
  <c r="C497" i="11"/>
  <c r="D497" i="11"/>
  <c r="C498" i="11"/>
  <c r="D498" i="11"/>
  <c r="C499" i="11"/>
  <c r="D499" i="11"/>
  <c r="C500" i="11"/>
  <c r="D500" i="11"/>
  <c r="C501" i="11"/>
  <c r="D501" i="11"/>
  <c r="C502" i="11"/>
  <c r="D502" i="11"/>
  <c r="C503" i="11"/>
  <c r="D503" i="11"/>
  <c r="C504" i="11"/>
  <c r="D504" i="11"/>
  <c r="C505" i="11"/>
  <c r="D505" i="11"/>
  <c r="C506" i="11"/>
  <c r="D506" i="11"/>
  <c r="C507" i="11"/>
  <c r="D507" i="11"/>
  <c r="C508" i="11"/>
  <c r="D508" i="11"/>
  <c r="C509" i="11"/>
  <c r="D509" i="11"/>
  <c r="C510" i="11"/>
  <c r="D510" i="11"/>
  <c r="C511" i="11"/>
  <c r="D511" i="11"/>
  <c r="C512" i="11"/>
  <c r="D512" i="11"/>
  <c r="C513" i="11"/>
  <c r="D513" i="11"/>
  <c r="C514" i="11"/>
  <c r="D514" i="11"/>
  <c r="C515" i="11"/>
  <c r="D515" i="11"/>
  <c r="C516" i="11"/>
  <c r="D516" i="11"/>
  <c r="C517" i="11"/>
  <c r="D517" i="11"/>
  <c r="C518" i="11"/>
  <c r="D518" i="11"/>
  <c r="C519" i="11"/>
  <c r="D519" i="11"/>
  <c r="C520" i="11"/>
  <c r="D520" i="11"/>
  <c r="C521" i="11"/>
  <c r="D521" i="11"/>
  <c r="C522" i="11"/>
  <c r="D522" i="11"/>
  <c r="C523" i="11"/>
  <c r="D523" i="11"/>
  <c r="C524" i="11"/>
  <c r="D524" i="11"/>
  <c r="C525" i="11"/>
  <c r="D525" i="11"/>
  <c r="C526" i="11"/>
  <c r="D526" i="11"/>
  <c r="C527" i="11"/>
  <c r="D527" i="11"/>
  <c r="C528" i="11"/>
  <c r="D528" i="11"/>
  <c r="C529" i="11"/>
  <c r="D529" i="11"/>
  <c r="C530" i="11"/>
  <c r="D530" i="11"/>
  <c r="C531" i="11"/>
  <c r="D531" i="11"/>
  <c r="C532" i="11"/>
  <c r="D532" i="11"/>
  <c r="C533" i="11"/>
  <c r="D533" i="11"/>
  <c r="C534" i="11"/>
  <c r="D534" i="11"/>
  <c r="C535" i="11"/>
  <c r="D535" i="11"/>
  <c r="C536" i="11"/>
  <c r="D536" i="11"/>
  <c r="C537" i="11"/>
  <c r="D537" i="11"/>
  <c r="C538" i="11"/>
  <c r="D538" i="11"/>
  <c r="C539" i="11"/>
  <c r="D539" i="11"/>
  <c r="C540" i="11"/>
  <c r="D540" i="11"/>
  <c r="C541" i="11"/>
  <c r="D541" i="11"/>
  <c r="C542" i="11"/>
  <c r="D542" i="11"/>
  <c r="C543" i="11"/>
  <c r="D543" i="11"/>
  <c r="C544" i="11"/>
  <c r="D544" i="11"/>
  <c r="C545" i="11"/>
  <c r="D545" i="11"/>
  <c r="C546" i="11"/>
  <c r="D546" i="11"/>
  <c r="C547" i="11"/>
  <c r="D547" i="11"/>
  <c r="C548" i="11"/>
  <c r="D548" i="11"/>
  <c r="C549" i="11"/>
  <c r="D549" i="11"/>
  <c r="C550" i="11"/>
  <c r="D550" i="11"/>
  <c r="C551" i="11"/>
  <c r="D551" i="11"/>
  <c r="C552" i="11"/>
  <c r="D552" i="11"/>
  <c r="C553" i="11"/>
  <c r="D553" i="11"/>
  <c r="C554" i="11"/>
  <c r="D554" i="11"/>
  <c r="C555" i="11"/>
  <c r="D555" i="11"/>
  <c r="C556" i="11"/>
  <c r="D556" i="11"/>
  <c r="C557" i="11"/>
  <c r="D557" i="11"/>
  <c r="C558" i="11"/>
  <c r="D558" i="11"/>
  <c r="C559" i="11"/>
  <c r="D559" i="11"/>
  <c r="C560" i="11"/>
  <c r="D560" i="11"/>
  <c r="C561" i="11"/>
  <c r="D561" i="11"/>
  <c r="C562" i="11"/>
  <c r="D562" i="11"/>
  <c r="C563" i="11"/>
  <c r="D563" i="11"/>
  <c r="C564" i="11"/>
  <c r="D564" i="11"/>
  <c r="C565" i="11"/>
  <c r="D565" i="11"/>
  <c r="C566" i="11"/>
  <c r="D566" i="11"/>
  <c r="C567" i="11"/>
  <c r="D567" i="11"/>
  <c r="C568" i="11"/>
  <c r="D568" i="11"/>
  <c r="C569" i="11"/>
  <c r="D569" i="11"/>
  <c r="C570" i="11"/>
  <c r="D570" i="11"/>
  <c r="C571" i="11"/>
  <c r="D571" i="11"/>
  <c r="C572" i="11"/>
  <c r="D572" i="11"/>
  <c r="C573" i="11"/>
  <c r="D573" i="11"/>
  <c r="C574" i="11"/>
  <c r="D574" i="11"/>
  <c r="C575" i="11"/>
  <c r="D575" i="11"/>
  <c r="C576" i="11"/>
  <c r="D576" i="11"/>
  <c r="C577" i="11"/>
  <c r="D577" i="11"/>
  <c r="C578" i="11"/>
  <c r="D578" i="11"/>
  <c r="C579" i="11"/>
  <c r="D579" i="11"/>
  <c r="C580" i="11"/>
  <c r="D580" i="11"/>
  <c r="C581" i="11"/>
  <c r="D581" i="11"/>
  <c r="C582" i="11"/>
  <c r="D582" i="11"/>
  <c r="C583" i="11"/>
  <c r="D583" i="11"/>
  <c r="C584" i="11"/>
  <c r="D584" i="11"/>
  <c r="C585" i="11"/>
  <c r="D585" i="11"/>
  <c r="C586" i="11"/>
  <c r="D586" i="11"/>
  <c r="C587" i="11"/>
  <c r="D587" i="11"/>
  <c r="C588" i="11"/>
  <c r="D588" i="11"/>
  <c r="C589" i="11"/>
  <c r="D589" i="11"/>
  <c r="C590" i="11"/>
  <c r="D590" i="11"/>
  <c r="C591" i="11"/>
  <c r="D591" i="11"/>
  <c r="C592" i="11"/>
  <c r="D592" i="11"/>
  <c r="C593" i="11"/>
  <c r="D593" i="11"/>
  <c r="C594" i="11"/>
  <c r="D594" i="11"/>
  <c r="C595" i="11"/>
  <c r="D595" i="11"/>
  <c r="C596" i="11"/>
  <c r="D596" i="11"/>
  <c r="C597" i="11"/>
  <c r="D597" i="11"/>
  <c r="C598" i="11"/>
  <c r="D598" i="11"/>
  <c r="C599" i="11"/>
  <c r="D599" i="11"/>
  <c r="C600" i="11"/>
  <c r="D600" i="11"/>
  <c r="C601" i="11"/>
  <c r="D601" i="11"/>
  <c r="C602" i="11"/>
  <c r="D602" i="11"/>
  <c r="C603" i="11"/>
  <c r="D603" i="11"/>
  <c r="C604" i="11"/>
  <c r="D604" i="11"/>
  <c r="C605" i="11"/>
  <c r="D605" i="11"/>
  <c r="C606" i="11"/>
  <c r="D606" i="11"/>
  <c r="C607" i="11"/>
  <c r="D607" i="11"/>
  <c r="C608" i="11"/>
  <c r="D608" i="11"/>
  <c r="C609" i="11"/>
  <c r="D609" i="11"/>
  <c r="C610" i="11"/>
  <c r="D610" i="11"/>
  <c r="C611" i="11"/>
  <c r="D611" i="11"/>
  <c r="C612" i="11"/>
  <c r="D612" i="11"/>
  <c r="C613" i="11"/>
  <c r="D613" i="11"/>
  <c r="C614" i="11"/>
  <c r="D614" i="11"/>
  <c r="C615" i="11"/>
  <c r="D615" i="11"/>
  <c r="C616" i="11"/>
  <c r="D616" i="11"/>
  <c r="C617" i="11"/>
  <c r="D617" i="11"/>
  <c r="C618" i="11"/>
  <c r="D618" i="11"/>
  <c r="C619" i="11"/>
  <c r="D619" i="11"/>
  <c r="C620" i="11"/>
  <c r="D620" i="11"/>
  <c r="C621" i="11"/>
  <c r="D621" i="11"/>
  <c r="C622" i="11"/>
  <c r="D622" i="11"/>
  <c r="C623" i="11"/>
  <c r="D623" i="11"/>
  <c r="C624" i="11"/>
  <c r="D624" i="11"/>
  <c r="C625" i="11"/>
  <c r="D625" i="11"/>
  <c r="C626" i="11"/>
  <c r="D626" i="11"/>
  <c r="C627" i="11"/>
  <c r="D627" i="11"/>
  <c r="C628" i="11"/>
  <c r="D628" i="11"/>
  <c r="C629" i="11"/>
  <c r="D629" i="11"/>
  <c r="C630" i="11"/>
  <c r="D630" i="11"/>
  <c r="C631" i="11"/>
  <c r="D631" i="11"/>
  <c r="C632" i="11"/>
  <c r="D632" i="11"/>
  <c r="C633" i="11"/>
  <c r="D633" i="11"/>
  <c r="C634" i="11"/>
  <c r="D634" i="11"/>
  <c r="C635" i="11"/>
  <c r="D635" i="11"/>
  <c r="C636" i="11"/>
  <c r="D636" i="11"/>
  <c r="C637" i="11"/>
  <c r="D637" i="11"/>
  <c r="C638" i="11"/>
  <c r="D638" i="11"/>
  <c r="C639" i="11"/>
  <c r="D639" i="11"/>
  <c r="C640" i="11"/>
  <c r="D640" i="11"/>
  <c r="C641" i="11"/>
  <c r="D641" i="11"/>
  <c r="C642" i="11"/>
  <c r="D642" i="11"/>
  <c r="C643" i="11"/>
  <c r="D643" i="11"/>
  <c r="C644" i="11"/>
  <c r="D644" i="11"/>
  <c r="C645" i="11"/>
  <c r="D645" i="11"/>
  <c r="C646" i="11"/>
  <c r="D646" i="11"/>
  <c r="C647" i="11"/>
  <c r="D647" i="11"/>
  <c r="C648" i="11"/>
  <c r="D648" i="11"/>
  <c r="C649" i="11"/>
  <c r="D649" i="11"/>
  <c r="C650" i="11"/>
  <c r="D650" i="11"/>
  <c r="C651" i="11"/>
  <c r="D651" i="11"/>
  <c r="C652" i="11"/>
  <c r="D652" i="11"/>
  <c r="C653" i="11"/>
  <c r="D653" i="11"/>
  <c r="C654" i="11"/>
  <c r="D654" i="11"/>
  <c r="C655" i="11"/>
  <c r="D655" i="11"/>
  <c r="C656" i="11"/>
  <c r="D656" i="11"/>
  <c r="C657" i="11"/>
  <c r="D657" i="11"/>
  <c r="C658" i="11"/>
  <c r="D658" i="11"/>
  <c r="C659" i="11"/>
  <c r="D659" i="11"/>
  <c r="C660" i="11"/>
  <c r="D660" i="11"/>
  <c r="C661" i="11"/>
  <c r="D661" i="11"/>
  <c r="C662" i="11"/>
  <c r="D662" i="11"/>
  <c r="C663" i="11"/>
  <c r="D663" i="11"/>
  <c r="C664" i="11"/>
  <c r="D664" i="11"/>
  <c r="C665" i="11"/>
  <c r="D665" i="11"/>
  <c r="C666" i="11"/>
  <c r="D666" i="11"/>
  <c r="C667" i="11"/>
  <c r="D667" i="11"/>
  <c r="C668" i="11"/>
  <c r="D668" i="11"/>
  <c r="C669" i="11"/>
  <c r="D669" i="11"/>
  <c r="C670" i="11"/>
  <c r="D670" i="11"/>
  <c r="C671" i="11"/>
  <c r="D671" i="11"/>
  <c r="C672" i="11"/>
  <c r="D672" i="11"/>
  <c r="C673" i="11"/>
  <c r="D673" i="11"/>
  <c r="C674" i="11"/>
  <c r="D674" i="11"/>
  <c r="C675" i="11"/>
  <c r="D675" i="11"/>
  <c r="C676" i="11"/>
  <c r="D676" i="11"/>
  <c r="C677" i="11"/>
  <c r="D677" i="11"/>
  <c r="C678" i="11"/>
  <c r="D678" i="11"/>
  <c r="C679" i="11"/>
  <c r="D679" i="11"/>
  <c r="C680" i="11"/>
  <c r="D680" i="11"/>
  <c r="C681" i="11"/>
  <c r="D681" i="11"/>
  <c r="C682" i="11"/>
  <c r="D682" i="11"/>
  <c r="C683" i="11"/>
  <c r="D683" i="11"/>
  <c r="C684" i="11"/>
  <c r="D684" i="11"/>
  <c r="C685" i="11"/>
  <c r="D685" i="11"/>
  <c r="C686" i="11"/>
  <c r="D686" i="11"/>
  <c r="C687" i="11"/>
  <c r="D687" i="11"/>
  <c r="C688" i="11"/>
  <c r="D688" i="11"/>
  <c r="C689" i="11"/>
  <c r="D689" i="11"/>
  <c r="C690" i="11"/>
  <c r="D690" i="11"/>
  <c r="C691" i="11"/>
  <c r="D691" i="11"/>
  <c r="C692" i="11"/>
  <c r="D692" i="11"/>
  <c r="C693" i="11"/>
  <c r="D693" i="11"/>
  <c r="C694" i="11"/>
  <c r="D694" i="11"/>
  <c r="C695" i="11"/>
  <c r="D695" i="11"/>
  <c r="C696" i="11"/>
  <c r="D696" i="11"/>
  <c r="C697" i="11"/>
  <c r="D697" i="11"/>
  <c r="C698" i="11"/>
  <c r="D698" i="11"/>
  <c r="C699" i="11"/>
  <c r="D699" i="11"/>
  <c r="C700" i="11"/>
  <c r="D700" i="11"/>
  <c r="C701" i="11"/>
  <c r="D701" i="11"/>
  <c r="C702" i="11"/>
  <c r="D702" i="11"/>
  <c r="C703" i="11"/>
  <c r="D703" i="11"/>
  <c r="C704" i="11"/>
  <c r="D704" i="11"/>
  <c r="C705" i="11"/>
  <c r="D705" i="11"/>
  <c r="C706" i="11"/>
  <c r="D706" i="11"/>
  <c r="C707" i="11"/>
  <c r="D707" i="11"/>
  <c r="C708" i="11"/>
  <c r="D708" i="11"/>
  <c r="C709" i="11"/>
  <c r="D709" i="11"/>
  <c r="C710" i="11"/>
  <c r="D710" i="11"/>
  <c r="C711" i="11"/>
  <c r="D711" i="11"/>
  <c r="C712" i="11"/>
  <c r="D712" i="11"/>
  <c r="C713" i="11"/>
  <c r="D713" i="11"/>
  <c r="C714" i="11"/>
  <c r="D714" i="11"/>
  <c r="C715" i="11"/>
  <c r="D715" i="11"/>
  <c r="C716" i="11"/>
  <c r="D716" i="11"/>
  <c r="C717" i="11"/>
  <c r="D717" i="11"/>
  <c r="C718" i="11"/>
  <c r="D718" i="11"/>
  <c r="C719" i="11"/>
  <c r="D719" i="11"/>
  <c r="C720" i="11"/>
  <c r="D720" i="11"/>
  <c r="C721" i="11"/>
  <c r="D721" i="11"/>
  <c r="C722" i="11"/>
  <c r="D722" i="11"/>
  <c r="C723" i="11"/>
  <c r="D723" i="11"/>
  <c r="C724" i="11"/>
  <c r="D724" i="11"/>
  <c r="C725" i="11"/>
  <c r="D725" i="11"/>
  <c r="C726" i="11"/>
  <c r="D726" i="11"/>
  <c r="C727" i="11"/>
  <c r="D727" i="11"/>
  <c r="C728" i="11"/>
  <c r="D728" i="11"/>
  <c r="C729" i="11"/>
  <c r="D729" i="11"/>
  <c r="C730" i="11"/>
  <c r="D730" i="11"/>
  <c r="C731" i="11"/>
  <c r="D731" i="11"/>
  <c r="C732" i="11"/>
  <c r="D732" i="11"/>
  <c r="C733" i="11"/>
  <c r="D733" i="11"/>
  <c r="C734" i="11"/>
  <c r="D734" i="11"/>
  <c r="C735" i="11"/>
  <c r="D735" i="11"/>
  <c r="C736" i="11"/>
  <c r="D736" i="11"/>
  <c r="C737" i="11"/>
  <c r="D737" i="11"/>
  <c r="C738" i="11"/>
  <c r="D738" i="11"/>
  <c r="C739" i="11"/>
  <c r="D739" i="11"/>
  <c r="C740" i="11"/>
  <c r="D740" i="11"/>
  <c r="C741" i="11"/>
  <c r="D741" i="11"/>
  <c r="C742" i="11"/>
  <c r="D742" i="11"/>
  <c r="C743" i="11"/>
  <c r="D743" i="11"/>
  <c r="C744" i="11"/>
  <c r="D744" i="11"/>
  <c r="C745" i="11"/>
  <c r="D745" i="11"/>
  <c r="C746" i="11"/>
  <c r="D746" i="11"/>
  <c r="C747" i="11"/>
  <c r="D747" i="11"/>
  <c r="C748" i="11"/>
  <c r="D748" i="11"/>
  <c r="C749" i="11"/>
  <c r="D749" i="11"/>
  <c r="C750" i="11"/>
  <c r="D750" i="11"/>
  <c r="C751" i="11"/>
  <c r="D751" i="11"/>
  <c r="C752" i="11"/>
  <c r="D752" i="11"/>
  <c r="C753" i="11"/>
  <c r="D753" i="11"/>
  <c r="C754" i="11"/>
  <c r="D754" i="11"/>
  <c r="C755" i="11"/>
  <c r="D755" i="11"/>
  <c r="C756" i="11"/>
  <c r="D756" i="11"/>
  <c r="C757" i="11"/>
  <c r="D757" i="11"/>
  <c r="C758" i="11"/>
  <c r="D758" i="11"/>
  <c r="C759" i="11"/>
  <c r="D759" i="11"/>
  <c r="C760" i="11"/>
  <c r="D760" i="11"/>
  <c r="C761" i="11"/>
  <c r="D761" i="11"/>
  <c r="C762" i="11"/>
  <c r="D762" i="11"/>
  <c r="C763" i="11"/>
  <c r="D763" i="11"/>
  <c r="C764" i="11"/>
  <c r="D764" i="11"/>
  <c r="C765" i="11"/>
  <c r="D765" i="11"/>
  <c r="C766" i="11"/>
  <c r="D766" i="11"/>
  <c r="C767" i="11"/>
  <c r="D767" i="11"/>
  <c r="C768" i="11"/>
  <c r="D768" i="11"/>
  <c r="C769" i="11"/>
  <c r="D769" i="11"/>
  <c r="C770" i="11"/>
  <c r="D770" i="11"/>
  <c r="C771" i="11"/>
  <c r="D771" i="11"/>
  <c r="C772" i="11"/>
  <c r="D772" i="11"/>
  <c r="C773" i="11"/>
  <c r="D773" i="11"/>
  <c r="C774" i="11"/>
  <c r="D774" i="11"/>
  <c r="C775" i="11"/>
  <c r="D775" i="11"/>
  <c r="C776" i="11"/>
  <c r="D776" i="11"/>
  <c r="C777" i="11"/>
  <c r="D777" i="11"/>
  <c r="C778" i="11"/>
  <c r="D778" i="11"/>
  <c r="C779" i="11"/>
  <c r="D779" i="11"/>
  <c r="C780" i="11"/>
  <c r="D780" i="11"/>
  <c r="C781" i="11"/>
  <c r="D781" i="11"/>
  <c r="C782" i="11"/>
  <c r="D782" i="11"/>
  <c r="C783" i="11"/>
  <c r="D783" i="11"/>
  <c r="C784" i="11"/>
  <c r="D784" i="11"/>
  <c r="C785" i="11"/>
  <c r="D785" i="11"/>
  <c r="C786" i="11"/>
  <c r="D786" i="11"/>
  <c r="C787" i="11"/>
  <c r="D787" i="11"/>
  <c r="C788" i="11"/>
  <c r="D788" i="11"/>
  <c r="C789" i="11"/>
  <c r="D789" i="11"/>
  <c r="C790" i="11"/>
  <c r="D790" i="11"/>
  <c r="C791" i="11"/>
  <c r="D791" i="11"/>
  <c r="C792" i="11"/>
  <c r="D792" i="11"/>
  <c r="C793" i="11"/>
  <c r="D793" i="11"/>
  <c r="C794" i="11"/>
  <c r="D794" i="11"/>
  <c r="C795" i="11"/>
  <c r="D795" i="11"/>
  <c r="C796" i="11"/>
  <c r="D796" i="11"/>
  <c r="C797" i="11"/>
  <c r="D797" i="11"/>
  <c r="C798" i="11"/>
  <c r="D798" i="11"/>
  <c r="C799" i="11"/>
  <c r="D799" i="11"/>
  <c r="C800" i="11"/>
  <c r="D800" i="11"/>
  <c r="C801" i="11"/>
  <c r="D801" i="11"/>
  <c r="C802" i="11"/>
  <c r="D802" i="11"/>
  <c r="C803" i="11"/>
  <c r="D803" i="11"/>
  <c r="C804" i="11"/>
  <c r="D804" i="11"/>
  <c r="C805" i="11"/>
  <c r="D805" i="11"/>
  <c r="C806" i="11"/>
  <c r="D806" i="11"/>
  <c r="C807" i="11"/>
  <c r="D807" i="11"/>
  <c r="C808" i="11"/>
  <c r="D808" i="11"/>
  <c r="C809" i="11"/>
  <c r="D809" i="11"/>
  <c r="C810" i="11"/>
  <c r="D810" i="11"/>
  <c r="C811" i="11"/>
  <c r="D811" i="11"/>
  <c r="C812" i="11"/>
  <c r="D812" i="11"/>
  <c r="C813" i="11"/>
  <c r="D813" i="11"/>
  <c r="C814" i="11"/>
  <c r="D814" i="11"/>
  <c r="C815" i="11"/>
  <c r="D815" i="11"/>
  <c r="C816" i="11"/>
  <c r="D816" i="11"/>
  <c r="C817" i="11"/>
  <c r="D817" i="11"/>
  <c r="C818" i="11"/>
  <c r="D818" i="11"/>
  <c r="C819" i="11"/>
  <c r="D819" i="11"/>
  <c r="C820" i="11"/>
  <c r="D820" i="11"/>
  <c r="C821" i="11"/>
  <c r="D821" i="11"/>
  <c r="C822" i="11"/>
  <c r="D822" i="11"/>
  <c r="C823" i="11"/>
  <c r="D823" i="11"/>
  <c r="C824" i="11"/>
  <c r="D824" i="11"/>
  <c r="C825" i="11"/>
  <c r="D825" i="11"/>
  <c r="C826" i="11"/>
  <c r="D826" i="11"/>
  <c r="C827" i="11"/>
  <c r="D827" i="11"/>
  <c r="C828" i="11"/>
  <c r="D828" i="11"/>
  <c r="C829" i="11"/>
  <c r="D829" i="11"/>
  <c r="C830" i="11"/>
  <c r="D830" i="11"/>
  <c r="C831" i="11"/>
  <c r="D831" i="11"/>
  <c r="C832" i="11"/>
  <c r="D832" i="11"/>
  <c r="C833" i="11"/>
  <c r="D833" i="11"/>
  <c r="C834" i="11"/>
  <c r="D834" i="11"/>
  <c r="C835" i="11"/>
  <c r="D835" i="11"/>
  <c r="C836" i="11"/>
  <c r="D836" i="11"/>
  <c r="C837" i="11"/>
  <c r="D837" i="11"/>
  <c r="C838" i="11"/>
  <c r="D838" i="11"/>
  <c r="C839" i="11"/>
  <c r="D839" i="11"/>
  <c r="C840" i="11"/>
  <c r="D840" i="11"/>
  <c r="C841" i="11"/>
  <c r="D841" i="11"/>
  <c r="C842" i="11"/>
  <c r="D842" i="11"/>
  <c r="C843" i="11"/>
  <c r="D843" i="11"/>
  <c r="C844" i="11"/>
  <c r="D844" i="11"/>
  <c r="C845" i="11"/>
  <c r="D845" i="11"/>
  <c r="C846" i="11"/>
  <c r="D846" i="11"/>
  <c r="C847" i="11"/>
  <c r="D847" i="11"/>
  <c r="C848" i="11"/>
  <c r="D848" i="11"/>
  <c r="C849" i="11"/>
  <c r="D849" i="11"/>
  <c r="C850" i="11"/>
  <c r="D850" i="11"/>
  <c r="C851" i="11"/>
  <c r="D851" i="11"/>
  <c r="C852" i="11"/>
  <c r="D852" i="11"/>
  <c r="C853" i="11"/>
  <c r="D853" i="11"/>
  <c r="C854" i="11"/>
  <c r="D854" i="11"/>
  <c r="C855" i="11"/>
  <c r="D855" i="11"/>
  <c r="C856" i="11"/>
  <c r="D856" i="11"/>
  <c r="C857" i="11"/>
  <c r="D857" i="11"/>
  <c r="C858" i="11"/>
  <c r="D858" i="11"/>
  <c r="C859" i="11"/>
  <c r="D859" i="11"/>
  <c r="C860" i="11"/>
  <c r="D860" i="11"/>
  <c r="C861" i="11"/>
  <c r="D861" i="11"/>
  <c r="C862" i="11"/>
  <c r="D862" i="11"/>
  <c r="C863" i="11"/>
  <c r="D863" i="11"/>
  <c r="C864" i="11"/>
  <c r="D864" i="11"/>
  <c r="C865" i="11"/>
  <c r="D865" i="11"/>
  <c r="C866" i="11"/>
  <c r="D866" i="11"/>
  <c r="C867" i="11"/>
  <c r="D867" i="11"/>
  <c r="C868" i="11"/>
  <c r="D868" i="11"/>
  <c r="C869" i="11"/>
  <c r="D869" i="11"/>
  <c r="C870" i="11"/>
  <c r="D870" i="11"/>
  <c r="C871" i="11"/>
  <c r="D871" i="11"/>
  <c r="C872" i="11"/>
  <c r="D872" i="11"/>
  <c r="C873" i="11"/>
  <c r="D873" i="11"/>
  <c r="C874" i="11"/>
  <c r="D874" i="11"/>
  <c r="C875" i="11"/>
  <c r="D875" i="11"/>
  <c r="C876" i="11"/>
  <c r="D876" i="11"/>
  <c r="C877" i="11"/>
  <c r="D877" i="11"/>
  <c r="C878" i="11"/>
  <c r="D878" i="11"/>
  <c r="C879" i="11"/>
  <c r="D879" i="11"/>
  <c r="C880" i="11"/>
  <c r="D880" i="11"/>
  <c r="C881" i="11"/>
  <c r="D881" i="11"/>
  <c r="C882" i="11"/>
  <c r="D882" i="11"/>
  <c r="C883" i="11"/>
  <c r="D883" i="11"/>
  <c r="C884" i="11"/>
  <c r="D884" i="11"/>
  <c r="C885" i="11"/>
  <c r="D885" i="11"/>
  <c r="C886" i="11"/>
  <c r="D886" i="11"/>
  <c r="C887" i="11"/>
  <c r="D887" i="11"/>
  <c r="C888" i="11"/>
  <c r="D888" i="11"/>
  <c r="C889" i="11"/>
  <c r="D889" i="11"/>
  <c r="C890" i="11"/>
  <c r="D890" i="11"/>
  <c r="C891" i="11"/>
  <c r="D891" i="11"/>
  <c r="C892" i="11"/>
  <c r="D892" i="11"/>
  <c r="C893" i="11"/>
  <c r="D893" i="11"/>
  <c r="C894" i="11"/>
  <c r="D894" i="11"/>
  <c r="C895" i="11"/>
  <c r="D895" i="11"/>
  <c r="C896" i="11"/>
  <c r="D896" i="11"/>
  <c r="C897" i="11"/>
  <c r="D897" i="11"/>
  <c r="C898" i="11"/>
  <c r="D898" i="11"/>
  <c r="C899" i="11"/>
  <c r="D899" i="11"/>
  <c r="C900" i="11"/>
  <c r="D900" i="11"/>
  <c r="C901" i="11"/>
  <c r="D901" i="11"/>
  <c r="C902" i="11"/>
  <c r="D902" i="11"/>
  <c r="C903" i="11"/>
  <c r="D903" i="11"/>
  <c r="C904" i="11"/>
  <c r="D904" i="11"/>
  <c r="C905" i="11"/>
  <c r="D905" i="11"/>
  <c r="C906" i="11"/>
  <c r="D906" i="11"/>
  <c r="C907" i="11"/>
  <c r="D907" i="11"/>
  <c r="C908" i="11"/>
  <c r="D908" i="11"/>
  <c r="C909" i="11"/>
  <c r="D909" i="11"/>
  <c r="C910" i="11"/>
  <c r="D910" i="11"/>
  <c r="C911" i="11"/>
  <c r="D911" i="11"/>
  <c r="C912" i="11"/>
  <c r="D912" i="11"/>
  <c r="C913" i="11"/>
  <c r="D913" i="11"/>
  <c r="C914" i="11"/>
  <c r="D914" i="11"/>
  <c r="C915" i="11"/>
  <c r="D915" i="11"/>
  <c r="C916" i="11"/>
  <c r="D916" i="11"/>
  <c r="C917" i="11"/>
  <c r="D917" i="11"/>
  <c r="C918" i="11"/>
  <c r="D918" i="11"/>
  <c r="C919" i="11"/>
  <c r="D919" i="11"/>
  <c r="C920" i="11"/>
  <c r="D920" i="11"/>
  <c r="C921" i="11"/>
  <c r="D921" i="11"/>
  <c r="C922" i="11"/>
  <c r="D922" i="11"/>
  <c r="C923" i="11"/>
  <c r="D923" i="11"/>
  <c r="C924" i="11"/>
  <c r="D924" i="11"/>
  <c r="C925" i="11"/>
  <c r="D925" i="11"/>
  <c r="C926" i="11"/>
  <c r="D926" i="11"/>
  <c r="C927" i="11"/>
  <c r="D927" i="11"/>
  <c r="C928" i="11"/>
  <c r="D928" i="11"/>
  <c r="C929" i="11"/>
  <c r="D929" i="11"/>
  <c r="C930" i="11"/>
  <c r="D930" i="11"/>
  <c r="C931" i="11"/>
  <c r="D931" i="11"/>
  <c r="C932" i="11"/>
  <c r="D932" i="11"/>
  <c r="C933" i="11"/>
  <c r="D933" i="11"/>
  <c r="C934" i="11"/>
  <c r="D934" i="11"/>
  <c r="C935" i="11"/>
  <c r="D935" i="11"/>
  <c r="C936" i="11"/>
  <c r="D936" i="11"/>
  <c r="C937" i="11"/>
  <c r="D937" i="11"/>
  <c r="C938" i="11"/>
  <c r="D938" i="11"/>
  <c r="C939" i="11"/>
  <c r="D939" i="11"/>
  <c r="C940" i="11"/>
  <c r="D940" i="11"/>
  <c r="C941" i="11"/>
  <c r="D941" i="11"/>
  <c r="C942" i="11"/>
  <c r="D942" i="11"/>
  <c r="C943" i="11"/>
  <c r="D943" i="11"/>
  <c r="C944" i="11"/>
  <c r="D944" i="11"/>
  <c r="C945" i="11"/>
  <c r="D945" i="11"/>
  <c r="C946" i="11"/>
  <c r="D946" i="11"/>
  <c r="C947" i="11"/>
  <c r="D947" i="11"/>
  <c r="C948" i="11"/>
  <c r="D948" i="11"/>
  <c r="C949" i="11"/>
  <c r="D949" i="11"/>
  <c r="C950" i="11"/>
  <c r="D950" i="11"/>
  <c r="C951" i="11"/>
  <c r="D951" i="11"/>
  <c r="C952" i="11"/>
  <c r="D952" i="11"/>
  <c r="C953" i="11"/>
  <c r="D953" i="11"/>
  <c r="C954" i="11"/>
  <c r="D954" i="11"/>
  <c r="C955" i="11"/>
  <c r="D955" i="11"/>
  <c r="C956" i="11"/>
  <c r="D956" i="11"/>
  <c r="C957" i="11"/>
  <c r="D957" i="11"/>
  <c r="C958" i="11"/>
  <c r="D958" i="11"/>
  <c r="C959" i="11"/>
  <c r="D959" i="11"/>
  <c r="C960" i="11"/>
  <c r="D960" i="11"/>
  <c r="C961" i="11"/>
  <c r="D961" i="11"/>
  <c r="C962" i="11"/>
  <c r="D962" i="11"/>
  <c r="C963" i="11"/>
  <c r="D963" i="11"/>
  <c r="C964" i="11"/>
  <c r="D964" i="11"/>
  <c r="C965" i="11"/>
  <c r="D965" i="11"/>
  <c r="C966" i="11"/>
  <c r="D966" i="11"/>
  <c r="C967" i="11"/>
  <c r="D967" i="11"/>
  <c r="C968" i="11"/>
  <c r="D968" i="11"/>
  <c r="C969" i="11"/>
  <c r="D969" i="11"/>
  <c r="C970" i="11"/>
  <c r="D970" i="11"/>
  <c r="C971" i="11"/>
  <c r="D971" i="11"/>
  <c r="C972" i="11"/>
  <c r="D972" i="11"/>
  <c r="C973" i="11"/>
  <c r="D973" i="11"/>
  <c r="C974" i="11"/>
  <c r="D974" i="11"/>
  <c r="C975" i="11"/>
  <c r="D975" i="11"/>
  <c r="C976" i="11"/>
  <c r="D976" i="11"/>
  <c r="C977" i="11"/>
  <c r="D977" i="11"/>
  <c r="C978" i="11"/>
  <c r="D978" i="11"/>
  <c r="C979" i="11"/>
  <c r="D979" i="11"/>
  <c r="C980" i="11"/>
  <c r="D980" i="11"/>
  <c r="C981" i="11"/>
  <c r="D981" i="11"/>
  <c r="C982" i="11"/>
  <c r="D982" i="11"/>
  <c r="C983" i="11"/>
  <c r="D983" i="11"/>
  <c r="C984" i="11"/>
  <c r="D984" i="11"/>
  <c r="C985" i="11"/>
  <c r="D985" i="11"/>
  <c r="C986" i="11"/>
  <c r="D986" i="11"/>
  <c r="C987" i="11"/>
  <c r="D987" i="11"/>
  <c r="C988" i="11"/>
  <c r="D988" i="11"/>
  <c r="C989" i="11"/>
  <c r="D989" i="11"/>
  <c r="C990" i="11"/>
  <c r="D990" i="11"/>
  <c r="C991" i="11"/>
  <c r="D991" i="11"/>
  <c r="C992" i="11"/>
  <c r="D992" i="11"/>
  <c r="C993" i="11"/>
  <c r="D993" i="11"/>
  <c r="C994" i="11"/>
  <c r="D994" i="11"/>
  <c r="C995" i="11"/>
  <c r="D995" i="11"/>
  <c r="C996" i="11"/>
  <c r="D996" i="11"/>
  <c r="C997" i="11"/>
  <c r="D997" i="11"/>
  <c r="C998" i="11"/>
  <c r="D998" i="11"/>
  <c r="C999" i="11"/>
  <c r="D999" i="11"/>
  <c r="C1000" i="11"/>
  <c r="D1000" i="11"/>
  <c r="C1001" i="11"/>
  <c r="D1001" i="11"/>
  <c r="C1002" i="11"/>
  <c r="D1002" i="11"/>
  <c r="C1003" i="11"/>
  <c r="D1003" i="11"/>
  <c r="C1004" i="11"/>
  <c r="D1004" i="11"/>
  <c r="C1005" i="11"/>
  <c r="D1005" i="11"/>
  <c r="C1006" i="11"/>
  <c r="D1006" i="11"/>
  <c r="C1007" i="11"/>
  <c r="D1007" i="11"/>
  <c r="C1008" i="11"/>
  <c r="D1008" i="11"/>
  <c r="C1009" i="11"/>
  <c r="D1009" i="11"/>
  <c r="C1010" i="11"/>
  <c r="D1010" i="11"/>
  <c r="C1011" i="11"/>
  <c r="D1011" i="11"/>
  <c r="C1012" i="11"/>
  <c r="D1012" i="11"/>
  <c r="C1013" i="11"/>
  <c r="D1013" i="11"/>
  <c r="C1014" i="11"/>
  <c r="D1014" i="11"/>
  <c r="C1015" i="11"/>
  <c r="D1015" i="11"/>
  <c r="C1016" i="11"/>
  <c r="D1016" i="11"/>
  <c r="C1017" i="11"/>
  <c r="D1017" i="11"/>
  <c r="C1018" i="11"/>
  <c r="D1018" i="11"/>
  <c r="C1019" i="11"/>
  <c r="D1019" i="11"/>
  <c r="C1020" i="11"/>
  <c r="D1020" i="11"/>
  <c r="C1021" i="11"/>
  <c r="D1021" i="11"/>
  <c r="C1022" i="11"/>
  <c r="D1022" i="11"/>
  <c r="C1023" i="11"/>
  <c r="D1023" i="11"/>
  <c r="C1024" i="11"/>
  <c r="D1024" i="11"/>
  <c r="C1025" i="11"/>
  <c r="D1025" i="11"/>
  <c r="C1026" i="11"/>
  <c r="D1026" i="11"/>
  <c r="C1027" i="11"/>
  <c r="D1027" i="11"/>
  <c r="C1028" i="11"/>
  <c r="D1028" i="11"/>
  <c r="C1029" i="11"/>
  <c r="D1029" i="11"/>
  <c r="C1030" i="11"/>
  <c r="D1030" i="11"/>
  <c r="C1031" i="11"/>
  <c r="D1031" i="11"/>
  <c r="C1032" i="11"/>
  <c r="D1032" i="11"/>
  <c r="C1033" i="11"/>
  <c r="D1033" i="11"/>
  <c r="C1034" i="11"/>
  <c r="D1034" i="11"/>
  <c r="C1035" i="11"/>
  <c r="D1035" i="11"/>
  <c r="C1036" i="11"/>
  <c r="D1036" i="11"/>
  <c r="C1037" i="11"/>
  <c r="D1037" i="11"/>
  <c r="C1038" i="11"/>
  <c r="D1038" i="11"/>
  <c r="C1039" i="11"/>
  <c r="D1039" i="11"/>
  <c r="C1040" i="11"/>
  <c r="D1040" i="11"/>
  <c r="C1041" i="11"/>
  <c r="D1041" i="11"/>
  <c r="C1042" i="11"/>
  <c r="D1042" i="11"/>
  <c r="C1043" i="11"/>
  <c r="D1043" i="11"/>
  <c r="C1044" i="11"/>
  <c r="D1044" i="11"/>
  <c r="C1045" i="11"/>
  <c r="D1045" i="11"/>
  <c r="C1046" i="11"/>
  <c r="D1046" i="11"/>
  <c r="C1047" i="11"/>
  <c r="D1047" i="11"/>
  <c r="C1048" i="11"/>
  <c r="D1048" i="11"/>
  <c r="C1049" i="11"/>
  <c r="D1049" i="11"/>
  <c r="C1050" i="11"/>
  <c r="D1050" i="11"/>
  <c r="C1051" i="11"/>
  <c r="D1051" i="11"/>
  <c r="C1052" i="11"/>
  <c r="D1052" i="11"/>
  <c r="C1053" i="11"/>
  <c r="D1053" i="11"/>
  <c r="C1054" i="11"/>
  <c r="D1054" i="11"/>
  <c r="C1055" i="11"/>
  <c r="D1055" i="11"/>
  <c r="C1056" i="11"/>
  <c r="D1056" i="11"/>
  <c r="C1057" i="11"/>
  <c r="D1057" i="11"/>
  <c r="C1058" i="11"/>
  <c r="D1058" i="11"/>
  <c r="C1059" i="11"/>
  <c r="D1059" i="11"/>
  <c r="C1060" i="11"/>
  <c r="D1060" i="11"/>
  <c r="C1061" i="11"/>
  <c r="D1061" i="11"/>
  <c r="C1062" i="11"/>
  <c r="D1062" i="11"/>
  <c r="C1063" i="11"/>
  <c r="D1063" i="11"/>
  <c r="C1064" i="11"/>
  <c r="D1064" i="11"/>
  <c r="C1065" i="11"/>
  <c r="D1065" i="11"/>
  <c r="C1066" i="11"/>
  <c r="D1066" i="11"/>
  <c r="C1067" i="11"/>
  <c r="D1067" i="11"/>
  <c r="C1068" i="11"/>
  <c r="D1068" i="11"/>
  <c r="C1069" i="11"/>
  <c r="D1069" i="11"/>
  <c r="C1070" i="11"/>
  <c r="D1070" i="11"/>
  <c r="C1071" i="11"/>
  <c r="D1071" i="11"/>
  <c r="C1072" i="11"/>
  <c r="D1072" i="11"/>
  <c r="C1073" i="11"/>
  <c r="D1073" i="11"/>
  <c r="C1074" i="11"/>
  <c r="D1074" i="11"/>
  <c r="C1075" i="11"/>
  <c r="D1075" i="11"/>
  <c r="C1076" i="11"/>
  <c r="D1076" i="11"/>
  <c r="C1077" i="11"/>
  <c r="D1077" i="11"/>
  <c r="C1078" i="11"/>
  <c r="D1078" i="11"/>
  <c r="C1079" i="11"/>
  <c r="D1079" i="11"/>
  <c r="C1080" i="11"/>
  <c r="D1080" i="11"/>
  <c r="C1081" i="11"/>
  <c r="D1081" i="11"/>
  <c r="C1082" i="11"/>
  <c r="D1082" i="11"/>
  <c r="C1083" i="11"/>
  <c r="D1083" i="11"/>
  <c r="C1084" i="11"/>
  <c r="D1084" i="11"/>
  <c r="C1085" i="11"/>
  <c r="D1085" i="11"/>
  <c r="C1086" i="11"/>
  <c r="D1086" i="11"/>
  <c r="C1087" i="11"/>
  <c r="D1087" i="11"/>
  <c r="C1088" i="11"/>
  <c r="D1088" i="11"/>
  <c r="C1089" i="11"/>
  <c r="D1089" i="11"/>
  <c r="C1090" i="11"/>
  <c r="D1090" i="11"/>
  <c r="C1091" i="11"/>
  <c r="D1091" i="11"/>
  <c r="C1092" i="11"/>
  <c r="D1092" i="11"/>
  <c r="C1093" i="11"/>
  <c r="D1093" i="11"/>
  <c r="C1094" i="11"/>
  <c r="D1094" i="11"/>
  <c r="C1095" i="11"/>
  <c r="D1095" i="11"/>
  <c r="C1096" i="11"/>
  <c r="D1096" i="11"/>
  <c r="C1097" i="11"/>
  <c r="D1097" i="11"/>
  <c r="C1098" i="11"/>
  <c r="D1098" i="11"/>
  <c r="C1099" i="11"/>
  <c r="D1099" i="11"/>
  <c r="C1100" i="11"/>
  <c r="D1100" i="11"/>
  <c r="C1101" i="11"/>
  <c r="D1101" i="11"/>
  <c r="C1102" i="11"/>
  <c r="D1102" i="11"/>
  <c r="C1103" i="11"/>
  <c r="D1103" i="11"/>
  <c r="C1104" i="11"/>
  <c r="D1104" i="11"/>
  <c r="C1105" i="11"/>
  <c r="D1105" i="11"/>
  <c r="C1106" i="11"/>
  <c r="D1106" i="11"/>
  <c r="C1107" i="11"/>
  <c r="D1107" i="11"/>
  <c r="C1108" i="11"/>
  <c r="D1108" i="11"/>
  <c r="C1109" i="11"/>
  <c r="D1109" i="11"/>
  <c r="C1110" i="11"/>
  <c r="D1110" i="11"/>
  <c r="C1111" i="11"/>
  <c r="D1111" i="11"/>
  <c r="C1112" i="11"/>
  <c r="D1112" i="11"/>
  <c r="C1113" i="11"/>
  <c r="D1113" i="11"/>
  <c r="C1114" i="11"/>
  <c r="D1114" i="11"/>
  <c r="C1115" i="11"/>
  <c r="D1115" i="11"/>
  <c r="C1116" i="11"/>
  <c r="D1116" i="11"/>
  <c r="C1117" i="11"/>
  <c r="D1117" i="11"/>
  <c r="C1118" i="11"/>
  <c r="D1118" i="11"/>
  <c r="C1119" i="11"/>
  <c r="D1119" i="11"/>
  <c r="C1120" i="11"/>
  <c r="D1120" i="11"/>
  <c r="C1121" i="11"/>
  <c r="D1121" i="11"/>
  <c r="C1122" i="11"/>
  <c r="D1122" i="11"/>
  <c r="C1123" i="11"/>
  <c r="D1123" i="11"/>
  <c r="C1124" i="11"/>
  <c r="D1124" i="11"/>
  <c r="C1125" i="11"/>
  <c r="D1125" i="11"/>
  <c r="C1126" i="11"/>
  <c r="D1126" i="11"/>
  <c r="C1127" i="11"/>
  <c r="D1127" i="11"/>
  <c r="C1128" i="11"/>
  <c r="D1128" i="11"/>
  <c r="C1129" i="11"/>
  <c r="D1129" i="11"/>
  <c r="C1130" i="11"/>
  <c r="D1130" i="11"/>
  <c r="C1131" i="11"/>
  <c r="D1131" i="11"/>
  <c r="C1132" i="11"/>
  <c r="D1132" i="11"/>
  <c r="C1133" i="11"/>
  <c r="D1133" i="11"/>
  <c r="C1134" i="11"/>
  <c r="D1134" i="11"/>
  <c r="C1135" i="11"/>
  <c r="D1135" i="11"/>
  <c r="C1136" i="11"/>
  <c r="D1136" i="11"/>
  <c r="C1137" i="11"/>
  <c r="D1137" i="11"/>
  <c r="C1138" i="11"/>
  <c r="D1138" i="11"/>
  <c r="C1139" i="11"/>
  <c r="D1139" i="11"/>
  <c r="C1140" i="11"/>
  <c r="D1140" i="11"/>
  <c r="C1141" i="11"/>
  <c r="D1141" i="11"/>
  <c r="C1142" i="11"/>
  <c r="D1142" i="11"/>
  <c r="C1143" i="11"/>
  <c r="D1143" i="11"/>
  <c r="C1144" i="11"/>
  <c r="D1144" i="11"/>
  <c r="C1145" i="11"/>
  <c r="D1145" i="11"/>
  <c r="C1146" i="11"/>
  <c r="D1146" i="11"/>
  <c r="C1147" i="11"/>
  <c r="D1147" i="11"/>
  <c r="C1148" i="11"/>
  <c r="D1148" i="11"/>
  <c r="C1149" i="11"/>
  <c r="D1149" i="11"/>
  <c r="C1150" i="11"/>
  <c r="D1150" i="11"/>
  <c r="C1151" i="11"/>
  <c r="D1151" i="11"/>
  <c r="C1152" i="11"/>
  <c r="D1152" i="11"/>
  <c r="C1153" i="11"/>
  <c r="D1153" i="11"/>
  <c r="C1154" i="11"/>
  <c r="D1154" i="11"/>
  <c r="C1155" i="11"/>
  <c r="D1155" i="11"/>
  <c r="C1156" i="11"/>
  <c r="D1156" i="11"/>
  <c r="C1157" i="11"/>
  <c r="D1157" i="11"/>
  <c r="C1158" i="11"/>
  <c r="D1158" i="11"/>
  <c r="C1159" i="11"/>
  <c r="D1159" i="11"/>
  <c r="C1160" i="11"/>
  <c r="D1160" i="11"/>
  <c r="C1161" i="11"/>
  <c r="D1161" i="11"/>
  <c r="C1162" i="11"/>
  <c r="D1162" i="11"/>
  <c r="C1163" i="11"/>
  <c r="D1163" i="11"/>
  <c r="C1164" i="11"/>
  <c r="D1164" i="11"/>
  <c r="C1165" i="11"/>
  <c r="D1165" i="11"/>
  <c r="C1166" i="11"/>
  <c r="D1166" i="11"/>
  <c r="C1167" i="11"/>
  <c r="D1167" i="11"/>
  <c r="C1168" i="11"/>
  <c r="D1168" i="11"/>
  <c r="C1169" i="11"/>
  <c r="D1169" i="11"/>
  <c r="C1170" i="11"/>
  <c r="D1170" i="11"/>
  <c r="C1171" i="11"/>
  <c r="D1171" i="11"/>
  <c r="C1172" i="11"/>
  <c r="D1172" i="11"/>
  <c r="C1173" i="11"/>
  <c r="D1173" i="11"/>
  <c r="C1174" i="11"/>
  <c r="D1174" i="11"/>
  <c r="C1175" i="11"/>
  <c r="D1175" i="11"/>
  <c r="C1176" i="11"/>
  <c r="D1176" i="11"/>
  <c r="C1177" i="11"/>
  <c r="D1177" i="11"/>
  <c r="C1178" i="11"/>
  <c r="D1178" i="11"/>
  <c r="C1179" i="11"/>
  <c r="D1179" i="11"/>
  <c r="C1180" i="11"/>
  <c r="D1180" i="11"/>
  <c r="C1181" i="11"/>
  <c r="D1181" i="11"/>
  <c r="C1182" i="11"/>
  <c r="D1182" i="11"/>
  <c r="C1183" i="11"/>
  <c r="D1183" i="11"/>
  <c r="C1184" i="11"/>
  <c r="D1184" i="11"/>
  <c r="C1185" i="11"/>
  <c r="D1185" i="11"/>
  <c r="C1186" i="11"/>
  <c r="D1186" i="11"/>
  <c r="C1187" i="11"/>
  <c r="D1187" i="11"/>
  <c r="C1188" i="11"/>
  <c r="D1188" i="11"/>
  <c r="C1189" i="11"/>
  <c r="D1189" i="11"/>
  <c r="C1190" i="11"/>
  <c r="D1190" i="11"/>
  <c r="C1191" i="11"/>
  <c r="D1191" i="11"/>
  <c r="C1192" i="11"/>
  <c r="D1192" i="11"/>
  <c r="C1193" i="11"/>
  <c r="D1193" i="11"/>
  <c r="C1194" i="11"/>
  <c r="D1194" i="11"/>
  <c r="C1195" i="11"/>
  <c r="D1195" i="11"/>
  <c r="C1196" i="11"/>
  <c r="D1196" i="11"/>
  <c r="C1197" i="11"/>
  <c r="D1197" i="11"/>
  <c r="C1198" i="11"/>
  <c r="D1198" i="11"/>
  <c r="C1199" i="11"/>
  <c r="D1199" i="11"/>
  <c r="C1200" i="11"/>
  <c r="D1200" i="11"/>
  <c r="C1201" i="11"/>
  <c r="D1201" i="11"/>
  <c r="C1202" i="11"/>
  <c r="D1202" i="11"/>
  <c r="C1203" i="11"/>
  <c r="D1203" i="11"/>
  <c r="C1204" i="11"/>
  <c r="D1204" i="11"/>
  <c r="C1205" i="11"/>
  <c r="D1205" i="11"/>
  <c r="C1206" i="11"/>
  <c r="D1206" i="11"/>
  <c r="C1207" i="11"/>
  <c r="D1207" i="11"/>
  <c r="C1208" i="11"/>
  <c r="D1208" i="11"/>
  <c r="C1209" i="11"/>
  <c r="D1209" i="11"/>
  <c r="C1210" i="11"/>
  <c r="D1210" i="11"/>
  <c r="C1211" i="11"/>
  <c r="D1211" i="11"/>
  <c r="C1212" i="11"/>
  <c r="D1212" i="11"/>
  <c r="C1213" i="11"/>
  <c r="D1213" i="11"/>
  <c r="C1214" i="11"/>
  <c r="D1214" i="11"/>
  <c r="C1215" i="11"/>
  <c r="D1215" i="11"/>
  <c r="C1216" i="11"/>
  <c r="D1216" i="11"/>
  <c r="C1217" i="11"/>
  <c r="D1217" i="11"/>
  <c r="C1218" i="11"/>
  <c r="D1218" i="11"/>
  <c r="C1219" i="11"/>
  <c r="D1219" i="11"/>
  <c r="C1220" i="11"/>
  <c r="D1220" i="11"/>
  <c r="C1221" i="11"/>
  <c r="D1221" i="11"/>
  <c r="C1222" i="11"/>
  <c r="D1222" i="11"/>
  <c r="C1223" i="11"/>
  <c r="D1223" i="11"/>
  <c r="C1224" i="11"/>
  <c r="D1224" i="11"/>
  <c r="C1225" i="11"/>
  <c r="D1225" i="11"/>
  <c r="C1226" i="11"/>
  <c r="D1226" i="11"/>
  <c r="C1227" i="11"/>
  <c r="D1227" i="11"/>
  <c r="C1228" i="11"/>
  <c r="D1228" i="11"/>
  <c r="C1229" i="11"/>
  <c r="D1229" i="11"/>
  <c r="C1230" i="11"/>
  <c r="D1230" i="11"/>
  <c r="C1231" i="11"/>
  <c r="D1231" i="11"/>
  <c r="C1232" i="11"/>
  <c r="D1232" i="11"/>
  <c r="C1233" i="11"/>
  <c r="D1233" i="11"/>
  <c r="C1234" i="11"/>
  <c r="D1234" i="11"/>
  <c r="C1235" i="11"/>
  <c r="D1235" i="11"/>
  <c r="C1236" i="11"/>
  <c r="D1236" i="11"/>
  <c r="C1237" i="11"/>
  <c r="D1237" i="11"/>
  <c r="C1238" i="11"/>
  <c r="D1238" i="11"/>
  <c r="C1239" i="11"/>
  <c r="D1239" i="11"/>
  <c r="C1240" i="11"/>
  <c r="D1240" i="11"/>
  <c r="C1241" i="11"/>
  <c r="D1241" i="11"/>
  <c r="C1242" i="11"/>
  <c r="D1242" i="11"/>
  <c r="C1243" i="11"/>
  <c r="D1243" i="11"/>
  <c r="C1244" i="11"/>
  <c r="D1244" i="11"/>
  <c r="C1245" i="11"/>
  <c r="D1245" i="11"/>
  <c r="C1246" i="11"/>
  <c r="D1246" i="11"/>
  <c r="C1247" i="11"/>
  <c r="D1247" i="11"/>
  <c r="C1248" i="11"/>
  <c r="D1248" i="11"/>
  <c r="C1249" i="11"/>
  <c r="D1249" i="11"/>
  <c r="C1250" i="11"/>
  <c r="D1250" i="11"/>
  <c r="C1251" i="11"/>
  <c r="D1251" i="11"/>
  <c r="C1252" i="11"/>
  <c r="D1252" i="11"/>
  <c r="C1253" i="11"/>
  <c r="D1253" i="11"/>
  <c r="C1254" i="11"/>
  <c r="D1254" i="11"/>
  <c r="C1255" i="11"/>
  <c r="D1255" i="11"/>
  <c r="C1256" i="11"/>
  <c r="D1256" i="11"/>
  <c r="C1257" i="11"/>
  <c r="D1257" i="11"/>
  <c r="C1258" i="11"/>
  <c r="D1258" i="11"/>
  <c r="C1259" i="11"/>
  <c r="D1259" i="11"/>
  <c r="C1260" i="11"/>
  <c r="D1260" i="11"/>
  <c r="C1261" i="11"/>
  <c r="D1261" i="11"/>
  <c r="C1262" i="11"/>
  <c r="D1262" i="11"/>
  <c r="C1263" i="11"/>
  <c r="D1263" i="11"/>
  <c r="C1264" i="11"/>
  <c r="D1264" i="11"/>
  <c r="C1265" i="11"/>
  <c r="D1265" i="11"/>
  <c r="C1266" i="11"/>
  <c r="D1266" i="11"/>
  <c r="C1267" i="11"/>
  <c r="D1267" i="11"/>
  <c r="C1268" i="11"/>
  <c r="D1268" i="11"/>
  <c r="C1269" i="11"/>
  <c r="D1269" i="11"/>
  <c r="C1270" i="11"/>
  <c r="D1270" i="11"/>
  <c r="C1271" i="11"/>
  <c r="D1271" i="11"/>
  <c r="C1272" i="11"/>
  <c r="D1272" i="11"/>
  <c r="C1273" i="11"/>
  <c r="D1273" i="11"/>
  <c r="C1274" i="11"/>
  <c r="D1274" i="11"/>
  <c r="C1275" i="11"/>
  <c r="D1275" i="11"/>
  <c r="C1276" i="11"/>
  <c r="D1276" i="11"/>
  <c r="C1277" i="11"/>
  <c r="D1277" i="11"/>
  <c r="C1278" i="11"/>
  <c r="D1278" i="11"/>
  <c r="C1279" i="11"/>
  <c r="D1279" i="11"/>
  <c r="C1280" i="11"/>
  <c r="D1280" i="11"/>
  <c r="C1281" i="11"/>
  <c r="D1281" i="11"/>
  <c r="C1282" i="11"/>
  <c r="D1282" i="11"/>
  <c r="C1283" i="11"/>
  <c r="D1283" i="11"/>
  <c r="C1284" i="11"/>
  <c r="D1284" i="11"/>
  <c r="C1285" i="11"/>
  <c r="D1285" i="11"/>
  <c r="C1286" i="11"/>
  <c r="D1286" i="11"/>
  <c r="C1287" i="11"/>
  <c r="D1287" i="11"/>
  <c r="C1288" i="11"/>
  <c r="D1288" i="11"/>
  <c r="C1289" i="11"/>
  <c r="D1289" i="11"/>
  <c r="C1290" i="11"/>
  <c r="D1290" i="11"/>
  <c r="C1291" i="11"/>
  <c r="D1291" i="11"/>
  <c r="C1292" i="11"/>
  <c r="D1292" i="11"/>
  <c r="C1293" i="11"/>
  <c r="D1293" i="11"/>
  <c r="C1294" i="11"/>
  <c r="D1294" i="11"/>
  <c r="C1295" i="11"/>
  <c r="D1295" i="11"/>
  <c r="C1296" i="11"/>
  <c r="D1296" i="11"/>
  <c r="C1297" i="11"/>
  <c r="D1297" i="11"/>
  <c r="C1298" i="11"/>
  <c r="D1298" i="11"/>
  <c r="C1299" i="11"/>
  <c r="D1299" i="11"/>
  <c r="C1300" i="11"/>
  <c r="D1300" i="11"/>
  <c r="C1301" i="11"/>
  <c r="D1301" i="11"/>
  <c r="C1302" i="11"/>
  <c r="D1302" i="11"/>
  <c r="C1303" i="11"/>
  <c r="D1303" i="11"/>
  <c r="C1304" i="11"/>
  <c r="D1304" i="11"/>
  <c r="C1305" i="11"/>
  <c r="D1305" i="11"/>
  <c r="C1306" i="11"/>
  <c r="D1306" i="11"/>
  <c r="C1307" i="11"/>
  <c r="D1307" i="11"/>
  <c r="C1308" i="11"/>
  <c r="D1308" i="11"/>
  <c r="C1309" i="11"/>
  <c r="D1309" i="11"/>
  <c r="C1310" i="11"/>
  <c r="D1310" i="11"/>
  <c r="C1311" i="11"/>
  <c r="D1311" i="11"/>
  <c r="C1312" i="11"/>
  <c r="D1312" i="11"/>
  <c r="C1313" i="11"/>
  <c r="D1313" i="11"/>
  <c r="C1314" i="11"/>
  <c r="D1314" i="11"/>
  <c r="C1315" i="11"/>
  <c r="D1315" i="11"/>
  <c r="C1316" i="11"/>
  <c r="D1316" i="11"/>
  <c r="C1317" i="11"/>
  <c r="D1317" i="11"/>
  <c r="C1318" i="11"/>
  <c r="D1318" i="11"/>
  <c r="C1319" i="11"/>
  <c r="D1319" i="11"/>
  <c r="C1320" i="11"/>
  <c r="D1320" i="11"/>
  <c r="C1321" i="11"/>
  <c r="D1321" i="11"/>
  <c r="C1322" i="11"/>
  <c r="D1322" i="11"/>
  <c r="C1323" i="11"/>
  <c r="D1323" i="11"/>
  <c r="C1324" i="11"/>
  <c r="D1324" i="11"/>
  <c r="C1325" i="11"/>
  <c r="D1325" i="11"/>
  <c r="C1326" i="11"/>
  <c r="D1326" i="11"/>
  <c r="C1327" i="11"/>
  <c r="D1327" i="11"/>
  <c r="C1328" i="11"/>
  <c r="D1328" i="11"/>
  <c r="C1329" i="11"/>
  <c r="D1329" i="11"/>
  <c r="C1330" i="11"/>
  <c r="D1330" i="11"/>
  <c r="C1331" i="11"/>
  <c r="D1331" i="11"/>
  <c r="C1332" i="11"/>
  <c r="D1332" i="11"/>
  <c r="C1333" i="11"/>
  <c r="D1333" i="11"/>
  <c r="C1334" i="11"/>
  <c r="D1334" i="11"/>
  <c r="C1335" i="11"/>
  <c r="D1335" i="11"/>
  <c r="C1336" i="11"/>
  <c r="D1336" i="11"/>
  <c r="C1337" i="11"/>
  <c r="D1337" i="11"/>
  <c r="C1338" i="11"/>
  <c r="D1338" i="11"/>
  <c r="C1339" i="11"/>
  <c r="D1339" i="11"/>
  <c r="C1340" i="11"/>
  <c r="D1340" i="11"/>
  <c r="C1341" i="11"/>
  <c r="D1341" i="11"/>
  <c r="C1342" i="11"/>
  <c r="D1342" i="11"/>
  <c r="C1343" i="11"/>
  <c r="D1343" i="11"/>
  <c r="C1344" i="11"/>
  <c r="D1344" i="11"/>
  <c r="C1345" i="11"/>
  <c r="D1345" i="11"/>
  <c r="C1346" i="11"/>
  <c r="D1346" i="11"/>
  <c r="C1347" i="11"/>
  <c r="D1347" i="11"/>
  <c r="C1348" i="11"/>
  <c r="D1348" i="11"/>
  <c r="C1349" i="11"/>
  <c r="D1349" i="11"/>
  <c r="C1350" i="11"/>
  <c r="D1350" i="11"/>
  <c r="C1351" i="11"/>
  <c r="D1351" i="11"/>
  <c r="C1352" i="11"/>
  <c r="D1352" i="11"/>
  <c r="C1353" i="11"/>
  <c r="D1353" i="11"/>
  <c r="C1354" i="11"/>
  <c r="D1354" i="11"/>
  <c r="C1355" i="11"/>
  <c r="D1355" i="11"/>
  <c r="C1356" i="11"/>
  <c r="D1356" i="11"/>
  <c r="C1357" i="11"/>
  <c r="D1357" i="11"/>
  <c r="C1358" i="11"/>
  <c r="D1358" i="11"/>
  <c r="C1359" i="11"/>
  <c r="D1359" i="11"/>
  <c r="C1360" i="11"/>
  <c r="D1360" i="11"/>
  <c r="C1361" i="11"/>
  <c r="D1361" i="11"/>
  <c r="C1362" i="11"/>
  <c r="D1362" i="11"/>
  <c r="C1363" i="11"/>
  <c r="D1363" i="11"/>
  <c r="C1364" i="11"/>
  <c r="D1364" i="11"/>
  <c r="C1365" i="11"/>
  <c r="D1365" i="11"/>
  <c r="C1366" i="11"/>
  <c r="D1366" i="11"/>
  <c r="C1367" i="11"/>
  <c r="D1367" i="11"/>
  <c r="C1368" i="11"/>
  <c r="D1368" i="11"/>
  <c r="C1369" i="11"/>
  <c r="D1369" i="11"/>
  <c r="C1370" i="11"/>
  <c r="D1370" i="11"/>
  <c r="C1371" i="11"/>
  <c r="D1371" i="11"/>
  <c r="C1372" i="11"/>
  <c r="D1372" i="11"/>
  <c r="C1373" i="11"/>
  <c r="D1373" i="11"/>
  <c r="C1374" i="11"/>
  <c r="D1374" i="11"/>
  <c r="C1375" i="11"/>
  <c r="D1375" i="11"/>
  <c r="C1376" i="11"/>
  <c r="D1376" i="11"/>
  <c r="C1377" i="11"/>
  <c r="D1377" i="11"/>
  <c r="C1378" i="11"/>
  <c r="D1378" i="11"/>
  <c r="C1379" i="11"/>
  <c r="D1379" i="11"/>
  <c r="C1380" i="11"/>
  <c r="D1380" i="11"/>
  <c r="C1381" i="11"/>
  <c r="D1381" i="11"/>
  <c r="C1382" i="11"/>
  <c r="D1382" i="11"/>
  <c r="C1383" i="11"/>
  <c r="D1383" i="11"/>
  <c r="C1384" i="11"/>
  <c r="D1384" i="11"/>
  <c r="C1385" i="11"/>
  <c r="D1385" i="11"/>
  <c r="C1386" i="11"/>
  <c r="D1386" i="11"/>
  <c r="C1387" i="11"/>
  <c r="D1387" i="11"/>
  <c r="C1388" i="11"/>
  <c r="D1388" i="11"/>
  <c r="C1389" i="11"/>
  <c r="D1389" i="11"/>
  <c r="C1390" i="11"/>
  <c r="D1390" i="11"/>
  <c r="C1391" i="11"/>
  <c r="D1391" i="11"/>
  <c r="C1392" i="11"/>
  <c r="D1392" i="11"/>
  <c r="C1393" i="11"/>
  <c r="D1393" i="11"/>
  <c r="C1394" i="11"/>
  <c r="D1394" i="11"/>
  <c r="C1395" i="11"/>
  <c r="D1395" i="11"/>
  <c r="C1396" i="11"/>
  <c r="D1396" i="11"/>
  <c r="C1397" i="11"/>
  <c r="D1397" i="11"/>
  <c r="C1398" i="11"/>
  <c r="D1398" i="11"/>
  <c r="C1399" i="11"/>
  <c r="D1399" i="11"/>
  <c r="C1400" i="11"/>
  <c r="D1400" i="11"/>
  <c r="C1401" i="11"/>
  <c r="D1401" i="11"/>
  <c r="C1402" i="11"/>
  <c r="D1402" i="11"/>
  <c r="C1403" i="11"/>
  <c r="D1403" i="11"/>
  <c r="C1404" i="11"/>
  <c r="D1404" i="11"/>
  <c r="C1405" i="11"/>
  <c r="D1405" i="11"/>
  <c r="C1406" i="11"/>
  <c r="D1406" i="11"/>
  <c r="C1407" i="11"/>
  <c r="D1407" i="11"/>
  <c r="C1408" i="11"/>
  <c r="D1408" i="11"/>
  <c r="C1409" i="11"/>
  <c r="D1409" i="11"/>
  <c r="C1410" i="11"/>
  <c r="D1410" i="11"/>
  <c r="C1411" i="11"/>
  <c r="D1411" i="11"/>
  <c r="C1412" i="11"/>
  <c r="D1412" i="11"/>
  <c r="C1413" i="11"/>
  <c r="D1413" i="11"/>
  <c r="C1414" i="11"/>
  <c r="D1414" i="11"/>
  <c r="C1415" i="11"/>
  <c r="D1415" i="11"/>
  <c r="C1416" i="11"/>
  <c r="D1416" i="11"/>
  <c r="C1417" i="11"/>
  <c r="D1417" i="11"/>
  <c r="C1418" i="11"/>
  <c r="D1418" i="11"/>
  <c r="C1419" i="11"/>
  <c r="D1419" i="11"/>
  <c r="C1420" i="11"/>
  <c r="D1420" i="11"/>
  <c r="C1421" i="11"/>
  <c r="D1421" i="11"/>
  <c r="C1422" i="11"/>
  <c r="D1422" i="11"/>
  <c r="C1423" i="11"/>
  <c r="D1423" i="11"/>
  <c r="C1424" i="11"/>
  <c r="D1424" i="11"/>
  <c r="C1425" i="11"/>
  <c r="D1425" i="11"/>
  <c r="C1426" i="11"/>
  <c r="D1426" i="11"/>
  <c r="C1427" i="11"/>
  <c r="D1427" i="11"/>
  <c r="C1428" i="11"/>
  <c r="D1428" i="11"/>
  <c r="C1429" i="11"/>
  <c r="D1429" i="11"/>
  <c r="C1430" i="11"/>
  <c r="D1430" i="11"/>
  <c r="C1431" i="11"/>
  <c r="D1431" i="11"/>
  <c r="C1432" i="11"/>
  <c r="D1432" i="11"/>
  <c r="C1433" i="11"/>
  <c r="D1433" i="11"/>
  <c r="C1434" i="11"/>
  <c r="D1434" i="11"/>
  <c r="C1435" i="11"/>
  <c r="D1435" i="11"/>
  <c r="C1436" i="11"/>
  <c r="D1436" i="11"/>
  <c r="C1437" i="11"/>
  <c r="D1437" i="11"/>
  <c r="C1438" i="11"/>
  <c r="D1438" i="11"/>
  <c r="C1439" i="11"/>
  <c r="D1439" i="11"/>
  <c r="C1440" i="11"/>
  <c r="D1440" i="11"/>
  <c r="C1441" i="11"/>
  <c r="D1441" i="11"/>
  <c r="C1442" i="11"/>
  <c r="D1442" i="11"/>
  <c r="C1443" i="11"/>
  <c r="D1443" i="11"/>
  <c r="C1444" i="11"/>
  <c r="D1444" i="11"/>
  <c r="C1445" i="11"/>
  <c r="D1445" i="11"/>
  <c r="C1446" i="11"/>
  <c r="D1446" i="11"/>
  <c r="C1447" i="11"/>
  <c r="D1447" i="11"/>
  <c r="C1448" i="11"/>
  <c r="D1448" i="11"/>
  <c r="C1449" i="11"/>
  <c r="D1449" i="11"/>
  <c r="C1450" i="11"/>
  <c r="D1450" i="11"/>
  <c r="C1451" i="11"/>
  <c r="D1451" i="11"/>
  <c r="C1452" i="11"/>
  <c r="D1452" i="11"/>
  <c r="C1453" i="11"/>
  <c r="D1453" i="11"/>
  <c r="C1454" i="11"/>
  <c r="D1454" i="11"/>
  <c r="C1455" i="11"/>
  <c r="D1455" i="11"/>
  <c r="C1456" i="11"/>
  <c r="D1456" i="11"/>
  <c r="C1457" i="11"/>
  <c r="D1457" i="11"/>
  <c r="C1458" i="11"/>
  <c r="D1458" i="11"/>
  <c r="C1459" i="11"/>
  <c r="D1459" i="11"/>
  <c r="C1460" i="11"/>
  <c r="D1460" i="11"/>
  <c r="C1461" i="11"/>
  <c r="D1461" i="11"/>
  <c r="C1462" i="11"/>
  <c r="D1462" i="11"/>
  <c r="C1463" i="11"/>
  <c r="D1463" i="11"/>
  <c r="C1464" i="11"/>
  <c r="D1464" i="11"/>
  <c r="C1465" i="11"/>
  <c r="D1465" i="11"/>
  <c r="C1466" i="11"/>
  <c r="D1466" i="11"/>
  <c r="C1467" i="11"/>
  <c r="D1467" i="11"/>
  <c r="C1468" i="11"/>
  <c r="D1468" i="11"/>
  <c r="C1469" i="11"/>
  <c r="D1469" i="11"/>
  <c r="C1470" i="11"/>
  <c r="D1470" i="11"/>
  <c r="C1471" i="11"/>
  <c r="D1471" i="11"/>
  <c r="C1472" i="11"/>
  <c r="D1472" i="11"/>
  <c r="C1473" i="11"/>
  <c r="D1473" i="11"/>
  <c r="C1474" i="11"/>
  <c r="D1474" i="11"/>
  <c r="C1475" i="11"/>
  <c r="D1475" i="11"/>
  <c r="C1476" i="11"/>
  <c r="D1476" i="11"/>
  <c r="C1477" i="11"/>
  <c r="D1477" i="11"/>
  <c r="C1478" i="11"/>
  <c r="D1478" i="11"/>
  <c r="C1479" i="11"/>
  <c r="D1479" i="11"/>
  <c r="C1480" i="11"/>
  <c r="D1480" i="11"/>
  <c r="C1481" i="11"/>
  <c r="D1481" i="11"/>
  <c r="C1482" i="11"/>
  <c r="D1482" i="11"/>
  <c r="C1483" i="11"/>
  <c r="D1483" i="11"/>
  <c r="C1484" i="11"/>
  <c r="D1484" i="11"/>
  <c r="C1485" i="11"/>
  <c r="D1485" i="11"/>
  <c r="C1486" i="11"/>
  <c r="D1486" i="11"/>
  <c r="C1487" i="11"/>
  <c r="D1487" i="11"/>
  <c r="C1488" i="11"/>
  <c r="D1488" i="11"/>
  <c r="C1489" i="11"/>
  <c r="D1489" i="11"/>
  <c r="C1490" i="11"/>
  <c r="D1490" i="11"/>
  <c r="C1491" i="11"/>
  <c r="D1491" i="11"/>
  <c r="C1492" i="11"/>
  <c r="D1492" i="11"/>
  <c r="C1493" i="11"/>
  <c r="D1493" i="11"/>
  <c r="C1494" i="11"/>
  <c r="D1494" i="11"/>
  <c r="C1495" i="11"/>
  <c r="D1495" i="11"/>
  <c r="C1496" i="11"/>
  <c r="D1496" i="11"/>
  <c r="C1497" i="11"/>
  <c r="D1497" i="11"/>
  <c r="C1498" i="11"/>
  <c r="D1498" i="11"/>
  <c r="C1499" i="11"/>
  <c r="D1499" i="11"/>
  <c r="C1500" i="11"/>
  <c r="D1500" i="11"/>
  <c r="C1501" i="11"/>
  <c r="D1501" i="11"/>
  <c r="C1502" i="11"/>
  <c r="D1502" i="11"/>
  <c r="C1503" i="11"/>
  <c r="D1503" i="11"/>
  <c r="C1504" i="11"/>
  <c r="D1504" i="11"/>
  <c r="C1505" i="11"/>
  <c r="D1505" i="11"/>
  <c r="C1506" i="11"/>
  <c r="D1506" i="11"/>
  <c r="C1507" i="11"/>
  <c r="D1507" i="11"/>
  <c r="C1508" i="11"/>
  <c r="D1508" i="11"/>
  <c r="C1509" i="11"/>
  <c r="D1509" i="11"/>
  <c r="C1510" i="11"/>
  <c r="D1510" i="11"/>
  <c r="C1511" i="11"/>
  <c r="D1511" i="11"/>
  <c r="C1512" i="11"/>
  <c r="D1512" i="11"/>
  <c r="C1513" i="11"/>
  <c r="D1513" i="11"/>
  <c r="C1514" i="11"/>
  <c r="D1514" i="11"/>
  <c r="C1515" i="11"/>
  <c r="D1515" i="11"/>
  <c r="C1516" i="11"/>
  <c r="D1516" i="11"/>
  <c r="C1517" i="11"/>
  <c r="D1517" i="11"/>
  <c r="C1518" i="11"/>
  <c r="D1518" i="11"/>
  <c r="C1519" i="11"/>
  <c r="D1519" i="11"/>
  <c r="C1520" i="11"/>
  <c r="D1520" i="11"/>
  <c r="C1521" i="11"/>
  <c r="D1521" i="11"/>
  <c r="C1522" i="11"/>
  <c r="D1522" i="11"/>
  <c r="C1523" i="11"/>
  <c r="D1523" i="11"/>
  <c r="C1524" i="11"/>
  <c r="D1524" i="11"/>
  <c r="C1525" i="11"/>
  <c r="D1525" i="11"/>
  <c r="C1526" i="11"/>
  <c r="D1526" i="11"/>
  <c r="C1527" i="11"/>
  <c r="D1527" i="11"/>
  <c r="C1528" i="11"/>
  <c r="D1528" i="11"/>
  <c r="C1529" i="11"/>
  <c r="D1529" i="11"/>
  <c r="C1530" i="11"/>
  <c r="D1530" i="11"/>
  <c r="C1531" i="11"/>
  <c r="D1531" i="11"/>
  <c r="C1532" i="11"/>
  <c r="D1532" i="11"/>
  <c r="C1533" i="11"/>
  <c r="D1533" i="11"/>
  <c r="C1534" i="11"/>
  <c r="D1534" i="11"/>
  <c r="C1535" i="11"/>
  <c r="D1535" i="11"/>
  <c r="C1536" i="11"/>
  <c r="D1536" i="11"/>
  <c r="C1537" i="11"/>
  <c r="D1537" i="11"/>
  <c r="C1538" i="11"/>
  <c r="D1538" i="11"/>
  <c r="C1539" i="11"/>
  <c r="D1539" i="11"/>
  <c r="C1540" i="11"/>
  <c r="D1540" i="11"/>
  <c r="C1541" i="11"/>
  <c r="D1541" i="11"/>
  <c r="C1542" i="11"/>
  <c r="D1542" i="11"/>
  <c r="C1543" i="11"/>
  <c r="D1543" i="11"/>
  <c r="C1544" i="11"/>
  <c r="D1544" i="11"/>
  <c r="C1545" i="11"/>
  <c r="D1545" i="11"/>
  <c r="C1546" i="11"/>
  <c r="D1546" i="11"/>
  <c r="C1547" i="11"/>
  <c r="D1547" i="11"/>
  <c r="C1548" i="11"/>
  <c r="D1548" i="11"/>
  <c r="C1549" i="11"/>
  <c r="D1549" i="11"/>
  <c r="C1550" i="11"/>
  <c r="D1550" i="11"/>
  <c r="C1551" i="11"/>
  <c r="D1551" i="11"/>
  <c r="C1552" i="11"/>
  <c r="D1552" i="11"/>
  <c r="C1553" i="11"/>
  <c r="D1553" i="11"/>
  <c r="C1554" i="11"/>
  <c r="D1554" i="11"/>
  <c r="C1555" i="11"/>
  <c r="D1555" i="11"/>
  <c r="C1556" i="11"/>
  <c r="D1556" i="11"/>
  <c r="C1557" i="11"/>
  <c r="D1557" i="11"/>
  <c r="C1558" i="11"/>
  <c r="D1558" i="11"/>
  <c r="C1559" i="11"/>
  <c r="D1559" i="11"/>
  <c r="C1560" i="11"/>
  <c r="D1560" i="11"/>
  <c r="C1561" i="11"/>
  <c r="D1561" i="11"/>
  <c r="C1562" i="11"/>
  <c r="D1562" i="11"/>
  <c r="C1563" i="11"/>
  <c r="D1563" i="11"/>
  <c r="C1564" i="11"/>
  <c r="D1564" i="11"/>
  <c r="C1565" i="11"/>
  <c r="D1565" i="11"/>
  <c r="C1566" i="11"/>
  <c r="D1566" i="11"/>
  <c r="C1567" i="11"/>
  <c r="D1567" i="11"/>
  <c r="C1568" i="11"/>
  <c r="D1568" i="11"/>
  <c r="C1569" i="11"/>
  <c r="D1569" i="11"/>
  <c r="C1570" i="11"/>
  <c r="D1570" i="11"/>
  <c r="C1571" i="11"/>
  <c r="D1571" i="11"/>
  <c r="C1572" i="11"/>
  <c r="D1572" i="11"/>
  <c r="C1573" i="11"/>
  <c r="D1573" i="11"/>
  <c r="C1574" i="11"/>
  <c r="D1574" i="11"/>
  <c r="C1575" i="11"/>
  <c r="D1575" i="11"/>
  <c r="C1576" i="11"/>
  <c r="D1576" i="11"/>
  <c r="C1577" i="11"/>
  <c r="D1577" i="11"/>
  <c r="C1578" i="11"/>
  <c r="D1578" i="11"/>
  <c r="C1579" i="11"/>
  <c r="D1579" i="11"/>
  <c r="C1580" i="11"/>
  <c r="D1580" i="11"/>
  <c r="C1581" i="11"/>
  <c r="D1581" i="11"/>
  <c r="C1582" i="11"/>
  <c r="D1582" i="11"/>
  <c r="C1583" i="11"/>
  <c r="D1583" i="11"/>
  <c r="C1584" i="11"/>
  <c r="D1584" i="11"/>
  <c r="C1585" i="11"/>
  <c r="D1585" i="11"/>
  <c r="C1586" i="11"/>
  <c r="D1586" i="11"/>
  <c r="C1587" i="11"/>
  <c r="D1587" i="11"/>
  <c r="C1588" i="11"/>
  <c r="D1588" i="11"/>
  <c r="C1589" i="11"/>
  <c r="D1589" i="11"/>
  <c r="C1590" i="11"/>
  <c r="D1590" i="11"/>
  <c r="C1591" i="11"/>
  <c r="D1591" i="11"/>
  <c r="C1592" i="11"/>
  <c r="D1592" i="11"/>
  <c r="C1593" i="11"/>
  <c r="D1593" i="11"/>
  <c r="C1594" i="11"/>
  <c r="D1594" i="11"/>
  <c r="C1595" i="11"/>
  <c r="D1595" i="11"/>
  <c r="C1596" i="11"/>
  <c r="D1596" i="11"/>
  <c r="C1597" i="11"/>
  <c r="D1597" i="11"/>
  <c r="C1598" i="11"/>
  <c r="D1598" i="11"/>
  <c r="C1599" i="11"/>
  <c r="D1599" i="11"/>
  <c r="C1600" i="11"/>
  <c r="D1600" i="11"/>
  <c r="C1601" i="11"/>
  <c r="D1601" i="11"/>
  <c r="C1602" i="11"/>
  <c r="D1602" i="11"/>
  <c r="C1603" i="11"/>
  <c r="D1603" i="11"/>
  <c r="C1604" i="11"/>
  <c r="D1604" i="11"/>
  <c r="C1605" i="11"/>
  <c r="D1605" i="11"/>
  <c r="C1606" i="11"/>
  <c r="D1606" i="11"/>
  <c r="C1607" i="11"/>
  <c r="D1607" i="11"/>
  <c r="C1608" i="11"/>
  <c r="D1608" i="11"/>
  <c r="C1609" i="11"/>
  <c r="D1609" i="11"/>
  <c r="C1610" i="11"/>
  <c r="D1610" i="11"/>
  <c r="C1611" i="11"/>
  <c r="D1611" i="11"/>
  <c r="C1612" i="11"/>
  <c r="D1612" i="11"/>
  <c r="C1613" i="11"/>
  <c r="D1613" i="11"/>
  <c r="C1614" i="11"/>
  <c r="D1614" i="11"/>
  <c r="C1615" i="11"/>
  <c r="D1615" i="11"/>
  <c r="C1616" i="11"/>
  <c r="D1616" i="11"/>
  <c r="C1617" i="11"/>
  <c r="D1617" i="11"/>
  <c r="C1618" i="11"/>
  <c r="D1618" i="11"/>
  <c r="C1619" i="11"/>
  <c r="D1619" i="11"/>
  <c r="C1620" i="11"/>
  <c r="D1620" i="11"/>
  <c r="C1621" i="11"/>
  <c r="D1621" i="11"/>
  <c r="C1622" i="11"/>
  <c r="D1622" i="11"/>
  <c r="C1623" i="11"/>
  <c r="D1623" i="11"/>
  <c r="C1624" i="11"/>
  <c r="D1624" i="11"/>
  <c r="C1625" i="11"/>
  <c r="D1625" i="11"/>
  <c r="C1626" i="11"/>
  <c r="D1626" i="11"/>
  <c r="C1627" i="11"/>
  <c r="D1627" i="11"/>
  <c r="C1628" i="11"/>
  <c r="D1628" i="11"/>
  <c r="C1629" i="11"/>
  <c r="D1629" i="11"/>
  <c r="C1630" i="11"/>
  <c r="D1630" i="11"/>
  <c r="C1631" i="11"/>
  <c r="D1631" i="11"/>
  <c r="C1632" i="11"/>
  <c r="D1632" i="11"/>
  <c r="C1633" i="11"/>
  <c r="D1633" i="11"/>
  <c r="C1634" i="11"/>
  <c r="D1634" i="11"/>
  <c r="C1635" i="11"/>
  <c r="D1635" i="11"/>
  <c r="C1636" i="11"/>
  <c r="D1636" i="11"/>
  <c r="C1637" i="11"/>
  <c r="D1637" i="11"/>
  <c r="C1638" i="11"/>
  <c r="D1638" i="11"/>
  <c r="C1639" i="11"/>
  <c r="D1639" i="11"/>
  <c r="C1640" i="11"/>
  <c r="D1640" i="11"/>
  <c r="C1641" i="11"/>
  <c r="D1641" i="11"/>
  <c r="C1642" i="11"/>
  <c r="D1642" i="11"/>
  <c r="C1643" i="11"/>
  <c r="D1643" i="11"/>
  <c r="C1644" i="11"/>
  <c r="D1644" i="11"/>
  <c r="C1645" i="11"/>
  <c r="D1645" i="11"/>
  <c r="C1646" i="11"/>
  <c r="D1646" i="11"/>
  <c r="C1647" i="11"/>
  <c r="D1647" i="11"/>
  <c r="C1648" i="11"/>
  <c r="D1648" i="11"/>
  <c r="C1649" i="11"/>
  <c r="D1649" i="11"/>
  <c r="C1650" i="11"/>
  <c r="D1650" i="11"/>
  <c r="C1651" i="11"/>
  <c r="D1651" i="11"/>
  <c r="C1652" i="11"/>
  <c r="D1652" i="11"/>
  <c r="C1653" i="11"/>
  <c r="D1653" i="11"/>
  <c r="C1654" i="11"/>
  <c r="D1654" i="11"/>
  <c r="C1655" i="11"/>
  <c r="D1655" i="11"/>
  <c r="C1656" i="11"/>
  <c r="D1656" i="11"/>
  <c r="C1657" i="11"/>
  <c r="D1657" i="11"/>
  <c r="C1658" i="11"/>
  <c r="D1658" i="11"/>
  <c r="C1659" i="11"/>
  <c r="D1659" i="11"/>
  <c r="C1660" i="11"/>
  <c r="D1660" i="11"/>
  <c r="C1661" i="11"/>
  <c r="D1661" i="11"/>
  <c r="C1662" i="11"/>
  <c r="D1662" i="11"/>
  <c r="C1663" i="11"/>
  <c r="D1663" i="11"/>
  <c r="C1664" i="11"/>
  <c r="D1664" i="11"/>
  <c r="C1665" i="11"/>
  <c r="D1665" i="11"/>
  <c r="C1666" i="11"/>
  <c r="D1666" i="11"/>
  <c r="C1667" i="11"/>
  <c r="D1667" i="11"/>
  <c r="C1668" i="11"/>
  <c r="D1668" i="11"/>
  <c r="C1669" i="11"/>
  <c r="D1669" i="11"/>
  <c r="C1670" i="11"/>
  <c r="D1670" i="11"/>
  <c r="C1671" i="11"/>
  <c r="D1671" i="11"/>
  <c r="C1672" i="11"/>
  <c r="D1672" i="11"/>
  <c r="C1673" i="11"/>
  <c r="D1673" i="11"/>
  <c r="C1674" i="11"/>
  <c r="D1674" i="11"/>
  <c r="C1675" i="11"/>
  <c r="D1675" i="11"/>
  <c r="C1676" i="11"/>
  <c r="D1676" i="11"/>
  <c r="C1677" i="11"/>
  <c r="D1677" i="11"/>
  <c r="C1678" i="11"/>
  <c r="D1678" i="11"/>
  <c r="C1679" i="11"/>
  <c r="D1679" i="11"/>
  <c r="C1680" i="11"/>
  <c r="D1680" i="11"/>
  <c r="C1681" i="11"/>
  <c r="D1681" i="11"/>
  <c r="C1682" i="11"/>
  <c r="D1682" i="11"/>
  <c r="C1683" i="11"/>
  <c r="D1683" i="11"/>
  <c r="C1684" i="11"/>
  <c r="D1684" i="11"/>
  <c r="C1685" i="11"/>
  <c r="D1685" i="11"/>
  <c r="C1686" i="11"/>
  <c r="D1686" i="11"/>
  <c r="C1687" i="11"/>
  <c r="D1687" i="11"/>
  <c r="C1688" i="11"/>
  <c r="D1688" i="11"/>
  <c r="C1689" i="11"/>
  <c r="D1689" i="11"/>
  <c r="C1690" i="11"/>
  <c r="D1690" i="11"/>
  <c r="C1691" i="11"/>
  <c r="D1691" i="11"/>
  <c r="C1692" i="11"/>
  <c r="D1692" i="11"/>
  <c r="C1693" i="11"/>
  <c r="D1693" i="11"/>
  <c r="C1694" i="11"/>
  <c r="D1694" i="11"/>
  <c r="C1695" i="11"/>
  <c r="D1695" i="11"/>
  <c r="C1696" i="11"/>
  <c r="D1696" i="11"/>
  <c r="C1697" i="11"/>
  <c r="D1697" i="11"/>
  <c r="C1698" i="11"/>
  <c r="D1698" i="11"/>
  <c r="C1699" i="11"/>
  <c r="D1699" i="11"/>
  <c r="C1700" i="11"/>
  <c r="D1700" i="11"/>
  <c r="C1701" i="11"/>
  <c r="D1701" i="11"/>
  <c r="C1702" i="11"/>
  <c r="D1702" i="11"/>
  <c r="C1703" i="11"/>
  <c r="D1703" i="11"/>
  <c r="C1704" i="11"/>
  <c r="D1704" i="11"/>
  <c r="C1705" i="11"/>
  <c r="D1705" i="11"/>
  <c r="C1706" i="11"/>
  <c r="D1706" i="11"/>
  <c r="C1707" i="11"/>
  <c r="D1707" i="11"/>
  <c r="C1708" i="11"/>
  <c r="D1708" i="11"/>
  <c r="C1709" i="11"/>
  <c r="D1709" i="11"/>
  <c r="C1710" i="11"/>
  <c r="D1710" i="11"/>
  <c r="C1711" i="11"/>
  <c r="D1711" i="11"/>
  <c r="C1712" i="11"/>
  <c r="D1712" i="11"/>
  <c r="C1713" i="11"/>
  <c r="D1713" i="11"/>
  <c r="C1714" i="11"/>
  <c r="D1714" i="11"/>
  <c r="C1715" i="11"/>
  <c r="D1715" i="11"/>
  <c r="C1716" i="11"/>
  <c r="D1716" i="11"/>
  <c r="C1717" i="11"/>
  <c r="D1717" i="11"/>
  <c r="C1718" i="11"/>
  <c r="D1718" i="11"/>
  <c r="C1719" i="11"/>
  <c r="D1719" i="11"/>
  <c r="C1720" i="11"/>
  <c r="D1720" i="11"/>
  <c r="C1721" i="11"/>
  <c r="D1721" i="11"/>
  <c r="C1722" i="11"/>
  <c r="D1722" i="11"/>
  <c r="C1723" i="11"/>
  <c r="D1723" i="11"/>
  <c r="C1724" i="11"/>
  <c r="D1724" i="11"/>
  <c r="C1725" i="11"/>
  <c r="D1725" i="11"/>
  <c r="C1726" i="11"/>
  <c r="D1726" i="11"/>
  <c r="C1727" i="11"/>
  <c r="D1727" i="11"/>
  <c r="C1728" i="11"/>
  <c r="D1728" i="11"/>
  <c r="C1729" i="11"/>
  <c r="D1729" i="11"/>
  <c r="C1730" i="11"/>
  <c r="D1730" i="11"/>
  <c r="C1731" i="11"/>
  <c r="D1731" i="11"/>
  <c r="C1732" i="11"/>
  <c r="D1732" i="11"/>
  <c r="C1733" i="11"/>
  <c r="D1733" i="11"/>
  <c r="C1734" i="11"/>
  <c r="D1734" i="11"/>
  <c r="C1735" i="11"/>
  <c r="D1735" i="11"/>
  <c r="C1736" i="11"/>
  <c r="D1736" i="11"/>
  <c r="C1737" i="11"/>
  <c r="D1737" i="11"/>
  <c r="C1738" i="11"/>
  <c r="D1738" i="11"/>
  <c r="C1739" i="11"/>
  <c r="D1739" i="11"/>
  <c r="C1740" i="11"/>
  <c r="D1740" i="11"/>
  <c r="C1741" i="11"/>
  <c r="D1741" i="11"/>
  <c r="C1742" i="11"/>
  <c r="D1742" i="11"/>
  <c r="C1743" i="11"/>
  <c r="D1743" i="11"/>
  <c r="C1744" i="11"/>
  <c r="D1744" i="11"/>
  <c r="C1745" i="11"/>
  <c r="D1745" i="11"/>
  <c r="C1746" i="11"/>
  <c r="D1746" i="11"/>
  <c r="C1747" i="11"/>
  <c r="D1747" i="11"/>
  <c r="C1748" i="11"/>
  <c r="D1748" i="11"/>
  <c r="C1749" i="11"/>
  <c r="D1749" i="11"/>
  <c r="C1750" i="11"/>
  <c r="D1750" i="11"/>
  <c r="C1751" i="11"/>
  <c r="D1751" i="11"/>
  <c r="C1752" i="11"/>
  <c r="D1752" i="11"/>
  <c r="C1753" i="11"/>
  <c r="D1753" i="11"/>
  <c r="C1754" i="11"/>
  <c r="D1754" i="11"/>
  <c r="C1755" i="11"/>
  <c r="D1755" i="11"/>
  <c r="C1756" i="11"/>
  <c r="D1756" i="11"/>
  <c r="C1757" i="11"/>
  <c r="D1757" i="11"/>
  <c r="C1758" i="11"/>
  <c r="D1758" i="11"/>
  <c r="C1759" i="11"/>
  <c r="D1759" i="11"/>
  <c r="C1760" i="11"/>
  <c r="D1760" i="11"/>
  <c r="C1761" i="11"/>
  <c r="D1761" i="11"/>
  <c r="C1762" i="11"/>
  <c r="D1762" i="11"/>
  <c r="C1763" i="11"/>
  <c r="D1763" i="11"/>
  <c r="C1764" i="11"/>
  <c r="D1764" i="11"/>
  <c r="C1765" i="11"/>
  <c r="D1765" i="11"/>
  <c r="C1766" i="11"/>
  <c r="D1766" i="11"/>
  <c r="C1767" i="11"/>
  <c r="D1767" i="11"/>
  <c r="C1768" i="11"/>
  <c r="D1768" i="11"/>
  <c r="C1769" i="11"/>
  <c r="D1769" i="11"/>
  <c r="C1770" i="11"/>
  <c r="D1770" i="11"/>
  <c r="C1771" i="11"/>
  <c r="D1771" i="11"/>
  <c r="C1772" i="11"/>
  <c r="D1772" i="11"/>
  <c r="C1773" i="11"/>
  <c r="D1773" i="11"/>
  <c r="C1774" i="11"/>
  <c r="D1774" i="11"/>
  <c r="C1775" i="11"/>
  <c r="D1775" i="11"/>
  <c r="C1776" i="11"/>
  <c r="D1776" i="11"/>
  <c r="C1777" i="11"/>
  <c r="D1777" i="11"/>
  <c r="C1778" i="11"/>
  <c r="D1778" i="11"/>
  <c r="C1779" i="11"/>
  <c r="D1779" i="11"/>
  <c r="C1780" i="11"/>
  <c r="D1780" i="11"/>
  <c r="C1781" i="11"/>
  <c r="D1781" i="11"/>
  <c r="C1782" i="11"/>
  <c r="D1782" i="11"/>
  <c r="C1783" i="11"/>
  <c r="D1783" i="11"/>
  <c r="C1784" i="11"/>
  <c r="D1784" i="11"/>
  <c r="C1785" i="11"/>
  <c r="D1785" i="11"/>
  <c r="C1786" i="11"/>
  <c r="D1786" i="11"/>
  <c r="C1787" i="11"/>
  <c r="D1787" i="11"/>
  <c r="C1788" i="11"/>
  <c r="D1788" i="11"/>
  <c r="C1789" i="11"/>
  <c r="D1789" i="11"/>
  <c r="C1790" i="11"/>
  <c r="D1790" i="11"/>
  <c r="C1791" i="11"/>
  <c r="D1791" i="11"/>
  <c r="C1792" i="11"/>
  <c r="D1792" i="11"/>
  <c r="C1793" i="11"/>
  <c r="D1793" i="11"/>
  <c r="C1794" i="11"/>
  <c r="D1794" i="11"/>
  <c r="C1795" i="11"/>
  <c r="D1795" i="11"/>
  <c r="C1796" i="11"/>
  <c r="D1796" i="11"/>
  <c r="C1797" i="11"/>
  <c r="D1797" i="11"/>
  <c r="C1798" i="11"/>
  <c r="D1798" i="11"/>
  <c r="C1799" i="11"/>
  <c r="D1799" i="11"/>
  <c r="C1800" i="11"/>
  <c r="D1800" i="11"/>
  <c r="C1801" i="11"/>
  <c r="D1801" i="11"/>
  <c r="C1802" i="11"/>
  <c r="D1802" i="11"/>
  <c r="C1803" i="11"/>
  <c r="D1803" i="11"/>
  <c r="C1804" i="11"/>
  <c r="D1804" i="11"/>
  <c r="C1805" i="11"/>
  <c r="D1805" i="11"/>
  <c r="C1806" i="11"/>
  <c r="D1806" i="11"/>
  <c r="C1807" i="11"/>
  <c r="D1807" i="11"/>
  <c r="C1808" i="11"/>
  <c r="D1808" i="11"/>
  <c r="C1809" i="11"/>
  <c r="D1809" i="11"/>
  <c r="C1810" i="11"/>
  <c r="D1810" i="11"/>
  <c r="C1811" i="11"/>
  <c r="D1811" i="11"/>
  <c r="C1812" i="11"/>
  <c r="D1812" i="11"/>
  <c r="C1813" i="11"/>
  <c r="D1813" i="11"/>
  <c r="C1814" i="11"/>
  <c r="D1814" i="11"/>
  <c r="C1815" i="11"/>
  <c r="D1815" i="11"/>
  <c r="C1816" i="11"/>
  <c r="D1816" i="11"/>
  <c r="C1817" i="11"/>
  <c r="D1817" i="11"/>
  <c r="C1818" i="11"/>
  <c r="D1818" i="11"/>
  <c r="C1819" i="11"/>
  <c r="D1819" i="11"/>
  <c r="C1820" i="11"/>
  <c r="D1820" i="11"/>
  <c r="C1821" i="11"/>
  <c r="D1821" i="11"/>
  <c r="C1822" i="11"/>
  <c r="D1822" i="11"/>
  <c r="C1823" i="11"/>
  <c r="D1823" i="11"/>
  <c r="C1824" i="11"/>
  <c r="D1824" i="11"/>
  <c r="C1825" i="11"/>
  <c r="D1825" i="11"/>
  <c r="C1826" i="11"/>
  <c r="D1826" i="11"/>
  <c r="C1827" i="11"/>
  <c r="D1827" i="11"/>
  <c r="C1828" i="11"/>
  <c r="D1828" i="11"/>
  <c r="C1829" i="11"/>
  <c r="D1829" i="11"/>
  <c r="C1830" i="11"/>
  <c r="D1830" i="11"/>
  <c r="C1831" i="11"/>
  <c r="D1831" i="11"/>
  <c r="C1832" i="11"/>
  <c r="D1832" i="11"/>
  <c r="C1833" i="11"/>
  <c r="D1833" i="11"/>
  <c r="C1834" i="11"/>
  <c r="D1834" i="11"/>
  <c r="C1835" i="11"/>
  <c r="D1835" i="11"/>
  <c r="C1836" i="11"/>
  <c r="D1836" i="11"/>
  <c r="C1837" i="11"/>
  <c r="D1837" i="11"/>
  <c r="C1838" i="11"/>
  <c r="D1838" i="11"/>
  <c r="C1839" i="11"/>
  <c r="D1839" i="11"/>
  <c r="C1840" i="11"/>
  <c r="D1840" i="11"/>
  <c r="C1841" i="11"/>
  <c r="D1841" i="11"/>
  <c r="C1842" i="11"/>
  <c r="D1842" i="11"/>
  <c r="C1843" i="11"/>
  <c r="D1843" i="11"/>
  <c r="C1844" i="11"/>
  <c r="D1844" i="11"/>
  <c r="C1845" i="11"/>
  <c r="D1845" i="11"/>
  <c r="C1846" i="11"/>
  <c r="D1846" i="11"/>
  <c r="C1847" i="11"/>
  <c r="D1847" i="11"/>
  <c r="C1848" i="11"/>
  <c r="D1848" i="11"/>
  <c r="C1849" i="11"/>
  <c r="D1849" i="11"/>
  <c r="C1850" i="11"/>
  <c r="D1850" i="11"/>
  <c r="C1851" i="11"/>
  <c r="D1851" i="11"/>
  <c r="C1852" i="11"/>
  <c r="D1852" i="11"/>
  <c r="C1853" i="11"/>
  <c r="D1853" i="11"/>
  <c r="C1854" i="11"/>
  <c r="D1854" i="11"/>
  <c r="C1855" i="11"/>
  <c r="D1855" i="11"/>
  <c r="C1856" i="11"/>
  <c r="D1856" i="11"/>
  <c r="C1857" i="11"/>
  <c r="D1857" i="11"/>
  <c r="C1858" i="11"/>
  <c r="D1858" i="11"/>
  <c r="C1859" i="11"/>
  <c r="D1859" i="11"/>
  <c r="C1860" i="11"/>
  <c r="D1860" i="11"/>
  <c r="C1861" i="11"/>
  <c r="D1861" i="11"/>
  <c r="C1862" i="11"/>
  <c r="D1862" i="11"/>
  <c r="C1863" i="11"/>
  <c r="D1863" i="11"/>
  <c r="C1864" i="11"/>
  <c r="D1864" i="11"/>
  <c r="C1865" i="11"/>
  <c r="D1865" i="11"/>
  <c r="C1866" i="11"/>
  <c r="D1866" i="11"/>
  <c r="C1867" i="11"/>
  <c r="D1867" i="11"/>
  <c r="C1868" i="11"/>
  <c r="D1868" i="11"/>
  <c r="C1869" i="11"/>
  <c r="D1869" i="11"/>
  <c r="C1870" i="11"/>
  <c r="D1870" i="11"/>
  <c r="C1871" i="11"/>
  <c r="D1871" i="11"/>
  <c r="C1872" i="11"/>
  <c r="D1872" i="11"/>
  <c r="C1873" i="11"/>
  <c r="D1873" i="11"/>
  <c r="C1874" i="11"/>
  <c r="D1874" i="11"/>
  <c r="C1875" i="11"/>
  <c r="D1875" i="11"/>
  <c r="C1876" i="11"/>
  <c r="D1876" i="11"/>
  <c r="C1877" i="11"/>
  <c r="D1877" i="11"/>
  <c r="C1878" i="11"/>
  <c r="D1878" i="11"/>
  <c r="C1879" i="11"/>
  <c r="D1879" i="11"/>
  <c r="C1880" i="11"/>
  <c r="D1880" i="11"/>
  <c r="C1881" i="11"/>
  <c r="D1881" i="11"/>
  <c r="C1882" i="11"/>
  <c r="D1882" i="11"/>
  <c r="C1883" i="11"/>
  <c r="D1883" i="11"/>
  <c r="C1884" i="11"/>
  <c r="D1884" i="11"/>
  <c r="C1885" i="11"/>
  <c r="D1885" i="11"/>
  <c r="C1886" i="11"/>
  <c r="D1886" i="11"/>
  <c r="C1887" i="11"/>
  <c r="D1887" i="11"/>
  <c r="C1888" i="11"/>
  <c r="D1888" i="11"/>
  <c r="C1889" i="11"/>
  <c r="D1889" i="11"/>
  <c r="C1890" i="11"/>
  <c r="D1890" i="11"/>
  <c r="C1891" i="11"/>
  <c r="D1891" i="11"/>
  <c r="C1892" i="11"/>
  <c r="D1892" i="11"/>
  <c r="C1893" i="11"/>
  <c r="D1893" i="11"/>
  <c r="C1894" i="11"/>
  <c r="D1894" i="11"/>
  <c r="C1895" i="11"/>
  <c r="D1895" i="11"/>
  <c r="C1896" i="11"/>
  <c r="D1896" i="11"/>
  <c r="C1897" i="11"/>
  <c r="D1897" i="11"/>
  <c r="C1898" i="11"/>
  <c r="D1898" i="11"/>
  <c r="C1899" i="11"/>
  <c r="D1899" i="11"/>
  <c r="C1900" i="11"/>
  <c r="D1900" i="11"/>
  <c r="C1901" i="11"/>
  <c r="D1901" i="11"/>
  <c r="C1902" i="11"/>
  <c r="D1902" i="11"/>
  <c r="C1903" i="11"/>
  <c r="D1903" i="11"/>
  <c r="C1904" i="11"/>
  <c r="D1904" i="11"/>
  <c r="C1905" i="11"/>
  <c r="D1905" i="11"/>
  <c r="C1906" i="11"/>
  <c r="D1906" i="11"/>
  <c r="C1907" i="11"/>
  <c r="D1907" i="11"/>
  <c r="C1908" i="11"/>
  <c r="D1908" i="11"/>
  <c r="C1909" i="11"/>
  <c r="D1909" i="11"/>
  <c r="C1910" i="11"/>
  <c r="D1910" i="11"/>
  <c r="C1911" i="11"/>
  <c r="D1911" i="11"/>
  <c r="C1912" i="11"/>
  <c r="D1912" i="11"/>
  <c r="C1913" i="11"/>
  <c r="D1913" i="11"/>
  <c r="C1914" i="11"/>
  <c r="D1914" i="11"/>
  <c r="C1915" i="11"/>
  <c r="D1915" i="11"/>
  <c r="C1916" i="11"/>
  <c r="D1916" i="11"/>
  <c r="C1917" i="11"/>
  <c r="D1917" i="11"/>
  <c r="C1918" i="11"/>
  <c r="D1918" i="11"/>
  <c r="C1919" i="11"/>
  <c r="D1919" i="11"/>
  <c r="C1920" i="11"/>
  <c r="D1920" i="11"/>
  <c r="C1921" i="11"/>
  <c r="D1921" i="11"/>
  <c r="C1922" i="11"/>
  <c r="D1922" i="11"/>
  <c r="C1923" i="11"/>
  <c r="D1923" i="11"/>
  <c r="C1924" i="11"/>
  <c r="D1924" i="11"/>
  <c r="C1925" i="11"/>
  <c r="D1925" i="11"/>
  <c r="C1926" i="11"/>
  <c r="D1926" i="11"/>
  <c r="C1927" i="11"/>
  <c r="D1927" i="11"/>
  <c r="C1928" i="11"/>
  <c r="D1928" i="11"/>
  <c r="C1929" i="11"/>
  <c r="D1929" i="11"/>
  <c r="C1930" i="11"/>
  <c r="D1930" i="11"/>
  <c r="C1931" i="11"/>
  <c r="D1931" i="11"/>
  <c r="C1932" i="11"/>
  <c r="D1932" i="11"/>
  <c r="C1933" i="11"/>
  <c r="D1933" i="11"/>
  <c r="C1934" i="11"/>
  <c r="D1934" i="11"/>
  <c r="C1935" i="11"/>
  <c r="D1935" i="11"/>
  <c r="C1936" i="11"/>
  <c r="D1936" i="11"/>
  <c r="C1937" i="11"/>
  <c r="D1937" i="11"/>
  <c r="C1938" i="11"/>
  <c r="D1938" i="11"/>
  <c r="C1939" i="11"/>
  <c r="D1939" i="11"/>
  <c r="C1940" i="11"/>
  <c r="D1940" i="11"/>
  <c r="C1941" i="11"/>
  <c r="D1941" i="11"/>
  <c r="C1942" i="11"/>
  <c r="D1942" i="11"/>
  <c r="C1943" i="11"/>
  <c r="D1943" i="11"/>
  <c r="C1944" i="11"/>
  <c r="D1944" i="11"/>
  <c r="C1945" i="11"/>
  <c r="D1945" i="11"/>
  <c r="C1946" i="11"/>
  <c r="D1946" i="11"/>
  <c r="C1947" i="11"/>
  <c r="D1947" i="11"/>
  <c r="C1948" i="11"/>
  <c r="D1948" i="11"/>
  <c r="C1949" i="11"/>
  <c r="D1949" i="11"/>
  <c r="C1950" i="11"/>
  <c r="D1950" i="11"/>
  <c r="C1951" i="11"/>
  <c r="D1951" i="11"/>
  <c r="C1952" i="11"/>
  <c r="D1952" i="11"/>
  <c r="C1953" i="11"/>
  <c r="D1953" i="11"/>
  <c r="C1954" i="11"/>
  <c r="D1954" i="11"/>
  <c r="C1955" i="11"/>
  <c r="D1955" i="11"/>
  <c r="C1956" i="11"/>
  <c r="D1956" i="11"/>
  <c r="C1957" i="11"/>
  <c r="D1957" i="11"/>
  <c r="C1958" i="11"/>
  <c r="D1958" i="11"/>
  <c r="C1959" i="11"/>
  <c r="D1959" i="11"/>
  <c r="C1960" i="11"/>
  <c r="D1960" i="11"/>
  <c r="C1961" i="11"/>
  <c r="D1961" i="11"/>
  <c r="C1962" i="11"/>
  <c r="D1962" i="11"/>
  <c r="C1963" i="11"/>
  <c r="D1963" i="11"/>
  <c r="C1964" i="11"/>
  <c r="D1964" i="11"/>
  <c r="C1965" i="11"/>
  <c r="D1965" i="11"/>
  <c r="C1966" i="11"/>
  <c r="D1966" i="11"/>
  <c r="C1967" i="11"/>
  <c r="D1967" i="11"/>
  <c r="C1968" i="11"/>
  <c r="D1968" i="11"/>
  <c r="C1969" i="11"/>
  <c r="D1969" i="11"/>
  <c r="C1970" i="11"/>
  <c r="D1970" i="11"/>
  <c r="C1971" i="11"/>
  <c r="D1971" i="11"/>
  <c r="C1972" i="11"/>
  <c r="D1972" i="11"/>
  <c r="C1973" i="11"/>
  <c r="D1973" i="11"/>
  <c r="C1974" i="11"/>
  <c r="D1974" i="11"/>
  <c r="C1975" i="11"/>
  <c r="D1975" i="11"/>
  <c r="C1976" i="11"/>
  <c r="D1976" i="11"/>
  <c r="C1977" i="11"/>
  <c r="D1977" i="11"/>
  <c r="C1978" i="11"/>
  <c r="D1978" i="11"/>
  <c r="C1979" i="11"/>
  <c r="D1979" i="11"/>
  <c r="C1980" i="11"/>
  <c r="D1980" i="11"/>
  <c r="C1981" i="11"/>
  <c r="D1981" i="11"/>
  <c r="C1982" i="11"/>
  <c r="D1982" i="11"/>
  <c r="C1983" i="11"/>
  <c r="D1983" i="11"/>
  <c r="C1984" i="11"/>
  <c r="D1984" i="11"/>
  <c r="C1985" i="11"/>
  <c r="D1985" i="11"/>
  <c r="C1986" i="11"/>
  <c r="D1986" i="11"/>
  <c r="C1987" i="11"/>
  <c r="D1987" i="11"/>
  <c r="C1988" i="11"/>
  <c r="D1988" i="11"/>
  <c r="C1989" i="11"/>
  <c r="D1989" i="11"/>
  <c r="C1990" i="11"/>
  <c r="D1990" i="11"/>
  <c r="C1991" i="11"/>
  <c r="D1991" i="11"/>
  <c r="C1992" i="11"/>
  <c r="D1992" i="11"/>
  <c r="C1993" i="11"/>
  <c r="D1993" i="11"/>
  <c r="C1994" i="11"/>
  <c r="D1994" i="11"/>
  <c r="C1995" i="11"/>
  <c r="D1995" i="11"/>
  <c r="C1996" i="11"/>
  <c r="D1996" i="11"/>
  <c r="C1997" i="11"/>
  <c r="D1997" i="11"/>
  <c r="C1998" i="11"/>
  <c r="D1998" i="11"/>
  <c r="C1999" i="11"/>
  <c r="D1999" i="11"/>
  <c r="C2000" i="11"/>
  <c r="D2000" i="11"/>
  <c r="C2001" i="11"/>
  <c r="D2001" i="11"/>
  <c r="C2002" i="11"/>
  <c r="D2002" i="11"/>
  <c r="C2003" i="11"/>
  <c r="D2003" i="11"/>
  <c r="C2004" i="11"/>
  <c r="D2004" i="11"/>
  <c r="C2005" i="11"/>
  <c r="D2005" i="11"/>
  <c r="C2006" i="11"/>
  <c r="D2006" i="11"/>
  <c r="C2007" i="11"/>
  <c r="D2007" i="11"/>
  <c r="C2008" i="11"/>
  <c r="D2008" i="11"/>
  <c r="C2009" i="11"/>
  <c r="D2009" i="11"/>
  <c r="C2010" i="11"/>
  <c r="D2010" i="11"/>
  <c r="C2011" i="11"/>
  <c r="D2011" i="11"/>
  <c r="C2012" i="11"/>
  <c r="D2012" i="11"/>
  <c r="C2013" i="11"/>
  <c r="D2013" i="11"/>
  <c r="C2014" i="11"/>
  <c r="D2014" i="11"/>
  <c r="C2015" i="11"/>
  <c r="D2015" i="11"/>
  <c r="C2016" i="11"/>
  <c r="D2016" i="11"/>
  <c r="C2017" i="11"/>
  <c r="D2017" i="11"/>
  <c r="C2018" i="11"/>
  <c r="D2018" i="11"/>
  <c r="C2019" i="11"/>
  <c r="D2019" i="11"/>
  <c r="C2020" i="11"/>
  <c r="D2020" i="11"/>
  <c r="C2021" i="11"/>
  <c r="D2021" i="11"/>
  <c r="C2022" i="11"/>
  <c r="D2022" i="11"/>
  <c r="C2023" i="11"/>
  <c r="D2023" i="11"/>
  <c r="C2024" i="11"/>
  <c r="D2024" i="11"/>
  <c r="C2025" i="11"/>
  <c r="D2025" i="11"/>
  <c r="C2026" i="11"/>
  <c r="D2026" i="11"/>
  <c r="C2027" i="11"/>
  <c r="D2027" i="11"/>
  <c r="C2028" i="11"/>
  <c r="D2028" i="11"/>
  <c r="C2029" i="11"/>
  <c r="D2029" i="11"/>
  <c r="C2030" i="11"/>
  <c r="D2030" i="11"/>
  <c r="C2031" i="11"/>
  <c r="D2031" i="11"/>
  <c r="C2032" i="11"/>
  <c r="D2032" i="11"/>
  <c r="C2033" i="11"/>
  <c r="D2033" i="11"/>
  <c r="C2034" i="11"/>
  <c r="D2034" i="11"/>
  <c r="C2035" i="11"/>
  <c r="D2035" i="11"/>
  <c r="C2036" i="11"/>
  <c r="D2036" i="11"/>
  <c r="C2037" i="11"/>
  <c r="D2037" i="11"/>
  <c r="C2038" i="11"/>
  <c r="D2038" i="11"/>
  <c r="C2039" i="11"/>
  <c r="D2039" i="11"/>
  <c r="C2040" i="11"/>
  <c r="D2040" i="11"/>
  <c r="C2041" i="11"/>
  <c r="D2041" i="11"/>
  <c r="C2042" i="11"/>
  <c r="D2042" i="11"/>
  <c r="C2043" i="11"/>
  <c r="D2043" i="11"/>
  <c r="C2044" i="11"/>
  <c r="D2044" i="11"/>
  <c r="C2045" i="11"/>
  <c r="D2045" i="11"/>
  <c r="C2046" i="11"/>
  <c r="D2046" i="11"/>
  <c r="C2047" i="11"/>
  <c r="D2047" i="11"/>
  <c r="C2048" i="11"/>
  <c r="D2048" i="11"/>
  <c r="C2049" i="11"/>
  <c r="D2049" i="11"/>
  <c r="C2050" i="11"/>
  <c r="D2050" i="11"/>
  <c r="C2051" i="11"/>
  <c r="D2051" i="11"/>
  <c r="C2052" i="11"/>
  <c r="D2052" i="11"/>
  <c r="C2053" i="11"/>
  <c r="D2053" i="11"/>
  <c r="C2054" i="11"/>
  <c r="D2054" i="11"/>
  <c r="C2055" i="11"/>
  <c r="D2055" i="11"/>
  <c r="C2056" i="11"/>
  <c r="D2056" i="11"/>
  <c r="C2057" i="11"/>
  <c r="D2057" i="11"/>
  <c r="C2058" i="11"/>
  <c r="D2058" i="11"/>
  <c r="C2059" i="11"/>
  <c r="D2059" i="11"/>
  <c r="C2060" i="11"/>
  <c r="D2060" i="11"/>
  <c r="C2061" i="11"/>
  <c r="D2061" i="11"/>
  <c r="C2062" i="11"/>
  <c r="D2062" i="11"/>
  <c r="C2063" i="11"/>
  <c r="D2063" i="11"/>
  <c r="C2064" i="11"/>
  <c r="D2064" i="11"/>
  <c r="C2065" i="11"/>
  <c r="D2065" i="11"/>
  <c r="C2066" i="11"/>
  <c r="D2066" i="11"/>
  <c r="C2067" i="11"/>
  <c r="D2067" i="11"/>
  <c r="C2068" i="11"/>
  <c r="D2068" i="11"/>
  <c r="C2069" i="11"/>
  <c r="D2069" i="11"/>
  <c r="C2070" i="11"/>
  <c r="D2070" i="11"/>
  <c r="C2071" i="11"/>
  <c r="D2071" i="11"/>
  <c r="C2072" i="11"/>
  <c r="D2072" i="11"/>
  <c r="C2073" i="11"/>
  <c r="D2073" i="11"/>
  <c r="C2074" i="11"/>
  <c r="D2074" i="11"/>
  <c r="C2075" i="11"/>
  <c r="D2075" i="11"/>
  <c r="C2076" i="11"/>
  <c r="D2076" i="11"/>
  <c r="C2077" i="11"/>
  <c r="D2077" i="11"/>
  <c r="C2078" i="11"/>
  <c r="D2078" i="11"/>
  <c r="C2079" i="11"/>
  <c r="D2079" i="11"/>
  <c r="C2080" i="11"/>
  <c r="D2080" i="11"/>
  <c r="C2081" i="11"/>
  <c r="D2081" i="11"/>
  <c r="C2082" i="11"/>
  <c r="D2082" i="11"/>
  <c r="C2083" i="11"/>
  <c r="D2083" i="11"/>
  <c r="C2084" i="11"/>
  <c r="D2084" i="11"/>
  <c r="C2085" i="11"/>
  <c r="D2085" i="11"/>
  <c r="C2086" i="11"/>
  <c r="D2086" i="11"/>
  <c r="C2087" i="11"/>
  <c r="D2087" i="11"/>
  <c r="C2088" i="11"/>
  <c r="D2088" i="11"/>
  <c r="C2089" i="11"/>
  <c r="D2089" i="11"/>
  <c r="C2090" i="11"/>
  <c r="D2090" i="11"/>
  <c r="C2091" i="11"/>
  <c r="D2091" i="11"/>
  <c r="C2092" i="11"/>
  <c r="D2092" i="11"/>
  <c r="C2093" i="11"/>
  <c r="D2093" i="11"/>
  <c r="C2094" i="11"/>
  <c r="D2094" i="11"/>
  <c r="C2095" i="11"/>
  <c r="D2095" i="11"/>
  <c r="C2096" i="11"/>
  <c r="D2096" i="11"/>
  <c r="C2097" i="11"/>
  <c r="D2097" i="11"/>
  <c r="C2098" i="11"/>
  <c r="D2098" i="11"/>
  <c r="C2099" i="11"/>
  <c r="D2099" i="11"/>
  <c r="C2100" i="11"/>
  <c r="D2100" i="11"/>
  <c r="C2101" i="11"/>
  <c r="D2101" i="11"/>
  <c r="C2102" i="11"/>
  <c r="D2102" i="11"/>
  <c r="C2103" i="11"/>
  <c r="D2103" i="11"/>
  <c r="C2104" i="11"/>
  <c r="D2104" i="11"/>
  <c r="C2105" i="11"/>
  <c r="D2105" i="11"/>
  <c r="C2106" i="11"/>
  <c r="D2106" i="11"/>
  <c r="C2107" i="11"/>
  <c r="D2107" i="11"/>
  <c r="C2108" i="11"/>
  <c r="D2108" i="11"/>
  <c r="C2109" i="11"/>
  <c r="D2109" i="11"/>
  <c r="C2110" i="11"/>
  <c r="D2110" i="11"/>
  <c r="C2111" i="11"/>
  <c r="D2111" i="11"/>
  <c r="C2112" i="11"/>
  <c r="D2112" i="11"/>
  <c r="C2113" i="11"/>
  <c r="D2113" i="11"/>
  <c r="C2114" i="11"/>
  <c r="D2114" i="11"/>
  <c r="C2115" i="11"/>
  <c r="D2115" i="11"/>
  <c r="C2116" i="11"/>
  <c r="D2116" i="11"/>
  <c r="C2117" i="11"/>
  <c r="D2117" i="11"/>
  <c r="C2118" i="11"/>
  <c r="D2118" i="11"/>
  <c r="C2119" i="11"/>
  <c r="D2119" i="11"/>
  <c r="C2120" i="11"/>
  <c r="D2120" i="11"/>
  <c r="C2121" i="11"/>
  <c r="D2121" i="11"/>
  <c r="C2122" i="11"/>
  <c r="D2122" i="11"/>
  <c r="C2123" i="11"/>
  <c r="D2123" i="11"/>
  <c r="C2124" i="11"/>
  <c r="D2124" i="11"/>
  <c r="C2125" i="11"/>
  <c r="D2125" i="11"/>
  <c r="C2126" i="11"/>
  <c r="D2126" i="11"/>
  <c r="C2127" i="11"/>
  <c r="D2127" i="11"/>
  <c r="C2128" i="11"/>
  <c r="D2128" i="11"/>
  <c r="C2129" i="11"/>
  <c r="D2129" i="11"/>
  <c r="C2130" i="11"/>
  <c r="D2130" i="11"/>
  <c r="C2131" i="11"/>
  <c r="D2131" i="11"/>
  <c r="C2132" i="11"/>
  <c r="D2132" i="11"/>
  <c r="C2133" i="11"/>
  <c r="D2133" i="11"/>
  <c r="C2134" i="11"/>
  <c r="D2134" i="11"/>
  <c r="C2135" i="11"/>
  <c r="D2135" i="11"/>
  <c r="C2136" i="11"/>
  <c r="D2136" i="11"/>
  <c r="C2137" i="11"/>
  <c r="D2137" i="11"/>
  <c r="C2138" i="11"/>
  <c r="D2138" i="11"/>
  <c r="C2139" i="11"/>
  <c r="D2139" i="11"/>
  <c r="C2140" i="11"/>
  <c r="D2140" i="11"/>
  <c r="C2141" i="11"/>
  <c r="D2141" i="11"/>
  <c r="C2142" i="11"/>
  <c r="D2142" i="11"/>
  <c r="C2143" i="11"/>
  <c r="D2143" i="11"/>
  <c r="C2144" i="11"/>
  <c r="D2144" i="11"/>
  <c r="C2145" i="11"/>
  <c r="D2145" i="11"/>
  <c r="C2146" i="11"/>
  <c r="D2146" i="11"/>
  <c r="C2147" i="11"/>
  <c r="D2147" i="11"/>
  <c r="C2148" i="11"/>
  <c r="D2148" i="11"/>
  <c r="C2149" i="11"/>
  <c r="D2149" i="11"/>
  <c r="C2150" i="11"/>
  <c r="D2150" i="11"/>
  <c r="C2151" i="11"/>
  <c r="D2151" i="11"/>
  <c r="C2152" i="11"/>
  <c r="D2152" i="11"/>
  <c r="C2153" i="11"/>
  <c r="D2153" i="11"/>
  <c r="C2154" i="11"/>
  <c r="D2154" i="11"/>
  <c r="C2155" i="11"/>
  <c r="D2155" i="11"/>
  <c r="C2156" i="11"/>
  <c r="D2156" i="11"/>
  <c r="C2157" i="11"/>
  <c r="D2157" i="11"/>
  <c r="C2158" i="11"/>
  <c r="D2158" i="11"/>
  <c r="C2159" i="11"/>
  <c r="D2159" i="11"/>
  <c r="C2160" i="11"/>
  <c r="D2160" i="11"/>
  <c r="C2161" i="11"/>
  <c r="D2161" i="11"/>
  <c r="C2162" i="11"/>
  <c r="D2162" i="11"/>
  <c r="C2163" i="11"/>
  <c r="D2163" i="11"/>
  <c r="C2164" i="11"/>
  <c r="D2164" i="11"/>
  <c r="C2165" i="11"/>
  <c r="D2165" i="11"/>
  <c r="C2166" i="11"/>
  <c r="D2166" i="11"/>
  <c r="C2167" i="11"/>
  <c r="D2167" i="11"/>
  <c r="C2168" i="11"/>
  <c r="D2168" i="11"/>
  <c r="C2169" i="11"/>
  <c r="D2169" i="11"/>
  <c r="C2170" i="11"/>
  <c r="D2170" i="11"/>
  <c r="C2171" i="11"/>
  <c r="D2171" i="11"/>
  <c r="C2172" i="11"/>
  <c r="D2172" i="11"/>
  <c r="C2173" i="11"/>
  <c r="D2173" i="11"/>
  <c r="C2174" i="11"/>
  <c r="D2174" i="11"/>
  <c r="C2175" i="11"/>
  <c r="D2175" i="11"/>
  <c r="C2176" i="11"/>
  <c r="D2176" i="11"/>
  <c r="C2177" i="11"/>
  <c r="D2177" i="11"/>
  <c r="C2178" i="11"/>
  <c r="D2178" i="11"/>
  <c r="C2179" i="11"/>
  <c r="D2179" i="11"/>
  <c r="C2180" i="11"/>
  <c r="D2180" i="11"/>
  <c r="C2181" i="11"/>
  <c r="D2181" i="11"/>
  <c r="C2182" i="11"/>
  <c r="D2182" i="11"/>
  <c r="C2183" i="11"/>
  <c r="D2183" i="11"/>
  <c r="C2184" i="11"/>
  <c r="D2184" i="11"/>
  <c r="C2185" i="11"/>
  <c r="D2185" i="11"/>
  <c r="C2186" i="11"/>
  <c r="D2186" i="11"/>
  <c r="C2187" i="11"/>
  <c r="D2187" i="11"/>
  <c r="C2188" i="11"/>
  <c r="D2188" i="11"/>
  <c r="C2189" i="11"/>
  <c r="D2189" i="11"/>
  <c r="C2190" i="11"/>
  <c r="D2190" i="11"/>
  <c r="C2191" i="11"/>
  <c r="D2191" i="11"/>
  <c r="C2192" i="11"/>
  <c r="D2192" i="11"/>
  <c r="C2193" i="11"/>
  <c r="D2193" i="11"/>
  <c r="C2194" i="11"/>
  <c r="D2194" i="11"/>
  <c r="C2195" i="11"/>
  <c r="D2195" i="11"/>
  <c r="C2196" i="11"/>
  <c r="D2196" i="11"/>
  <c r="C2197" i="11"/>
  <c r="D2197" i="11"/>
  <c r="C2198" i="11"/>
  <c r="D2198" i="11"/>
  <c r="C2199" i="11"/>
  <c r="D2199" i="11"/>
  <c r="C2200" i="11"/>
  <c r="D2200" i="11"/>
  <c r="C2201" i="11"/>
  <c r="D2201" i="11"/>
  <c r="C2202" i="11"/>
  <c r="D2202" i="11"/>
  <c r="C2203" i="11"/>
  <c r="D2203" i="11"/>
  <c r="C2204" i="11"/>
  <c r="D2204" i="11"/>
  <c r="C2205" i="11"/>
  <c r="D2205" i="11"/>
  <c r="C2206" i="11"/>
  <c r="D2206" i="11"/>
  <c r="C2207" i="11"/>
  <c r="D2207" i="11"/>
  <c r="C2208" i="11"/>
  <c r="D2208" i="11"/>
  <c r="C2209" i="11"/>
  <c r="D2209" i="11"/>
  <c r="C2210" i="11"/>
  <c r="D2210" i="11"/>
  <c r="C2211" i="11"/>
  <c r="D2211" i="11"/>
  <c r="C2212" i="11"/>
  <c r="D2212" i="11"/>
  <c r="C2213" i="11"/>
  <c r="D2213" i="11"/>
  <c r="C2214" i="11"/>
  <c r="D2214" i="11"/>
  <c r="C2215" i="11"/>
  <c r="D2215" i="11"/>
  <c r="C2216" i="11"/>
  <c r="D2216" i="11"/>
  <c r="C2217" i="11"/>
  <c r="D2217" i="11"/>
  <c r="C2218" i="11"/>
  <c r="D2218" i="11"/>
  <c r="C2219" i="11"/>
  <c r="D2219" i="11"/>
  <c r="C2220" i="11"/>
  <c r="D2220" i="11"/>
  <c r="C2221" i="11"/>
  <c r="D2221" i="11"/>
  <c r="C2222" i="11"/>
  <c r="D2222" i="11"/>
  <c r="C2223" i="11"/>
  <c r="D2223" i="11"/>
  <c r="C2224" i="11"/>
  <c r="D2224" i="11"/>
  <c r="C2225" i="11"/>
  <c r="D2225" i="11"/>
  <c r="C2226" i="11"/>
  <c r="D2226" i="11"/>
  <c r="C2227" i="11"/>
  <c r="D2227" i="11"/>
  <c r="C2228" i="11"/>
  <c r="D2228" i="11"/>
  <c r="C2229" i="11"/>
  <c r="D2229" i="11"/>
  <c r="C2230" i="11"/>
  <c r="D2230" i="11"/>
  <c r="C2231" i="11"/>
  <c r="D2231" i="11"/>
  <c r="C2232" i="11"/>
  <c r="D2232" i="11"/>
  <c r="C2233" i="11"/>
  <c r="D2233" i="11"/>
  <c r="C2234" i="11"/>
  <c r="D2234" i="11"/>
  <c r="C2235" i="11"/>
  <c r="D2235" i="11"/>
  <c r="C2236" i="11"/>
  <c r="D2236" i="11"/>
  <c r="C2237" i="11"/>
  <c r="D2237" i="11"/>
  <c r="C2238" i="11"/>
  <c r="D2238" i="11"/>
  <c r="C2239" i="11"/>
  <c r="D2239" i="11"/>
  <c r="C2240" i="11"/>
  <c r="D2240" i="11"/>
  <c r="C2241" i="11"/>
  <c r="D2241" i="11"/>
  <c r="C2242" i="11"/>
  <c r="D2242" i="11"/>
  <c r="C2243" i="11"/>
  <c r="D2243" i="11"/>
  <c r="C2244" i="11"/>
  <c r="D2244" i="11"/>
  <c r="C2245" i="11"/>
  <c r="D2245" i="11"/>
  <c r="C2246" i="11"/>
  <c r="D2246" i="11"/>
  <c r="C2247" i="11"/>
  <c r="D2247" i="11"/>
  <c r="C2248" i="11"/>
  <c r="D2248" i="11"/>
  <c r="C2249" i="11"/>
  <c r="D2249" i="11"/>
  <c r="C2250" i="11"/>
  <c r="D2250" i="11"/>
  <c r="C2251" i="11"/>
  <c r="D2251" i="11"/>
  <c r="C2252" i="11"/>
  <c r="D2252" i="11"/>
  <c r="C2253" i="11"/>
  <c r="D2253" i="11"/>
  <c r="C2254" i="11"/>
  <c r="D2254" i="11"/>
  <c r="C2255" i="11"/>
  <c r="D2255" i="11"/>
  <c r="C2256" i="11"/>
  <c r="D2256" i="11"/>
  <c r="C2257" i="11"/>
  <c r="D2257" i="11"/>
  <c r="C2258" i="11"/>
  <c r="D2258" i="11"/>
  <c r="C2259" i="11"/>
  <c r="D2259" i="11"/>
  <c r="C2260" i="11"/>
  <c r="D2260" i="11"/>
  <c r="C2261" i="11"/>
  <c r="D2261" i="11"/>
  <c r="C2262" i="11"/>
  <c r="D2262" i="11"/>
  <c r="C2263" i="11"/>
  <c r="D2263" i="11"/>
  <c r="C2264" i="11"/>
  <c r="D2264" i="11"/>
  <c r="C2265" i="11"/>
  <c r="D2265" i="11"/>
  <c r="C2266" i="11"/>
  <c r="D2266" i="11"/>
  <c r="C2267" i="11"/>
  <c r="D2267" i="11"/>
  <c r="C2268" i="11"/>
  <c r="D2268" i="11"/>
  <c r="C2269" i="11"/>
  <c r="D2269" i="11"/>
  <c r="C2270" i="11"/>
  <c r="D2270" i="11"/>
  <c r="C2271" i="11"/>
  <c r="D2271" i="11"/>
  <c r="C2272" i="11"/>
  <c r="D2272" i="11"/>
  <c r="C2273" i="11"/>
  <c r="D2273" i="11"/>
  <c r="C2274" i="11"/>
  <c r="D2274" i="11"/>
  <c r="C2275" i="11"/>
  <c r="D2275" i="11"/>
  <c r="C2276" i="11"/>
  <c r="D2276" i="11"/>
  <c r="C2277" i="11"/>
  <c r="D2277" i="11"/>
  <c r="C2278" i="11"/>
  <c r="D2278" i="11"/>
  <c r="C2279" i="11"/>
  <c r="D2279" i="11"/>
  <c r="C2280" i="11"/>
  <c r="D2280" i="11"/>
  <c r="C2281" i="11"/>
  <c r="D2281" i="11"/>
  <c r="C2282" i="11"/>
  <c r="D2282" i="11"/>
  <c r="C2283" i="11"/>
  <c r="D2283" i="11"/>
  <c r="C2284" i="11"/>
  <c r="D2284" i="11"/>
  <c r="C2285" i="11"/>
  <c r="D2285" i="11"/>
  <c r="C2286" i="11"/>
  <c r="D2286" i="11"/>
  <c r="C2287" i="11"/>
  <c r="D2287" i="11"/>
  <c r="C2288" i="11"/>
  <c r="D2288" i="11"/>
  <c r="C2289" i="11"/>
  <c r="D2289" i="11"/>
  <c r="C2290" i="11"/>
  <c r="D2290" i="11"/>
  <c r="C2291" i="11"/>
  <c r="D2291" i="11"/>
  <c r="C2292" i="11"/>
  <c r="D2292" i="11"/>
  <c r="C2293" i="11"/>
  <c r="D2293" i="11"/>
  <c r="C2294" i="11"/>
  <c r="D2294" i="11"/>
  <c r="C2295" i="11"/>
  <c r="D2295" i="11"/>
  <c r="C2296" i="11"/>
  <c r="D2296" i="11"/>
  <c r="C2297" i="11"/>
  <c r="D2297" i="11"/>
  <c r="C2298" i="11"/>
  <c r="D2298" i="11"/>
  <c r="C2299" i="11"/>
  <c r="D2299" i="11"/>
  <c r="C2300" i="11"/>
  <c r="D2300" i="11"/>
  <c r="C2301" i="11"/>
  <c r="D2301" i="11"/>
  <c r="C2302" i="11"/>
  <c r="D2302" i="11"/>
  <c r="C2303" i="11"/>
  <c r="D2303" i="11"/>
  <c r="C2304" i="11"/>
  <c r="D2304" i="11"/>
  <c r="C2305" i="11"/>
  <c r="D2305" i="11"/>
  <c r="C2306" i="11"/>
  <c r="D2306" i="11"/>
  <c r="C2307" i="11"/>
  <c r="D2307" i="11"/>
  <c r="C2308" i="11"/>
  <c r="D2308" i="11"/>
  <c r="C2309" i="11"/>
  <c r="D2309" i="11"/>
  <c r="C2310" i="11"/>
  <c r="D2310" i="11"/>
  <c r="C2311" i="11"/>
  <c r="D2311" i="11"/>
  <c r="C2312" i="11"/>
  <c r="D2312" i="11"/>
  <c r="C2313" i="11"/>
  <c r="D2313" i="11"/>
  <c r="C2314" i="11"/>
  <c r="D2314" i="11"/>
  <c r="C2315" i="11"/>
  <c r="D2315" i="11"/>
  <c r="C2316" i="11"/>
  <c r="D2316" i="11"/>
  <c r="C2317" i="11"/>
  <c r="D2317" i="11"/>
  <c r="C2318" i="11"/>
  <c r="D2318" i="11"/>
  <c r="C2319" i="11"/>
  <c r="D2319" i="11"/>
  <c r="C2320" i="11"/>
  <c r="D2320" i="11"/>
  <c r="C2321" i="11"/>
  <c r="D2321" i="11"/>
  <c r="C2322" i="11"/>
  <c r="D2322" i="11"/>
  <c r="C2323" i="11"/>
  <c r="D2323" i="11"/>
  <c r="C2324" i="11"/>
  <c r="D2324" i="11"/>
  <c r="C2325" i="11"/>
  <c r="D2325" i="11"/>
  <c r="C2326" i="11"/>
  <c r="D2326" i="11"/>
  <c r="C2327" i="11"/>
  <c r="D2327" i="11"/>
  <c r="C2328" i="11"/>
  <c r="D2328" i="11"/>
  <c r="C2329" i="11"/>
  <c r="D2329" i="11"/>
  <c r="C2330" i="11"/>
  <c r="D2330" i="11"/>
  <c r="C2331" i="11"/>
  <c r="D2331" i="11"/>
  <c r="C2332" i="11"/>
  <c r="D2332" i="11"/>
  <c r="C2333" i="11"/>
  <c r="D2333" i="11"/>
  <c r="C2334" i="11"/>
  <c r="D2334" i="11"/>
  <c r="C2335" i="11"/>
  <c r="D2335" i="11"/>
  <c r="C2336" i="11"/>
  <c r="D2336" i="11"/>
  <c r="C2337" i="11"/>
  <c r="D2337" i="11"/>
  <c r="C2338" i="11"/>
  <c r="D2338" i="11"/>
  <c r="C2339" i="11"/>
  <c r="D2339" i="11"/>
  <c r="C2340" i="11"/>
  <c r="D2340" i="11"/>
  <c r="C2341" i="11"/>
  <c r="D2341" i="11"/>
  <c r="C2342" i="11"/>
  <c r="D2342" i="11"/>
  <c r="C2343" i="11"/>
  <c r="D2343" i="11"/>
  <c r="C2344" i="11"/>
  <c r="D2344" i="11"/>
  <c r="C2345" i="11"/>
  <c r="D2345" i="11"/>
  <c r="C2346" i="11"/>
  <c r="D2346" i="11"/>
  <c r="C2347" i="11"/>
  <c r="D2347" i="11"/>
  <c r="C2348" i="11"/>
  <c r="D2348" i="11"/>
  <c r="C2349" i="11"/>
  <c r="D2349" i="11"/>
  <c r="C2350" i="11"/>
  <c r="D2350" i="11"/>
  <c r="C2351" i="11"/>
  <c r="D2351" i="11"/>
  <c r="C2352" i="11"/>
  <c r="D2352" i="11"/>
  <c r="C2353" i="11"/>
  <c r="D2353" i="11"/>
  <c r="C2354" i="11"/>
  <c r="D2354" i="11"/>
  <c r="C2355" i="11"/>
  <c r="D2355" i="11"/>
  <c r="C2356" i="11"/>
  <c r="D2356" i="11"/>
  <c r="C2357" i="11"/>
  <c r="D2357" i="11"/>
  <c r="C2358" i="11"/>
  <c r="D2358" i="11"/>
  <c r="C2359" i="11"/>
  <c r="D2359" i="11"/>
  <c r="C2360" i="11"/>
  <c r="D2360" i="11"/>
  <c r="C2361" i="11"/>
  <c r="D2361" i="11"/>
  <c r="C2362" i="11"/>
  <c r="D2362" i="11"/>
  <c r="C2363" i="11"/>
  <c r="D2363" i="11"/>
  <c r="C2364" i="11"/>
  <c r="D2364" i="11"/>
  <c r="C2365" i="11"/>
  <c r="D2365" i="11"/>
  <c r="C2366" i="11"/>
  <c r="D2366" i="11"/>
  <c r="C2367" i="11"/>
  <c r="D2367" i="11"/>
  <c r="C2368" i="11"/>
  <c r="D2368" i="11"/>
  <c r="C2369" i="11"/>
  <c r="D2369" i="11"/>
  <c r="C2370" i="11"/>
  <c r="D2370" i="11"/>
  <c r="C2371" i="11"/>
  <c r="D2371" i="11"/>
  <c r="C2372" i="11"/>
  <c r="D2372" i="11"/>
  <c r="C2373" i="11"/>
  <c r="D2373" i="11"/>
  <c r="C2374" i="11"/>
  <c r="D2374" i="11"/>
  <c r="C2375" i="11"/>
  <c r="D2375" i="11"/>
  <c r="C2376" i="11"/>
  <c r="D2376" i="11"/>
  <c r="C2377" i="11"/>
  <c r="D2377" i="11"/>
  <c r="C2378" i="11"/>
  <c r="D2378" i="11"/>
  <c r="C2379" i="11"/>
  <c r="D2379" i="11"/>
  <c r="C2380" i="11"/>
  <c r="D2380" i="11"/>
  <c r="C2381" i="11"/>
  <c r="D2381" i="11"/>
  <c r="C2382" i="11"/>
  <c r="D2382" i="11"/>
  <c r="C2383" i="11"/>
  <c r="D2383" i="11"/>
  <c r="C2384" i="11"/>
  <c r="D2384" i="11"/>
  <c r="C2385" i="11"/>
  <c r="D2385" i="11"/>
  <c r="C2386" i="11"/>
  <c r="D2386" i="11"/>
  <c r="C2387" i="11"/>
  <c r="D2387" i="11"/>
  <c r="C2388" i="11"/>
  <c r="D2388" i="11"/>
  <c r="C2389" i="11"/>
  <c r="D2389" i="11"/>
  <c r="C2390" i="11"/>
  <c r="D2390" i="11"/>
  <c r="C2391" i="11"/>
  <c r="D2391" i="11"/>
  <c r="C2392" i="11"/>
  <c r="D2392" i="11"/>
  <c r="C2393" i="11"/>
  <c r="D2393" i="11"/>
  <c r="C2394" i="11"/>
  <c r="D2394" i="11"/>
  <c r="C2395" i="11"/>
  <c r="D2395" i="11"/>
  <c r="C2396" i="11"/>
  <c r="D2396" i="11"/>
  <c r="C2397" i="11"/>
  <c r="D2397" i="11"/>
  <c r="C2398" i="11"/>
  <c r="D2398" i="11"/>
  <c r="C2399" i="11"/>
  <c r="D2399" i="11"/>
  <c r="C2400" i="11"/>
  <c r="D2400" i="11"/>
  <c r="C2401" i="11"/>
  <c r="D2401" i="11"/>
  <c r="C2402" i="11"/>
  <c r="D2402" i="11"/>
  <c r="C2403" i="11"/>
  <c r="D2403" i="11"/>
  <c r="C2404" i="11"/>
  <c r="D2404" i="11"/>
  <c r="C2405" i="11"/>
  <c r="D2405" i="11"/>
  <c r="C2406" i="11"/>
  <c r="D2406" i="11"/>
  <c r="C2407" i="11"/>
  <c r="D2407" i="11"/>
  <c r="C2408" i="11"/>
  <c r="D2408" i="11"/>
  <c r="C2409" i="11"/>
  <c r="D2409" i="11"/>
  <c r="C2410" i="11"/>
  <c r="D2410" i="11"/>
  <c r="C2411" i="11"/>
  <c r="D2411" i="11"/>
  <c r="C2412" i="11"/>
  <c r="D2412" i="11"/>
  <c r="C2413" i="11"/>
  <c r="D2413" i="11"/>
  <c r="C2414" i="11"/>
  <c r="D2414" i="11"/>
  <c r="C2415" i="11"/>
  <c r="D2415" i="11"/>
  <c r="C2416" i="11"/>
  <c r="D2416" i="11"/>
  <c r="C2417" i="11"/>
  <c r="D2417" i="11"/>
  <c r="C2418" i="11"/>
  <c r="D2418" i="11"/>
  <c r="C2419" i="11"/>
  <c r="D2419" i="11"/>
  <c r="C2420" i="11"/>
  <c r="D2420" i="11"/>
  <c r="C2421" i="11"/>
  <c r="D2421" i="11"/>
  <c r="C2422" i="11"/>
  <c r="D2422" i="11"/>
  <c r="C2423" i="11"/>
  <c r="D2423" i="11"/>
  <c r="C2424" i="11"/>
  <c r="D2424" i="11"/>
  <c r="C2425" i="11"/>
  <c r="D2425" i="11"/>
  <c r="C2426" i="11"/>
  <c r="D2426" i="11"/>
  <c r="C2427" i="11"/>
  <c r="D2427" i="11"/>
  <c r="C2428" i="11"/>
  <c r="D2428" i="11"/>
  <c r="C2429" i="11"/>
  <c r="D2429" i="11"/>
  <c r="C2430" i="11"/>
  <c r="D2430" i="11"/>
  <c r="C2431" i="11"/>
  <c r="D2431" i="11"/>
  <c r="C2432" i="11"/>
  <c r="D2432" i="11"/>
  <c r="C2433" i="11"/>
  <c r="D2433" i="11"/>
  <c r="C2434" i="11"/>
  <c r="D2434" i="11"/>
  <c r="C2435" i="11"/>
  <c r="D2435" i="11"/>
  <c r="C2436" i="11"/>
  <c r="D2436" i="11"/>
  <c r="C2437" i="11"/>
  <c r="D2437" i="11"/>
  <c r="C2438" i="11"/>
  <c r="D2438" i="11"/>
  <c r="C2439" i="11"/>
  <c r="D2439" i="11"/>
  <c r="C2440" i="11"/>
  <c r="D2440" i="11"/>
  <c r="C2441" i="11"/>
  <c r="D2441" i="11"/>
  <c r="C2442" i="11"/>
  <c r="D2442" i="11"/>
  <c r="C2443" i="11"/>
  <c r="D2443" i="11"/>
  <c r="C2444" i="11"/>
  <c r="D2444" i="11"/>
  <c r="C2445" i="11"/>
  <c r="D2445" i="11"/>
  <c r="C2446" i="11"/>
  <c r="D2446" i="11"/>
  <c r="C2447" i="11"/>
  <c r="D2447" i="11"/>
  <c r="C2448" i="11"/>
  <c r="D2448" i="11"/>
  <c r="C2449" i="11"/>
  <c r="D2449" i="11"/>
  <c r="C2450" i="11"/>
  <c r="D2450" i="11"/>
  <c r="C2451" i="11"/>
  <c r="D2451" i="11"/>
  <c r="C2452" i="11"/>
  <c r="D2452" i="11"/>
  <c r="C2453" i="11"/>
  <c r="D2453" i="11"/>
  <c r="C2454" i="11"/>
  <c r="D2454" i="11"/>
  <c r="C2455" i="11"/>
  <c r="D2455" i="11"/>
  <c r="C2456" i="11"/>
  <c r="D2456" i="11"/>
  <c r="C2457" i="11"/>
  <c r="D2457" i="11"/>
  <c r="C2458" i="11"/>
  <c r="D2458" i="11"/>
  <c r="C2459" i="11"/>
  <c r="D2459" i="11"/>
  <c r="C2460" i="11"/>
  <c r="D2460" i="11"/>
  <c r="C2461" i="11"/>
  <c r="D2461" i="11"/>
  <c r="C2462" i="11"/>
  <c r="D2462" i="11"/>
  <c r="C2463" i="11"/>
  <c r="D2463" i="11"/>
  <c r="C2464" i="11"/>
  <c r="D2464" i="11"/>
  <c r="C2465" i="11"/>
  <c r="D2465" i="11"/>
  <c r="C2466" i="11"/>
  <c r="D2466" i="11"/>
  <c r="C2467" i="11"/>
  <c r="D2467" i="11"/>
  <c r="C2468" i="11"/>
  <c r="D2468" i="11"/>
  <c r="C2469" i="11"/>
  <c r="D2469" i="11"/>
  <c r="C2470" i="11"/>
  <c r="D2470" i="11"/>
  <c r="C2471" i="11"/>
  <c r="D2471" i="11"/>
  <c r="C2472" i="11"/>
  <c r="D2472" i="11"/>
  <c r="C2473" i="11"/>
  <c r="D2473" i="11"/>
  <c r="C2474" i="11"/>
  <c r="D2474" i="11"/>
  <c r="C2475" i="11"/>
  <c r="D2475" i="11"/>
  <c r="C2476" i="11"/>
  <c r="D2476" i="11"/>
  <c r="C2477" i="11"/>
  <c r="D2477" i="11"/>
  <c r="C2478" i="11"/>
  <c r="D2478" i="11"/>
  <c r="C2479" i="11"/>
  <c r="D2479" i="11"/>
  <c r="C2480" i="11"/>
  <c r="D2480" i="11"/>
  <c r="C2481" i="11"/>
  <c r="D2481" i="11"/>
  <c r="C2482" i="11"/>
  <c r="D2482" i="11"/>
  <c r="C2483" i="11"/>
  <c r="D2483" i="11"/>
  <c r="C2484" i="11"/>
  <c r="D2484" i="11"/>
  <c r="C2485" i="11"/>
  <c r="D2485" i="11"/>
  <c r="C2486" i="11"/>
  <c r="D2486" i="11"/>
  <c r="C2487" i="11"/>
  <c r="D2487" i="11"/>
  <c r="C2488" i="11"/>
  <c r="D2488" i="11"/>
  <c r="C2489" i="11"/>
  <c r="D2489" i="11"/>
  <c r="C2490" i="11"/>
  <c r="D2490" i="11"/>
  <c r="C2491" i="11"/>
  <c r="D2491" i="11"/>
  <c r="C2492" i="11"/>
  <c r="D2492" i="11"/>
  <c r="C2493" i="11"/>
  <c r="D2493" i="11"/>
  <c r="C2494" i="11"/>
  <c r="D2494" i="11"/>
  <c r="C2495" i="11"/>
  <c r="D2495" i="11"/>
  <c r="C2496" i="11"/>
  <c r="D2496" i="11"/>
  <c r="C2497" i="11"/>
  <c r="D2497" i="11"/>
  <c r="C2498" i="11"/>
  <c r="D2498" i="11"/>
  <c r="C2499" i="11"/>
  <c r="D2499" i="11"/>
  <c r="C2500" i="11"/>
  <c r="D2500" i="11"/>
  <c r="C2501" i="11"/>
  <c r="D2501" i="11"/>
  <c r="C2502" i="11"/>
  <c r="D2502" i="11"/>
  <c r="C2503" i="11"/>
  <c r="D2503" i="11"/>
  <c r="C2504" i="11"/>
  <c r="D2504" i="11"/>
  <c r="C2505" i="11"/>
  <c r="D2505" i="11"/>
  <c r="C2506" i="11"/>
  <c r="D2506" i="11"/>
  <c r="C2507" i="11"/>
  <c r="D2507" i="11"/>
  <c r="C2508" i="11"/>
  <c r="D2508" i="11"/>
  <c r="C2509" i="11"/>
  <c r="D2509" i="11"/>
  <c r="C2510" i="11"/>
  <c r="D2510" i="11"/>
  <c r="C2511" i="11"/>
  <c r="D2511" i="11"/>
  <c r="C2512" i="11"/>
  <c r="D2512" i="11"/>
  <c r="C2513" i="11"/>
  <c r="D2513" i="11"/>
  <c r="C2514" i="11"/>
  <c r="D2514" i="11"/>
  <c r="C2515" i="11"/>
  <c r="D2515" i="11"/>
  <c r="C2516" i="11"/>
  <c r="D2516" i="11"/>
  <c r="C2517" i="11"/>
  <c r="D2517" i="11"/>
  <c r="C2518" i="11"/>
  <c r="D2518" i="11"/>
  <c r="C2519" i="11"/>
  <c r="D2519" i="11"/>
  <c r="C2520" i="11"/>
  <c r="D2520" i="11"/>
  <c r="C2521" i="11"/>
  <c r="D2521" i="11"/>
  <c r="C2522" i="11"/>
  <c r="D2522" i="11"/>
  <c r="C2523" i="11"/>
  <c r="D2523" i="11"/>
  <c r="C2524" i="11"/>
  <c r="D2524" i="11"/>
  <c r="C2525" i="11"/>
  <c r="D2525" i="11"/>
  <c r="C2526" i="11"/>
  <c r="D2526" i="11"/>
  <c r="C2527" i="11"/>
  <c r="D2527" i="11"/>
  <c r="C2528" i="11"/>
  <c r="D2528" i="11"/>
  <c r="C2529" i="11"/>
  <c r="D2529" i="11"/>
  <c r="C2530" i="11"/>
  <c r="D2530" i="11"/>
  <c r="C2531" i="11"/>
  <c r="D2531" i="11"/>
  <c r="C2532" i="11"/>
  <c r="D2532" i="11"/>
  <c r="C2533" i="11"/>
  <c r="D2533" i="11"/>
  <c r="C2534" i="11"/>
  <c r="D2534" i="11"/>
  <c r="C2535" i="11"/>
  <c r="D2535" i="11"/>
  <c r="C2536" i="11"/>
  <c r="D2536" i="11"/>
  <c r="C2537" i="11"/>
  <c r="D2537" i="11"/>
  <c r="C2538" i="11"/>
  <c r="D2538" i="11"/>
  <c r="C2539" i="11"/>
  <c r="D2539" i="11"/>
  <c r="C2540" i="11"/>
  <c r="D2540" i="11"/>
  <c r="C2541" i="11"/>
  <c r="D2541" i="11"/>
  <c r="C2542" i="11"/>
  <c r="D2542" i="11"/>
  <c r="C2543" i="11"/>
  <c r="D2543" i="11"/>
  <c r="C2544" i="11"/>
  <c r="D2544" i="11"/>
  <c r="C2545" i="11"/>
  <c r="D2545" i="11"/>
  <c r="C2546" i="11"/>
  <c r="D2546" i="11"/>
  <c r="C2547" i="11"/>
  <c r="D2547" i="11"/>
  <c r="C2548" i="11"/>
  <c r="D2548" i="11"/>
  <c r="C2549" i="11"/>
  <c r="D2549" i="11"/>
  <c r="C2550" i="11"/>
  <c r="D2550" i="11"/>
  <c r="C2551" i="11"/>
  <c r="D2551" i="11"/>
  <c r="C2552" i="11"/>
  <c r="D2552" i="11"/>
  <c r="C2553" i="11"/>
  <c r="D2553" i="11"/>
  <c r="C2554" i="11"/>
  <c r="D2554" i="11"/>
  <c r="C2555" i="11"/>
  <c r="D2555" i="11"/>
  <c r="C2556" i="11"/>
  <c r="D2556" i="11"/>
  <c r="C2557" i="11"/>
  <c r="D2557" i="11"/>
  <c r="C2558" i="11"/>
  <c r="D2558" i="11"/>
  <c r="C2559" i="11"/>
  <c r="D2559" i="11"/>
  <c r="C2560" i="11"/>
  <c r="D2560" i="11"/>
  <c r="C2561" i="11"/>
  <c r="D2561" i="11"/>
  <c r="C2562" i="11"/>
  <c r="D2562" i="11"/>
  <c r="C2563" i="11"/>
  <c r="D2563" i="11"/>
  <c r="C2564" i="11"/>
  <c r="D2564" i="11"/>
  <c r="C2565" i="11"/>
  <c r="D2565" i="11"/>
  <c r="C2566" i="11"/>
  <c r="D2566" i="11"/>
  <c r="C2567" i="11"/>
  <c r="D2567" i="11"/>
  <c r="C2568" i="11"/>
  <c r="D2568" i="11"/>
  <c r="C2569" i="11"/>
  <c r="D2569" i="11"/>
  <c r="C2570" i="11"/>
  <c r="D2570" i="11"/>
  <c r="C2571" i="11"/>
  <c r="D2571" i="11"/>
  <c r="C2572" i="11"/>
  <c r="D2572" i="11"/>
  <c r="C2573" i="11"/>
  <c r="D2573" i="11"/>
  <c r="C2574" i="11"/>
  <c r="D2574" i="11"/>
  <c r="C2575" i="11"/>
  <c r="D2575" i="11"/>
  <c r="C2576" i="11"/>
  <c r="D2576" i="11"/>
  <c r="C2577" i="11"/>
  <c r="D2577" i="11"/>
  <c r="C2578" i="11"/>
  <c r="D2578" i="11"/>
  <c r="C2579" i="11"/>
  <c r="D2579" i="11"/>
  <c r="C2580" i="11"/>
  <c r="D2580" i="11"/>
  <c r="C2581" i="11"/>
  <c r="D2581" i="11"/>
  <c r="C2582" i="11"/>
  <c r="D2582" i="11"/>
  <c r="C2583" i="11"/>
  <c r="D2583" i="11"/>
  <c r="C2584" i="11"/>
  <c r="D2584" i="11"/>
  <c r="C2585" i="11"/>
  <c r="D2585" i="11"/>
  <c r="C2586" i="11"/>
  <c r="D2586" i="11"/>
  <c r="C2587" i="11"/>
  <c r="D2587" i="11"/>
  <c r="C2588" i="11"/>
  <c r="D2588" i="11"/>
  <c r="C2589" i="11"/>
  <c r="D2589" i="11"/>
  <c r="C2590" i="11"/>
  <c r="D2590" i="11"/>
  <c r="C2591" i="11"/>
  <c r="D2591" i="11"/>
  <c r="C2592" i="11"/>
  <c r="D2592" i="11"/>
  <c r="C2593" i="11"/>
  <c r="D2593" i="11"/>
  <c r="C2594" i="11"/>
  <c r="D2594" i="11"/>
  <c r="C2595" i="11"/>
  <c r="D2595" i="11"/>
  <c r="C2596" i="11"/>
  <c r="D2596" i="11"/>
  <c r="C2597" i="11"/>
  <c r="D2597" i="11"/>
  <c r="C2598" i="11"/>
  <c r="D2598" i="11"/>
  <c r="C2599" i="11"/>
  <c r="D2599" i="11"/>
  <c r="C2600" i="11"/>
  <c r="D2600" i="11"/>
  <c r="C2601" i="11"/>
  <c r="D2601" i="11"/>
  <c r="C2602" i="11"/>
  <c r="D2602" i="11"/>
  <c r="C2603" i="11"/>
  <c r="D2603" i="11"/>
  <c r="C2604" i="11"/>
  <c r="D2604" i="11"/>
  <c r="C2605" i="11"/>
  <c r="D2605" i="11"/>
  <c r="C2606" i="11"/>
  <c r="D2606" i="11"/>
  <c r="C2607" i="11"/>
  <c r="D2607" i="11"/>
  <c r="C2608" i="11"/>
  <c r="D2608" i="11"/>
  <c r="C2609" i="11"/>
  <c r="D2609" i="11"/>
  <c r="C2610" i="11"/>
  <c r="D2610" i="11"/>
  <c r="C2611" i="11"/>
  <c r="D2611" i="11"/>
  <c r="C2612" i="11"/>
  <c r="D2612" i="11"/>
  <c r="C2613" i="11"/>
  <c r="D2613" i="11"/>
  <c r="C2614" i="11"/>
  <c r="D2614" i="11"/>
  <c r="C2615" i="11"/>
  <c r="D2615" i="11"/>
  <c r="C2616" i="11"/>
  <c r="D2616" i="11"/>
  <c r="C2617" i="11"/>
  <c r="D2617" i="11"/>
  <c r="C2618" i="11"/>
  <c r="D2618" i="11"/>
  <c r="C2619" i="11"/>
  <c r="D2619" i="11"/>
  <c r="C2620" i="11"/>
  <c r="D2620" i="11"/>
  <c r="C2621" i="11"/>
  <c r="D2621" i="11"/>
  <c r="C2622" i="11"/>
  <c r="D2622" i="11"/>
  <c r="C2623" i="11"/>
  <c r="D2623" i="11"/>
  <c r="C2624" i="11"/>
  <c r="D2624" i="11"/>
  <c r="C2625" i="11"/>
  <c r="D2625" i="11"/>
  <c r="C2626" i="11"/>
  <c r="D2626" i="11"/>
  <c r="C2627" i="11"/>
  <c r="D2627" i="11"/>
  <c r="C2628" i="11"/>
  <c r="D2628" i="11"/>
  <c r="C2629" i="11"/>
  <c r="D2629" i="11"/>
  <c r="C2630" i="11"/>
  <c r="D2630" i="11"/>
  <c r="C2631" i="11"/>
  <c r="D2631" i="11"/>
  <c r="C2632" i="11"/>
  <c r="D2632" i="11"/>
  <c r="C2633" i="11"/>
  <c r="D2633" i="11"/>
  <c r="C2634" i="11"/>
  <c r="D2634" i="11"/>
  <c r="C2635" i="11"/>
  <c r="D2635" i="11"/>
  <c r="C2636" i="11"/>
  <c r="D2636" i="11"/>
  <c r="C2637" i="11"/>
  <c r="D2637" i="11"/>
  <c r="C2638" i="11"/>
  <c r="D2638" i="11"/>
  <c r="C2639" i="11"/>
  <c r="D2639" i="11"/>
  <c r="C2640" i="11"/>
  <c r="D2640" i="11"/>
  <c r="C2641" i="11"/>
  <c r="D2641" i="11"/>
  <c r="C2642" i="11"/>
  <c r="D2642" i="11"/>
  <c r="C2643" i="11"/>
  <c r="D2643" i="11"/>
  <c r="C2644" i="11"/>
  <c r="D2644" i="11"/>
  <c r="C2645" i="11"/>
  <c r="D2645" i="11"/>
  <c r="C2646" i="11"/>
  <c r="D2646" i="11"/>
  <c r="C2647" i="11"/>
  <c r="D2647" i="11"/>
  <c r="C2648" i="11"/>
  <c r="D2648" i="11"/>
  <c r="C2649" i="11"/>
  <c r="D2649" i="11"/>
  <c r="C2650" i="11"/>
  <c r="D2650" i="11"/>
  <c r="C2651" i="11"/>
  <c r="D2651" i="11"/>
  <c r="C2652" i="11"/>
  <c r="D2652" i="11"/>
  <c r="C2653" i="11"/>
  <c r="D2653" i="11"/>
  <c r="C2654" i="11"/>
  <c r="D2654" i="11"/>
  <c r="C2655" i="11"/>
  <c r="D2655" i="11"/>
  <c r="C2656" i="11"/>
  <c r="D2656" i="11"/>
  <c r="C2657" i="11"/>
  <c r="D2657" i="11"/>
  <c r="C2658" i="11"/>
  <c r="D2658" i="11"/>
  <c r="C2659" i="11"/>
  <c r="D2659" i="11"/>
  <c r="C2660" i="11"/>
  <c r="D2660" i="11"/>
  <c r="C2661" i="11"/>
  <c r="D2661" i="11"/>
  <c r="C2662" i="11"/>
  <c r="D2662" i="11"/>
  <c r="C2663" i="11"/>
  <c r="D2663" i="11"/>
  <c r="C2664" i="11"/>
  <c r="D2664" i="11"/>
  <c r="C2665" i="11"/>
  <c r="D2665" i="11"/>
  <c r="C2666" i="11"/>
  <c r="D2666" i="11"/>
  <c r="C2667" i="11"/>
  <c r="D2667" i="11"/>
  <c r="C2668" i="11"/>
  <c r="D2668" i="11"/>
  <c r="C2669" i="11"/>
  <c r="D2669" i="11"/>
  <c r="C2670" i="11"/>
  <c r="D2670" i="11"/>
  <c r="C2671" i="11"/>
  <c r="D2671" i="11"/>
  <c r="C2672" i="11"/>
  <c r="D2672" i="11"/>
  <c r="C2673" i="11"/>
  <c r="D2673" i="11"/>
  <c r="C2674" i="11"/>
  <c r="D2674" i="11"/>
  <c r="C2675" i="11"/>
  <c r="D2675" i="11"/>
  <c r="C2676" i="11"/>
  <c r="D2676" i="11"/>
  <c r="C2677" i="11"/>
  <c r="D2677" i="11"/>
  <c r="C2678" i="11"/>
  <c r="D2678" i="11"/>
  <c r="C2679" i="11"/>
  <c r="D2679" i="11"/>
  <c r="C2680" i="11"/>
  <c r="D2680" i="11"/>
  <c r="C2681" i="11"/>
  <c r="D2681" i="11"/>
  <c r="C2682" i="11"/>
  <c r="D2682" i="11"/>
  <c r="C2683" i="11"/>
  <c r="D2683" i="11"/>
  <c r="C2684" i="11"/>
  <c r="D2684" i="11"/>
  <c r="C2685" i="11"/>
  <c r="D2685" i="11"/>
  <c r="C2686" i="11"/>
  <c r="D2686" i="11"/>
  <c r="C2687" i="11"/>
  <c r="D2687" i="11"/>
  <c r="C2688" i="11"/>
  <c r="D2688" i="11"/>
  <c r="C2689" i="11"/>
  <c r="D2689" i="11"/>
  <c r="C2690" i="11"/>
  <c r="D2690" i="11"/>
  <c r="C2691" i="11"/>
  <c r="D2691" i="11"/>
  <c r="C2692" i="11"/>
  <c r="D2692" i="11"/>
  <c r="C2693" i="11"/>
  <c r="D2693" i="11"/>
  <c r="C2694" i="11"/>
  <c r="D2694" i="11"/>
  <c r="C2695" i="11"/>
  <c r="D2695" i="11"/>
  <c r="C2696" i="11"/>
  <c r="D2696" i="11"/>
  <c r="C2697" i="11"/>
  <c r="D2697" i="11"/>
  <c r="C2698" i="11"/>
  <c r="D2698" i="11"/>
  <c r="C2699" i="11"/>
  <c r="D2699" i="11"/>
  <c r="C2700" i="11"/>
  <c r="D2700" i="11"/>
  <c r="C2701" i="11"/>
  <c r="D2701" i="11"/>
  <c r="C2702" i="11"/>
  <c r="D2702" i="11"/>
  <c r="C2703" i="11"/>
  <c r="D2703" i="11"/>
  <c r="C2704" i="11"/>
  <c r="D2704" i="11"/>
  <c r="C2705" i="11"/>
  <c r="D2705" i="11"/>
  <c r="C2706" i="11"/>
  <c r="D2706" i="11"/>
  <c r="C2707" i="11"/>
  <c r="D2707" i="11"/>
  <c r="C2708" i="11"/>
  <c r="D2708" i="11"/>
  <c r="C2709" i="11"/>
  <c r="D2709" i="11"/>
  <c r="C2710" i="11"/>
  <c r="D2710" i="11"/>
  <c r="C2711" i="11"/>
  <c r="D2711" i="11"/>
  <c r="C2712" i="11"/>
  <c r="D2712" i="11"/>
  <c r="C2713" i="11"/>
  <c r="D2713" i="11"/>
  <c r="C2714" i="11"/>
  <c r="D2714" i="11"/>
  <c r="C2715" i="11"/>
  <c r="D2715" i="11"/>
  <c r="C2716" i="11"/>
  <c r="D2716" i="11"/>
  <c r="C2717" i="11"/>
  <c r="D2717" i="11"/>
  <c r="C2718" i="11"/>
  <c r="D2718" i="11"/>
  <c r="C2719" i="11"/>
  <c r="D2719" i="11"/>
  <c r="C2720" i="11"/>
  <c r="D2720" i="11"/>
  <c r="C2721" i="11"/>
  <c r="D2721" i="11"/>
  <c r="C2722" i="11"/>
  <c r="D2722" i="11"/>
  <c r="C2723" i="11"/>
  <c r="D2723" i="11"/>
  <c r="C2724" i="11"/>
  <c r="D2724" i="11"/>
  <c r="C2725" i="11"/>
  <c r="D2725" i="11"/>
  <c r="C2726" i="11"/>
  <c r="D2726" i="11"/>
  <c r="C2727" i="11"/>
  <c r="D2727" i="11"/>
  <c r="C2728" i="11"/>
  <c r="D2728" i="11"/>
  <c r="C2729" i="11"/>
  <c r="D2729" i="11"/>
  <c r="C2730" i="11"/>
  <c r="D2730" i="11"/>
  <c r="C2731" i="11"/>
  <c r="D2731" i="11"/>
  <c r="C2732" i="11"/>
  <c r="D2732" i="11"/>
  <c r="C2733" i="11"/>
  <c r="D2733" i="11"/>
  <c r="C2734" i="11"/>
  <c r="D2734" i="11"/>
  <c r="C2735" i="11"/>
  <c r="D2735" i="11"/>
  <c r="C2736" i="11"/>
  <c r="D2736" i="11"/>
  <c r="C2737" i="11"/>
  <c r="D2737" i="11"/>
  <c r="C2738" i="11"/>
  <c r="D2738" i="11"/>
  <c r="C2739" i="11"/>
  <c r="D2739" i="11"/>
  <c r="C2740" i="11"/>
  <c r="D2740" i="11"/>
  <c r="C2741" i="11"/>
  <c r="D2741" i="11"/>
  <c r="C2742" i="11"/>
  <c r="D2742" i="11"/>
  <c r="C2743" i="11"/>
  <c r="D2743" i="11"/>
  <c r="C2744" i="11"/>
  <c r="D2744" i="11"/>
  <c r="C2745" i="11"/>
  <c r="D2745" i="11"/>
  <c r="C2746" i="11"/>
  <c r="D2746" i="11"/>
  <c r="C2747" i="11"/>
  <c r="D2747" i="11"/>
  <c r="C2748" i="11"/>
  <c r="D2748" i="11"/>
  <c r="C2749" i="11"/>
  <c r="D2749" i="11"/>
  <c r="C2750" i="11"/>
  <c r="D2750" i="11"/>
  <c r="C2751" i="11"/>
  <c r="D2751" i="11"/>
  <c r="C2752" i="11"/>
  <c r="D2752" i="11"/>
  <c r="C2753" i="11"/>
  <c r="D2753" i="11"/>
  <c r="C2754" i="11"/>
  <c r="D2754" i="11"/>
  <c r="C2755" i="11"/>
  <c r="D2755" i="11"/>
  <c r="C2756" i="11"/>
  <c r="D2756" i="11"/>
  <c r="C2757" i="11"/>
  <c r="D2757" i="11"/>
  <c r="C2758" i="11"/>
  <c r="D2758" i="11"/>
  <c r="C2759" i="11"/>
  <c r="D2759" i="11"/>
  <c r="C2760" i="11"/>
  <c r="D2760" i="11"/>
  <c r="C2761" i="11"/>
  <c r="D2761" i="11"/>
  <c r="C2762" i="11"/>
  <c r="D2762" i="11"/>
  <c r="C2763" i="11"/>
  <c r="D2763" i="11"/>
  <c r="C2764" i="11"/>
  <c r="D2764" i="11"/>
  <c r="C2765" i="11"/>
  <c r="D2765" i="11"/>
  <c r="C2766" i="11"/>
  <c r="D2766" i="11"/>
  <c r="C2767" i="11"/>
  <c r="D2767" i="11"/>
  <c r="C2768" i="11"/>
  <c r="D2768" i="11"/>
  <c r="C2769" i="11"/>
  <c r="D2769" i="11"/>
  <c r="C2770" i="11"/>
  <c r="D2770" i="11"/>
  <c r="C2771" i="11"/>
  <c r="D2771" i="11"/>
  <c r="C2772" i="11"/>
  <c r="D2772" i="11"/>
  <c r="C2773" i="11"/>
  <c r="D2773" i="11"/>
  <c r="C2774" i="11"/>
  <c r="D2774" i="11"/>
  <c r="C2775" i="11"/>
  <c r="D2775" i="11"/>
  <c r="C2776" i="11"/>
  <c r="D2776" i="11"/>
  <c r="C2777" i="11"/>
  <c r="D2777" i="11"/>
  <c r="C2778" i="11"/>
  <c r="D2778" i="11"/>
  <c r="C2779" i="11"/>
  <c r="D2779" i="11"/>
  <c r="C2780" i="11"/>
  <c r="D2780" i="11"/>
  <c r="C2781" i="11"/>
  <c r="D2781" i="11"/>
  <c r="C2782" i="11"/>
  <c r="D2782" i="11"/>
  <c r="C2783" i="11"/>
  <c r="D2783" i="11"/>
  <c r="C2784" i="11"/>
  <c r="D2784" i="11"/>
  <c r="C2785" i="11"/>
  <c r="D2785" i="11"/>
  <c r="C2786" i="11"/>
  <c r="D2786" i="11"/>
  <c r="C2787" i="11"/>
  <c r="D2787" i="11"/>
  <c r="C2788" i="11"/>
  <c r="D2788" i="11"/>
  <c r="C2789" i="11"/>
  <c r="D2789" i="11"/>
  <c r="C2790" i="11"/>
  <c r="D2790" i="11"/>
  <c r="C2791" i="11"/>
  <c r="D2791" i="11"/>
  <c r="C2792" i="11"/>
  <c r="D2792" i="11"/>
  <c r="C2793" i="11"/>
  <c r="D2793" i="11"/>
  <c r="C2794" i="11"/>
  <c r="D2794" i="11"/>
  <c r="C2795" i="11"/>
  <c r="D2795" i="11"/>
  <c r="C2796" i="11"/>
  <c r="D2796" i="11"/>
  <c r="C2797" i="11"/>
  <c r="D2797" i="11"/>
  <c r="C2798" i="11"/>
  <c r="D2798" i="11"/>
  <c r="C2799" i="11"/>
  <c r="D2799" i="11"/>
  <c r="C2800" i="11"/>
  <c r="D2800" i="11"/>
  <c r="C2801" i="11"/>
  <c r="D2801" i="11"/>
  <c r="C2802" i="11"/>
  <c r="D2802" i="11"/>
  <c r="C2803" i="11"/>
  <c r="D2803" i="11"/>
  <c r="C2804" i="11"/>
  <c r="D2804" i="11"/>
  <c r="C2805" i="11"/>
  <c r="D2805" i="11"/>
  <c r="C2806" i="11"/>
  <c r="D2806" i="11"/>
  <c r="C2807" i="11"/>
  <c r="D2807" i="11"/>
  <c r="C2808" i="11"/>
  <c r="D2808" i="11"/>
  <c r="C2809" i="11"/>
  <c r="D2809" i="11"/>
  <c r="C2810" i="11"/>
  <c r="D2810" i="11"/>
  <c r="C2811" i="11"/>
  <c r="D2811" i="11"/>
  <c r="C2812" i="11"/>
  <c r="D2812" i="11"/>
  <c r="C2813" i="11"/>
  <c r="D2813" i="11"/>
  <c r="C2814" i="11"/>
  <c r="D2814" i="11"/>
  <c r="C2815" i="11"/>
  <c r="D2815" i="11"/>
  <c r="C2816" i="11"/>
  <c r="D2816" i="11"/>
  <c r="C2817" i="11"/>
  <c r="D2817" i="11"/>
  <c r="C2818" i="11"/>
  <c r="D2818" i="11"/>
  <c r="C2819" i="11"/>
  <c r="D2819" i="11"/>
  <c r="C2820" i="11"/>
  <c r="D2820" i="11"/>
  <c r="C2821" i="11"/>
  <c r="D2821" i="11"/>
  <c r="C2822" i="11"/>
  <c r="D2822" i="11"/>
  <c r="C2823" i="11"/>
  <c r="D2823" i="11"/>
  <c r="C2824" i="11"/>
  <c r="D2824" i="11"/>
  <c r="C2825" i="11"/>
  <c r="D2825" i="11"/>
  <c r="C2826" i="11"/>
  <c r="D2826" i="11"/>
  <c r="C2827" i="11"/>
  <c r="D2827" i="11"/>
  <c r="C2828" i="11"/>
  <c r="D2828" i="11"/>
  <c r="C2829" i="11"/>
  <c r="D2829" i="11"/>
  <c r="C2830" i="11"/>
  <c r="D2830" i="11"/>
  <c r="C2831" i="11"/>
  <c r="D2831" i="11"/>
  <c r="C2832" i="11"/>
  <c r="D2832" i="11"/>
  <c r="C2833" i="11"/>
  <c r="D2833" i="11"/>
  <c r="C2834" i="11"/>
  <c r="D2834" i="11"/>
  <c r="C2835" i="11"/>
  <c r="D2835" i="11"/>
  <c r="C2836" i="11"/>
  <c r="D2836" i="11"/>
  <c r="C2837" i="11"/>
  <c r="D2837" i="11"/>
  <c r="C2838" i="11"/>
  <c r="D2838" i="11"/>
  <c r="C2839" i="11"/>
  <c r="D2839" i="11"/>
  <c r="C2840" i="11"/>
  <c r="D2840" i="11"/>
  <c r="C2841" i="11"/>
  <c r="D2841" i="11"/>
  <c r="C2842" i="11"/>
  <c r="D2842" i="11"/>
  <c r="C2843" i="11"/>
  <c r="D2843" i="11"/>
  <c r="C2844" i="11"/>
  <c r="D2844" i="11"/>
  <c r="C2845" i="11"/>
  <c r="D2845" i="11"/>
  <c r="C2846" i="11"/>
  <c r="D2846" i="11"/>
  <c r="C2847" i="11"/>
  <c r="D2847" i="11"/>
  <c r="C2848" i="11"/>
  <c r="D2848" i="11"/>
  <c r="C2849" i="11"/>
  <c r="D2849" i="11"/>
  <c r="C2850" i="11"/>
  <c r="D2850" i="11"/>
  <c r="C2851" i="11"/>
  <c r="D2851" i="11"/>
  <c r="C2852" i="11"/>
  <c r="D2852" i="11"/>
  <c r="C2853" i="11"/>
  <c r="D2853" i="11"/>
  <c r="C2854" i="11"/>
  <c r="D2854" i="11"/>
  <c r="C2855" i="11"/>
  <c r="D2855" i="11"/>
  <c r="C2856" i="11"/>
  <c r="D2856" i="11"/>
  <c r="C2857" i="11"/>
  <c r="D2857" i="11"/>
  <c r="C2858" i="11"/>
  <c r="D2858" i="11"/>
  <c r="C2859" i="11"/>
  <c r="D2859" i="11"/>
  <c r="C2860" i="11"/>
  <c r="D2860" i="11"/>
  <c r="C2861" i="11"/>
  <c r="D2861" i="11"/>
  <c r="C2862" i="11"/>
  <c r="D2862" i="11"/>
  <c r="C2863" i="11"/>
  <c r="D2863" i="11"/>
  <c r="C2864" i="11"/>
  <c r="D2864" i="11"/>
  <c r="C2865" i="11"/>
  <c r="D2865" i="11"/>
  <c r="C2866" i="11"/>
  <c r="D2866" i="11"/>
  <c r="C2867" i="11"/>
  <c r="D2867" i="11"/>
  <c r="C2868" i="11"/>
  <c r="D2868" i="11"/>
  <c r="C2869" i="11"/>
  <c r="D2869" i="11"/>
  <c r="C2870" i="11"/>
  <c r="D2870" i="11"/>
  <c r="C2871" i="11"/>
  <c r="D2871" i="11"/>
  <c r="C2872" i="11"/>
  <c r="D2872" i="11"/>
  <c r="C2873" i="11"/>
  <c r="D2873" i="11"/>
  <c r="C2874" i="11"/>
  <c r="D2874" i="11"/>
  <c r="C2875" i="11"/>
  <c r="D2875" i="11"/>
  <c r="C2876" i="11"/>
  <c r="D2876" i="11"/>
  <c r="C2877" i="11"/>
  <c r="D2877" i="11"/>
  <c r="C2878" i="11"/>
  <c r="D2878" i="11"/>
  <c r="C2879" i="11"/>
  <c r="D2879" i="11"/>
  <c r="C2880" i="11"/>
  <c r="D2880" i="11"/>
  <c r="C2881" i="11"/>
  <c r="D2881" i="11"/>
  <c r="C2882" i="11"/>
  <c r="D2882" i="11"/>
  <c r="C2883" i="11"/>
  <c r="D2883" i="11"/>
  <c r="C2884" i="11"/>
  <c r="D2884" i="11"/>
  <c r="C2885" i="11"/>
  <c r="D2885" i="11"/>
  <c r="C2886" i="11"/>
  <c r="D2886" i="11"/>
  <c r="C2887" i="11"/>
  <c r="D2887" i="11"/>
  <c r="C2888" i="11"/>
  <c r="D2888" i="11"/>
  <c r="C2889" i="11"/>
  <c r="D2889" i="11"/>
  <c r="C2890" i="11"/>
  <c r="D2890" i="11"/>
  <c r="C2891" i="11"/>
  <c r="D2891" i="11"/>
  <c r="C2892" i="11"/>
  <c r="D2892" i="11"/>
  <c r="C2893" i="11"/>
  <c r="D2893" i="11"/>
  <c r="C2894" i="11"/>
  <c r="D2894" i="11"/>
  <c r="C2895" i="11"/>
  <c r="D2895" i="11"/>
  <c r="C2896" i="11"/>
  <c r="D2896" i="11"/>
  <c r="C2897" i="11"/>
  <c r="D2897" i="11"/>
  <c r="C2898" i="11"/>
  <c r="D2898" i="11"/>
  <c r="C2899" i="11"/>
  <c r="D2899" i="11"/>
  <c r="C2900" i="11"/>
  <c r="D2900" i="11"/>
  <c r="C2901" i="11"/>
  <c r="D2901" i="11"/>
  <c r="C2902" i="11"/>
  <c r="D2902" i="11"/>
  <c r="C2903" i="11"/>
  <c r="D2903" i="11"/>
  <c r="C2904" i="11"/>
  <c r="D2904" i="11"/>
  <c r="C2905" i="11"/>
  <c r="D2905" i="11"/>
  <c r="C2906" i="11"/>
  <c r="D2906" i="11"/>
  <c r="C2907" i="11"/>
  <c r="D2907" i="11"/>
  <c r="C2908" i="11"/>
  <c r="D2908" i="11"/>
  <c r="C2909" i="11"/>
  <c r="D2909" i="11"/>
  <c r="C2910" i="11"/>
  <c r="D2910" i="11"/>
  <c r="C2911" i="11"/>
  <c r="D2911" i="11"/>
  <c r="C2912" i="11"/>
  <c r="D2912" i="11"/>
  <c r="C2913" i="11"/>
  <c r="D2913" i="11"/>
  <c r="C2914" i="11"/>
  <c r="D2914" i="11"/>
  <c r="C2915" i="11"/>
  <c r="D2915" i="11"/>
  <c r="C2916" i="11"/>
  <c r="D2916" i="11"/>
  <c r="C2917" i="11"/>
  <c r="D2917" i="11"/>
  <c r="C2918" i="11"/>
  <c r="D2918" i="11"/>
  <c r="C2919" i="11"/>
  <c r="D2919" i="11"/>
  <c r="C2920" i="11"/>
  <c r="D2920" i="11"/>
  <c r="C2921" i="11"/>
  <c r="D2921" i="11"/>
  <c r="C2922" i="11"/>
  <c r="D2922" i="11"/>
  <c r="C2923" i="11"/>
  <c r="D2923" i="11"/>
  <c r="C2924" i="11"/>
  <c r="D2924" i="11"/>
  <c r="C2925" i="11"/>
  <c r="D2925" i="11"/>
  <c r="C2926" i="11"/>
  <c r="D2926" i="11"/>
  <c r="C2927" i="11"/>
  <c r="D2927" i="11"/>
  <c r="C2928" i="11"/>
  <c r="D2928" i="11"/>
  <c r="C2929" i="11"/>
  <c r="D2929" i="11"/>
  <c r="C2930" i="11"/>
  <c r="D2930" i="11"/>
  <c r="C2931" i="11"/>
  <c r="D2931" i="11"/>
  <c r="C2932" i="11"/>
  <c r="D2932" i="11"/>
  <c r="C2933" i="11"/>
  <c r="D2933" i="11"/>
  <c r="C2934" i="11"/>
  <c r="D2934" i="11"/>
  <c r="C2935" i="11"/>
  <c r="D2935" i="11"/>
  <c r="C2936" i="11"/>
  <c r="D2936" i="11"/>
  <c r="C2937" i="11"/>
  <c r="D2937" i="11"/>
  <c r="C2938" i="11"/>
  <c r="D2938" i="11"/>
  <c r="C2939" i="11"/>
  <c r="D2939" i="11"/>
  <c r="C2940" i="11"/>
  <c r="D2940" i="11"/>
  <c r="C2941" i="11"/>
  <c r="D2941" i="11"/>
  <c r="C2942" i="11"/>
  <c r="D2942" i="11"/>
  <c r="C2943" i="11"/>
  <c r="D2943" i="11"/>
  <c r="C2944" i="11"/>
  <c r="D2944" i="11"/>
  <c r="C2945" i="11"/>
  <c r="D2945" i="11"/>
  <c r="C2946" i="11"/>
  <c r="D2946" i="11"/>
  <c r="C2947" i="11"/>
  <c r="D2947" i="11"/>
  <c r="C2948" i="11"/>
  <c r="D2948" i="11"/>
  <c r="C2949" i="11"/>
  <c r="D2949" i="11"/>
  <c r="C2950" i="11"/>
  <c r="D2950" i="11"/>
  <c r="C2951" i="11"/>
  <c r="D2951" i="11"/>
  <c r="C2952" i="11"/>
  <c r="D2952" i="11"/>
  <c r="C2953" i="11"/>
  <c r="D2953" i="11"/>
  <c r="C2954" i="11"/>
  <c r="D2954" i="11"/>
  <c r="C2955" i="11"/>
  <c r="D2955" i="11"/>
  <c r="C2956" i="11"/>
  <c r="D2956" i="11"/>
  <c r="C2957" i="11"/>
  <c r="D2957" i="11"/>
  <c r="C2958" i="11"/>
  <c r="D2958" i="11"/>
  <c r="C2959" i="11"/>
  <c r="D2959" i="11"/>
  <c r="C2960" i="11"/>
  <c r="D2960" i="11"/>
  <c r="C2961" i="11"/>
  <c r="D2961" i="11"/>
  <c r="C2962" i="11"/>
  <c r="D2962" i="11"/>
  <c r="C2963" i="11"/>
  <c r="D2963" i="11"/>
  <c r="C2964" i="11"/>
  <c r="D2964" i="11"/>
  <c r="C2965" i="11"/>
  <c r="D2965" i="11"/>
  <c r="C2966" i="11"/>
  <c r="D2966" i="11"/>
  <c r="C2967" i="11"/>
  <c r="D2967" i="11"/>
  <c r="C2968" i="11"/>
  <c r="D2968" i="11"/>
  <c r="C2969" i="11"/>
  <c r="D2969" i="11"/>
  <c r="C2970" i="11"/>
  <c r="D2970" i="11"/>
  <c r="C2971" i="11"/>
  <c r="D2971" i="11"/>
  <c r="C2972" i="11"/>
  <c r="D2972" i="11"/>
  <c r="C2973" i="11"/>
  <c r="D2973" i="11"/>
  <c r="C2974" i="11"/>
  <c r="D2974" i="11"/>
  <c r="C2975" i="11"/>
  <c r="D2975" i="11"/>
  <c r="C2976" i="11"/>
  <c r="D2976" i="11"/>
  <c r="C2977" i="11"/>
  <c r="D2977" i="11"/>
  <c r="C2978" i="11"/>
  <c r="D2978" i="11"/>
  <c r="C2979" i="11"/>
  <c r="D2979" i="11"/>
  <c r="C2980" i="11"/>
  <c r="D2980" i="11"/>
  <c r="C2981" i="11"/>
  <c r="D2981" i="11"/>
  <c r="C2982" i="11"/>
  <c r="D2982" i="11"/>
  <c r="C2983" i="11"/>
  <c r="D2983" i="11"/>
  <c r="C2984" i="11"/>
  <c r="D2984" i="11"/>
  <c r="C2985" i="11"/>
  <c r="D2985" i="11"/>
  <c r="C2986" i="11"/>
  <c r="D2986" i="11"/>
  <c r="C2987" i="11"/>
  <c r="D2987" i="11"/>
  <c r="C2988" i="11"/>
  <c r="D2988" i="11"/>
  <c r="C2989" i="11"/>
  <c r="D2989" i="11"/>
  <c r="C2990" i="11"/>
  <c r="D2990" i="11"/>
  <c r="C2991" i="11"/>
  <c r="D2991" i="11"/>
  <c r="C2992" i="11"/>
  <c r="D2992" i="11"/>
  <c r="C2993" i="11"/>
  <c r="D2993" i="11"/>
  <c r="C2994" i="11"/>
  <c r="D2994" i="11"/>
  <c r="C2995" i="11"/>
  <c r="D2995" i="11"/>
  <c r="C2996" i="11"/>
  <c r="D2996" i="11"/>
  <c r="C2997" i="11"/>
  <c r="D2997" i="11"/>
  <c r="C2998" i="11"/>
  <c r="D2998" i="11"/>
  <c r="C2999" i="11"/>
  <c r="D2999" i="11"/>
  <c r="C3000" i="11"/>
  <c r="D3000" i="11"/>
  <c r="C3001" i="11"/>
  <c r="D3001" i="11"/>
  <c r="C3002" i="11"/>
  <c r="D3002" i="11"/>
  <c r="C3003" i="11"/>
  <c r="D3003" i="11"/>
  <c r="C3004" i="11"/>
  <c r="D3004" i="11"/>
  <c r="C3005" i="11"/>
  <c r="D3005" i="11"/>
  <c r="C3006" i="11"/>
  <c r="D3006" i="11"/>
  <c r="C3007" i="11"/>
  <c r="D3007" i="11"/>
  <c r="C3008" i="11"/>
  <c r="D3008" i="11"/>
  <c r="C3009" i="11"/>
  <c r="D3009" i="11"/>
  <c r="C3010" i="11"/>
  <c r="D3010" i="11"/>
  <c r="C3011" i="11"/>
  <c r="D3011" i="11"/>
  <c r="C3012" i="11"/>
  <c r="D3012" i="11"/>
  <c r="C3013" i="11"/>
  <c r="D3013" i="11"/>
  <c r="C3014" i="11"/>
  <c r="D3014" i="11"/>
  <c r="C3015" i="11"/>
  <c r="D3015" i="11"/>
  <c r="C3016" i="11"/>
  <c r="D3016" i="11"/>
  <c r="C3017" i="11"/>
  <c r="D3017" i="11"/>
  <c r="C3018" i="11"/>
  <c r="D3018" i="11"/>
  <c r="C3019" i="11"/>
  <c r="D3019" i="11"/>
  <c r="C3020" i="11"/>
  <c r="D3020" i="11"/>
  <c r="C3021" i="11"/>
  <c r="D3021" i="11"/>
  <c r="C3022" i="11"/>
  <c r="D3022" i="11"/>
  <c r="C3023" i="11"/>
  <c r="D3023" i="11"/>
  <c r="C3024" i="11"/>
  <c r="D3024" i="11"/>
  <c r="C3025" i="11"/>
  <c r="D3025" i="11"/>
  <c r="C3026" i="11"/>
  <c r="D3026" i="11"/>
  <c r="C3027" i="11"/>
  <c r="D3027" i="11"/>
  <c r="C3028" i="11"/>
  <c r="D3028" i="11"/>
  <c r="C3029" i="11"/>
  <c r="D3029" i="11"/>
  <c r="C3030" i="11"/>
  <c r="D3030" i="11"/>
  <c r="C3031" i="11"/>
  <c r="D3031" i="11"/>
  <c r="C3032" i="11"/>
  <c r="D3032" i="11"/>
  <c r="C3033" i="11"/>
  <c r="D3033" i="11"/>
  <c r="C3034" i="11"/>
  <c r="D3034" i="11"/>
  <c r="C3035" i="11"/>
  <c r="D3035" i="11"/>
  <c r="C3036" i="11"/>
  <c r="D3036" i="11"/>
  <c r="C3037" i="11"/>
  <c r="D3037" i="11"/>
  <c r="C3038" i="11"/>
  <c r="D3038" i="11"/>
  <c r="C3039" i="11"/>
  <c r="D3039" i="11"/>
  <c r="C3040" i="11"/>
  <c r="D3040" i="11"/>
  <c r="C3041" i="11"/>
  <c r="D3041" i="11"/>
  <c r="C3042" i="11"/>
  <c r="D3042" i="11"/>
  <c r="C3043" i="11"/>
  <c r="D3043" i="11"/>
  <c r="C3044" i="11"/>
  <c r="D3044" i="11"/>
  <c r="C3045" i="11"/>
  <c r="D3045" i="11"/>
  <c r="C3046" i="11"/>
  <c r="D3046" i="11"/>
  <c r="C3047" i="11"/>
  <c r="D3047" i="11"/>
  <c r="C3048" i="11"/>
  <c r="D3048" i="11"/>
  <c r="C3049" i="11"/>
  <c r="D3049" i="11"/>
  <c r="C3050" i="11"/>
  <c r="D3050" i="11"/>
  <c r="C3051" i="11"/>
  <c r="D3051" i="11"/>
  <c r="C3052" i="11"/>
  <c r="D3052" i="11"/>
  <c r="C3053" i="11"/>
  <c r="D3053" i="11"/>
  <c r="C3054" i="11"/>
  <c r="D3054" i="11"/>
  <c r="C3055" i="11"/>
  <c r="D3055" i="11"/>
  <c r="C3056" i="11"/>
  <c r="D3056" i="11"/>
  <c r="C3057" i="11"/>
  <c r="D3057" i="11"/>
  <c r="C3058" i="11"/>
  <c r="D3058" i="11"/>
  <c r="C3059" i="11"/>
  <c r="D3059" i="11"/>
  <c r="C3060" i="11"/>
  <c r="D3060" i="11"/>
  <c r="C3061" i="11"/>
  <c r="D3061" i="11"/>
  <c r="C3062" i="11"/>
  <c r="D3062" i="11"/>
  <c r="C3063" i="11"/>
  <c r="D3063" i="11"/>
  <c r="C3064" i="11"/>
  <c r="D3064" i="11"/>
  <c r="C3065" i="11"/>
  <c r="D3065" i="11"/>
  <c r="C3066" i="11"/>
  <c r="D3066" i="11"/>
  <c r="C3067" i="11"/>
  <c r="D3067" i="11"/>
  <c r="C3068" i="11"/>
  <c r="D3068" i="11"/>
  <c r="C3069" i="11"/>
  <c r="D3069" i="11"/>
  <c r="C3070" i="11"/>
  <c r="D3070" i="11"/>
  <c r="C3071" i="11"/>
  <c r="D3071" i="11"/>
  <c r="C3072" i="11"/>
  <c r="D3072" i="11"/>
  <c r="C3073" i="11"/>
  <c r="D3073" i="11"/>
  <c r="C3074" i="11"/>
  <c r="D3074" i="11"/>
  <c r="C3075" i="11"/>
  <c r="D3075" i="11"/>
  <c r="C3076" i="11"/>
  <c r="D3076" i="11"/>
  <c r="C3077" i="11"/>
  <c r="D3077" i="11"/>
  <c r="C3078" i="11"/>
  <c r="D3078" i="11"/>
  <c r="C3079" i="11"/>
  <c r="D3079" i="11"/>
  <c r="C3080" i="11"/>
  <c r="D3080" i="11"/>
  <c r="C3081" i="11"/>
  <c r="D3081" i="11"/>
  <c r="C3082" i="11"/>
  <c r="D3082" i="11"/>
  <c r="C3083" i="11"/>
  <c r="D3083" i="11"/>
  <c r="C3084" i="11"/>
  <c r="D3084" i="11"/>
  <c r="C3085" i="11"/>
  <c r="D3085" i="11"/>
  <c r="C3086" i="11"/>
  <c r="D3086" i="11"/>
  <c r="C3087" i="11"/>
  <c r="D3087" i="11"/>
  <c r="C3088" i="11"/>
  <c r="D3088" i="11"/>
  <c r="C3089" i="11"/>
  <c r="D3089" i="11"/>
  <c r="C3090" i="11"/>
  <c r="D3090" i="11"/>
  <c r="C3091" i="11"/>
  <c r="D3091" i="11"/>
  <c r="C3092" i="11"/>
  <c r="D3092" i="11"/>
  <c r="C3093" i="11"/>
  <c r="D3093" i="11"/>
  <c r="C3094" i="11"/>
  <c r="D3094" i="11"/>
  <c r="C3095" i="11"/>
  <c r="D3095" i="11"/>
  <c r="C3096" i="11"/>
  <c r="D3096" i="11"/>
  <c r="C3097" i="11"/>
  <c r="D3097" i="11"/>
  <c r="C3098" i="11"/>
  <c r="D3098" i="11"/>
  <c r="C3099" i="11"/>
  <c r="D3099" i="11"/>
  <c r="C3100" i="11"/>
  <c r="D3100" i="11"/>
  <c r="C3101" i="11"/>
  <c r="D3101" i="11"/>
  <c r="C3102" i="11"/>
  <c r="D3102" i="11"/>
  <c r="C3103" i="11"/>
  <c r="D3103" i="11"/>
  <c r="C3104" i="11"/>
  <c r="D3104" i="11"/>
  <c r="C3105" i="11"/>
  <c r="D3105" i="11"/>
  <c r="C3106" i="11"/>
  <c r="D3106" i="11"/>
  <c r="C3107" i="11"/>
  <c r="D3107" i="11"/>
  <c r="C3108" i="11"/>
  <c r="D3108" i="11"/>
  <c r="C3109" i="11"/>
  <c r="D3109" i="11"/>
  <c r="C3110" i="11"/>
  <c r="D3110" i="11"/>
  <c r="C3111" i="11"/>
  <c r="D3111" i="11"/>
  <c r="C3112" i="11"/>
  <c r="D3112" i="11"/>
  <c r="C3113" i="11"/>
  <c r="D3113" i="11"/>
  <c r="C3114" i="11"/>
  <c r="D3114" i="11"/>
  <c r="C3115" i="11"/>
  <c r="D3115" i="11"/>
  <c r="C3116" i="11"/>
  <c r="D3116" i="11"/>
  <c r="C3117" i="11"/>
  <c r="D3117" i="11"/>
  <c r="C3118" i="11"/>
  <c r="D3118" i="11"/>
  <c r="C3119" i="11"/>
  <c r="D3119" i="11"/>
  <c r="C3120" i="11"/>
  <c r="D3120" i="11"/>
  <c r="C3121" i="11"/>
  <c r="D3121" i="11"/>
  <c r="C3122" i="11"/>
  <c r="D3122" i="11"/>
  <c r="C3123" i="11"/>
  <c r="D3123" i="11"/>
  <c r="C3124" i="11"/>
  <c r="D3124" i="11"/>
  <c r="C3125" i="11"/>
  <c r="D3125" i="11"/>
  <c r="C3126" i="11"/>
  <c r="D3126" i="11"/>
  <c r="C3127" i="11"/>
  <c r="D3127" i="11"/>
  <c r="C3128" i="11"/>
  <c r="D3128" i="11"/>
  <c r="C3129" i="11"/>
  <c r="D3129" i="11"/>
  <c r="C3130" i="11"/>
  <c r="D3130" i="11"/>
  <c r="C3131" i="11"/>
  <c r="D3131" i="11"/>
  <c r="C3132" i="11"/>
  <c r="D3132" i="11"/>
  <c r="C3133" i="11"/>
  <c r="D3133" i="11"/>
  <c r="C3134" i="11"/>
  <c r="D3134" i="11"/>
  <c r="C3135" i="11"/>
  <c r="D3135" i="11"/>
  <c r="C3136" i="11"/>
  <c r="D3136" i="11"/>
  <c r="C3137" i="11"/>
  <c r="D3137" i="11"/>
  <c r="C3138" i="11"/>
  <c r="D3138" i="11"/>
  <c r="C3139" i="11"/>
  <c r="D3139" i="11"/>
  <c r="C3140" i="11"/>
  <c r="D3140" i="11"/>
  <c r="C3141" i="11"/>
  <c r="D3141" i="11"/>
  <c r="C3142" i="11"/>
  <c r="D3142" i="11"/>
  <c r="C3143" i="11"/>
  <c r="D3143" i="11"/>
  <c r="C3144" i="11"/>
  <c r="D3144" i="11"/>
  <c r="C3145" i="11"/>
  <c r="D3145" i="11"/>
  <c r="C3146" i="11"/>
  <c r="D3146" i="11"/>
  <c r="C3147" i="11"/>
  <c r="D3147" i="11"/>
  <c r="C3148" i="11"/>
  <c r="D3148" i="11"/>
  <c r="C3149" i="11"/>
  <c r="D3149" i="11"/>
  <c r="C3150" i="11"/>
  <c r="D3150" i="11"/>
  <c r="C3151" i="11"/>
  <c r="D3151" i="11"/>
  <c r="C3152" i="11"/>
  <c r="D3152" i="11"/>
  <c r="C3153" i="11"/>
  <c r="D3153" i="11"/>
  <c r="C3154" i="11"/>
  <c r="D3154" i="11"/>
  <c r="C3155" i="11"/>
  <c r="D3155" i="11"/>
  <c r="C3156" i="11"/>
  <c r="D3156" i="11"/>
  <c r="C3157" i="11"/>
  <c r="D3157" i="11"/>
  <c r="C3158" i="11"/>
  <c r="D3158" i="11"/>
  <c r="C3159" i="11"/>
  <c r="D3159" i="11"/>
  <c r="C3160" i="11"/>
  <c r="D3160" i="11"/>
  <c r="C3161" i="11"/>
  <c r="D3161" i="11"/>
  <c r="C3162" i="11"/>
  <c r="D3162" i="11"/>
  <c r="C3163" i="11"/>
  <c r="D3163" i="11"/>
  <c r="C3164" i="11"/>
  <c r="D3164" i="11"/>
  <c r="C3165" i="11"/>
  <c r="D3165" i="11"/>
  <c r="C3166" i="11"/>
  <c r="D3166" i="11"/>
  <c r="C3167" i="11"/>
  <c r="D3167" i="11"/>
  <c r="C3168" i="11"/>
  <c r="D3168" i="11"/>
  <c r="C3169" i="11"/>
  <c r="D3169" i="11"/>
  <c r="C3170" i="11"/>
  <c r="D3170" i="11"/>
  <c r="C3171" i="11"/>
  <c r="D3171" i="11"/>
  <c r="C3172" i="11"/>
  <c r="D3172" i="11"/>
  <c r="C3173" i="11"/>
  <c r="D3173" i="11"/>
  <c r="C3174" i="11"/>
  <c r="D3174" i="11"/>
  <c r="C3175" i="11"/>
  <c r="D3175" i="11"/>
  <c r="C3176" i="11"/>
  <c r="D3176" i="11"/>
  <c r="C3177" i="11"/>
  <c r="D3177" i="11"/>
  <c r="C3178" i="11"/>
  <c r="D3178" i="11"/>
  <c r="C3179" i="11"/>
  <c r="D3179" i="11"/>
  <c r="C3180" i="11"/>
  <c r="D3180" i="11"/>
  <c r="C3181" i="11"/>
  <c r="D3181" i="11"/>
  <c r="C3182" i="11"/>
  <c r="D3182" i="11"/>
  <c r="C3183" i="11"/>
  <c r="D3183" i="11"/>
  <c r="C3184" i="11"/>
  <c r="D3184" i="11"/>
  <c r="C3185" i="11"/>
  <c r="D3185" i="11"/>
  <c r="C3186" i="11"/>
  <c r="D3186" i="11"/>
  <c r="C3187" i="11"/>
  <c r="D3187" i="11"/>
  <c r="C3188" i="11"/>
  <c r="D3188" i="11"/>
  <c r="C3189" i="11"/>
  <c r="D3189" i="11"/>
  <c r="C3190" i="11"/>
  <c r="D3190" i="11"/>
  <c r="C3191" i="11"/>
  <c r="D3191" i="11"/>
  <c r="C3192" i="11"/>
  <c r="D3192" i="11"/>
  <c r="C3193" i="11"/>
  <c r="D3193" i="11"/>
  <c r="C3194" i="11"/>
  <c r="D3194" i="11"/>
  <c r="C3195" i="11"/>
  <c r="D3195" i="11"/>
  <c r="C3196" i="11"/>
  <c r="D3196" i="11"/>
  <c r="C3197" i="11"/>
  <c r="D3197" i="11"/>
  <c r="C3198" i="11"/>
  <c r="D3198" i="11"/>
  <c r="C3199" i="11"/>
  <c r="D3199" i="11"/>
  <c r="C3200" i="11"/>
  <c r="D3200" i="11"/>
  <c r="C3201" i="11"/>
  <c r="D3201" i="11"/>
  <c r="C3202" i="11"/>
  <c r="D3202" i="11"/>
  <c r="C3203" i="11"/>
  <c r="D3203" i="11"/>
  <c r="C3204" i="11"/>
  <c r="D3204" i="11"/>
  <c r="C3205" i="11"/>
  <c r="D3205" i="11"/>
  <c r="C3206" i="11"/>
  <c r="D3206" i="11"/>
  <c r="C3207" i="11"/>
  <c r="D3207" i="11"/>
  <c r="C3208" i="11"/>
  <c r="D3208" i="11"/>
  <c r="C3209" i="11"/>
  <c r="D3209" i="11"/>
  <c r="C3210" i="11"/>
  <c r="D3210" i="11"/>
  <c r="C3211" i="11"/>
  <c r="D3211" i="11"/>
  <c r="C3212" i="11"/>
  <c r="D3212" i="11"/>
  <c r="C3213" i="11"/>
  <c r="D3213" i="11"/>
  <c r="C3214" i="11"/>
  <c r="D3214" i="11"/>
  <c r="C3215" i="11"/>
  <c r="D3215" i="11"/>
  <c r="C3216" i="11"/>
  <c r="D3216" i="11"/>
  <c r="C3217" i="11"/>
  <c r="D3217" i="11"/>
  <c r="C3218" i="11"/>
  <c r="D3218" i="11"/>
  <c r="C3219" i="11"/>
  <c r="D3219" i="11"/>
  <c r="C3220" i="11"/>
  <c r="D3220" i="11"/>
  <c r="C3221" i="11"/>
  <c r="D3221" i="11"/>
  <c r="C3222" i="11"/>
  <c r="D3222" i="11"/>
  <c r="C3223" i="11"/>
  <c r="D3223" i="11"/>
  <c r="C3224" i="11"/>
  <c r="D3224" i="11"/>
  <c r="C3225" i="11"/>
  <c r="D3225" i="11"/>
  <c r="C3226" i="11"/>
  <c r="D3226" i="11"/>
  <c r="C3227" i="11"/>
  <c r="D3227" i="11"/>
  <c r="C3228" i="11"/>
  <c r="D3228" i="11"/>
  <c r="C3229" i="11"/>
  <c r="D3229" i="11"/>
  <c r="C3230" i="11"/>
  <c r="D3230" i="11"/>
  <c r="C3231" i="11"/>
  <c r="D3231" i="11"/>
  <c r="C3232" i="11"/>
  <c r="D3232" i="11"/>
  <c r="C3233" i="11"/>
  <c r="D3233" i="11"/>
  <c r="C3234" i="11"/>
  <c r="D3234" i="11"/>
  <c r="C3235" i="11"/>
  <c r="D3235" i="11"/>
  <c r="C3236" i="11"/>
  <c r="D3236" i="11"/>
  <c r="C3237" i="11"/>
  <c r="D3237" i="11"/>
  <c r="C3238" i="11"/>
  <c r="D3238" i="11"/>
  <c r="C3239" i="11"/>
  <c r="D3239" i="11"/>
  <c r="C3240" i="11"/>
  <c r="D3240" i="11"/>
  <c r="C3241" i="11"/>
  <c r="D3241" i="11"/>
  <c r="C3242" i="11"/>
  <c r="D3242" i="11"/>
  <c r="C3243" i="11"/>
  <c r="D3243" i="11"/>
  <c r="C3244" i="11"/>
  <c r="D3244" i="11"/>
  <c r="C3245" i="11"/>
  <c r="D3245" i="11"/>
  <c r="C3246" i="11"/>
  <c r="D3246" i="11"/>
  <c r="C3247" i="11"/>
  <c r="D3247" i="11"/>
  <c r="C3248" i="11"/>
  <c r="D3248" i="11"/>
  <c r="C3249" i="11"/>
  <c r="D3249" i="11"/>
  <c r="C3250" i="11"/>
  <c r="D3250" i="11"/>
  <c r="C3251" i="11"/>
  <c r="D3251" i="11"/>
  <c r="C3252" i="11"/>
  <c r="D3252" i="11"/>
  <c r="C3253" i="11"/>
  <c r="D3253" i="11"/>
  <c r="C3254" i="11"/>
  <c r="D3254" i="11"/>
  <c r="C3255" i="11"/>
  <c r="D3255" i="11"/>
  <c r="C3256" i="11"/>
  <c r="D3256" i="11"/>
  <c r="C3257" i="11"/>
  <c r="D3257" i="11"/>
  <c r="C3258" i="11"/>
  <c r="D3258" i="11"/>
  <c r="C3259" i="11"/>
  <c r="D3259" i="11"/>
  <c r="C3260" i="11"/>
  <c r="D3260" i="11"/>
  <c r="C3261" i="11"/>
  <c r="D3261" i="11"/>
  <c r="C3262" i="11"/>
  <c r="D3262" i="11"/>
  <c r="C3263" i="11"/>
  <c r="D3263" i="11"/>
  <c r="C3264" i="11"/>
  <c r="D3264" i="11"/>
  <c r="C3265" i="11"/>
  <c r="D3265" i="11"/>
  <c r="C3266" i="11"/>
  <c r="D3266" i="11"/>
  <c r="C3267" i="11"/>
  <c r="D3267" i="11"/>
  <c r="C3268" i="11"/>
  <c r="D3268" i="11"/>
  <c r="C3269" i="11"/>
  <c r="D3269" i="11"/>
  <c r="C3270" i="11"/>
  <c r="D3270" i="11"/>
  <c r="C3271" i="11"/>
  <c r="D3271" i="11"/>
  <c r="C3272" i="11"/>
  <c r="D3272" i="11"/>
  <c r="C3273" i="11"/>
  <c r="D3273" i="11"/>
  <c r="C3274" i="11"/>
  <c r="D3274" i="11"/>
  <c r="C3275" i="11"/>
  <c r="D3275" i="11"/>
  <c r="C3276" i="11"/>
  <c r="D3276" i="11"/>
  <c r="C3277" i="11"/>
  <c r="D3277" i="11"/>
  <c r="C3278" i="11"/>
  <c r="D3278" i="11"/>
  <c r="C3279" i="11"/>
  <c r="D3279" i="11"/>
  <c r="C3280" i="11"/>
  <c r="D3280" i="11"/>
  <c r="C3281" i="11"/>
  <c r="D3281" i="11"/>
  <c r="C3282" i="11"/>
  <c r="D3282" i="11"/>
  <c r="C3283" i="11"/>
  <c r="D3283" i="11"/>
  <c r="C3284" i="11"/>
  <c r="D3284" i="11"/>
  <c r="C3285" i="11"/>
  <c r="D3285" i="11"/>
  <c r="C3286" i="11"/>
  <c r="D3286" i="11"/>
  <c r="C3287" i="11"/>
  <c r="D3287" i="11"/>
  <c r="C3288" i="11"/>
  <c r="D3288" i="11"/>
  <c r="C3289" i="11"/>
  <c r="D3289" i="11"/>
  <c r="C3290" i="11"/>
  <c r="D3290" i="11"/>
  <c r="C3291" i="11"/>
  <c r="D3291" i="11"/>
  <c r="C3292" i="11"/>
  <c r="D3292" i="11"/>
  <c r="C3293" i="11"/>
  <c r="D3293" i="11"/>
  <c r="C3294" i="11"/>
  <c r="D3294" i="11"/>
  <c r="C3295" i="11"/>
  <c r="D3295" i="11"/>
  <c r="C3296" i="11"/>
  <c r="D3296" i="11"/>
  <c r="C3297" i="11"/>
  <c r="D3297" i="11"/>
  <c r="C3298" i="11"/>
  <c r="D3298" i="11"/>
  <c r="C3299" i="11"/>
  <c r="D3299" i="11"/>
  <c r="C3300" i="11"/>
  <c r="D3300" i="11"/>
  <c r="C3301" i="11"/>
  <c r="D3301" i="11"/>
  <c r="C3302" i="11"/>
  <c r="D3302" i="11"/>
  <c r="C3303" i="11"/>
  <c r="D3303" i="11"/>
  <c r="C3304" i="11"/>
  <c r="D3304" i="11"/>
  <c r="C3305" i="11"/>
  <c r="D3305" i="11"/>
  <c r="C3306" i="11"/>
  <c r="D3306" i="11"/>
  <c r="C3307" i="11"/>
  <c r="D3307" i="11"/>
  <c r="C3308" i="11"/>
  <c r="D3308" i="11"/>
  <c r="C3309" i="11"/>
  <c r="D3309" i="11"/>
  <c r="C3310" i="11"/>
  <c r="D3310" i="11"/>
  <c r="C3311" i="11"/>
  <c r="D3311" i="11"/>
  <c r="C3312" i="11"/>
  <c r="D3312" i="11"/>
  <c r="C3313" i="11"/>
  <c r="D3313" i="11"/>
  <c r="C3314" i="11"/>
  <c r="D3314" i="11"/>
  <c r="C3315" i="11"/>
  <c r="D3315" i="11"/>
  <c r="C3316" i="11"/>
  <c r="D3316" i="11"/>
  <c r="C3317" i="11"/>
  <c r="D3317" i="11"/>
  <c r="C3318" i="11"/>
  <c r="D3318" i="11"/>
  <c r="C3319" i="11"/>
  <c r="D3319" i="11"/>
  <c r="C3320" i="11"/>
  <c r="D3320" i="11"/>
  <c r="C3321" i="11"/>
  <c r="D3321" i="11"/>
  <c r="C3322" i="11"/>
  <c r="D3322" i="11"/>
  <c r="C3323" i="11"/>
  <c r="D3323" i="11"/>
  <c r="C3324" i="11"/>
  <c r="D3324" i="11"/>
  <c r="C3325" i="11"/>
  <c r="D3325" i="11"/>
  <c r="C3326" i="11"/>
  <c r="D3326" i="11"/>
  <c r="C3327" i="11"/>
  <c r="D3327" i="11"/>
  <c r="C3328" i="11"/>
  <c r="D3328" i="11"/>
  <c r="C3329" i="11"/>
  <c r="D3329" i="11"/>
  <c r="C3330" i="11"/>
  <c r="D3330" i="11"/>
  <c r="C3331" i="11"/>
  <c r="D3331" i="11"/>
  <c r="C3332" i="11"/>
  <c r="D3332" i="11"/>
  <c r="C3333" i="11"/>
  <c r="D3333" i="11"/>
  <c r="C3334" i="11"/>
  <c r="D3334" i="11"/>
  <c r="C3335" i="11"/>
  <c r="D3335" i="11"/>
  <c r="C3336" i="11"/>
  <c r="D3336" i="11"/>
  <c r="C3337" i="11"/>
  <c r="D3337" i="11"/>
  <c r="C3338" i="11"/>
  <c r="D3338" i="11"/>
  <c r="C3339" i="11"/>
  <c r="D3339" i="11"/>
  <c r="C3340" i="11"/>
  <c r="D3340" i="11"/>
  <c r="C3341" i="11"/>
  <c r="D3341" i="11"/>
  <c r="C3342" i="11"/>
  <c r="D3342" i="11"/>
  <c r="C3343" i="11"/>
  <c r="D3343" i="11"/>
  <c r="C3344" i="11"/>
  <c r="D3344" i="11"/>
  <c r="C3345" i="11"/>
  <c r="D3345" i="11"/>
  <c r="C3346" i="11"/>
  <c r="D3346" i="11"/>
  <c r="C3347" i="11"/>
  <c r="D3347" i="11"/>
  <c r="C3348" i="11"/>
  <c r="D3348" i="11"/>
  <c r="C3349" i="11"/>
  <c r="D3349" i="11"/>
  <c r="C3350" i="11"/>
  <c r="D3350" i="11"/>
  <c r="C3351" i="11"/>
  <c r="D3351" i="11"/>
  <c r="C3352" i="11"/>
  <c r="D3352" i="11"/>
  <c r="C3353" i="11"/>
  <c r="D3353" i="11"/>
  <c r="C3354" i="11"/>
  <c r="D3354" i="11"/>
  <c r="C3355" i="11"/>
  <c r="D3355" i="11"/>
  <c r="C3356" i="11"/>
  <c r="D3356" i="11"/>
  <c r="C3357" i="11"/>
  <c r="D3357" i="11"/>
  <c r="C3358" i="11"/>
  <c r="D3358" i="11"/>
  <c r="C3359" i="11"/>
  <c r="D3359" i="11"/>
  <c r="C3360" i="11"/>
  <c r="D3360" i="11"/>
  <c r="C3361" i="11"/>
  <c r="D3361" i="11"/>
  <c r="C3362" i="11"/>
  <c r="D3362" i="11"/>
  <c r="C3363" i="11"/>
  <c r="D3363" i="11"/>
  <c r="C3364" i="11"/>
  <c r="D3364" i="11"/>
  <c r="C3365" i="11"/>
  <c r="D3365" i="11"/>
  <c r="C3366" i="11"/>
  <c r="D3366" i="11"/>
  <c r="C3367" i="11"/>
  <c r="D3367" i="11"/>
  <c r="C3368" i="11"/>
  <c r="D3368" i="11"/>
  <c r="C3369" i="11"/>
  <c r="D3369" i="11"/>
  <c r="C3370" i="11"/>
  <c r="D3370" i="11"/>
  <c r="C3371" i="11"/>
  <c r="D3371" i="11"/>
  <c r="C3372" i="11"/>
  <c r="D3372" i="11"/>
  <c r="C3373" i="11"/>
  <c r="D3373" i="11"/>
  <c r="C3374" i="11"/>
  <c r="D3374" i="11"/>
  <c r="C3375" i="11"/>
  <c r="D3375" i="11"/>
  <c r="C3376" i="11"/>
  <c r="D3376" i="11"/>
  <c r="C3377" i="11"/>
  <c r="D3377" i="11"/>
  <c r="C3378" i="11"/>
  <c r="D3378" i="11"/>
  <c r="C3379" i="11"/>
  <c r="D3379" i="11"/>
  <c r="C3380" i="11"/>
  <c r="D3380" i="11"/>
  <c r="C3381" i="11"/>
  <c r="D3381" i="11"/>
  <c r="C3382" i="11"/>
  <c r="D3382" i="11"/>
  <c r="C3383" i="11"/>
  <c r="D3383" i="11"/>
  <c r="C3384" i="11"/>
  <c r="D3384" i="11"/>
  <c r="C3385" i="11"/>
  <c r="D3385" i="11"/>
  <c r="C3386" i="11"/>
  <c r="D3386" i="11"/>
  <c r="C3387" i="11"/>
  <c r="D3387" i="11"/>
  <c r="C3388" i="11"/>
  <c r="D3388" i="11"/>
  <c r="C3389" i="11"/>
  <c r="D3389" i="11"/>
  <c r="C3390" i="11"/>
  <c r="D3390" i="11"/>
  <c r="C3391" i="11"/>
  <c r="D3391" i="11"/>
  <c r="C3392" i="11"/>
  <c r="D3392" i="11"/>
  <c r="C3393" i="11"/>
  <c r="D3393" i="11"/>
  <c r="C3394" i="11"/>
  <c r="D3394" i="11"/>
  <c r="C3395" i="11"/>
  <c r="D3395" i="11"/>
  <c r="C3396" i="11"/>
  <c r="D3396" i="11"/>
  <c r="C3397" i="11"/>
  <c r="D3397" i="11"/>
  <c r="C3398" i="11"/>
  <c r="D3398" i="11"/>
  <c r="C3399" i="11"/>
  <c r="D3399" i="11"/>
  <c r="C3400" i="11"/>
  <c r="D3400" i="11"/>
  <c r="C3401" i="11"/>
  <c r="D3401" i="11"/>
  <c r="C3402" i="11"/>
  <c r="D3402" i="11"/>
  <c r="C3403" i="11"/>
  <c r="D3403" i="11"/>
  <c r="C3404" i="11"/>
  <c r="D3404" i="11"/>
  <c r="C3405" i="11"/>
  <c r="D3405" i="11"/>
  <c r="C3406" i="11"/>
  <c r="D3406" i="11"/>
  <c r="C3407" i="11"/>
  <c r="D3407" i="11"/>
  <c r="C3408" i="11"/>
  <c r="D3408" i="11"/>
  <c r="C3409" i="11"/>
  <c r="D3409" i="11"/>
  <c r="C3410" i="11"/>
  <c r="D3410" i="11"/>
  <c r="C3411" i="11"/>
  <c r="D3411" i="11"/>
  <c r="C3412" i="11"/>
  <c r="D3412" i="11"/>
  <c r="C3413" i="11"/>
  <c r="D3413" i="11"/>
  <c r="C3414" i="11"/>
  <c r="D3414" i="11"/>
  <c r="C3415" i="11"/>
  <c r="D3415" i="11"/>
  <c r="C3416" i="11"/>
  <c r="D3416" i="11"/>
  <c r="C3417" i="11"/>
  <c r="D3417" i="11"/>
  <c r="C3418" i="11"/>
  <c r="D3418" i="11"/>
  <c r="C3419" i="11"/>
  <c r="D3419" i="11"/>
  <c r="C3420" i="11"/>
  <c r="D3420" i="11"/>
  <c r="C3421" i="11"/>
  <c r="D3421" i="11"/>
  <c r="C3422" i="11"/>
  <c r="D3422" i="11"/>
  <c r="C3423" i="11"/>
  <c r="D3423" i="11"/>
  <c r="C3424" i="11"/>
  <c r="D3424" i="11"/>
  <c r="C3425" i="11"/>
  <c r="D3425" i="11"/>
  <c r="C3426" i="11"/>
  <c r="D3426" i="11"/>
  <c r="C3427" i="11"/>
  <c r="D3427" i="11"/>
  <c r="C3428" i="11"/>
  <c r="D3428" i="11"/>
  <c r="C3429" i="11"/>
  <c r="D3429" i="11"/>
  <c r="C3430" i="11"/>
  <c r="D3430" i="11"/>
  <c r="C3431" i="11"/>
  <c r="D3431" i="11"/>
  <c r="C3432" i="11"/>
  <c r="D3432" i="11"/>
  <c r="C3433" i="11"/>
  <c r="D3433" i="11"/>
  <c r="C3434" i="11"/>
  <c r="D3434" i="11"/>
  <c r="C3435" i="11"/>
  <c r="D3435" i="11"/>
  <c r="C3436" i="11"/>
  <c r="D3436" i="11"/>
  <c r="C3437" i="11"/>
  <c r="D3437" i="11"/>
  <c r="C3438" i="11"/>
  <c r="D3438" i="11"/>
  <c r="C3439" i="11"/>
  <c r="D3439" i="11"/>
  <c r="C3440" i="11"/>
  <c r="D3440" i="11"/>
  <c r="C3441" i="11"/>
  <c r="D3441" i="11"/>
  <c r="C3442" i="11"/>
  <c r="D3442" i="11"/>
  <c r="C3443" i="11"/>
  <c r="D3443" i="11"/>
  <c r="C3444" i="11"/>
  <c r="D3444" i="11"/>
  <c r="C3445" i="11"/>
  <c r="D3445" i="11"/>
  <c r="C3446" i="11"/>
  <c r="D3446" i="11"/>
  <c r="C3447" i="11"/>
  <c r="D3447" i="11"/>
  <c r="C3448" i="11"/>
  <c r="D3448" i="11"/>
  <c r="C3449" i="11"/>
  <c r="D3449" i="11"/>
  <c r="C3450" i="11"/>
  <c r="D3450" i="11"/>
  <c r="C3451" i="11"/>
  <c r="D3451" i="11"/>
  <c r="C3452" i="11"/>
  <c r="D3452" i="11"/>
  <c r="C3453" i="11"/>
  <c r="D3453" i="11"/>
  <c r="C3454" i="11"/>
  <c r="D3454" i="11"/>
  <c r="C3455" i="11"/>
  <c r="D3455" i="11"/>
  <c r="C3456" i="11"/>
  <c r="D3456" i="11"/>
  <c r="C3457" i="11"/>
  <c r="D3457" i="11"/>
  <c r="C3458" i="11"/>
  <c r="D3458" i="11"/>
  <c r="C3459" i="11"/>
  <c r="D3459" i="11"/>
  <c r="C3460" i="11"/>
  <c r="D3460" i="11"/>
  <c r="C3461" i="11"/>
  <c r="D3461" i="11"/>
  <c r="C3462" i="11"/>
  <c r="D3462" i="11"/>
  <c r="C3463" i="11"/>
  <c r="D3463" i="11"/>
  <c r="C3464" i="11"/>
  <c r="D3464" i="11"/>
  <c r="C3465" i="11"/>
  <c r="D3465" i="11"/>
  <c r="C3466" i="11"/>
  <c r="D3466" i="11"/>
  <c r="C3467" i="11"/>
  <c r="D3467" i="11"/>
  <c r="C3468" i="11"/>
  <c r="D3468" i="11"/>
  <c r="C3469" i="11"/>
  <c r="D3469" i="11"/>
  <c r="C3470" i="11"/>
  <c r="D3470" i="11"/>
  <c r="C3471" i="11"/>
  <c r="D3471" i="11"/>
  <c r="C3472" i="11"/>
  <c r="D3472" i="11"/>
  <c r="C3473" i="11"/>
  <c r="D3473" i="11"/>
  <c r="C3474" i="11"/>
  <c r="D3474" i="11"/>
  <c r="C3475" i="11"/>
  <c r="D3475" i="11"/>
  <c r="C3476" i="11"/>
  <c r="D3476" i="11"/>
  <c r="C3477" i="11"/>
  <c r="D3477" i="11"/>
  <c r="C3478" i="11"/>
  <c r="D3478" i="11"/>
  <c r="C3479" i="11"/>
  <c r="D3479" i="11"/>
  <c r="C3480" i="11"/>
  <c r="D3480" i="11"/>
  <c r="C3481" i="11"/>
  <c r="D3481" i="11"/>
  <c r="C3482" i="11"/>
  <c r="D3482" i="11"/>
  <c r="C3483" i="11"/>
  <c r="D3483" i="11"/>
  <c r="C3484" i="11"/>
  <c r="D3484" i="11"/>
  <c r="C3485" i="11"/>
  <c r="D3485" i="11"/>
  <c r="C3486" i="11"/>
  <c r="D3486" i="11"/>
  <c r="C3487" i="11"/>
  <c r="D3487" i="11"/>
  <c r="C3488" i="11"/>
  <c r="D3488" i="11"/>
  <c r="C3489" i="11"/>
  <c r="D3489" i="11"/>
  <c r="C3490" i="11"/>
  <c r="D3490" i="11"/>
  <c r="C3491" i="11"/>
  <c r="D3491" i="11"/>
  <c r="C3492" i="11"/>
  <c r="D3492" i="11"/>
  <c r="C3493" i="11"/>
  <c r="D3493" i="11"/>
  <c r="C3494" i="11"/>
  <c r="D3494" i="11"/>
  <c r="C3495" i="11"/>
  <c r="D3495" i="11"/>
  <c r="C3496" i="11"/>
  <c r="D3496" i="11"/>
  <c r="C3497" i="11"/>
  <c r="D3497" i="11"/>
  <c r="C3498" i="11"/>
  <c r="D3498" i="11"/>
  <c r="C3499" i="11"/>
  <c r="D3499" i="11"/>
  <c r="C3500" i="11"/>
  <c r="D3500" i="11"/>
  <c r="C3501" i="11"/>
  <c r="D3501" i="11"/>
  <c r="C3502" i="11"/>
  <c r="D3502" i="11"/>
  <c r="C3503" i="11"/>
  <c r="D3503" i="11"/>
  <c r="C3504" i="11"/>
  <c r="D3504" i="11"/>
  <c r="C3505" i="11"/>
  <c r="D3505" i="11"/>
  <c r="C3506" i="11"/>
  <c r="D3506" i="11"/>
  <c r="C3507" i="11"/>
  <c r="D3507" i="11"/>
  <c r="C3508" i="11"/>
  <c r="D3508" i="11"/>
  <c r="C3509" i="11"/>
  <c r="D3509" i="11"/>
  <c r="C3510" i="11"/>
  <c r="D3510" i="11"/>
  <c r="C3511" i="11"/>
  <c r="D3511" i="11"/>
  <c r="C3512" i="11"/>
  <c r="D3512" i="11"/>
  <c r="C3513" i="11"/>
  <c r="D3513" i="11"/>
  <c r="C3514" i="11"/>
  <c r="D3514" i="11"/>
  <c r="C3515" i="11"/>
  <c r="D3515" i="11"/>
  <c r="C3516" i="11"/>
  <c r="D3516" i="11"/>
  <c r="C3517" i="11"/>
  <c r="D3517" i="11"/>
  <c r="C3518" i="11"/>
  <c r="D3518" i="11"/>
  <c r="C3519" i="11"/>
  <c r="D3519" i="11"/>
  <c r="C3520" i="11"/>
  <c r="D3520" i="11"/>
  <c r="C3521" i="11"/>
  <c r="D3521" i="11"/>
  <c r="C3522" i="11"/>
  <c r="D3522" i="11"/>
  <c r="C3523" i="11"/>
  <c r="D3523" i="11"/>
  <c r="C3524" i="11"/>
  <c r="D3524" i="11"/>
  <c r="C3525" i="11"/>
  <c r="D3525" i="11"/>
  <c r="C3526" i="11"/>
  <c r="D3526" i="11"/>
  <c r="C3527" i="11"/>
  <c r="D3527" i="11"/>
  <c r="C3528" i="11"/>
  <c r="D3528" i="11"/>
  <c r="C3529" i="11"/>
  <c r="D3529" i="11"/>
  <c r="C3530" i="11"/>
  <c r="D3530" i="11"/>
  <c r="C3531" i="11"/>
  <c r="D3531" i="11"/>
  <c r="C3532" i="11"/>
  <c r="D3532" i="11"/>
  <c r="C3533" i="11"/>
  <c r="D3533" i="11"/>
  <c r="C3534" i="11"/>
  <c r="D3534" i="11"/>
  <c r="C3535" i="11"/>
  <c r="D3535" i="11"/>
  <c r="C3536" i="11"/>
  <c r="D3536" i="11"/>
  <c r="C3537" i="11"/>
  <c r="D3537" i="11"/>
  <c r="C3538" i="11"/>
  <c r="D3538" i="11"/>
  <c r="C3539" i="11"/>
  <c r="D3539" i="11"/>
  <c r="C3540" i="11"/>
  <c r="D3540" i="11"/>
  <c r="C3541" i="11"/>
  <c r="D3541" i="11"/>
  <c r="C3542" i="11"/>
  <c r="D3542" i="11"/>
  <c r="C3543" i="11"/>
  <c r="D3543" i="11"/>
  <c r="C3544" i="11"/>
  <c r="D3544" i="11"/>
  <c r="C3545" i="11"/>
  <c r="D3545" i="11"/>
  <c r="C3546" i="11"/>
  <c r="D3546" i="11"/>
  <c r="C3547" i="11"/>
  <c r="D3547" i="11"/>
  <c r="C3548" i="11"/>
  <c r="D3548" i="11"/>
  <c r="C3549" i="11"/>
  <c r="D3549" i="11"/>
  <c r="C3550" i="11"/>
  <c r="D3550" i="11"/>
  <c r="C3551" i="11"/>
  <c r="D3551" i="11"/>
  <c r="C3552" i="11"/>
  <c r="D3552" i="11"/>
  <c r="C3553" i="11"/>
  <c r="D3553" i="11"/>
  <c r="C3554" i="11"/>
  <c r="D3554" i="11"/>
  <c r="C3555" i="11"/>
  <c r="D3555" i="11"/>
  <c r="C3556" i="11"/>
  <c r="D3556" i="11"/>
  <c r="C3557" i="11"/>
  <c r="D3557" i="11"/>
  <c r="C3558" i="11"/>
  <c r="D3558" i="11"/>
  <c r="C3559" i="11"/>
  <c r="D3559" i="11"/>
  <c r="C3560" i="11"/>
  <c r="D3560" i="11"/>
  <c r="C3561" i="11"/>
  <c r="D3561" i="11"/>
  <c r="C3562" i="11"/>
  <c r="D3562" i="11"/>
  <c r="C3563" i="11"/>
  <c r="D3563" i="11"/>
  <c r="C3564" i="11"/>
  <c r="D3564" i="11"/>
  <c r="C3565" i="11"/>
  <c r="D3565" i="11"/>
  <c r="C3566" i="11"/>
  <c r="D3566" i="11"/>
  <c r="C3567" i="11"/>
  <c r="D3567" i="11"/>
  <c r="C3568" i="11"/>
  <c r="D3568" i="11"/>
  <c r="C3569" i="11"/>
  <c r="D3569" i="11"/>
  <c r="C3570" i="11"/>
  <c r="D3570" i="11"/>
  <c r="C3571" i="11"/>
  <c r="D3571" i="11"/>
  <c r="C3572" i="11"/>
  <c r="D3572" i="11"/>
  <c r="C3573" i="11"/>
  <c r="D3573" i="11"/>
  <c r="C3574" i="11"/>
  <c r="D3574" i="11"/>
  <c r="C3575" i="11"/>
  <c r="D3575" i="11"/>
  <c r="C3576" i="11"/>
  <c r="D3576" i="11"/>
  <c r="C3577" i="11"/>
  <c r="D3577" i="11"/>
  <c r="C3578" i="11"/>
  <c r="D3578" i="11"/>
  <c r="C3579" i="11"/>
  <c r="D3579" i="11"/>
  <c r="C3580" i="11"/>
  <c r="D3580" i="11"/>
  <c r="C3581" i="11"/>
  <c r="D3581" i="11"/>
  <c r="C3582" i="11"/>
  <c r="D3582" i="11"/>
  <c r="C3583" i="11"/>
  <c r="D3583" i="11"/>
  <c r="C3584" i="11"/>
  <c r="D3584" i="11"/>
  <c r="C3585" i="11"/>
  <c r="D3585" i="11"/>
  <c r="C3586" i="11"/>
  <c r="D3586" i="11"/>
  <c r="C3587" i="11"/>
  <c r="D3587" i="11"/>
  <c r="C3588" i="11"/>
  <c r="D3588" i="11"/>
  <c r="C3589" i="11"/>
  <c r="D3589" i="11"/>
  <c r="C3590" i="11"/>
  <c r="D3590" i="11"/>
  <c r="C3591" i="11"/>
  <c r="D3591" i="11"/>
  <c r="C3592" i="11"/>
  <c r="D3592" i="11"/>
  <c r="C3593" i="11"/>
  <c r="D3593" i="11"/>
  <c r="C3594" i="11"/>
  <c r="D3594" i="11"/>
  <c r="C3595" i="11"/>
  <c r="D3595" i="11"/>
  <c r="C3596" i="11"/>
  <c r="D3596" i="11"/>
  <c r="C3597" i="11"/>
  <c r="D3597" i="11"/>
  <c r="C3598" i="11"/>
  <c r="D3598" i="11"/>
  <c r="C3599" i="11"/>
  <c r="D3599" i="11"/>
  <c r="C3600" i="11"/>
  <c r="D3600" i="11"/>
  <c r="C3601" i="11"/>
  <c r="D3601" i="11"/>
  <c r="C3602" i="11"/>
  <c r="D3602" i="11"/>
  <c r="C3603" i="11"/>
  <c r="D3603" i="11"/>
  <c r="C3604" i="11"/>
  <c r="D3604" i="11"/>
  <c r="C3605" i="11"/>
  <c r="D3605" i="11"/>
  <c r="C3606" i="11"/>
  <c r="D3606" i="11"/>
  <c r="C3607" i="11"/>
  <c r="D3607" i="11"/>
  <c r="C3608" i="11"/>
  <c r="D3608" i="11"/>
  <c r="C3609" i="11"/>
  <c r="D3609" i="11"/>
  <c r="C3610" i="11"/>
  <c r="D3610" i="11"/>
  <c r="C3611" i="11"/>
  <c r="D3611" i="11"/>
  <c r="C3612" i="11"/>
  <c r="D3612" i="11"/>
  <c r="C3613" i="11"/>
  <c r="D3613" i="11"/>
  <c r="C3614" i="11"/>
  <c r="D3614" i="11"/>
  <c r="C3615" i="11"/>
  <c r="D3615" i="11"/>
  <c r="C3616" i="11"/>
  <c r="D3616" i="11"/>
  <c r="C3617" i="11"/>
  <c r="D3617" i="11"/>
  <c r="C3618" i="11"/>
  <c r="D3618" i="11"/>
  <c r="C3619" i="11"/>
  <c r="D3619" i="11"/>
  <c r="C3620" i="11"/>
  <c r="D3620" i="11"/>
  <c r="C3621" i="11"/>
  <c r="D3621" i="11"/>
  <c r="C3622" i="11"/>
  <c r="D3622" i="11"/>
  <c r="C3623" i="11"/>
  <c r="D3623" i="11"/>
  <c r="C3624" i="11"/>
  <c r="D3624" i="11"/>
  <c r="C3625" i="11"/>
  <c r="D3625" i="11"/>
  <c r="C3626" i="11"/>
  <c r="D3626" i="11"/>
  <c r="C3627" i="11"/>
  <c r="D3627" i="11"/>
  <c r="C3628" i="11"/>
  <c r="D3628" i="11"/>
  <c r="C3629" i="11"/>
  <c r="D3629" i="11"/>
  <c r="C3630" i="11"/>
  <c r="D3630" i="11"/>
  <c r="C3631" i="11"/>
  <c r="D3631" i="11"/>
  <c r="C3632" i="11"/>
  <c r="D3632" i="11"/>
  <c r="C3633" i="11"/>
  <c r="D3633" i="11"/>
  <c r="C3634" i="11"/>
  <c r="D3634" i="11"/>
  <c r="C3635" i="11"/>
  <c r="D3635" i="11"/>
  <c r="C3636" i="11"/>
  <c r="D3636" i="11"/>
  <c r="C3637" i="11"/>
  <c r="D3637" i="11"/>
  <c r="C3638" i="11"/>
  <c r="D3638" i="11"/>
  <c r="C3639" i="11"/>
  <c r="D3639" i="11"/>
  <c r="C3640" i="11"/>
  <c r="D3640" i="11"/>
  <c r="C3641" i="11"/>
  <c r="D3641" i="11"/>
  <c r="C3642" i="11"/>
  <c r="D3642" i="11"/>
  <c r="C3643" i="11"/>
  <c r="D3643" i="11"/>
  <c r="C3644" i="11"/>
  <c r="D3644" i="11"/>
  <c r="C3645" i="11"/>
  <c r="D3645" i="11"/>
  <c r="C3646" i="11"/>
  <c r="D3646" i="11"/>
  <c r="C3647" i="11"/>
  <c r="D3647" i="11"/>
  <c r="C3648" i="11"/>
  <c r="D3648" i="11"/>
  <c r="C3649" i="11"/>
  <c r="D3649" i="11"/>
  <c r="C3650" i="11"/>
  <c r="D3650" i="11"/>
  <c r="C3651" i="11"/>
  <c r="D3651" i="11"/>
  <c r="C3652" i="11"/>
  <c r="D3652" i="11"/>
  <c r="C3653" i="11"/>
  <c r="D3653" i="11"/>
  <c r="C3654" i="11"/>
  <c r="D3654" i="11"/>
  <c r="C3655" i="11"/>
  <c r="D3655" i="11"/>
  <c r="C3656" i="11"/>
  <c r="D3656" i="11"/>
  <c r="C3657" i="11"/>
  <c r="D3657" i="11"/>
  <c r="C3658" i="11"/>
  <c r="D3658" i="11"/>
  <c r="C3659" i="11"/>
  <c r="D3659" i="11"/>
  <c r="C3660" i="11"/>
  <c r="D3660" i="11"/>
  <c r="C3661" i="11"/>
  <c r="D3661" i="11"/>
  <c r="C3662" i="11"/>
  <c r="D3662" i="11"/>
  <c r="C3663" i="11"/>
  <c r="D3663" i="11"/>
  <c r="C3664" i="11"/>
  <c r="D3664" i="11"/>
  <c r="C3665" i="11"/>
  <c r="D3665" i="11"/>
  <c r="C3666" i="11"/>
  <c r="D3666" i="11"/>
  <c r="C3667" i="11"/>
  <c r="D3667" i="11"/>
  <c r="C3668" i="11"/>
  <c r="D3668" i="11"/>
  <c r="C3669" i="11"/>
  <c r="D3669" i="11"/>
  <c r="C3670" i="11"/>
  <c r="D3670" i="11"/>
  <c r="C3671" i="11"/>
  <c r="D3671" i="11"/>
  <c r="C3672" i="11"/>
  <c r="D3672" i="11"/>
  <c r="C3673" i="11"/>
  <c r="D3673" i="11"/>
  <c r="C3674" i="11"/>
  <c r="D3674" i="11"/>
  <c r="C3675" i="11"/>
  <c r="D3675" i="11"/>
  <c r="C3676" i="11"/>
  <c r="D3676" i="11"/>
  <c r="C3677" i="11"/>
  <c r="D3677" i="11"/>
  <c r="C3678" i="11"/>
  <c r="D3678" i="11"/>
  <c r="C3679" i="11"/>
  <c r="D3679" i="11"/>
  <c r="C3680" i="11"/>
  <c r="D3680" i="11"/>
  <c r="C3681" i="11"/>
  <c r="D3681" i="11"/>
  <c r="C3682" i="11"/>
  <c r="D3682" i="11"/>
  <c r="C3683" i="11"/>
  <c r="D3683" i="11"/>
  <c r="C3684" i="11"/>
  <c r="D3684" i="11"/>
  <c r="C3685" i="11"/>
  <c r="D3685" i="11"/>
  <c r="C3686" i="11"/>
  <c r="D3686" i="11"/>
  <c r="C3687" i="11"/>
  <c r="D3687" i="11"/>
  <c r="C3688" i="11"/>
  <c r="D3688" i="11"/>
  <c r="C3689" i="11"/>
  <c r="D3689" i="11"/>
  <c r="C3690" i="11"/>
  <c r="D3690" i="11"/>
  <c r="C3691" i="11"/>
  <c r="D3691" i="11"/>
  <c r="C3692" i="11"/>
  <c r="D3692" i="11"/>
  <c r="C3693" i="11"/>
  <c r="D3693" i="11"/>
  <c r="C3694" i="11"/>
  <c r="D3694" i="11"/>
  <c r="C3695" i="11"/>
  <c r="D3695" i="11"/>
  <c r="C3696" i="11"/>
  <c r="D3696" i="11"/>
  <c r="C3697" i="11"/>
  <c r="D3697" i="11"/>
  <c r="C3698" i="11"/>
  <c r="D3698" i="11"/>
  <c r="C3699" i="11"/>
  <c r="D3699" i="11"/>
  <c r="C3700" i="11"/>
  <c r="D3700" i="11"/>
  <c r="C3701" i="11"/>
  <c r="D3701" i="11"/>
  <c r="C3702" i="11"/>
  <c r="D3702" i="11"/>
  <c r="C3703" i="11"/>
  <c r="D3703" i="11"/>
  <c r="C3704" i="11"/>
  <c r="D3704" i="11"/>
  <c r="C3705" i="11"/>
  <c r="D3705" i="11"/>
  <c r="C3706" i="11"/>
  <c r="D3706" i="11"/>
  <c r="C3707" i="11"/>
  <c r="D3707" i="11"/>
  <c r="C3708" i="11"/>
  <c r="D3708" i="11"/>
  <c r="C3709" i="11"/>
  <c r="D3709" i="11"/>
  <c r="C3710" i="11"/>
  <c r="D3710" i="11"/>
  <c r="C3711" i="11"/>
  <c r="D3711" i="11"/>
  <c r="C3712" i="11"/>
  <c r="D3712" i="11"/>
  <c r="C3713" i="11"/>
  <c r="D3713" i="11"/>
  <c r="C3714" i="11"/>
  <c r="D3714" i="11"/>
  <c r="C3715" i="11"/>
  <c r="D3715" i="11"/>
  <c r="C3716" i="11"/>
  <c r="D3716" i="11"/>
  <c r="C3717" i="11"/>
  <c r="D3717" i="11"/>
  <c r="C3718" i="11"/>
  <c r="D3718" i="11"/>
  <c r="C3719" i="11"/>
  <c r="D3719" i="11"/>
  <c r="C3720" i="11"/>
  <c r="D3720" i="11"/>
  <c r="C3721" i="11"/>
  <c r="D3721" i="11"/>
  <c r="C3722" i="11"/>
  <c r="D3722" i="11"/>
  <c r="C3723" i="11"/>
  <c r="D3723" i="11"/>
  <c r="C3724" i="11"/>
  <c r="D3724" i="11"/>
  <c r="C3725" i="11"/>
  <c r="D3725" i="11"/>
  <c r="C3726" i="11"/>
  <c r="D3726" i="11"/>
  <c r="C3727" i="11"/>
  <c r="D3727" i="11"/>
  <c r="C3728" i="11"/>
  <c r="D3728" i="11"/>
  <c r="C3729" i="11"/>
  <c r="D3729" i="11"/>
  <c r="C3730" i="11"/>
  <c r="D3730" i="11"/>
  <c r="C3731" i="11"/>
  <c r="D3731" i="11"/>
  <c r="C3732" i="11"/>
  <c r="D3732" i="11"/>
  <c r="C3733" i="11"/>
  <c r="D3733" i="11"/>
  <c r="C3734" i="11"/>
  <c r="D3734" i="11"/>
  <c r="C3735" i="11"/>
  <c r="D3735" i="11"/>
  <c r="C3736" i="11"/>
  <c r="D3736" i="11"/>
  <c r="C3737" i="11"/>
  <c r="D3737" i="11"/>
  <c r="C3738" i="11"/>
  <c r="D3738" i="11"/>
  <c r="C3739" i="11"/>
  <c r="D3739" i="11"/>
  <c r="C3740" i="11"/>
  <c r="D3740" i="11"/>
  <c r="C3741" i="11"/>
  <c r="D3741" i="11"/>
  <c r="C3742" i="11"/>
  <c r="D3742" i="11"/>
  <c r="C3743" i="11"/>
  <c r="D3743" i="11"/>
  <c r="C3744" i="11"/>
  <c r="D3744" i="11"/>
  <c r="C3745" i="11"/>
  <c r="D3745" i="11"/>
  <c r="C3746" i="11"/>
  <c r="D3746" i="11"/>
  <c r="C3747" i="11"/>
  <c r="D3747" i="11"/>
  <c r="C3748" i="11"/>
  <c r="D3748" i="11"/>
  <c r="C3749" i="11"/>
  <c r="D3749" i="11"/>
  <c r="C3750" i="11"/>
  <c r="D3750" i="11"/>
  <c r="C3751" i="11"/>
  <c r="D3751" i="11"/>
  <c r="C3752" i="11"/>
  <c r="D3752" i="11"/>
  <c r="C3753" i="11"/>
  <c r="D3753" i="11"/>
  <c r="C3754" i="11"/>
  <c r="D3754" i="11"/>
  <c r="C3755" i="11"/>
  <c r="D3755" i="11"/>
  <c r="C3756" i="11"/>
  <c r="D3756" i="11"/>
  <c r="C3757" i="11"/>
  <c r="D3757" i="11"/>
  <c r="C3758" i="11"/>
  <c r="D3758" i="11"/>
  <c r="C3759" i="11"/>
  <c r="D3759" i="11"/>
  <c r="C3760" i="11"/>
  <c r="D3760" i="11"/>
  <c r="C3761" i="11"/>
  <c r="D3761" i="11"/>
  <c r="C3762" i="11"/>
  <c r="D3762" i="11"/>
  <c r="C3763" i="11"/>
  <c r="D3763" i="11"/>
  <c r="C3764" i="11"/>
  <c r="D3764" i="11"/>
  <c r="C3765" i="11"/>
  <c r="D3765" i="11"/>
  <c r="C3766" i="11"/>
  <c r="D3766" i="11"/>
  <c r="C3767" i="11"/>
  <c r="D3767" i="11"/>
  <c r="C3768" i="11"/>
  <c r="D3768" i="11"/>
  <c r="C3769" i="11"/>
  <c r="D3769" i="11"/>
  <c r="C3770" i="11"/>
  <c r="D3770" i="11"/>
  <c r="C3771" i="11"/>
  <c r="D3771" i="11"/>
  <c r="C3772" i="11"/>
  <c r="D3772" i="11"/>
  <c r="C3773" i="11"/>
  <c r="D3773" i="11"/>
  <c r="C3774" i="11"/>
  <c r="D3774" i="11"/>
  <c r="C3775" i="11"/>
  <c r="D3775" i="11"/>
  <c r="C3776" i="11"/>
  <c r="D3776" i="11"/>
  <c r="C3777" i="11"/>
  <c r="D3777" i="11"/>
  <c r="C3778" i="11"/>
  <c r="D3778" i="11"/>
  <c r="C3779" i="11"/>
  <c r="D3779" i="11"/>
  <c r="C3780" i="11"/>
  <c r="D3780" i="11"/>
  <c r="C3781" i="11"/>
  <c r="D3781" i="11"/>
  <c r="C3782" i="11"/>
  <c r="D3782" i="11"/>
  <c r="C3783" i="11"/>
  <c r="D3783" i="11"/>
  <c r="C3784" i="11"/>
  <c r="D3784" i="11"/>
  <c r="C3785" i="11"/>
  <c r="D3785" i="11"/>
  <c r="C3786" i="11"/>
  <c r="D3786" i="11"/>
  <c r="C3787" i="11"/>
  <c r="D3787" i="11"/>
  <c r="C3788" i="11"/>
  <c r="D3788" i="11"/>
  <c r="C3789" i="11"/>
  <c r="D3789" i="11"/>
  <c r="C3790" i="11"/>
  <c r="D3790" i="11"/>
  <c r="C3791" i="11"/>
  <c r="D3791" i="11"/>
  <c r="C3792" i="11"/>
  <c r="D3792" i="11"/>
  <c r="C3793" i="11"/>
  <c r="D3793" i="11"/>
  <c r="C3794" i="11"/>
  <c r="D3794" i="11"/>
  <c r="C3795" i="11"/>
  <c r="D3795" i="11"/>
  <c r="C3796" i="11"/>
  <c r="D3796" i="11"/>
  <c r="C3797" i="11"/>
  <c r="D3797" i="11"/>
  <c r="C3798" i="11"/>
  <c r="D3798" i="11"/>
  <c r="C3799" i="11"/>
  <c r="D3799" i="11"/>
  <c r="C3800" i="11"/>
  <c r="D3800" i="11"/>
  <c r="C3801" i="11"/>
  <c r="D3801" i="11"/>
  <c r="C3802" i="11"/>
  <c r="D3802" i="11"/>
  <c r="C3803" i="11"/>
  <c r="D3803" i="11"/>
  <c r="C3804" i="11"/>
  <c r="D3804" i="11"/>
  <c r="C3805" i="11"/>
  <c r="D3805" i="11"/>
  <c r="C3806" i="11"/>
  <c r="D3806" i="11"/>
  <c r="C3807" i="11"/>
  <c r="D3807" i="11"/>
  <c r="C3808" i="11"/>
  <c r="D3808" i="11"/>
  <c r="C3809" i="11"/>
  <c r="D3809" i="11"/>
  <c r="C3810" i="11"/>
  <c r="D3810" i="11"/>
  <c r="C3811" i="11"/>
  <c r="D3811" i="11"/>
  <c r="C3812" i="11"/>
  <c r="D3812" i="11"/>
  <c r="C3813" i="11"/>
  <c r="D3813" i="11"/>
  <c r="C3814" i="11"/>
  <c r="D3814" i="11"/>
  <c r="C3815" i="11"/>
  <c r="D3815" i="11"/>
  <c r="C3816" i="11"/>
  <c r="D3816" i="11"/>
  <c r="C3817" i="11"/>
  <c r="D3817" i="11"/>
  <c r="C3818" i="11"/>
  <c r="D3818" i="11"/>
  <c r="C3819" i="11"/>
  <c r="D3819" i="11"/>
  <c r="C3820" i="11"/>
  <c r="D3820" i="11"/>
  <c r="C3821" i="11"/>
  <c r="D3821" i="11"/>
  <c r="C3822" i="11"/>
  <c r="D3822" i="11"/>
  <c r="C3823" i="11"/>
  <c r="D3823" i="11"/>
  <c r="C3824" i="11"/>
  <c r="D3824" i="11"/>
  <c r="C3825" i="11"/>
  <c r="D3825" i="11"/>
  <c r="C3826" i="11"/>
  <c r="D3826" i="11"/>
  <c r="C3827" i="11"/>
  <c r="D3827" i="11"/>
  <c r="C3828" i="11"/>
  <c r="D3828" i="11"/>
  <c r="C3829" i="11"/>
  <c r="D3829" i="11"/>
  <c r="C3830" i="11"/>
  <c r="D3830" i="11"/>
  <c r="C3831" i="11"/>
  <c r="D3831" i="11"/>
  <c r="C3832" i="11"/>
  <c r="D3832" i="11"/>
  <c r="C3833" i="11"/>
  <c r="D3833" i="11"/>
  <c r="C3834" i="11"/>
  <c r="D3834" i="11"/>
  <c r="C3835" i="11"/>
  <c r="D3835" i="11"/>
  <c r="C3836" i="11"/>
  <c r="D3836" i="11"/>
  <c r="C3837" i="11"/>
  <c r="D3837" i="11"/>
  <c r="C3838" i="11"/>
  <c r="D3838" i="11"/>
  <c r="C3839" i="11"/>
  <c r="D3839" i="11"/>
  <c r="C3840" i="11"/>
  <c r="D3840" i="11"/>
  <c r="C3841" i="11"/>
  <c r="D3841" i="11"/>
  <c r="C3842" i="11"/>
  <c r="D3842" i="11"/>
  <c r="C3843" i="11"/>
  <c r="D3843" i="11"/>
  <c r="C3844" i="11"/>
  <c r="D3844" i="11"/>
  <c r="C3845" i="11"/>
  <c r="D3845" i="11"/>
  <c r="C3846" i="11"/>
  <c r="D3846" i="11"/>
  <c r="C3847" i="11"/>
  <c r="D3847" i="11"/>
  <c r="C3848" i="11"/>
  <c r="D3848" i="11"/>
  <c r="C3849" i="11"/>
  <c r="D3849" i="11"/>
  <c r="C3850" i="11"/>
  <c r="D3850" i="11"/>
  <c r="C3851" i="11"/>
  <c r="D3851" i="11"/>
  <c r="C3852" i="11"/>
  <c r="D3852" i="11"/>
  <c r="C3853" i="11"/>
  <c r="D3853" i="11"/>
  <c r="C3854" i="11"/>
  <c r="D3854" i="11"/>
  <c r="C3855" i="11"/>
  <c r="D3855" i="11"/>
  <c r="C3856" i="11"/>
  <c r="D3856" i="11"/>
  <c r="C3857" i="11"/>
  <c r="D3857" i="11"/>
  <c r="C3858" i="11"/>
  <c r="D3858" i="11"/>
  <c r="C3859" i="11"/>
  <c r="D3859" i="11"/>
  <c r="C3860" i="11"/>
  <c r="D3860" i="11"/>
  <c r="C3861" i="11"/>
  <c r="D3861" i="11"/>
  <c r="C3862" i="11"/>
  <c r="D3862" i="11"/>
  <c r="C3863" i="11"/>
  <c r="D3863" i="11"/>
  <c r="C3864" i="11"/>
  <c r="D3864" i="11"/>
  <c r="C3865" i="11"/>
  <c r="D3865" i="11"/>
  <c r="C3866" i="11"/>
  <c r="D3866" i="11"/>
  <c r="C3867" i="11"/>
  <c r="D3867" i="11"/>
  <c r="C3868" i="11"/>
  <c r="D3868" i="11"/>
  <c r="C3869" i="11"/>
  <c r="D3869" i="11"/>
  <c r="C3870" i="11"/>
  <c r="D3870" i="11"/>
  <c r="C3871" i="11"/>
  <c r="D3871" i="11"/>
  <c r="C3872" i="11"/>
  <c r="D3872" i="11"/>
  <c r="C3873" i="11"/>
  <c r="D3873" i="11"/>
  <c r="C3874" i="11"/>
  <c r="D3874" i="11"/>
  <c r="C3875" i="11"/>
  <c r="D3875" i="11"/>
  <c r="C3876" i="11"/>
  <c r="D3876" i="11"/>
  <c r="C3877" i="11"/>
  <c r="D3877" i="11"/>
  <c r="C3878" i="11"/>
  <c r="D3878" i="11"/>
  <c r="C3879" i="11"/>
  <c r="D3879" i="11"/>
  <c r="C3880" i="11"/>
  <c r="D3880" i="11"/>
  <c r="C3881" i="11"/>
  <c r="D3881" i="11"/>
  <c r="C3882" i="11"/>
  <c r="D3882" i="11"/>
  <c r="C3883" i="11"/>
  <c r="D3883" i="11"/>
  <c r="C3884" i="11"/>
  <c r="D3884" i="11"/>
  <c r="C3885" i="11"/>
  <c r="D3885" i="11"/>
  <c r="C3886" i="11"/>
  <c r="D3886" i="11"/>
  <c r="C3887" i="11"/>
  <c r="D3887" i="11"/>
  <c r="C3888" i="11"/>
  <c r="D3888" i="11"/>
  <c r="C3889" i="11"/>
  <c r="D3889" i="11"/>
  <c r="C3890" i="11"/>
  <c r="D3890" i="11"/>
  <c r="C3891" i="11"/>
  <c r="D3891" i="11"/>
  <c r="C3892" i="11"/>
  <c r="D3892" i="11"/>
  <c r="C3893" i="11"/>
  <c r="D3893" i="11"/>
  <c r="C3894" i="11"/>
  <c r="D3894" i="11"/>
  <c r="C3895" i="11"/>
  <c r="D3895" i="11"/>
  <c r="C3896" i="11"/>
  <c r="D3896" i="11"/>
  <c r="C3897" i="11"/>
  <c r="D3897" i="11"/>
  <c r="C3898" i="11"/>
  <c r="D3898" i="11"/>
  <c r="C3899" i="11"/>
  <c r="D3899" i="11"/>
  <c r="C3900" i="11"/>
  <c r="D3900" i="11"/>
  <c r="C3901" i="11"/>
  <c r="D3901" i="11"/>
  <c r="C3902" i="11"/>
  <c r="D3902" i="11"/>
  <c r="C3903" i="11"/>
  <c r="D3903" i="11"/>
  <c r="C3904" i="11"/>
  <c r="D3904" i="11"/>
  <c r="C3905" i="11"/>
  <c r="D3905" i="11"/>
  <c r="C3906" i="11"/>
  <c r="D3906" i="11"/>
  <c r="C3907" i="11"/>
  <c r="D3907" i="11"/>
  <c r="C3908" i="11"/>
  <c r="D3908" i="11"/>
  <c r="C3909" i="11"/>
  <c r="D3909" i="11"/>
  <c r="C3910" i="11"/>
  <c r="D3910" i="11"/>
  <c r="C3911" i="11"/>
  <c r="D3911" i="11"/>
  <c r="C3912" i="11"/>
  <c r="D3912" i="11"/>
  <c r="C3913" i="11"/>
  <c r="D3913" i="11"/>
  <c r="C3914" i="11"/>
  <c r="D3914" i="11"/>
  <c r="C3915" i="11"/>
  <c r="D3915" i="11"/>
  <c r="C3916" i="11"/>
  <c r="D3916" i="11"/>
  <c r="C3917" i="11"/>
  <c r="D3917" i="11"/>
  <c r="C3918" i="11"/>
  <c r="D3918" i="11"/>
  <c r="C3919" i="11"/>
  <c r="D3919" i="11"/>
  <c r="C3920" i="11"/>
  <c r="D3920" i="11"/>
  <c r="C3921" i="11"/>
  <c r="D3921" i="11"/>
  <c r="C3922" i="11"/>
  <c r="D3922" i="11"/>
  <c r="C3923" i="11"/>
  <c r="D3923" i="11"/>
  <c r="C3924" i="11"/>
  <c r="D3924" i="11"/>
  <c r="C3925" i="11"/>
  <c r="D3925" i="11"/>
  <c r="C3926" i="11"/>
  <c r="D3926" i="11"/>
  <c r="C3927" i="11"/>
  <c r="D3927" i="11"/>
  <c r="C3928" i="11"/>
  <c r="D3928" i="11"/>
  <c r="C3929" i="11"/>
  <c r="D3929" i="11"/>
  <c r="C3930" i="11"/>
  <c r="D3930" i="11"/>
  <c r="C3931" i="11"/>
  <c r="D3931" i="11"/>
  <c r="C3932" i="11"/>
  <c r="D3932" i="11"/>
  <c r="C3933" i="11"/>
  <c r="D3933" i="11"/>
  <c r="C3934" i="11"/>
  <c r="D3934" i="11"/>
  <c r="C3935" i="11"/>
  <c r="D3935" i="11"/>
  <c r="C3936" i="11"/>
  <c r="D3936" i="11"/>
  <c r="C3937" i="11"/>
  <c r="D3937" i="11"/>
  <c r="C3938" i="11"/>
  <c r="D3938" i="11"/>
  <c r="C3939" i="11"/>
  <c r="D3939" i="11"/>
  <c r="C3940" i="11"/>
  <c r="D3940" i="11"/>
  <c r="C3941" i="11"/>
  <c r="D3941" i="11"/>
  <c r="C3942" i="11"/>
  <c r="D3942" i="11"/>
  <c r="C3943" i="11"/>
  <c r="D3943" i="11"/>
  <c r="C3944" i="11"/>
  <c r="D3944" i="11"/>
  <c r="C3945" i="11"/>
  <c r="D3945" i="11"/>
  <c r="C3946" i="11"/>
  <c r="D3946" i="11"/>
  <c r="C3947" i="11"/>
  <c r="D3947" i="11"/>
  <c r="C3948" i="11"/>
  <c r="D3948" i="11"/>
  <c r="C3949" i="11"/>
  <c r="D3949" i="11"/>
  <c r="C3950" i="11"/>
  <c r="D3950" i="11"/>
  <c r="C3951" i="11"/>
  <c r="D3951" i="11"/>
  <c r="C3952" i="11"/>
  <c r="D3952" i="11"/>
  <c r="C3953" i="11"/>
  <c r="D3953" i="11"/>
  <c r="C3954" i="11"/>
  <c r="D3954" i="11"/>
  <c r="C3955" i="11"/>
  <c r="D3955" i="11"/>
  <c r="C3956" i="11"/>
  <c r="D3956" i="11"/>
  <c r="C3957" i="11"/>
  <c r="D3957" i="11"/>
  <c r="C3958" i="11"/>
  <c r="D3958" i="11"/>
  <c r="C3959" i="11"/>
  <c r="D3959" i="11"/>
  <c r="C3960" i="11"/>
  <c r="D3960" i="11"/>
  <c r="C3961" i="11"/>
  <c r="D3961" i="11"/>
  <c r="C3962" i="11"/>
  <c r="D3962" i="11"/>
  <c r="C3963" i="11"/>
  <c r="D3963" i="11"/>
  <c r="C3964" i="11"/>
  <c r="D3964" i="11"/>
  <c r="C3965" i="11"/>
  <c r="D3965" i="11"/>
  <c r="C3966" i="11"/>
  <c r="D3966" i="11"/>
  <c r="C3967" i="11"/>
  <c r="D3967" i="11"/>
  <c r="C3968" i="11"/>
  <c r="D3968" i="11"/>
  <c r="C3969" i="11"/>
  <c r="D3969" i="11"/>
  <c r="C3970" i="11"/>
  <c r="D3970" i="11"/>
  <c r="C3971" i="11"/>
  <c r="D3971" i="11"/>
  <c r="C3972" i="11"/>
  <c r="D3972" i="11"/>
  <c r="C3973" i="11"/>
  <c r="D3973" i="11"/>
  <c r="C3974" i="11"/>
  <c r="D3974" i="11"/>
  <c r="C3975" i="11"/>
  <c r="D3975" i="11"/>
  <c r="C3976" i="11"/>
  <c r="D3976" i="11"/>
  <c r="C3977" i="11"/>
  <c r="D3977" i="11"/>
  <c r="C3978" i="11"/>
  <c r="D3978" i="11"/>
  <c r="C3979" i="11"/>
  <c r="D3979" i="11"/>
  <c r="C3980" i="11"/>
  <c r="D3980" i="11"/>
  <c r="C3981" i="11"/>
  <c r="D3981" i="11"/>
  <c r="C3982" i="11"/>
  <c r="D3982" i="11"/>
  <c r="C3983" i="11"/>
  <c r="D3983" i="11"/>
  <c r="C3984" i="11"/>
  <c r="D3984" i="11"/>
  <c r="C3985" i="11"/>
  <c r="D3985" i="11"/>
  <c r="C3986" i="11"/>
  <c r="D3986" i="11"/>
  <c r="C3987" i="11"/>
  <c r="D3987" i="11"/>
  <c r="C3988" i="11"/>
  <c r="D3988" i="11"/>
  <c r="C3989" i="11"/>
  <c r="D3989" i="11"/>
  <c r="C3990" i="11"/>
  <c r="D3990" i="11"/>
  <c r="C3991" i="11"/>
  <c r="D3991" i="11"/>
  <c r="C3992" i="11"/>
  <c r="D3992" i="11"/>
  <c r="C3993" i="11"/>
  <c r="D3993" i="11"/>
  <c r="C3994" i="11"/>
  <c r="D3994" i="11"/>
  <c r="C3995" i="11"/>
  <c r="D3995" i="11"/>
  <c r="C3996" i="11"/>
  <c r="D3996" i="11"/>
  <c r="C3997" i="11"/>
  <c r="D3997" i="11"/>
  <c r="C3998" i="11"/>
  <c r="D3998" i="11"/>
  <c r="C3999" i="11"/>
  <c r="D3999" i="11"/>
  <c r="C4000" i="11"/>
  <c r="D4000" i="11"/>
  <c r="C4001" i="11"/>
  <c r="D4001" i="11"/>
  <c r="C4002" i="11"/>
  <c r="D4002" i="11"/>
  <c r="C4003" i="11"/>
  <c r="D4003" i="11"/>
  <c r="C4004" i="11"/>
  <c r="D4004" i="11"/>
  <c r="C4005" i="11"/>
  <c r="D4005" i="11"/>
  <c r="C4006" i="11"/>
  <c r="D4006" i="11"/>
  <c r="C4007" i="11"/>
  <c r="D4007" i="11"/>
  <c r="C4008" i="11"/>
  <c r="D4008" i="11"/>
  <c r="C4009" i="11"/>
  <c r="D4009" i="11"/>
  <c r="C4010" i="11"/>
  <c r="D4010" i="11"/>
  <c r="C4011" i="11"/>
  <c r="D4011" i="11"/>
  <c r="C4012" i="11"/>
  <c r="D4012" i="11"/>
  <c r="C4013" i="11"/>
  <c r="D4013" i="11"/>
  <c r="C4014" i="11"/>
  <c r="D4014" i="11"/>
  <c r="C4015" i="11"/>
  <c r="D4015" i="11"/>
  <c r="C4016" i="11"/>
  <c r="D4016" i="11"/>
  <c r="C4017" i="11"/>
  <c r="D4017" i="11"/>
  <c r="C4018" i="11"/>
  <c r="D4018" i="11"/>
  <c r="C4019" i="11"/>
  <c r="D4019" i="11"/>
  <c r="C4020" i="11"/>
  <c r="D4020" i="11"/>
  <c r="C4021" i="11"/>
  <c r="D4021" i="11"/>
  <c r="C4022" i="11"/>
  <c r="D4022" i="11"/>
  <c r="C4023" i="11"/>
  <c r="D4023" i="11"/>
  <c r="C4024" i="11"/>
  <c r="D4024" i="11"/>
  <c r="C4025" i="11"/>
  <c r="D4025" i="11"/>
  <c r="C4026" i="11"/>
  <c r="D4026" i="11"/>
  <c r="C4027" i="11"/>
  <c r="D4027" i="11"/>
  <c r="C4028" i="11"/>
  <c r="D4028" i="11"/>
  <c r="C4029" i="11"/>
  <c r="D4029" i="11"/>
  <c r="C4030" i="11"/>
  <c r="D4030" i="11"/>
  <c r="C4031" i="11"/>
  <c r="D4031" i="11"/>
  <c r="C4032" i="11"/>
  <c r="D4032" i="11"/>
  <c r="C4033" i="11"/>
  <c r="D4033" i="11"/>
  <c r="C4034" i="11"/>
  <c r="D4034" i="11"/>
  <c r="C4035" i="11"/>
  <c r="D4035" i="11"/>
  <c r="C4036" i="11"/>
  <c r="D4036" i="11"/>
  <c r="C4037" i="11"/>
  <c r="D4037" i="11"/>
  <c r="C4038" i="11"/>
  <c r="D4038" i="11"/>
  <c r="C4039" i="11"/>
  <c r="D4039" i="11"/>
  <c r="C4040" i="11"/>
  <c r="D4040" i="11"/>
  <c r="C4041" i="11"/>
  <c r="D4041" i="11"/>
  <c r="C4042" i="11"/>
  <c r="D4042" i="11"/>
  <c r="C4043" i="11"/>
  <c r="D4043" i="11"/>
  <c r="C4044" i="11"/>
  <c r="D4044" i="11"/>
  <c r="C4045" i="11"/>
  <c r="D4045" i="11"/>
  <c r="C4046" i="11"/>
  <c r="D4046" i="11"/>
  <c r="C4047" i="11"/>
  <c r="D4047" i="11"/>
  <c r="C4048" i="11"/>
  <c r="D4048" i="11"/>
  <c r="C4049" i="11"/>
  <c r="D4049" i="11"/>
  <c r="C4050" i="11"/>
  <c r="D4050" i="11"/>
  <c r="C4051" i="11"/>
  <c r="D4051" i="11"/>
  <c r="C4052" i="11"/>
  <c r="D4052" i="11"/>
  <c r="C4053" i="11"/>
  <c r="D4053" i="11"/>
  <c r="C4054" i="11"/>
  <c r="D4054" i="11"/>
  <c r="C4055" i="11"/>
  <c r="D4055" i="11"/>
  <c r="C4056" i="11"/>
  <c r="D4056" i="11"/>
  <c r="C4057" i="11"/>
  <c r="D4057" i="11"/>
  <c r="C4058" i="11"/>
  <c r="D4058" i="11"/>
  <c r="C4059" i="11"/>
  <c r="D4059" i="11"/>
  <c r="C4060" i="11"/>
  <c r="D4060" i="11"/>
  <c r="C4061" i="11"/>
  <c r="D4061" i="11"/>
  <c r="C4062" i="11"/>
  <c r="D4062" i="11"/>
  <c r="C4063" i="11"/>
  <c r="D4063" i="11"/>
  <c r="C4064" i="11"/>
  <c r="D4064" i="11"/>
  <c r="C4065" i="11"/>
  <c r="D4065" i="11"/>
  <c r="C4066" i="11"/>
  <c r="D4066" i="11"/>
  <c r="C4067" i="11"/>
  <c r="D4067" i="11"/>
  <c r="C4068" i="11"/>
  <c r="D4068" i="11"/>
  <c r="C4069" i="11"/>
  <c r="D4069" i="11"/>
  <c r="C4070" i="11"/>
  <c r="D4070" i="11"/>
  <c r="C4071" i="11"/>
  <c r="D4071" i="11"/>
  <c r="C4072" i="11"/>
  <c r="D4072" i="11"/>
  <c r="C4073" i="11"/>
  <c r="D4073" i="11"/>
  <c r="C4074" i="11"/>
  <c r="D4074" i="11"/>
  <c r="C4075" i="11"/>
  <c r="D4075" i="11"/>
  <c r="C4076" i="11"/>
  <c r="D4076" i="11"/>
  <c r="C4077" i="11"/>
  <c r="D4077" i="11"/>
  <c r="C4078" i="11"/>
  <c r="D4078" i="11"/>
  <c r="C4079" i="11"/>
  <c r="D4079" i="11"/>
  <c r="C4080" i="11"/>
  <c r="D4080" i="11"/>
  <c r="C4081" i="11"/>
  <c r="D4081" i="11"/>
  <c r="C4082" i="11"/>
  <c r="D4082" i="11"/>
  <c r="C4083" i="11"/>
  <c r="D4083" i="11"/>
  <c r="C4084" i="11"/>
  <c r="D4084" i="11"/>
  <c r="C4085" i="11"/>
  <c r="D4085" i="11"/>
  <c r="C4086" i="11"/>
  <c r="D4086" i="11"/>
  <c r="C4087" i="11"/>
  <c r="D4087" i="11"/>
  <c r="C4088" i="11"/>
  <c r="D4088" i="11"/>
  <c r="C4089" i="11"/>
  <c r="D4089" i="11"/>
  <c r="C4090" i="11"/>
  <c r="D4090" i="11"/>
  <c r="C4091" i="11"/>
  <c r="D4091" i="11"/>
  <c r="C4092" i="11"/>
  <c r="D4092" i="11"/>
  <c r="C4093" i="11"/>
  <c r="D4093" i="11"/>
  <c r="C4094" i="11"/>
  <c r="D4094" i="11"/>
  <c r="C4095" i="11"/>
  <c r="D4095" i="11"/>
  <c r="C4096" i="11"/>
  <c r="D4096" i="11"/>
  <c r="C4097" i="11"/>
  <c r="D4097" i="11"/>
  <c r="C4098" i="11"/>
  <c r="D4098" i="11"/>
  <c r="C4099" i="11"/>
  <c r="D4099" i="11"/>
  <c r="C4100" i="11"/>
  <c r="D4100" i="11"/>
  <c r="C4101" i="11"/>
  <c r="D4101" i="11"/>
  <c r="C4102" i="11"/>
  <c r="D4102" i="11"/>
  <c r="C4103" i="11"/>
  <c r="D4103" i="11"/>
  <c r="C4104" i="11"/>
  <c r="D4104" i="11"/>
  <c r="C4105" i="11"/>
  <c r="D4105" i="11"/>
  <c r="C4106" i="11"/>
  <c r="D4106" i="11"/>
  <c r="C4107" i="11"/>
  <c r="D4107" i="11"/>
  <c r="C4108" i="11"/>
  <c r="D4108" i="11"/>
  <c r="C4109" i="11"/>
  <c r="D4109" i="11"/>
  <c r="C4110" i="11"/>
  <c r="D4110" i="11"/>
  <c r="C4111" i="11"/>
  <c r="D4111" i="11"/>
  <c r="C4112" i="11"/>
  <c r="D4112" i="11"/>
  <c r="C4113" i="11"/>
  <c r="D4113" i="11"/>
  <c r="C4114" i="11"/>
  <c r="D4114" i="11"/>
  <c r="C4115" i="11"/>
  <c r="D4115" i="11"/>
  <c r="C4116" i="11"/>
  <c r="D4116" i="11"/>
  <c r="C4117" i="11"/>
  <c r="D4117" i="11"/>
  <c r="C4118" i="11"/>
  <c r="D4118" i="11"/>
  <c r="C4119" i="11"/>
  <c r="D4119" i="11"/>
  <c r="C4120" i="11"/>
  <c r="D4120" i="11"/>
  <c r="C4121" i="11"/>
  <c r="D4121" i="11"/>
  <c r="C4122" i="11"/>
  <c r="D4122" i="11"/>
  <c r="C4123" i="11"/>
  <c r="D4123" i="11"/>
  <c r="C4124" i="11"/>
  <c r="D4124" i="11"/>
  <c r="C4125" i="11"/>
  <c r="D4125" i="11"/>
  <c r="C4126" i="11"/>
  <c r="D4126" i="11"/>
  <c r="C4127" i="11"/>
  <c r="D4127" i="11"/>
  <c r="C4128" i="11"/>
  <c r="D4128" i="11"/>
  <c r="C4129" i="11"/>
  <c r="D4129" i="11"/>
  <c r="C4130" i="11"/>
  <c r="D4130" i="11"/>
  <c r="C4131" i="11"/>
  <c r="D4131" i="11"/>
  <c r="C4132" i="11"/>
  <c r="D4132" i="11"/>
  <c r="C4133" i="11"/>
  <c r="D4133" i="11"/>
  <c r="C4134" i="11"/>
  <c r="D4134" i="11"/>
  <c r="C4135" i="11"/>
  <c r="D4135" i="11"/>
  <c r="C4136" i="11"/>
  <c r="D4136" i="11"/>
  <c r="C4137" i="11"/>
  <c r="D4137" i="11"/>
  <c r="C4138" i="11"/>
  <c r="D4138" i="11"/>
  <c r="C4139" i="11"/>
  <c r="D4139" i="11"/>
  <c r="C4140" i="11"/>
  <c r="D4140" i="11"/>
  <c r="C4141" i="11"/>
  <c r="D4141" i="11"/>
  <c r="C4142" i="11"/>
  <c r="D4142" i="11"/>
  <c r="C4143" i="11"/>
  <c r="D4143" i="11"/>
  <c r="C4144" i="11"/>
  <c r="D4144" i="11"/>
  <c r="C4145" i="11"/>
  <c r="D4145" i="11"/>
  <c r="C4146" i="11"/>
  <c r="D4146" i="11"/>
  <c r="C4147" i="11"/>
  <c r="D4147" i="11"/>
  <c r="C4148" i="11"/>
  <c r="D4148" i="11"/>
  <c r="C4149" i="11"/>
  <c r="D4149" i="11"/>
  <c r="C4150" i="11"/>
  <c r="D4150" i="11"/>
  <c r="C4151" i="11"/>
  <c r="D4151" i="11"/>
  <c r="C4152" i="11"/>
  <c r="D4152" i="11"/>
  <c r="C4153" i="11"/>
  <c r="D4153" i="11"/>
  <c r="C4154" i="11"/>
  <c r="D4154" i="11"/>
  <c r="C4155" i="11"/>
  <c r="D4155" i="11"/>
  <c r="C4156" i="11"/>
  <c r="D4156" i="11"/>
  <c r="C4157" i="11"/>
  <c r="D4157" i="11"/>
  <c r="C4158" i="11"/>
  <c r="D4158" i="11"/>
  <c r="C4159" i="11"/>
  <c r="D4159" i="11"/>
  <c r="C4160" i="11"/>
  <c r="D4160" i="11"/>
  <c r="C4161" i="11"/>
  <c r="D4161" i="11"/>
  <c r="C4162" i="11"/>
  <c r="D4162" i="11"/>
  <c r="C4163" i="11"/>
  <c r="D4163" i="11"/>
  <c r="C4164" i="11"/>
  <c r="D4164" i="11"/>
  <c r="C4165" i="11"/>
  <c r="D4165" i="11"/>
  <c r="C4166" i="11"/>
  <c r="D4166" i="11"/>
  <c r="C4167" i="11"/>
  <c r="D4167" i="11"/>
  <c r="C4168" i="11"/>
  <c r="D4168" i="11"/>
  <c r="C4169" i="11"/>
  <c r="D4169" i="11"/>
  <c r="C4170" i="11"/>
  <c r="D4170" i="11"/>
  <c r="C4171" i="11"/>
  <c r="D4171" i="11"/>
  <c r="C4172" i="11"/>
  <c r="D4172" i="11"/>
  <c r="C4173" i="11"/>
  <c r="D4173" i="11"/>
  <c r="C4174" i="11"/>
  <c r="D4174" i="11"/>
  <c r="C4175" i="11"/>
  <c r="D4175" i="11"/>
  <c r="C4176" i="11"/>
  <c r="D4176" i="11"/>
  <c r="C4177" i="11"/>
  <c r="D4177" i="11"/>
  <c r="C4178" i="11"/>
  <c r="D4178" i="11"/>
  <c r="C4179" i="11"/>
  <c r="D4179" i="11"/>
  <c r="C4180" i="11"/>
  <c r="D4180" i="11"/>
  <c r="C4181" i="11"/>
  <c r="D4181" i="11"/>
  <c r="C4182" i="11"/>
  <c r="D4182" i="11"/>
  <c r="C4183" i="11"/>
  <c r="D4183" i="11"/>
  <c r="C4184" i="11"/>
  <c r="D4184" i="11"/>
  <c r="C4185" i="11"/>
  <c r="D4185" i="11"/>
  <c r="C4186" i="11"/>
  <c r="D4186" i="11"/>
  <c r="C4187" i="11"/>
  <c r="D4187" i="11"/>
  <c r="C4188" i="11"/>
  <c r="D4188" i="11"/>
  <c r="C4189" i="11"/>
  <c r="D4189" i="11"/>
  <c r="C4190" i="11"/>
  <c r="D4190" i="11"/>
  <c r="C4191" i="11"/>
  <c r="D4191" i="11"/>
  <c r="C4192" i="11"/>
  <c r="D4192" i="11"/>
  <c r="C4193" i="11"/>
  <c r="D4193" i="11"/>
  <c r="C4194" i="11"/>
  <c r="D4194" i="11"/>
  <c r="C4195" i="11"/>
  <c r="D4195" i="11"/>
  <c r="C4196" i="11"/>
  <c r="D4196" i="11"/>
  <c r="C4197" i="11"/>
  <c r="D4197" i="11"/>
  <c r="C4198" i="11"/>
  <c r="D4198" i="11"/>
  <c r="C4199" i="11"/>
  <c r="D4199" i="11"/>
  <c r="C4200" i="11"/>
  <c r="D4200" i="11"/>
  <c r="C4201" i="11"/>
  <c r="D4201" i="11"/>
  <c r="C4202" i="11"/>
  <c r="D4202" i="11"/>
  <c r="C4203" i="11"/>
  <c r="D4203" i="11"/>
  <c r="C4204" i="11"/>
  <c r="D4204" i="11"/>
  <c r="C4205" i="11"/>
  <c r="D4205" i="11"/>
  <c r="C4206" i="11"/>
  <c r="D4206" i="11"/>
  <c r="C4207" i="11"/>
  <c r="D4207" i="11"/>
  <c r="C4208" i="11"/>
  <c r="D4208" i="11"/>
  <c r="C4209" i="11"/>
  <c r="D4209" i="11"/>
  <c r="C4210" i="11"/>
  <c r="D4210" i="11"/>
  <c r="C4211" i="11"/>
  <c r="D4211" i="11"/>
  <c r="C4212" i="11"/>
  <c r="D4212" i="11"/>
  <c r="C4213" i="11"/>
  <c r="D4213" i="11"/>
  <c r="C4214" i="11"/>
  <c r="D4214" i="11"/>
  <c r="C4215" i="11"/>
  <c r="D4215" i="11"/>
  <c r="C4216" i="11"/>
  <c r="D4216" i="11"/>
  <c r="C4217" i="11"/>
  <c r="D4217" i="11"/>
  <c r="C4218" i="11"/>
  <c r="D4218" i="11"/>
  <c r="C4219" i="11"/>
  <c r="D4219" i="11"/>
  <c r="C4220" i="11"/>
  <c r="D4220" i="11"/>
  <c r="C4221" i="11"/>
  <c r="D4221" i="11"/>
  <c r="C4222" i="11"/>
  <c r="D4222" i="11"/>
  <c r="C4223" i="11"/>
  <c r="D4223" i="11"/>
  <c r="C4224" i="11"/>
  <c r="D4224" i="11"/>
  <c r="C4225" i="11"/>
  <c r="D4225" i="11"/>
  <c r="C4226" i="11"/>
  <c r="D4226" i="11"/>
  <c r="C4227" i="11"/>
  <c r="D4227" i="11"/>
  <c r="C4228" i="11"/>
  <c r="D4228" i="11"/>
  <c r="C4229" i="11"/>
  <c r="D4229" i="11"/>
  <c r="C4230" i="11"/>
  <c r="D4230" i="11"/>
  <c r="C4231" i="11"/>
  <c r="D4231" i="11"/>
  <c r="C4232" i="11"/>
  <c r="D4232" i="11"/>
  <c r="C4233" i="11"/>
  <c r="D4233" i="11"/>
  <c r="C4234" i="11"/>
  <c r="D4234" i="11"/>
  <c r="C4235" i="11"/>
  <c r="D4235" i="11"/>
  <c r="C4236" i="11"/>
  <c r="D4236" i="11"/>
  <c r="C4237" i="11"/>
  <c r="D4237" i="11"/>
  <c r="C4238" i="11"/>
  <c r="D4238" i="11"/>
  <c r="C4239" i="11"/>
  <c r="D4239" i="11"/>
  <c r="C4240" i="11"/>
  <c r="D4240" i="11"/>
  <c r="C4241" i="11"/>
  <c r="D4241" i="11"/>
  <c r="C4242" i="11"/>
  <c r="D4242" i="11"/>
  <c r="C4243" i="11"/>
  <c r="D4243" i="11"/>
  <c r="C4244" i="11"/>
  <c r="D4244" i="11"/>
  <c r="C4245" i="11"/>
  <c r="D4245" i="11"/>
  <c r="C4246" i="11"/>
  <c r="D4246" i="11"/>
  <c r="C4247" i="11"/>
  <c r="D4247" i="11"/>
  <c r="C4248" i="11"/>
  <c r="D4248" i="11"/>
  <c r="C4249" i="11"/>
  <c r="D4249" i="11"/>
  <c r="C4250" i="11"/>
  <c r="D4250" i="11"/>
  <c r="C4251" i="11"/>
  <c r="D4251" i="11"/>
  <c r="C4252" i="11"/>
  <c r="D4252" i="11"/>
  <c r="C4253" i="11"/>
  <c r="D4253" i="11"/>
  <c r="C4254" i="11"/>
  <c r="D4254" i="11"/>
  <c r="C4255" i="11"/>
  <c r="D4255" i="11"/>
  <c r="C4256" i="11"/>
  <c r="D4256" i="11"/>
  <c r="C4257" i="11"/>
  <c r="D4257" i="11"/>
  <c r="C4258" i="11"/>
  <c r="D4258" i="11"/>
  <c r="C4259" i="11"/>
  <c r="D4259" i="11"/>
  <c r="C4260" i="11"/>
  <c r="D4260" i="11"/>
  <c r="C4261" i="11"/>
  <c r="D4261" i="11"/>
  <c r="C4262" i="11"/>
  <c r="D4262" i="11"/>
  <c r="C4263" i="11"/>
  <c r="D4263" i="11"/>
  <c r="C4264" i="11"/>
  <c r="D4264" i="11"/>
  <c r="C4265" i="11"/>
  <c r="D4265" i="11"/>
  <c r="C4266" i="11"/>
  <c r="D4266" i="11"/>
  <c r="C4267" i="11"/>
  <c r="D4267" i="11"/>
  <c r="C4268" i="11"/>
  <c r="D4268" i="11"/>
  <c r="C4269" i="11"/>
  <c r="D4269" i="11"/>
  <c r="C4270" i="11"/>
  <c r="D4270" i="11"/>
  <c r="C4271" i="11"/>
  <c r="D4271" i="11"/>
  <c r="C4272" i="11"/>
  <c r="D4272" i="11"/>
  <c r="C4273" i="11"/>
  <c r="D4273" i="11"/>
  <c r="C4274" i="11"/>
  <c r="D4274" i="11"/>
  <c r="C4275" i="11"/>
  <c r="D4275" i="11"/>
  <c r="C4276" i="11"/>
  <c r="D4276" i="11"/>
  <c r="C4277" i="11"/>
  <c r="D4277" i="11"/>
  <c r="C4278" i="11"/>
  <c r="D4278" i="11"/>
  <c r="C4279" i="11"/>
  <c r="D4279" i="11"/>
  <c r="C4280" i="11"/>
  <c r="D4280" i="11"/>
  <c r="C4281" i="11"/>
  <c r="D4281" i="11"/>
  <c r="C4282" i="11"/>
  <c r="D4282" i="11"/>
  <c r="C4283" i="11"/>
  <c r="D4283" i="11"/>
  <c r="C4284" i="11"/>
  <c r="D4284" i="11"/>
  <c r="C4285" i="11"/>
  <c r="D4285" i="11"/>
  <c r="C4286" i="11"/>
  <c r="D4286" i="11"/>
  <c r="C4287" i="11"/>
  <c r="D4287" i="11"/>
  <c r="C4288" i="11"/>
  <c r="D4288" i="11"/>
  <c r="C4289" i="11"/>
  <c r="D4289" i="11"/>
  <c r="C4290" i="11"/>
  <c r="D4290" i="11"/>
  <c r="C4291" i="11"/>
  <c r="D4291" i="11"/>
  <c r="C4292" i="11"/>
  <c r="D4292" i="11"/>
  <c r="C4293" i="11"/>
  <c r="D4293" i="11"/>
  <c r="C4294" i="11"/>
  <c r="D4294" i="11"/>
  <c r="C4295" i="11"/>
  <c r="D4295" i="11"/>
  <c r="C4296" i="11"/>
  <c r="D4296" i="11"/>
  <c r="C4297" i="11"/>
  <c r="D4297" i="11"/>
  <c r="C4298" i="11"/>
  <c r="D4298" i="11"/>
  <c r="C4299" i="11"/>
  <c r="D4299" i="11"/>
  <c r="C4300" i="11"/>
  <c r="D4300" i="11"/>
  <c r="C4301" i="11"/>
  <c r="D4301" i="11"/>
  <c r="C4302" i="11"/>
  <c r="D4302" i="11"/>
  <c r="C4303" i="11"/>
  <c r="D4303" i="11"/>
  <c r="C4304" i="11"/>
  <c r="D4304" i="11"/>
  <c r="C4305" i="11"/>
  <c r="D4305" i="11"/>
  <c r="C4306" i="11"/>
  <c r="D4306" i="11"/>
  <c r="C4307" i="11"/>
  <c r="D4307" i="11"/>
  <c r="C4308" i="11"/>
  <c r="D4308" i="11"/>
  <c r="C4309" i="11"/>
  <c r="D4309" i="11"/>
  <c r="C4310" i="11"/>
  <c r="D4310" i="11"/>
  <c r="C4311" i="11"/>
  <c r="D4311" i="11"/>
  <c r="C4312" i="11"/>
  <c r="D4312" i="11"/>
  <c r="C4313" i="11"/>
  <c r="D4313" i="11"/>
  <c r="C4314" i="11"/>
  <c r="D4314" i="11"/>
  <c r="C4315" i="11"/>
  <c r="D4315" i="11"/>
  <c r="C4316" i="11"/>
  <c r="D4316" i="11"/>
  <c r="C4317" i="11"/>
  <c r="D4317" i="11"/>
  <c r="C4318" i="11"/>
  <c r="D4318" i="11"/>
  <c r="C4319" i="11"/>
  <c r="D4319" i="11"/>
  <c r="C4320" i="11"/>
  <c r="D4320" i="11"/>
  <c r="C4321" i="11"/>
  <c r="D4321" i="11"/>
  <c r="C4322" i="11"/>
  <c r="D4322" i="11"/>
  <c r="C4323" i="11"/>
  <c r="D4323" i="11"/>
  <c r="C4324" i="11"/>
  <c r="D4324" i="11"/>
  <c r="C4325" i="11"/>
  <c r="D4325" i="11"/>
  <c r="C4326" i="11"/>
  <c r="D4326" i="11"/>
  <c r="C4327" i="11"/>
  <c r="D4327" i="11"/>
  <c r="C4328" i="11"/>
  <c r="D4328" i="11"/>
  <c r="C4329" i="11"/>
  <c r="D4329" i="11"/>
  <c r="C4330" i="11"/>
  <c r="D4330" i="11"/>
  <c r="C4331" i="11"/>
  <c r="D4331" i="11"/>
  <c r="C4332" i="11"/>
  <c r="D4332" i="11"/>
  <c r="C4333" i="11"/>
  <c r="D4333" i="11"/>
  <c r="C4334" i="11"/>
  <c r="D4334" i="11"/>
  <c r="C4335" i="11"/>
  <c r="D4335" i="11"/>
  <c r="C4336" i="11"/>
  <c r="D4336" i="11"/>
  <c r="C4337" i="11"/>
  <c r="D4337" i="11"/>
  <c r="C4338" i="11"/>
  <c r="D4338" i="11"/>
  <c r="C4339" i="11"/>
  <c r="D4339" i="11"/>
  <c r="C4340" i="11"/>
  <c r="D4340" i="11"/>
  <c r="C4341" i="11"/>
  <c r="D4341" i="11"/>
  <c r="C4342" i="11"/>
  <c r="D4342" i="11"/>
  <c r="C4343" i="11"/>
  <c r="D4343" i="11"/>
  <c r="C4344" i="11"/>
  <c r="D4344" i="11"/>
  <c r="C4345" i="11"/>
  <c r="D4345" i="11"/>
  <c r="C4346" i="11"/>
  <c r="D4346" i="11"/>
  <c r="C4347" i="11"/>
  <c r="D4347" i="11"/>
  <c r="C4348" i="11"/>
  <c r="D4348" i="11"/>
  <c r="C4349" i="11"/>
  <c r="D4349" i="11"/>
  <c r="C4350" i="11"/>
  <c r="D4350" i="11"/>
  <c r="C4351" i="11"/>
  <c r="D4351" i="11"/>
  <c r="C4352" i="11"/>
  <c r="D4352" i="11"/>
  <c r="C4353" i="11"/>
  <c r="D4353" i="11"/>
  <c r="C4354" i="11"/>
  <c r="D4354" i="11"/>
  <c r="C4355" i="11"/>
  <c r="D4355" i="11"/>
  <c r="C4356" i="11"/>
  <c r="D4356" i="11"/>
  <c r="C4357" i="11"/>
  <c r="D4357" i="11"/>
  <c r="C4358" i="11"/>
  <c r="D4358" i="11"/>
  <c r="C4359" i="11"/>
  <c r="D4359" i="11"/>
  <c r="C4360" i="11"/>
  <c r="D4360" i="11"/>
  <c r="C4361" i="11"/>
  <c r="D4361" i="11"/>
  <c r="C4362" i="11"/>
  <c r="D4362" i="11"/>
  <c r="C4363" i="11"/>
  <c r="D4363" i="11"/>
  <c r="C4364" i="11"/>
  <c r="D4364" i="11"/>
  <c r="C4365" i="11"/>
  <c r="D4365" i="11"/>
  <c r="C4366" i="11"/>
  <c r="D4366" i="11"/>
  <c r="C4367" i="11"/>
  <c r="D4367" i="11"/>
  <c r="C4368" i="11"/>
  <c r="D4368" i="11"/>
  <c r="C4369" i="11"/>
  <c r="D4369" i="11"/>
  <c r="C4370" i="11"/>
  <c r="D4370" i="11"/>
  <c r="C4371" i="11"/>
  <c r="D4371" i="11"/>
  <c r="C4372" i="11"/>
  <c r="D4372" i="11"/>
  <c r="C4373" i="11"/>
  <c r="D4373" i="11"/>
  <c r="C4374" i="11"/>
  <c r="D4374" i="11"/>
  <c r="C4375" i="11"/>
  <c r="D4375" i="11"/>
  <c r="C4376" i="11"/>
  <c r="D4376" i="11"/>
  <c r="C4377" i="11"/>
  <c r="D4377" i="11"/>
  <c r="C4378" i="11"/>
  <c r="D4378" i="11"/>
  <c r="C4379" i="11"/>
  <c r="D4379" i="11"/>
  <c r="C4380" i="11"/>
  <c r="D4380" i="11"/>
  <c r="C4381" i="11"/>
  <c r="D4381" i="11"/>
  <c r="C4382" i="11"/>
  <c r="D4382" i="11"/>
  <c r="C4383" i="11"/>
  <c r="D4383" i="11"/>
  <c r="C4384" i="11"/>
  <c r="D4384" i="11"/>
  <c r="C4385" i="11"/>
  <c r="D4385" i="11"/>
  <c r="C4386" i="11"/>
  <c r="D4386" i="11"/>
  <c r="C4387" i="11"/>
  <c r="D4387" i="11"/>
  <c r="C4388" i="11"/>
  <c r="D4388" i="11"/>
  <c r="C4389" i="11"/>
  <c r="D4389" i="11"/>
  <c r="C4390" i="11"/>
  <c r="D4390" i="11"/>
  <c r="C4391" i="11"/>
  <c r="D4391" i="11"/>
  <c r="C4392" i="11"/>
  <c r="D4392" i="11"/>
  <c r="C4393" i="11"/>
  <c r="D4393" i="11"/>
  <c r="C4394" i="11"/>
  <c r="D4394" i="11"/>
  <c r="C4395" i="11"/>
  <c r="D4395" i="11"/>
  <c r="C4396" i="11"/>
  <c r="D4396" i="11"/>
  <c r="C4397" i="11"/>
  <c r="D4397" i="11"/>
  <c r="C4398" i="11"/>
  <c r="D4398" i="11"/>
  <c r="C4399" i="11"/>
  <c r="D4399" i="11"/>
  <c r="C4400" i="11"/>
  <c r="D4400" i="11"/>
  <c r="C4401" i="11"/>
  <c r="D4401" i="11"/>
  <c r="C4402" i="11"/>
  <c r="D4402" i="11"/>
  <c r="C4403" i="11"/>
  <c r="D4403" i="11"/>
  <c r="C4404" i="11"/>
  <c r="D4404" i="11"/>
  <c r="C4405" i="11"/>
  <c r="D4405" i="11"/>
  <c r="C4406" i="11"/>
  <c r="D4406" i="11"/>
  <c r="C4407" i="11"/>
  <c r="D4407" i="11"/>
  <c r="C4408" i="11"/>
  <c r="D4408" i="11"/>
  <c r="C4409" i="11"/>
  <c r="D4409" i="11"/>
  <c r="C4410" i="11"/>
  <c r="D4410" i="11"/>
  <c r="C4411" i="11"/>
  <c r="D4411" i="11"/>
  <c r="C4412" i="11"/>
  <c r="D4412" i="11"/>
  <c r="C4413" i="11"/>
  <c r="D4413" i="11"/>
  <c r="C4414" i="11"/>
  <c r="D4414" i="11"/>
  <c r="C4415" i="11"/>
  <c r="D4415" i="11"/>
  <c r="C4416" i="11"/>
  <c r="D4416" i="11"/>
  <c r="C4417" i="11"/>
  <c r="D4417" i="11"/>
  <c r="C4418" i="11"/>
  <c r="D4418" i="11"/>
  <c r="C4419" i="11"/>
  <c r="D4419" i="11"/>
  <c r="C4420" i="11"/>
  <c r="D4420" i="11"/>
  <c r="C4421" i="11"/>
  <c r="D4421" i="11"/>
  <c r="C4422" i="11"/>
  <c r="D4422" i="11"/>
  <c r="C4423" i="11"/>
  <c r="D4423" i="11"/>
  <c r="C4424" i="11"/>
  <c r="D4424" i="11"/>
  <c r="C4425" i="11"/>
  <c r="D4425" i="11"/>
  <c r="C4426" i="11"/>
  <c r="D4426" i="11"/>
  <c r="C4427" i="11"/>
  <c r="D4427" i="11"/>
  <c r="C4428" i="11"/>
  <c r="D4428" i="11"/>
  <c r="C4429" i="11"/>
  <c r="D4429" i="11"/>
  <c r="C4430" i="11"/>
  <c r="D4430" i="11"/>
  <c r="C4431" i="11"/>
  <c r="D4431" i="11"/>
  <c r="C4432" i="11"/>
  <c r="D4432" i="11"/>
  <c r="C4433" i="11"/>
  <c r="D4433" i="11"/>
  <c r="C4434" i="11"/>
  <c r="D4434" i="11"/>
  <c r="C4435" i="11"/>
  <c r="D4435" i="11"/>
  <c r="C4436" i="11"/>
  <c r="D4436" i="11"/>
  <c r="C4437" i="11"/>
  <c r="D4437" i="11"/>
  <c r="C4438" i="11"/>
  <c r="D4438" i="11"/>
  <c r="C4439" i="11"/>
  <c r="D4439" i="11"/>
  <c r="C4440" i="11"/>
  <c r="D4440" i="11"/>
  <c r="C4441" i="11"/>
  <c r="D4441" i="11"/>
  <c r="C4442" i="11"/>
  <c r="D4442" i="11"/>
  <c r="C4443" i="11"/>
  <c r="D4443" i="11"/>
  <c r="C4444" i="11"/>
  <c r="D4444" i="11"/>
  <c r="C4445" i="11"/>
  <c r="D4445" i="11"/>
  <c r="C4446" i="11"/>
  <c r="D4446" i="11"/>
  <c r="C4447" i="11"/>
  <c r="D4447" i="11"/>
  <c r="C4448" i="11"/>
  <c r="D4448" i="11"/>
  <c r="C4449" i="11"/>
  <c r="D4449" i="11"/>
  <c r="C4450" i="11"/>
  <c r="D4450" i="11"/>
  <c r="C4451" i="11"/>
  <c r="D4451" i="11"/>
  <c r="C4452" i="11"/>
  <c r="D4452" i="11"/>
  <c r="C4453" i="11"/>
  <c r="D4453" i="11"/>
  <c r="C4454" i="11"/>
  <c r="D4454" i="11"/>
  <c r="C4455" i="11"/>
  <c r="D4455" i="11"/>
  <c r="C4456" i="11"/>
  <c r="D4456" i="11"/>
  <c r="C4457" i="11"/>
  <c r="D4457" i="11"/>
  <c r="C4458" i="11"/>
  <c r="D4458" i="11"/>
  <c r="C4459" i="11"/>
  <c r="D4459" i="11"/>
  <c r="C4460" i="11"/>
  <c r="D4460" i="11"/>
  <c r="C4461" i="11"/>
  <c r="D4461" i="11"/>
  <c r="C4462" i="11"/>
  <c r="D4462" i="11"/>
  <c r="C4463" i="11"/>
  <c r="D4463" i="11"/>
  <c r="C4464" i="11"/>
  <c r="D4464" i="11"/>
  <c r="C4465" i="11"/>
  <c r="D4465" i="11"/>
  <c r="C4466" i="11"/>
  <c r="D4466" i="11"/>
  <c r="C4467" i="11"/>
  <c r="D4467" i="11"/>
  <c r="C4468" i="11"/>
  <c r="D4468" i="11"/>
  <c r="C4469" i="11"/>
  <c r="D4469" i="11"/>
  <c r="C4470" i="11"/>
  <c r="D4470" i="11"/>
  <c r="C4471" i="11"/>
  <c r="D4471" i="11"/>
  <c r="C4472" i="11"/>
  <c r="D4472" i="11"/>
  <c r="C4473" i="11"/>
  <c r="D4473" i="11"/>
  <c r="C4474" i="11"/>
  <c r="D4474" i="11"/>
  <c r="C4475" i="11"/>
  <c r="D4475" i="11"/>
  <c r="C4476" i="11"/>
  <c r="D4476" i="11"/>
  <c r="C4477" i="11"/>
  <c r="D4477" i="11"/>
  <c r="C4478" i="11"/>
  <c r="D4478" i="11"/>
  <c r="C4479" i="11"/>
  <c r="D4479" i="11"/>
  <c r="C4480" i="11"/>
  <c r="D4480" i="11"/>
  <c r="C4481" i="11"/>
  <c r="D4481" i="11"/>
  <c r="C4482" i="11"/>
  <c r="D4482" i="11"/>
  <c r="C4483" i="11"/>
  <c r="D4483" i="11"/>
  <c r="C4484" i="11"/>
  <c r="D4484" i="11"/>
  <c r="C4485" i="11"/>
  <c r="D4485" i="11"/>
  <c r="C4486" i="11"/>
  <c r="D4486" i="11"/>
  <c r="C4487" i="11"/>
  <c r="D4487" i="11"/>
  <c r="C4488" i="11"/>
  <c r="D4488" i="11"/>
  <c r="C4489" i="11"/>
  <c r="D4489" i="11"/>
  <c r="C4490" i="11"/>
  <c r="D4490" i="11"/>
  <c r="C4491" i="11"/>
  <c r="D4491" i="11"/>
  <c r="C4492" i="11"/>
  <c r="D4492" i="11"/>
  <c r="C4493" i="11"/>
  <c r="D4493" i="11"/>
  <c r="C4494" i="11"/>
  <c r="D4494" i="11"/>
  <c r="C4495" i="11"/>
  <c r="D4495" i="11"/>
  <c r="C4496" i="11"/>
  <c r="D4496" i="11"/>
  <c r="C4497" i="11"/>
  <c r="D4497" i="11"/>
  <c r="C4498" i="11"/>
  <c r="D4498" i="11"/>
  <c r="C4499" i="11"/>
  <c r="D4499" i="11"/>
  <c r="C4500" i="11"/>
  <c r="D4500" i="11"/>
  <c r="C4501" i="11"/>
  <c r="D4501" i="11"/>
  <c r="C4502" i="11"/>
  <c r="D4502" i="11"/>
  <c r="C4503" i="11"/>
  <c r="D4503" i="11"/>
  <c r="C4504" i="11"/>
  <c r="D4504" i="11"/>
  <c r="C4505" i="11"/>
  <c r="D4505" i="11"/>
  <c r="C4506" i="11"/>
  <c r="D4506" i="11"/>
  <c r="C4507" i="11"/>
  <c r="D4507" i="11"/>
  <c r="C4508" i="11"/>
  <c r="D4508" i="11"/>
  <c r="C4509" i="11"/>
  <c r="D4509" i="11"/>
  <c r="C4510" i="11"/>
  <c r="D4510" i="11"/>
  <c r="C4511" i="11"/>
  <c r="D4511" i="11"/>
  <c r="C4512" i="11"/>
  <c r="D4512" i="11"/>
  <c r="C4513" i="11"/>
  <c r="D4513" i="11"/>
  <c r="C4514" i="11"/>
  <c r="D4514" i="11"/>
  <c r="C4515" i="11"/>
  <c r="D4515" i="11"/>
  <c r="C4516" i="11"/>
  <c r="D4516" i="11"/>
  <c r="C4517" i="11"/>
  <c r="D4517" i="11"/>
  <c r="C4518" i="11"/>
  <c r="D4518" i="11"/>
  <c r="C4519" i="11"/>
  <c r="D4519" i="11"/>
  <c r="C4520" i="11"/>
  <c r="D4520" i="11"/>
  <c r="C4521" i="11"/>
  <c r="D4521" i="11"/>
  <c r="C4522" i="11"/>
  <c r="D4522" i="11"/>
  <c r="C4523" i="11"/>
  <c r="D4523" i="11"/>
  <c r="C4524" i="11"/>
  <c r="D4524" i="11"/>
  <c r="C4525" i="11"/>
  <c r="D4525" i="11"/>
  <c r="C4526" i="11"/>
  <c r="D4526" i="11"/>
  <c r="C4527" i="11"/>
  <c r="D4527" i="11"/>
  <c r="C4528" i="11"/>
  <c r="D4528" i="11"/>
  <c r="C4529" i="11"/>
  <c r="D4529" i="11"/>
  <c r="C4530" i="11"/>
  <c r="D4530" i="11"/>
  <c r="C4531" i="11"/>
  <c r="D4531" i="11"/>
  <c r="C4532" i="11"/>
  <c r="D4532" i="11"/>
  <c r="C4533" i="11"/>
  <c r="D4533" i="11"/>
  <c r="C4534" i="11"/>
  <c r="D4534" i="11"/>
  <c r="C4535" i="11"/>
  <c r="D4535" i="11"/>
  <c r="C4536" i="11"/>
  <c r="D4536" i="11"/>
  <c r="C4537" i="11"/>
  <c r="D4537" i="11"/>
  <c r="C4538" i="11"/>
  <c r="D4538" i="11"/>
  <c r="C4539" i="11"/>
  <c r="D4539" i="11"/>
  <c r="C4540" i="11"/>
  <c r="D4540" i="11"/>
  <c r="C4541" i="11"/>
  <c r="D4541" i="11"/>
  <c r="C4542" i="11"/>
  <c r="D4542" i="11"/>
  <c r="C4543" i="11"/>
  <c r="D4543" i="11"/>
  <c r="C4544" i="11"/>
  <c r="D4544" i="11"/>
  <c r="C4545" i="11"/>
  <c r="D4545" i="11"/>
  <c r="C4546" i="11"/>
  <c r="D4546" i="11"/>
  <c r="C4547" i="11"/>
  <c r="D4547" i="11"/>
  <c r="C4548" i="11"/>
  <c r="D4548" i="11"/>
  <c r="C4549" i="11"/>
  <c r="D4549" i="11"/>
  <c r="C4550" i="11"/>
  <c r="D4550" i="11"/>
  <c r="C4551" i="11"/>
  <c r="D4551" i="11"/>
  <c r="C4552" i="11"/>
  <c r="D4552" i="11"/>
  <c r="C4553" i="11"/>
  <c r="D4553" i="11"/>
  <c r="C4554" i="11"/>
  <c r="D4554" i="11"/>
  <c r="C4555" i="11"/>
  <c r="D4555" i="11"/>
  <c r="C4556" i="11"/>
  <c r="D4556" i="11"/>
  <c r="C4557" i="11"/>
  <c r="D4557" i="11"/>
  <c r="C4558" i="11"/>
  <c r="D4558" i="11"/>
  <c r="C4559" i="11"/>
  <c r="D4559" i="11"/>
  <c r="C4560" i="11"/>
  <c r="D4560" i="11"/>
  <c r="C4561" i="11"/>
  <c r="D4561" i="11"/>
  <c r="C4562" i="11"/>
  <c r="D4562" i="11"/>
  <c r="C4563" i="11"/>
  <c r="D4563" i="11"/>
  <c r="C4564" i="11"/>
  <c r="D4564" i="11"/>
  <c r="C4565" i="11"/>
  <c r="D4565" i="11"/>
  <c r="C4566" i="11"/>
  <c r="D4566" i="11"/>
  <c r="C4567" i="11"/>
  <c r="D4567" i="11"/>
  <c r="C4568" i="11"/>
  <c r="D4568" i="11"/>
  <c r="C4569" i="11"/>
  <c r="D4569" i="11"/>
  <c r="C4570" i="11"/>
  <c r="D4570" i="11"/>
  <c r="C4571" i="11"/>
  <c r="D4571" i="11"/>
  <c r="C4572" i="11"/>
  <c r="D4572" i="11"/>
  <c r="C4573" i="11"/>
  <c r="D4573" i="11"/>
  <c r="C4574" i="11"/>
  <c r="D4574" i="11"/>
  <c r="C4575" i="11"/>
  <c r="D4575" i="11"/>
  <c r="C4576" i="11"/>
  <c r="D4576" i="11"/>
  <c r="C4577" i="11"/>
  <c r="D4577" i="11"/>
  <c r="C4578" i="11"/>
  <c r="D4578" i="11"/>
  <c r="C4579" i="11"/>
  <c r="D4579" i="11"/>
  <c r="C4580" i="11"/>
  <c r="D4580" i="11"/>
  <c r="C4581" i="11"/>
  <c r="D4581" i="11"/>
  <c r="C4582" i="11"/>
  <c r="D4582" i="11"/>
  <c r="C4583" i="11"/>
  <c r="D4583" i="11"/>
  <c r="C4584" i="11"/>
  <c r="D4584" i="11"/>
  <c r="C4585" i="11"/>
  <c r="D4585" i="11"/>
  <c r="C4586" i="11"/>
  <c r="D4586" i="11"/>
  <c r="C4587" i="11"/>
  <c r="D4587" i="11"/>
  <c r="C4588" i="11"/>
  <c r="D4588" i="11"/>
  <c r="C4589" i="11"/>
  <c r="D4589" i="11"/>
  <c r="C4590" i="11"/>
  <c r="D4590" i="11"/>
  <c r="C4591" i="11"/>
  <c r="D4591" i="11"/>
  <c r="C4592" i="11"/>
  <c r="D4592" i="11"/>
  <c r="C4593" i="11"/>
  <c r="D4593" i="11"/>
  <c r="C4594" i="11"/>
  <c r="D4594" i="11"/>
  <c r="C4595" i="11"/>
  <c r="D4595" i="11"/>
  <c r="C4596" i="11"/>
  <c r="D4596" i="11"/>
  <c r="C4597" i="11"/>
  <c r="D4597" i="11"/>
  <c r="C4598" i="11"/>
  <c r="D4598" i="11"/>
  <c r="C4599" i="11"/>
  <c r="D4599" i="11"/>
  <c r="C4600" i="11"/>
  <c r="D4600" i="11"/>
  <c r="C4601" i="11"/>
  <c r="D4601" i="11"/>
  <c r="C4602" i="11"/>
  <c r="D4602" i="11"/>
  <c r="C4603" i="11"/>
  <c r="D4603" i="11"/>
  <c r="C4604" i="11"/>
  <c r="D4604" i="11"/>
  <c r="C4605" i="11"/>
  <c r="D4605" i="11"/>
  <c r="C4606" i="11"/>
  <c r="D4606" i="11"/>
  <c r="C4607" i="11"/>
  <c r="D4607" i="11"/>
  <c r="C4608" i="11"/>
  <c r="D4608" i="11"/>
  <c r="C4609" i="11"/>
  <c r="D4609" i="11"/>
  <c r="C4610" i="11"/>
  <c r="D4610" i="11"/>
  <c r="C4611" i="11"/>
  <c r="D4611" i="11"/>
  <c r="C4612" i="11"/>
  <c r="D4612" i="11"/>
  <c r="C4613" i="11"/>
  <c r="D4613" i="11"/>
  <c r="C4614" i="11"/>
  <c r="D4614" i="11"/>
  <c r="C4615" i="11"/>
  <c r="D4615" i="11"/>
  <c r="C4616" i="11"/>
  <c r="D4616" i="11"/>
  <c r="C4617" i="11"/>
  <c r="D4617" i="11"/>
  <c r="C4618" i="11"/>
  <c r="D4618" i="11"/>
  <c r="C4619" i="11"/>
  <c r="D4619" i="11"/>
  <c r="C4620" i="11"/>
  <c r="D4620" i="11"/>
  <c r="C4621" i="11"/>
  <c r="D4621" i="11"/>
  <c r="C4622" i="11"/>
  <c r="D4622" i="11"/>
  <c r="C4623" i="11"/>
  <c r="D4623" i="11"/>
  <c r="C4624" i="11"/>
  <c r="D4624" i="11"/>
  <c r="C4625" i="11"/>
  <c r="D4625" i="11"/>
  <c r="C4626" i="11"/>
  <c r="D4626" i="11"/>
  <c r="C4627" i="11"/>
  <c r="D4627" i="11"/>
  <c r="C4628" i="11"/>
  <c r="D4628" i="11"/>
  <c r="C4629" i="11"/>
  <c r="D4629" i="11"/>
  <c r="C4630" i="11"/>
  <c r="D4630" i="11"/>
  <c r="C4631" i="11"/>
  <c r="D4631" i="11"/>
  <c r="C4632" i="11"/>
  <c r="D4632" i="11"/>
  <c r="C4633" i="11"/>
  <c r="D4633" i="11"/>
  <c r="C4634" i="11"/>
  <c r="D4634" i="11"/>
  <c r="C4635" i="11"/>
  <c r="D4635" i="11"/>
  <c r="C4636" i="11"/>
  <c r="D4636" i="11"/>
  <c r="C4637" i="11"/>
  <c r="D4637" i="11"/>
  <c r="C4638" i="11"/>
  <c r="D4638" i="11"/>
  <c r="C4639" i="11"/>
  <c r="D4639" i="11"/>
  <c r="C4640" i="11"/>
  <c r="D4640" i="11"/>
  <c r="C4641" i="11"/>
  <c r="D4641" i="11"/>
  <c r="C4642" i="11"/>
  <c r="D4642" i="11"/>
  <c r="C4643" i="11"/>
  <c r="D4643" i="11"/>
  <c r="C4644" i="11"/>
  <c r="D4644" i="11"/>
  <c r="C4645" i="11"/>
  <c r="D4645" i="11"/>
  <c r="C4646" i="11"/>
  <c r="D4646" i="11"/>
  <c r="C4647" i="11"/>
  <c r="D4647" i="11"/>
  <c r="C4648" i="11"/>
  <c r="D4648" i="11"/>
  <c r="C4649" i="11"/>
  <c r="D4649" i="11"/>
  <c r="C4650" i="11"/>
  <c r="D4650" i="11"/>
  <c r="C4651" i="11"/>
  <c r="D4651" i="11"/>
  <c r="C4652" i="11"/>
  <c r="D4652" i="11"/>
  <c r="C4653" i="11"/>
  <c r="D4653" i="11"/>
  <c r="C4654" i="11"/>
  <c r="D4654" i="11"/>
  <c r="C4655" i="11"/>
  <c r="D4655" i="11"/>
  <c r="C4656" i="11"/>
  <c r="D4656" i="11"/>
  <c r="C4657" i="11"/>
  <c r="D4657" i="11"/>
  <c r="C4658" i="11"/>
  <c r="D4658" i="11"/>
  <c r="C4659" i="11"/>
  <c r="D4659" i="11"/>
  <c r="C4660" i="11"/>
  <c r="D4660" i="11"/>
  <c r="C4661" i="11"/>
  <c r="D4661" i="11"/>
  <c r="C4662" i="11"/>
  <c r="D4662" i="11"/>
  <c r="C4663" i="11"/>
  <c r="D4663" i="11"/>
  <c r="C4664" i="11"/>
  <c r="D4664" i="11"/>
  <c r="C4665" i="11"/>
  <c r="D4665" i="11"/>
  <c r="C4666" i="11"/>
  <c r="D4666" i="11"/>
  <c r="C4667" i="11"/>
  <c r="D4667" i="11"/>
  <c r="C4668" i="11"/>
  <c r="D4668" i="11"/>
  <c r="C4669" i="11"/>
  <c r="D4669" i="11"/>
  <c r="C4670" i="11"/>
  <c r="D4670" i="11"/>
  <c r="C4671" i="11"/>
  <c r="D4671" i="11"/>
  <c r="C4672" i="11"/>
  <c r="D4672" i="11"/>
  <c r="C4673" i="11"/>
  <c r="D4673" i="11"/>
  <c r="C4674" i="11"/>
  <c r="D4674" i="11"/>
  <c r="C4675" i="11"/>
  <c r="D4675" i="11"/>
  <c r="C4676" i="11"/>
  <c r="D4676" i="11"/>
  <c r="C4677" i="11"/>
  <c r="D4677" i="11"/>
  <c r="C4678" i="11"/>
  <c r="D4678" i="11"/>
  <c r="C4679" i="11"/>
  <c r="D4679" i="11"/>
  <c r="C4680" i="11"/>
  <c r="D4680" i="11"/>
  <c r="C4681" i="11"/>
  <c r="D4681" i="11"/>
  <c r="C4682" i="11"/>
  <c r="D4682" i="11"/>
  <c r="C4683" i="11"/>
  <c r="D4683" i="11"/>
  <c r="C4684" i="11"/>
  <c r="D4684" i="11"/>
  <c r="C4685" i="11"/>
  <c r="D4685" i="11"/>
  <c r="C4686" i="11"/>
  <c r="D4686" i="11"/>
  <c r="C4687" i="11"/>
  <c r="D4687" i="11"/>
  <c r="C4688" i="11"/>
  <c r="D4688" i="11"/>
  <c r="C4689" i="11"/>
  <c r="D4689" i="11"/>
  <c r="C4690" i="11"/>
  <c r="D4690" i="11"/>
  <c r="C4691" i="11"/>
  <c r="D4691" i="11"/>
  <c r="C4692" i="11"/>
  <c r="D4692" i="11"/>
  <c r="C4693" i="11"/>
  <c r="D4693" i="11"/>
  <c r="C4694" i="11"/>
  <c r="D4694" i="11"/>
  <c r="C4695" i="11"/>
  <c r="D4695" i="11"/>
  <c r="C4696" i="11"/>
  <c r="D4696" i="11"/>
  <c r="C4697" i="11"/>
  <c r="D4697" i="11"/>
  <c r="C4698" i="11"/>
  <c r="D4698" i="11"/>
  <c r="C4699" i="11"/>
  <c r="D4699" i="11"/>
  <c r="C4700" i="11"/>
  <c r="D4700" i="11"/>
  <c r="C4701" i="11"/>
  <c r="D4701" i="11"/>
  <c r="C4702" i="11"/>
  <c r="D4702" i="11"/>
  <c r="C4703" i="11"/>
  <c r="D4703" i="11"/>
  <c r="C4704" i="11"/>
  <c r="D4704" i="11"/>
  <c r="C4705" i="11"/>
  <c r="D4705" i="11"/>
  <c r="C4706" i="11"/>
  <c r="D4706" i="11"/>
  <c r="C4707" i="11"/>
  <c r="D4707" i="11"/>
  <c r="C4708" i="11"/>
  <c r="D4708" i="11"/>
  <c r="C4709" i="11"/>
  <c r="D4709" i="11"/>
  <c r="C4710" i="11"/>
  <c r="D4710" i="11"/>
  <c r="C4711" i="11"/>
  <c r="D4711" i="11"/>
  <c r="C4712" i="11"/>
  <c r="D4712" i="11"/>
  <c r="C4713" i="11"/>
  <c r="D4713" i="11"/>
  <c r="C4714" i="11"/>
  <c r="D4714" i="11"/>
  <c r="C4715" i="11"/>
  <c r="D4715" i="11"/>
  <c r="C4716" i="11"/>
  <c r="D4716" i="11"/>
  <c r="C4717" i="11"/>
  <c r="D4717" i="11"/>
  <c r="C4718" i="11"/>
  <c r="D4718" i="11"/>
  <c r="C4719" i="11"/>
  <c r="D4719" i="11"/>
  <c r="C4720" i="11"/>
  <c r="D4720" i="11"/>
  <c r="C4721" i="11"/>
  <c r="D4721" i="11"/>
  <c r="C4722" i="11"/>
  <c r="D4722" i="11"/>
  <c r="C4723" i="11"/>
  <c r="D4723" i="11"/>
  <c r="C4724" i="11"/>
  <c r="D4724" i="11"/>
  <c r="C4725" i="11"/>
  <c r="D4725" i="11"/>
  <c r="C4726" i="11"/>
  <c r="D4726" i="11"/>
  <c r="C4727" i="11"/>
  <c r="D4727" i="11"/>
  <c r="C4728" i="11"/>
  <c r="D4728" i="11"/>
  <c r="C4729" i="11"/>
  <c r="D4729" i="11"/>
  <c r="C4730" i="11"/>
  <c r="D4730" i="11"/>
  <c r="C4731" i="11"/>
  <c r="D4731" i="11"/>
  <c r="C4732" i="11"/>
  <c r="D4732" i="11"/>
  <c r="C4733" i="11"/>
  <c r="D4733" i="11"/>
  <c r="C4734" i="11"/>
  <c r="D4734" i="11"/>
  <c r="C4735" i="11"/>
  <c r="D4735" i="11"/>
  <c r="C4736" i="11"/>
  <c r="D4736" i="11"/>
  <c r="C4737" i="11"/>
  <c r="D4737" i="11"/>
  <c r="C4738" i="11"/>
  <c r="D4738" i="11"/>
  <c r="C4739" i="11"/>
  <c r="D4739" i="11"/>
  <c r="C4740" i="11"/>
  <c r="D4740" i="11"/>
  <c r="C4741" i="11"/>
  <c r="D4741" i="11"/>
  <c r="C4742" i="11"/>
  <c r="D4742" i="11"/>
  <c r="C4743" i="11"/>
  <c r="D4743" i="11"/>
  <c r="C4744" i="11"/>
  <c r="D4744" i="11"/>
  <c r="C4745" i="11"/>
  <c r="D4745" i="11"/>
  <c r="C4746" i="11"/>
  <c r="D4746" i="11"/>
  <c r="C4747" i="11"/>
  <c r="D4747" i="11"/>
  <c r="C4748" i="11"/>
  <c r="D4748" i="11"/>
  <c r="C4749" i="11"/>
  <c r="D4749" i="11"/>
  <c r="C4750" i="11"/>
  <c r="D4750" i="11"/>
  <c r="C4751" i="11"/>
  <c r="D4751" i="11"/>
  <c r="C4752" i="11"/>
  <c r="D4752" i="11"/>
  <c r="C4753" i="11"/>
  <c r="D4753" i="11"/>
  <c r="C4754" i="11"/>
  <c r="D4754" i="11"/>
  <c r="C4755" i="11"/>
  <c r="D4755" i="11"/>
  <c r="C4756" i="11"/>
  <c r="D4756" i="11"/>
  <c r="C4757" i="11"/>
  <c r="D4757" i="11"/>
  <c r="C4758" i="11"/>
  <c r="D4758" i="11"/>
  <c r="C4759" i="11"/>
  <c r="D4759" i="11"/>
  <c r="C4760" i="11"/>
  <c r="D4760" i="11"/>
  <c r="C4761" i="11"/>
  <c r="D4761" i="11"/>
  <c r="C4762" i="11"/>
  <c r="D4762" i="11"/>
  <c r="C4763" i="11"/>
  <c r="D4763" i="11"/>
  <c r="C4764" i="11"/>
  <c r="D4764" i="11"/>
  <c r="C4765" i="11"/>
  <c r="D4765" i="11"/>
  <c r="C4766" i="11"/>
  <c r="D4766" i="11"/>
  <c r="C4767" i="11"/>
  <c r="D4767" i="11"/>
  <c r="C4768" i="11"/>
  <c r="D4768" i="11"/>
  <c r="C4769" i="11"/>
  <c r="D4769" i="11"/>
  <c r="C4770" i="11"/>
  <c r="D4770" i="11"/>
  <c r="C4771" i="11"/>
  <c r="D4771" i="11"/>
  <c r="C4772" i="11"/>
  <c r="D4772" i="11"/>
  <c r="C4773" i="11"/>
  <c r="D4773" i="11"/>
  <c r="C4774" i="11"/>
  <c r="D4774" i="11"/>
  <c r="C4775" i="11"/>
  <c r="D4775" i="11"/>
  <c r="C4776" i="11"/>
  <c r="D4776" i="11"/>
  <c r="C4777" i="11"/>
  <c r="D4777" i="11"/>
  <c r="C4778" i="11"/>
  <c r="D4778" i="11"/>
  <c r="C4779" i="11"/>
  <c r="D4779" i="11"/>
  <c r="C4780" i="11"/>
  <c r="D4780" i="11"/>
  <c r="C4781" i="11"/>
  <c r="D4781" i="11"/>
  <c r="C4782" i="11"/>
  <c r="D4782" i="11"/>
  <c r="C4783" i="11"/>
  <c r="D4783" i="11"/>
  <c r="C4784" i="11"/>
  <c r="D4784" i="11"/>
  <c r="C4785" i="11"/>
  <c r="D4785" i="11"/>
  <c r="C4786" i="11"/>
  <c r="D4786" i="11"/>
  <c r="C4787" i="11"/>
  <c r="D4787" i="11"/>
  <c r="C4788" i="11"/>
  <c r="D4788" i="11"/>
  <c r="C4789" i="11"/>
  <c r="D4789" i="11"/>
  <c r="C4790" i="11"/>
  <c r="D4790" i="11"/>
  <c r="C4791" i="11"/>
  <c r="D4791" i="11"/>
  <c r="C4792" i="11"/>
  <c r="D4792" i="11"/>
  <c r="C4793" i="11"/>
  <c r="D4793" i="11"/>
  <c r="C4794" i="11"/>
  <c r="D4794" i="11"/>
  <c r="C4795" i="11"/>
  <c r="D4795" i="11"/>
  <c r="C4796" i="11"/>
  <c r="D4796" i="11"/>
  <c r="C4797" i="11"/>
  <c r="D4797" i="11"/>
  <c r="C4798" i="11"/>
  <c r="D4798" i="11"/>
  <c r="C4799" i="11"/>
  <c r="D4799" i="11"/>
  <c r="C4800" i="11"/>
  <c r="D4800" i="11"/>
  <c r="C4801" i="11"/>
  <c r="D4801" i="11"/>
  <c r="C4802" i="11"/>
  <c r="D4802" i="11"/>
  <c r="C4803" i="11"/>
  <c r="D4803" i="11"/>
  <c r="C4804" i="11"/>
  <c r="D4804" i="11"/>
  <c r="C4805" i="11"/>
  <c r="D4805" i="11"/>
  <c r="C4806" i="11"/>
  <c r="D4806" i="11"/>
  <c r="C4807" i="11"/>
  <c r="D4807" i="11"/>
  <c r="C4808" i="11"/>
  <c r="D4808" i="11"/>
  <c r="C4809" i="11"/>
  <c r="D4809" i="11"/>
  <c r="C4810" i="11"/>
  <c r="D4810" i="11"/>
  <c r="C4811" i="11"/>
  <c r="D4811" i="11"/>
  <c r="C4812" i="11"/>
  <c r="D4812" i="11"/>
  <c r="C4813" i="11"/>
  <c r="D4813" i="11"/>
  <c r="C4814" i="11"/>
  <c r="D4814" i="11"/>
  <c r="C4815" i="11"/>
  <c r="D4815" i="11"/>
  <c r="C4816" i="11"/>
  <c r="D4816" i="11"/>
  <c r="C4817" i="11"/>
  <c r="D4817" i="11"/>
  <c r="C4818" i="11"/>
  <c r="D4818" i="11"/>
  <c r="C4819" i="11"/>
  <c r="D4819" i="11"/>
  <c r="C4820" i="11"/>
  <c r="D4820" i="11"/>
  <c r="C4821" i="11"/>
  <c r="D4821" i="11"/>
  <c r="C4822" i="11"/>
  <c r="D4822" i="11"/>
  <c r="C4823" i="11"/>
  <c r="D4823" i="11"/>
  <c r="C4824" i="11"/>
  <c r="D4824" i="11"/>
  <c r="C4825" i="11"/>
  <c r="D4825" i="11"/>
  <c r="C4826" i="11"/>
  <c r="D4826" i="11"/>
  <c r="C4827" i="11"/>
  <c r="D4827" i="11"/>
  <c r="C4828" i="11"/>
  <c r="D4828" i="11"/>
  <c r="C4829" i="11"/>
  <c r="D4829" i="11"/>
  <c r="C4830" i="11"/>
  <c r="D4830" i="11"/>
  <c r="C4831" i="11"/>
  <c r="D4831" i="11"/>
  <c r="C4832" i="11"/>
  <c r="D4832" i="11"/>
  <c r="C4833" i="11"/>
  <c r="D4833" i="11"/>
  <c r="C4834" i="11"/>
  <c r="D4834" i="11"/>
  <c r="C4835" i="11"/>
  <c r="D4835" i="11"/>
  <c r="C4836" i="11"/>
  <c r="D4836" i="11"/>
  <c r="C4837" i="11"/>
  <c r="D4837" i="11"/>
  <c r="C4838" i="11"/>
  <c r="D4838" i="11"/>
  <c r="C4839" i="11"/>
  <c r="D4839" i="11"/>
  <c r="C4840" i="11"/>
  <c r="D4840" i="11"/>
  <c r="C4841" i="11"/>
  <c r="D4841" i="11"/>
  <c r="C4842" i="11"/>
  <c r="D4842" i="11"/>
  <c r="C4843" i="11"/>
  <c r="D4843" i="11"/>
  <c r="C4844" i="11"/>
  <c r="D4844" i="11"/>
  <c r="C4845" i="11"/>
  <c r="D4845" i="11"/>
  <c r="C4846" i="11"/>
  <c r="D4846" i="11"/>
  <c r="C4847" i="11"/>
  <c r="D4847" i="11"/>
  <c r="C4848" i="11"/>
  <c r="D4848" i="11"/>
  <c r="C4849" i="11"/>
  <c r="D4849" i="11"/>
  <c r="C4850" i="11"/>
  <c r="D4850" i="11"/>
  <c r="C4851" i="11"/>
  <c r="D4851" i="11"/>
  <c r="C4852" i="11"/>
  <c r="D4852" i="11"/>
  <c r="C4853" i="11"/>
  <c r="D4853" i="11"/>
  <c r="C4854" i="11"/>
  <c r="D4854" i="11"/>
  <c r="C4855" i="11"/>
  <c r="D4855" i="11"/>
  <c r="C4856" i="11"/>
  <c r="D4856" i="11"/>
  <c r="C4857" i="11"/>
  <c r="D4857" i="11"/>
  <c r="C4858" i="11"/>
  <c r="D4858" i="11"/>
  <c r="C4859" i="11"/>
  <c r="D4859" i="11"/>
  <c r="C4860" i="11"/>
  <c r="D4860" i="11"/>
  <c r="C4861" i="11"/>
  <c r="D4861" i="11"/>
  <c r="C4862" i="11"/>
  <c r="D4862" i="11"/>
  <c r="C4863" i="11"/>
  <c r="D4863" i="11"/>
  <c r="C4864" i="11"/>
  <c r="D4864" i="11"/>
  <c r="C4865" i="11"/>
  <c r="D4865" i="11"/>
  <c r="C4866" i="11"/>
  <c r="D4866" i="11"/>
  <c r="C4867" i="11"/>
  <c r="D4867" i="11"/>
  <c r="C4868" i="11"/>
  <c r="D4868" i="11"/>
  <c r="C4869" i="11"/>
  <c r="D4869" i="11"/>
  <c r="C4870" i="11"/>
  <c r="D4870" i="11"/>
  <c r="C4871" i="11"/>
  <c r="D4871" i="11"/>
  <c r="C4872" i="11"/>
  <c r="D4872" i="11"/>
  <c r="C4873" i="11"/>
  <c r="D4873" i="11"/>
  <c r="C4874" i="11"/>
  <c r="D4874" i="11"/>
  <c r="C4875" i="11"/>
  <c r="D4875" i="11"/>
  <c r="C4876" i="11"/>
  <c r="D4876" i="11"/>
  <c r="C4877" i="11"/>
  <c r="D4877" i="11"/>
  <c r="C4878" i="11"/>
  <c r="D4878" i="11"/>
  <c r="C4879" i="11"/>
  <c r="D4879" i="11"/>
  <c r="C4880" i="11"/>
  <c r="D4880" i="11"/>
  <c r="C4881" i="11"/>
  <c r="D4881" i="11"/>
  <c r="C4882" i="11"/>
  <c r="D4882" i="11"/>
  <c r="C4883" i="11"/>
  <c r="D4883" i="11"/>
  <c r="C4884" i="11"/>
  <c r="D4884" i="11"/>
  <c r="C4885" i="11"/>
  <c r="D4885" i="11"/>
  <c r="C4886" i="11"/>
  <c r="D4886" i="11"/>
  <c r="C4887" i="11"/>
  <c r="D4887" i="11"/>
  <c r="C4888" i="11"/>
  <c r="D4888" i="11"/>
  <c r="C4889" i="11"/>
  <c r="D4889" i="11"/>
  <c r="C4890" i="11"/>
  <c r="D4890" i="11"/>
  <c r="C4891" i="11"/>
  <c r="D4891" i="11"/>
  <c r="C4892" i="11"/>
  <c r="D4892" i="11"/>
  <c r="C4893" i="11"/>
  <c r="D4893" i="11"/>
  <c r="C4894" i="11"/>
  <c r="D4894" i="11"/>
  <c r="C4895" i="11"/>
  <c r="D4895" i="11"/>
  <c r="C4896" i="11"/>
  <c r="D4896" i="11"/>
  <c r="C4897" i="11"/>
  <c r="D4897" i="11"/>
  <c r="C4898" i="11"/>
  <c r="D4898" i="11"/>
  <c r="C4899" i="11"/>
  <c r="D4899" i="11"/>
  <c r="C4900" i="11"/>
  <c r="D4900" i="11"/>
  <c r="C4901" i="11"/>
  <c r="D4901" i="11"/>
  <c r="C4902" i="11"/>
  <c r="D4902" i="11"/>
  <c r="C4903" i="11"/>
  <c r="D4903" i="11"/>
  <c r="C4904" i="11"/>
  <c r="D4904" i="11"/>
  <c r="C4905" i="11"/>
  <c r="D4905" i="11"/>
  <c r="C4906" i="11"/>
  <c r="D4906" i="11"/>
  <c r="C4907" i="11"/>
  <c r="D4907" i="11"/>
  <c r="C4908" i="11"/>
  <c r="D4908" i="11"/>
  <c r="C4909" i="11"/>
  <c r="D4909" i="11"/>
  <c r="C4910" i="11"/>
  <c r="D4910" i="11"/>
  <c r="C4911" i="11"/>
  <c r="D4911" i="11"/>
  <c r="C4912" i="11"/>
  <c r="D4912" i="11"/>
  <c r="C4913" i="11"/>
  <c r="D4913" i="11"/>
  <c r="C4914" i="11"/>
  <c r="D4914" i="11"/>
  <c r="C4915" i="11"/>
  <c r="D4915" i="11"/>
  <c r="C4916" i="11"/>
  <c r="D4916" i="11"/>
  <c r="C4917" i="11"/>
  <c r="D4917" i="11"/>
  <c r="C4918" i="11"/>
  <c r="D4918" i="11"/>
  <c r="C4919" i="11"/>
  <c r="D4919" i="11"/>
  <c r="C4920" i="11"/>
  <c r="D4920" i="11"/>
  <c r="C4921" i="11"/>
  <c r="D4921" i="11"/>
  <c r="C4922" i="11"/>
  <c r="D4922" i="11"/>
  <c r="C4923" i="11"/>
  <c r="D4923" i="11"/>
  <c r="C4924" i="11"/>
  <c r="D4924" i="11"/>
  <c r="C4925" i="11"/>
  <c r="D4925" i="11"/>
  <c r="C4926" i="11"/>
  <c r="D4926" i="11"/>
  <c r="C4927" i="11"/>
  <c r="D4927" i="11"/>
  <c r="C4928" i="11"/>
  <c r="D4928" i="11"/>
  <c r="C4929" i="11"/>
  <c r="D4929" i="11"/>
  <c r="C4930" i="11"/>
  <c r="D4930" i="11"/>
  <c r="C4931" i="11"/>
  <c r="D4931" i="11"/>
  <c r="C4932" i="11"/>
  <c r="D4932" i="11"/>
  <c r="C4933" i="11"/>
  <c r="D4933" i="11"/>
  <c r="C4934" i="11"/>
  <c r="D4934" i="11"/>
  <c r="C4935" i="11"/>
  <c r="D4935" i="11"/>
  <c r="C4936" i="11"/>
  <c r="D4936" i="11"/>
  <c r="C4937" i="11"/>
  <c r="D4937" i="11"/>
  <c r="C4938" i="11"/>
  <c r="D4938" i="11"/>
  <c r="C4939" i="11"/>
  <c r="D4939" i="11"/>
  <c r="C4940" i="11"/>
  <c r="D4940" i="11"/>
  <c r="C4941" i="11"/>
  <c r="D4941" i="11"/>
  <c r="C4942" i="11"/>
  <c r="D4942" i="11"/>
  <c r="C4943" i="11"/>
  <c r="D4943" i="11"/>
  <c r="C4944" i="11"/>
  <c r="D4944" i="11"/>
  <c r="C4945" i="11"/>
  <c r="D4945" i="11"/>
  <c r="C4946" i="11"/>
  <c r="D4946" i="11"/>
  <c r="C4947" i="11"/>
  <c r="D4947" i="11"/>
  <c r="C4948" i="11"/>
  <c r="D4948" i="11"/>
  <c r="C4949" i="11"/>
  <c r="D4949" i="11"/>
  <c r="C4950" i="11"/>
  <c r="D4950" i="11"/>
  <c r="C4951" i="11"/>
  <c r="D4951" i="11"/>
  <c r="C4952" i="11"/>
  <c r="D4952" i="11"/>
  <c r="C4953" i="11"/>
  <c r="D4953" i="11"/>
  <c r="C4954" i="11"/>
  <c r="D4954" i="11"/>
  <c r="C4955" i="11"/>
  <c r="D4955" i="11"/>
  <c r="C4956" i="11"/>
  <c r="D4956" i="11"/>
  <c r="C4957" i="11"/>
  <c r="D4957" i="11"/>
  <c r="C4958" i="11"/>
  <c r="D4958" i="11"/>
  <c r="C4959" i="11"/>
  <c r="D4959" i="11"/>
  <c r="C4960" i="11"/>
  <c r="D4960" i="11"/>
  <c r="C4961" i="11"/>
  <c r="D4961" i="11"/>
  <c r="C4962" i="11"/>
  <c r="D4962" i="11"/>
  <c r="C4963" i="11"/>
  <c r="D4963" i="11"/>
  <c r="C4964" i="11"/>
  <c r="D4964" i="11"/>
  <c r="C4965" i="11"/>
  <c r="D4965" i="11"/>
  <c r="C4966" i="11"/>
  <c r="D4966" i="11"/>
  <c r="C4967" i="11"/>
  <c r="D4967" i="11"/>
  <c r="C4968" i="11"/>
  <c r="D4968" i="11"/>
  <c r="C4969" i="11"/>
  <c r="D4969" i="11"/>
  <c r="C4970" i="11"/>
  <c r="D4970" i="11"/>
  <c r="C4971" i="11"/>
  <c r="D4971" i="11"/>
  <c r="C4972" i="11"/>
  <c r="D4972" i="11"/>
  <c r="C4973" i="11"/>
  <c r="D4973" i="11"/>
  <c r="C4974" i="11"/>
  <c r="D4974" i="11"/>
  <c r="C4975" i="11"/>
  <c r="D4975" i="11"/>
  <c r="C4976" i="11"/>
  <c r="D4976" i="11"/>
  <c r="C4977" i="11"/>
  <c r="D4977" i="11"/>
  <c r="C4978" i="11"/>
  <c r="D4978" i="11"/>
  <c r="C4979" i="11"/>
  <c r="D4979" i="11"/>
  <c r="C4980" i="11"/>
  <c r="D4980" i="11"/>
  <c r="C4981" i="11"/>
  <c r="D4981" i="11"/>
  <c r="C4982" i="11"/>
  <c r="D4982" i="11"/>
  <c r="C4983" i="11"/>
  <c r="D4983" i="11"/>
  <c r="C4984" i="11"/>
  <c r="D4984" i="11"/>
  <c r="C4985" i="11"/>
  <c r="D4985" i="11"/>
  <c r="C4986" i="11"/>
  <c r="D4986" i="11"/>
  <c r="C4987" i="11"/>
  <c r="D4987" i="11"/>
  <c r="C4988" i="11"/>
  <c r="D4988" i="11"/>
  <c r="C4989" i="11"/>
  <c r="D4989" i="11"/>
  <c r="C4990" i="11"/>
  <c r="D4990" i="11"/>
  <c r="C4991" i="11"/>
  <c r="D4991" i="11"/>
  <c r="C4992" i="11"/>
  <c r="D4992" i="11"/>
  <c r="C4993" i="11"/>
  <c r="D4993" i="11"/>
  <c r="C4994" i="11"/>
  <c r="D4994" i="11"/>
  <c r="C4995" i="11"/>
  <c r="D4995" i="11"/>
  <c r="C4996" i="11"/>
  <c r="D4996" i="11"/>
  <c r="C4997" i="11"/>
  <c r="D4997" i="11"/>
  <c r="C4998" i="11"/>
  <c r="D4998" i="11"/>
  <c r="C4999" i="11"/>
  <c r="D4999" i="11"/>
  <c r="C5000" i="11"/>
  <c r="D5000" i="11"/>
  <c r="C5001" i="11"/>
  <c r="D5001" i="11"/>
  <c r="C5002" i="11"/>
  <c r="D5002" i="11"/>
  <c r="C5003" i="11"/>
  <c r="D5003" i="11"/>
  <c r="C5004" i="11"/>
  <c r="D5004" i="11"/>
  <c r="C22" i="10"/>
  <c r="C19" i="10"/>
  <c r="C20" i="10"/>
  <c r="C21" i="10" s="1"/>
  <c r="J19" i="4"/>
  <c r="J18" i="4"/>
  <c r="J21" i="4"/>
  <c r="J22" i="4" s="1"/>
  <c r="I11" i="10"/>
  <c r="J11" i="10"/>
  <c r="J10" i="10"/>
  <c r="J9" i="10"/>
  <c r="J7" i="10"/>
  <c r="I6" i="10"/>
  <c r="J4" i="10"/>
  <c r="H5" i="10" s="1"/>
  <c r="I9" i="10"/>
  <c r="N47" i="3"/>
  <c r="N48" i="3" s="1"/>
  <c r="M47" i="3"/>
  <c r="M48" i="3" s="1"/>
  <c r="L47" i="3"/>
  <c r="L48" i="3" s="1"/>
  <c r="K47" i="3"/>
  <c r="K48" i="3" s="1"/>
  <c r="J47" i="3"/>
  <c r="J48" i="3" s="1"/>
  <c r="H18" i="10"/>
  <c r="H27" i="10" s="1"/>
  <c r="C18" i="10"/>
  <c r="C27" i="10" s="1"/>
  <c r="C26" i="10" l="1"/>
  <c r="C23" i="10"/>
  <c r="I10" i="10"/>
  <c r="O48" i="3"/>
  <c r="H19" i="10" l="1"/>
  <c r="H20" i="10"/>
  <c r="C28" i="10" l="1"/>
  <c r="H21" i="10"/>
  <c r="H22" i="10" s="1"/>
  <c r="H26" i="10" s="1"/>
  <c r="H28" i="10" s="1"/>
  <c r="H23" i="10" l="1"/>
  <c r="C8" i="7" l="1"/>
  <c r="B10" i="2"/>
  <c r="D8" i="12"/>
  <c r="E8" i="12"/>
  <c r="F8" i="12"/>
  <c r="G8" i="12"/>
  <c r="D7" i="12"/>
  <c r="E7" i="12"/>
  <c r="F7" i="12"/>
  <c r="G7" i="12"/>
  <c r="C7" i="12"/>
  <c r="D6" i="12"/>
  <c r="E6" i="12"/>
  <c r="F6" i="12"/>
  <c r="G6" i="12"/>
  <c r="C6" i="12"/>
  <c r="E9" i="7" l="1"/>
  <c r="F9" i="7"/>
  <c r="G9" i="7"/>
  <c r="H9" i="7"/>
  <c r="D9" i="7"/>
  <c r="C9" i="7"/>
  <c r="E13" i="6" l="1"/>
  <c r="F13" i="6" s="1"/>
  <c r="G13" i="6" s="1"/>
  <c r="H13" i="6" s="1"/>
  <c r="H25" i="6"/>
  <c r="H26" i="6" s="1"/>
  <c r="C25" i="6"/>
  <c r="C26" i="6" s="1"/>
  <c r="C21" i="6"/>
  <c r="C20" i="6"/>
  <c r="J13" i="4"/>
  <c r="K13" i="4" s="1"/>
  <c r="L13" i="4" s="1"/>
  <c r="M13" i="4" s="1"/>
  <c r="N13" i="4" s="1"/>
  <c r="I25" i="3"/>
  <c r="G23" i="3"/>
  <c r="J23" i="3" s="1"/>
  <c r="K23" i="3" s="1"/>
  <c r="L23" i="3" s="1"/>
  <c r="M23" i="3" s="1"/>
  <c r="N23" i="3" s="1"/>
  <c r="G20" i="3"/>
  <c r="J20" i="3" s="1"/>
  <c r="C14" i="6" l="1"/>
  <c r="J25" i="3"/>
  <c r="K20" i="3"/>
  <c r="L20" i="3" s="1"/>
  <c r="M20" i="3" s="1"/>
  <c r="N20" i="3" s="1"/>
  <c r="N25" i="3" s="1"/>
  <c r="H12" i="7" l="1"/>
  <c r="D12" i="7"/>
  <c r="L25" i="3"/>
  <c r="M25" i="3"/>
  <c r="K25" i="3"/>
  <c r="G12" i="7" l="1"/>
  <c r="E12" i="7"/>
  <c r="F12" i="7"/>
  <c r="F28" i="5"/>
  <c r="K28" i="5" s="1"/>
  <c r="F25" i="5"/>
  <c r="H25" i="5" s="1"/>
  <c r="F17" i="5"/>
  <c r="K17" i="5" s="1"/>
  <c r="F14" i="5"/>
  <c r="J14" i="5" s="1"/>
  <c r="I28" i="5" l="1"/>
  <c r="H28" i="5"/>
  <c r="J28" i="5"/>
  <c r="G28" i="5"/>
  <c r="K25" i="5"/>
  <c r="J25" i="5"/>
  <c r="I25" i="5"/>
  <c r="G25" i="5"/>
  <c r="G14" i="5"/>
  <c r="I14" i="5"/>
  <c r="K14" i="5"/>
  <c r="H17" i="5"/>
  <c r="I17" i="5"/>
  <c r="G17" i="5"/>
  <c r="J17" i="5"/>
  <c r="H14" i="5"/>
  <c r="E18" i="9"/>
  <c r="F18" i="9"/>
  <c r="G18" i="9"/>
  <c r="H18" i="9"/>
  <c r="D18" i="9"/>
  <c r="C13" i="7"/>
  <c r="B9" i="2"/>
  <c r="B53" i="3" s="1"/>
  <c r="B58" i="2"/>
  <c r="B24" i="4"/>
  <c r="C16" i="8" l="1"/>
  <c r="C21" i="9"/>
  <c r="H14" i="9"/>
  <c r="H15" i="9" s="1"/>
  <c r="G14" i="9"/>
  <c r="G15" i="9" s="1"/>
  <c r="F14" i="9"/>
  <c r="F15" i="9" s="1"/>
  <c r="E14" i="9"/>
  <c r="E15" i="9" s="1"/>
  <c r="D14" i="9"/>
  <c r="D15" i="9" s="1"/>
  <c r="C11" i="4"/>
  <c r="D11" i="4" s="1"/>
  <c r="F11" i="4" s="1"/>
  <c r="C10" i="4"/>
  <c r="D10" i="4" s="1"/>
  <c r="C20" i="9"/>
  <c r="F27" i="5"/>
  <c r="K27" i="5" s="1"/>
  <c r="F26" i="5"/>
  <c r="J26" i="5" s="1"/>
  <c r="F24" i="5"/>
  <c r="K24" i="5" s="1"/>
  <c r="F23" i="5"/>
  <c r="G23" i="5" s="1"/>
  <c r="F16" i="5"/>
  <c r="K16" i="5" s="1"/>
  <c r="F15" i="5"/>
  <c r="J15" i="5" s="1"/>
  <c r="F13" i="5"/>
  <c r="G13" i="5" s="1"/>
  <c r="F12" i="5"/>
  <c r="G12" i="5" s="1"/>
  <c r="J6" i="4"/>
  <c r="K6" i="4"/>
  <c r="B10" i="4"/>
  <c r="J12" i="4" s="1"/>
  <c r="K12" i="4" s="1"/>
  <c r="L12" i="4" s="1"/>
  <c r="M12" i="4" s="1"/>
  <c r="N12" i="4" s="1"/>
  <c r="B9" i="4"/>
  <c r="D9" i="4" s="1"/>
  <c r="F9" i="4" s="1"/>
  <c r="N6" i="4"/>
  <c r="M6" i="4"/>
  <c r="L6" i="4"/>
  <c r="F6" i="4"/>
  <c r="E6" i="4"/>
  <c r="F5" i="4"/>
  <c r="E5" i="4"/>
  <c r="F4" i="4"/>
  <c r="E4" i="4"/>
  <c r="K23" i="5" l="1"/>
  <c r="C12" i="4"/>
  <c r="I15" i="5"/>
  <c r="K13" i="5"/>
  <c r="J13" i="5"/>
  <c r="I13" i="5"/>
  <c r="H15" i="5"/>
  <c r="K12" i="5"/>
  <c r="J12" i="5"/>
  <c r="I12" i="5"/>
  <c r="H12" i="5"/>
  <c r="G15" i="5"/>
  <c r="G18" i="5" s="1"/>
  <c r="J31" i="3" s="1"/>
  <c r="H13" i="5"/>
  <c r="K15" i="5"/>
  <c r="H26" i="5"/>
  <c r="I26" i="5"/>
  <c r="K26" i="5"/>
  <c r="K29" i="5" s="1"/>
  <c r="G26" i="5"/>
  <c r="H23" i="5"/>
  <c r="I23" i="5"/>
  <c r="G27" i="5"/>
  <c r="J23" i="5"/>
  <c r="H27" i="5"/>
  <c r="I27" i="5"/>
  <c r="G16" i="5"/>
  <c r="J27" i="5"/>
  <c r="H16" i="5"/>
  <c r="G24" i="5"/>
  <c r="I16" i="5"/>
  <c r="H24" i="5"/>
  <c r="J16" i="5"/>
  <c r="I24" i="5"/>
  <c r="J24" i="5"/>
  <c r="D12" i="4"/>
  <c r="E11" i="4"/>
  <c r="E9" i="4"/>
  <c r="D12" i="6" l="1"/>
  <c r="K31" i="3"/>
  <c r="L31" i="3" s="1"/>
  <c r="M31" i="3" s="1"/>
  <c r="N31" i="3" s="1"/>
  <c r="J18" i="5"/>
  <c r="K18" i="5"/>
  <c r="H18" i="5"/>
  <c r="I18" i="5"/>
  <c r="F10" i="4"/>
  <c r="E10" i="4"/>
  <c r="E12" i="4" s="1"/>
  <c r="G29" i="5"/>
  <c r="H29" i="5"/>
  <c r="J29" i="5"/>
  <c r="I29" i="5"/>
  <c r="D14" i="6" l="1"/>
  <c r="F12" i="4"/>
  <c r="J7" i="4" s="1"/>
  <c r="E14" i="6" l="1"/>
  <c r="K7" i="4"/>
  <c r="E7" i="6" s="1"/>
  <c r="D7" i="6"/>
  <c r="K15" i="4"/>
  <c r="K16" i="4"/>
  <c r="K19" i="4" s="1"/>
  <c r="L7" i="4"/>
  <c r="J15" i="4"/>
  <c r="J16" i="4"/>
  <c r="E8" i="8"/>
  <c r="E9" i="8" s="1"/>
  <c r="E6" i="7"/>
  <c r="D8" i="8"/>
  <c r="D9" i="8" s="1"/>
  <c r="D6" i="7"/>
  <c r="M7" i="4"/>
  <c r="G7" i="6" s="1"/>
  <c r="G8" i="6" s="1"/>
  <c r="E8" i="6" l="1"/>
  <c r="E16" i="6" s="1"/>
  <c r="D8" i="6"/>
  <c r="D16" i="6" s="1"/>
  <c r="F8" i="8"/>
  <c r="F9" i="8" s="1"/>
  <c r="F7" i="6"/>
  <c r="F8" i="6" s="1"/>
  <c r="K18" i="4"/>
  <c r="K21" i="4" s="1"/>
  <c r="K22" i="4" s="1"/>
  <c r="F14" i="6"/>
  <c r="C4" i="10"/>
  <c r="F6" i="7"/>
  <c r="M15" i="4"/>
  <c r="M16" i="4"/>
  <c r="M19" i="4" s="1"/>
  <c r="J24" i="4"/>
  <c r="J39" i="3" s="1"/>
  <c r="L15" i="4"/>
  <c r="L16" i="4"/>
  <c r="L19" i="4" s="1"/>
  <c r="G6" i="7"/>
  <c r="G8" i="8"/>
  <c r="G9" i="8" s="1"/>
  <c r="N7" i="4"/>
  <c r="H7" i="6" s="1"/>
  <c r="H8" i="6" s="1"/>
  <c r="M18" i="4" l="1"/>
  <c r="M24" i="4" s="1"/>
  <c r="M39" i="3" s="1"/>
  <c r="M21" i="4"/>
  <c r="M22" i="4" s="1"/>
  <c r="L18" i="4"/>
  <c r="L21" i="4"/>
  <c r="L22" i="4" s="1"/>
  <c r="G14" i="6"/>
  <c r="G16" i="6" s="1"/>
  <c r="H14" i="6"/>
  <c r="H16" i="6" s="1"/>
  <c r="K24" i="4"/>
  <c r="K39" i="3" s="1"/>
  <c r="C3" i="10"/>
  <c r="C5" i="10" s="1"/>
  <c r="F16" i="6"/>
  <c r="N16" i="4"/>
  <c r="N19" i="4" s="1"/>
  <c r="N15" i="4"/>
  <c r="L24" i="4"/>
  <c r="L39" i="3" s="1"/>
  <c r="H8" i="8"/>
  <c r="H9" i="8" s="1"/>
  <c r="H6" i="7"/>
  <c r="N18" i="4" l="1"/>
  <c r="N21" i="4"/>
  <c r="N22" i="4" s="1"/>
  <c r="O22" i="4"/>
  <c r="N24" i="4"/>
  <c r="N39" i="3" s="1"/>
  <c r="C6" i="3"/>
  <c r="B42" i="3"/>
  <c r="C22" i="3"/>
  <c r="D21" i="3"/>
  <c r="D20" i="3"/>
  <c r="C17" i="3"/>
  <c r="B16" i="3"/>
  <c r="D16" i="3" s="1"/>
  <c r="B15" i="3"/>
  <c r="D15" i="3" s="1"/>
  <c r="B14" i="3"/>
  <c r="D14" i="3" s="1"/>
  <c r="B13" i="3"/>
  <c r="D13" i="3" s="1"/>
  <c r="B12" i="3"/>
  <c r="D12" i="3" s="1"/>
  <c r="B11" i="3"/>
  <c r="D11" i="3" s="1"/>
  <c r="B10" i="3"/>
  <c r="D10" i="3" s="1"/>
  <c r="B9" i="3"/>
  <c r="D9" i="3" s="1"/>
  <c r="D5" i="3"/>
  <c r="D4" i="3"/>
  <c r="B53" i="2"/>
  <c r="B8" i="2" s="1"/>
  <c r="B52" i="3" s="1"/>
  <c r="B45" i="2"/>
  <c r="B38" i="2"/>
  <c r="B6" i="2" s="1"/>
  <c r="B50" i="3" s="1"/>
  <c r="B32" i="2"/>
  <c r="B24" i="2"/>
  <c r="B3" i="2" s="1"/>
  <c r="B48" i="3" s="1"/>
  <c r="D16" i="2"/>
  <c r="D15" i="2"/>
  <c r="D14" i="2"/>
  <c r="B7" i="2"/>
  <c r="B51" i="3" s="1"/>
  <c r="O21" i="4" l="1"/>
  <c r="D17" i="2"/>
  <c r="B4" i="2"/>
  <c r="B49" i="3" s="1"/>
  <c r="B47" i="3"/>
  <c r="C25" i="3"/>
  <c r="D6" i="3"/>
  <c r="F4" i="3" s="1"/>
  <c r="G4" i="3" s="1"/>
  <c r="J4" i="3" s="1"/>
  <c r="D15" i="8" s="1"/>
  <c r="D22" i="3"/>
  <c r="F10" i="3" s="1"/>
  <c r="G10" i="3" s="1"/>
  <c r="J10" i="3" s="1"/>
  <c r="D17" i="3"/>
  <c r="F7" i="3" s="1"/>
  <c r="G7" i="3" s="1"/>
  <c r="J7" i="3" s="1"/>
  <c r="D19" i="6" l="1"/>
  <c r="D13" i="8"/>
  <c r="D20" i="6"/>
  <c r="J15" i="3"/>
  <c r="D7" i="7" s="1"/>
  <c r="K7" i="3"/>
  <c r="K10" i="3"/>
  <c r="K4" i="3"/>
  <c r="E15" i="8" s="1"/>
  <c r="D25" i="3"/>
  <c r="D26" i="3" s="1"/>
  <c r="F13" i="3" s="1"/>
  <c r="I15" i="3" s="1"/>
  <c r="I28" i="3" s="1"/>
  <c r="C26" i="3"/>
  <c r="E19" i="6" l="1"/>
  <c r="E13" i="8"/>
  <c r="L4" i="3"/>
  <c r="E20" i="6"/>
  <c r="J28" i="3"/>
  <c r="J34" i="3" s="1"/>
  <c r="D13" i="7"/>
  <c r="L10" i="3"/>
  <c r="K15" i="3"/>
  <c r="E7" i="7" s="1"/>
  <c r="L7" i="3"/>
  <c r="M4" i="3"/>
  <c r="F19" i="6" l="1"/>
  <c r="F13" i="8"/>
  <c r="F15" i="8"/>
  <c r="C6" i="10"/>
  <c r="C7" i="10" s="1"/>
  <c r="K28" i="3"/>
  <c r="K34" i="3" s="1"/>
  <c r="E13" i="7"/>
  <c r="J43" i="3"/>
  <c r="J44" i="3" s="1"/>
  <c r="J40" i="3"/>
  <c r="F20" i="6"/>
  <c r="M7" i="3"/>
  <c r="G20" i="6" s="1"/>
  <c r="M10" i="3"/>
  <c r="L15" i="3"/>
  <c r="F7" i="7" s="1"/>
  <c r="N4" i="3"/>
  <c r="G19" i="6" l="1"/>
  <c r="G13" i="8"/>
  <c r="G15" i="8"/>
  <c r="L28" i="3"/>
  <c r="L34" i="3" s="1"/>
  <c r="F13" i="7"/>
  <c r="M15" i="3"/>
  <c r="G7" i="7" s="1"/>
  <c r="K40" i="3"/>
  <c r="K43" i="3"/>
  <c r="K44" i="3" s="1"/>
  <c r="N10" i="3"/>
  <c r="N7" i="3"/>
  <c r="H20" i="6" s="1"/>
  <c r="H19" i="6" l="1"/>
  <c r="H13" i="8"/>
  <c r="H15" i="8"/>
  <c r="M28" i="3"/>
  <c r="M34" i="3" s="1"/>
  <c r="G13" i="7"/>
  <c r="L40" i="3"/>
  <c r="L43" i="3"/>
  <c r="L44" i="3" s="1"/>
  <c r="N15" i="3"/>
  <c r="H7" i="7" s="1"/>
  <c r="N28" i="3" l="1"/>
  <c r="N34" i="3" s="1"/>
  <c r="H13" i="7"/>
  <c r="H18" i="7" s="1"/>
  <c r="H21" i="7" s="1"/>
  <c r="H18" i="8" s="1"/>
  <c r="M43" i="3"/>
  <c r="M44" i="3" s="1"/>
  <c r="M40" i="3"/>
  <c r="H23" i="7" l="1"/>
  <c r="H22" i="6"/>
  <c r="H28" i="6" s="1"/>
  <c r="N43" i="3"/>
  <c r="N44" i="3" s="1"/>
  <c r="O44" i="3" s="1"/>
  <c r="N40" i="3"/>
  <c r="H33" i="6" l="1"/>
  <c r="J9" i="12"/>
  <c r="O43" i="3"/>
  <c r="C11" i="9" l="1"/>
  <c r="C1" i="11" l="1"/>
  <c r="D14" i="8" l="1"/>
  <c r="D7" i="9" l="1"/>
  <c r="E14" i="8"/>
  <c r="F14" i="8" s="1"/>
  <c r="G14" i="8" s="1"/>
  <c r="D23" i="8"/>
  <c r="E23" i="8" l="1"/>
  <c r="H14" i="8"/>
  <c r="H19" i="8" s="1"/>
  <c r="H21" i="8" s="1"/>
  <c r="F23" i="8" l="1"/>
  <c r="C2" i="11"/>
  <c r="D2" i="11" l="1"/>
  <c r="C88" i="11"/>
  <c r="C114" i="11"/>
  <c r="C96" i="11"/>
  <c r="C15" i="11"/>
  <c r="C172" i="11"/>
  <c r="C294" i="11"/>
  <c r="C10" i="11"/>
  <c r="C134" i="11"/>
  <c r="C62" i="11"/>
  <c r="C35" i="11"/>
  <c r="C101" i="11"/>
  <c r="C249" i="11"/>
  <c r="C245" i="11"/>
  <c r="C60" i="11"/>
  <c r="C79" i="11"/>
  <c r="C297" i="11"/>
  <c r="C265" i="11"/>
  <c r="C52" i="11"/>
  <c r="C9" i="11"/>
  <c r="C154" i="11"/>
  <c r="C33" i="11"/>
  <c r="C46" i="11"/>
  <c r="C7" i="11"/>
  <c r="C195" i="11"/>
  <c r="C236" i="11"/>
  <c r="C113" i="11"/>
  <c r="C301" i="11"/>
  <c r="C190" i="11"/>
  <c r="C200" i="11"/>
  <c r="C286" i="11"/>
  <c r="C159" i="11"/>
  <c r="C53" i="11"/>
  <c r="C22" i="11"/>
  <c r="C36" i="11"/>
  <c r="C136" i="11"/>
  <c r="C165" i="11"/>
  <c r="C285" i="11"/>
  <c r="C95" i="11"/>
  <c r="C8" i="11"/>
  <c r="C289" i="11"/>
  <c r="C166" i="11"/>
  <c r="C153" i="11"/>
  <c r="C180" i="11"/>
  <c r="C158" i="11"/>
  <c r="C133" i="11"/>
  <c r="C71" i="11"/>
  <c r="C163" i="11"/>
  <c r="C253" i="11"/>
  <c r="C241" i="11"/>
  <c r="C78" i="11"/>
  <c r="C288" i="11"/>
  <c r="C64" i="11"/>
  <c r="C233" i="11"/>
  <c r="C24" i="11"/>
  <c r="C84" i="11"/>
  <c r="C42" i="11"/>
  <c r="C264" i="11"/>
  <c r="C44" i="11"/>
  <c r="C144" i="11"/>
  <c r="C117" i="11"/>
  <c r="C110" i="11"/>
  <c r="C237" i="11"/>
  <c r="C239" i="11"/>
  <c r="C49" i="11"/>
  <c r="C185" i="11"/>
  <c r="C142" i="11"/>
  <c r="C283" i="11"/>
  <c r="C186" i="11"/>
  <c r="C204" i="11"/>
  <c r="C276" i="11"/>
  <c r="C227" i="11"/>
  <c r="C47" i="11"/>
  <c r="C219" i="11"/>
  <c r="C108" i="11"/>
  <c r="C57" i="11"/>
  <c r="C170" i="11"/>
  <c r="C14" i="11"/>
  <c r="C216" i="11"/>
  <c r="C54" i="11"/>
  <c r="C279" i="11"/>
  <c r="C210" i="11"/>
  <c r="C70" i="11"/>
  <c r="C205" i="11"/>
  <c r="C230" i="11"/>
  <c r="C69" i="11"/>
  <c r="C77" i="11"/>
  <c r="C213" i="11"/>
  <c r="C31" i="11"/>
  <c r="C73" i="11"/>
  <c r="C97" i="11"/>
  <c r="C102" i="11"/>
  <c r="C243" i="11"/>
  <c r="C295" i="11"/>
  <c r="C37" i="11"/>
  <c r="C50" i="11"/>
  <c r="C209" i="11"/>
  <c r="C141" i="11"/>
  <c r="C87" i="11"/>
  <c r="C150" i="11"/>
  <c r="C223" i="11"/>
  <c r="C162" i="11"/>
  <c r="C269" i="11"/>
  <c r="C111" i="11"/>
  <c r="C151" i="11"/>
  <c r="C201" i="11"/>
  <c r="C271" i="11"/>
  <c r="C161" i="11"/>
  <c r="C82" i="11"/>
  <c r="C189" i="11"/>
  <c r="C143" i="11"/>
  <c r="C248" i="11"/>
  <c r="C20" i="11"/>
  <c r="C228" i="11"/>
  <c r="C217" i="11"/>
  <c r="C68" i="11"/>
  <c r="C76" i="11"/>
  <c r="C202" i="11"/>
  <c r="C99" i="11"/>
  <c r="C225" i="11"/>
  <c r="C221" i="11"/>
  <c r="C278" i="11"/>
  <c r="C61" i="11"/>
  <c r="C280" i="11"/>
  <c r="C277" i="11"/>
  <c r="C238" i="11"/>
  <c r="C211" i="11"/>
  <c r="C160" i="11"/>
  <c r="C131" i="11"/>
  <c r="C67" i="11"/>
  <c r="C281" i="11"/>
  <c r="C127" i="11"/>
  <c r="C262" i="11"/>
  <c r="C123" i="11"/>
  <c r="C34" i="11"/>
  <c r="C270" i="11"/>
  <c r="C93" i="11"/>
  <c r="C292" i="11"/>
  <c r="C207" i="11"/>
  <c r="C259" i="11"/>
  <c r="C18" i="11"/>
  <c r="C130" i="11"/>
  <c r="C26" i="11"/>
  <c r="C192" i="11"/>
  <c r="C125" i="11"/>
  <c r="C247" i="11"/>
  <c r="C191" i="11"/>
  <c r="C179" i="11"/>
  <c r="C58" i="11"/>
  <c r="C187" i="11"/>
  <c r="C139" i="11"/>
  <c r="C28" i="11"/>
  <c r="C80" i="11"/>
  <c r="C30" i="11"/>
  <c r="C59" i="11"/>
  <c r="C293" i="11"/>
  <c r="C240" i="11"/>
  <c r="C100" i="11"/>
  <c r="C66" i="11"/>
  <c r="C215" i="11"/>
  <c r="C43" i="11"/>
  <c r="C116" i="11"/>
  <c r="C21" i="11"/>
  <c r="C184" i="11"/>
  <c r="C256" i="11"/>
  <c r="C155" i="11"/>
  <c r="C38" i="11"/>
  <c r="C65" i="11"/>
  <c r="C199" i="11"/>
  <c r="C91" i="11"/>
  <c r="C132" i="11"/>
  <c r="C212" i="11"/>
  <c r="C83" i="11"/>
  <c r="C124" i="11"/>
  <c r="C149" i="11"/>
  <c r="C188" i="11"/>
  <c r="C174" i="11"/>
  <c r="C232" i="11"/>
  <c r="C303" i="11"/>
  <c r="C16" i="11"/>
  <c r="C296" i="11"/>
  <c r="C272" i="11"/>
  <c r="C39" i="11"/>
  <c r="C121" i="11"/>
  <c r="C257" i="11"/>
  <c r="C197" i="11"/>
  <c r="C157" i="11"/>
  <c r="C194" i="11"/>
  <c r="C260" i="11"/>
  <c r="C118" i="11"/>
  <c r="C11" i="11"/>
  <c r="C90" i="11"/>
  <c r="C86" i="11"/>
  <c r="C126" i="11"/>
  <c r="C107" i="11"/>
  <c r="C177" i="11"/>
  <c r="C27" i="11"/>
  <c r="C5" i="11"/>
  <c r="C32" i="11"/>
  <c r="C182" i="11"/>
  <c r="C214" i="11"/>
  <c r="C224" i="11"/>
  <c r="C275" i="11"/>
  <c r="C291" i="11"/>
  <c r="C106" i="11"/>
  <c r="C55" i="11"/>
  <c r="C255" i="11"/>
  <c r="C72" i="11"/>
  <c r="C94" i="11"/>
  <c r="C218" i="11"/>
  <c r="C298" i="11"/>
  <c r="C235" i="11"/>
  <c r="C268" i="11"/>
  <c r="C196" i="11"/>
  <c r="C175" i="11"/>
  <c r="C263" i="11"/>
  <c r="C120" i="11"/>
  <c r="C112" i="11"/>
  <c r="C105" i="11"/>
  <c r="C122" i="11"/>
  <c r="C135" i="11"/>
  <c r="C4" i="11"/>
  <c r="C222" i="11"/>
  <c r="C244" i="11"/>
  <c r="C81" i="11"/>
  <c r="C176" i="11"/>
  <c r="C193" i="11"/>
  <c r="C45" i="11"/>
  <c r="C254" i="11"/>
  <c r="C129" i="11"/>
  <c r="C198" i="11"/>
  <c r="C287" i="11"/>
  <c r="C178" i="11"/>
  <c r="C41" i="11"/>
  <c r="C98" i="11"/>
  <c r="C208" i="11"/>
  <c r="C168" i="11"/>
  <c r="C169" i="11"/>
  <c r="C234" i="11"/>
  <c r="C290" i="11"/>
  <c r="C19" i="11"/>
  <c r="C119" i="11"/>
  <c r="C25" i="11"/>
  <c r="C231" i="11"/>
  <c r="C156" i="11"/>
  <c r="C173" i="11"/>
  <c r="C89" i="11"/>
  <c r="C6" i="11"/>
  <c r="C250" i="11"/>
  <c r="C164" i="11"/>
  <c r="C229" i="11"/>
  <c r="C258" i="11"/>
  <c r="C115" i="11"/>
  <c r="C137" i="11"/>
  <c r="C252" i="11"/>
  <c r="C12" i="11"/>
  <c r="C104" i="11"/>
  <c r="C251" i="11"/>
  <c r="C103" i="11"/>
  <c r="C40" i="11"/>
  <c r="C181" i="11"/>
  <c r="C203" i="11"/>
  <c r="C29" i="11"/>
  <c r="C48" i="11"/>
  <c r="C147" i="11"/>
  <c r="C220" i="11"/>
  <c r="C51" i="11"/>
  <c r="C145" i="11"/>
  <c r="C13" i="11"/>
  <c r="C63" i="11"/>
  <c r="C148" i="11"/>
  <c r="C17" i="11"/>
  <c r="C282" i="11"/>
  <c r="C284" i="11"/>
  <c r="C128" i="11"/>
  <c r="C23" i="11"/>
  <c r="C206" i="11"/>
  <c r="C152" i="11"/>
  <c r="C183" i="11"/>
  <c r="C273" i="11"/>
  <c r="C266" i="11"/>
  <c r="C246" i="11"/>
  <c r="C85" i="11"/>
  <c r="C74" i="11"/>
  <c r="C75" i="11"/>
  <c r="C226" i="11"/>
  <c r="C109" i="11"/>
  <c r="C140" i="11"/>
  <c r="C300" i="11"/>
  <c r="C146" i="11"/>
  <c r="C299" i="11"/>
  <c r="C242" i="11"/>
  <c r="C267" i="11"/>
  <c r="C167" i="11"/>
  <c r="C138" i="11"/>
  <c r="C274" i="11"/>
  <c r="C92" i="11"/>
  <c r="C261" i="11"/>
  <c r="C302" i="11"/>
  <c r="C171" i="11"/>
  <c r="C56" i="11"/>
  <c r="C304" i="11"/>
  <c r="G23" i="8"/>
  <c r="H23" i="8" l="1"/>
  <c r="D108" i="11"/>
  <c r="D61" i="11"/>
  <c r="D120" i="11"/>
  <c r="D242" i="11"/>
  <c r="D15" i="11"/>
  <c r="D172" i="11"/>
  <c r="D203" i="11"/>
  <c r="D49" i="11"/>
  <c r="D186" i="11"/>
  <c r="D105" i="11"/>
  <c r="D115" i="11"/>
  <c r="D107" i="11"/>
  <c r="D95" i="11"/>
  <c r="D141" i="11"/>
  <c r="D164" i="11"/>
  <c r="D159" i="11"/>
  <c r="D256" i="11"/>
  <c r="D162" i="11"/>
  <c r="D251" i="11"/>
  <c r="D244" i="11"/>
  <c r="D205" i="11"/>
  <c r="D123" i="11"/>
  <c r="D285" i="11"/>
  <c r="D9" i="11"/>
  <c r="D173" i="11"/>
  <c r="D83" i="11"/>
  <c r="D163" i="11"/>
  <c r="D250" i="11"/>
  <c r="D139" i="11"/>
  <c r="D7" i="11"/>
  <c r="D17" i="11"/>
  <c r="D167" i="11"/>
  <c r="D21" i="11"/>
  <c r="D77" i="11"/>
  <c r="D207" i="11"/>
  <c r="D39" i="11"/>
  <c r="D155" i="11"/>
  <c r="D280" i="11"/>
  <c r="D13" i="11"/>
  <c r="D127" i="11"/>
  <c r="D291" i="11"/>
  <c r="D43" i="11"/>
  <c r="D209" i="11"/>
  <c r="D194" i="11"/>
  <c r="D34" i="11"/>
  <c r="D202" i="11"/>
  <c r="D234" i="11"/>
  <c r="D266" i="11"/>
  <c r="D294" i="11"/>
  <c r="D289" i="11"/>
  <c r="D252" i="11"/>
  <c r="D36" i="11"/>
  <c r="D171" i="11"/>
  <c r="D156" i="11"/>
  <c r="D259" i="11"/>
  <c r="D8" i="11"/>
  <c r="D35" i="11"/>
  <c r="D152" i="11"/>
  <c r="D37" i="11"/>
  <c r="D26" i="11"/>
  <c r="D32" i="11"/>
  <c r="D300" i="11"/>
  <c r="D248" i="11"/>
  <c r="D235" i="11"/>
  <c r="D180" i="11"/>
  <c r="D177" i="11"/>
  <c r="D267" i="11"/>
  <c r="D92" i="11"/>
  <c r="D109" i="11"/>
  <c r="D101" i="11"/>
  <c r="D254" i="11"/>
  <c r="D146" i="11"/>
  <c r="D206" i="11"/>
  <c r="D6" i="11"/>
  <c r="D246" i="11"/>
  <c r="D68" i="11"/>
  <c r="D185" i="11"/>
  <c r="D42" i="11"/>
  <c r="D157" i="11"/>
  <c r="D97" i="11"/>
  <c r="D299" i="11"/>
  <c r="D227" i="11"/>
  <c r="D301" i="11"/>
  <c r="D282" i="11"/>
  <c r="D272" i="11"/>
  <c r="D58" i="11"/>
  <c r="D231" i="11"/>
  <c r="D72" i="11"/>
  <c r="D273" i="11"/>
  <c r="D236" i="11"/>
  <c r="D286" i="11"/>
  <c r="D151" i="11"/>
  <c r="D121" i="11"/>
  <c r="D178" i="11"/>
  <c r="D168" i="11"/>
  <c r="D153" i="11"/>
  <c r="D240" i="11"/>
  <c r="D230" i="11"/>
  <c r="D89" i="11"/>
  <c r="D135" i="11"/>
  <c r="D295" i="11"/>
  <c r="D88" i="11"/>
  <c r="D47" i="11"/>
  <c r="D86" i="11"/>
  <c r="D70" i="11"/>
  <c r="D218" i="11"/>
  <c r="D217" i="11"/>
  <c r="D199" i="11"/>
  <c r="D41" i="11"/>
  <c r="D11" i="11"/>
  <c r="D214" i="11"/>
  <c r="D197" i="11"/>
  <c r="D84" i="11"/>
  <c r="D91" i="11"/>
  <c r="D148" i="11"/>
  <c r="D67" i="11"/>
  <c r="D182" i="11"/>
  <c r="D176" i="11"/>
  <c r="D179" i="11"/>
  <c r="D189" i="11"/>
  <c r="D62" i="11"/>
  <c r="D258" i="11"/>
  <c r="D196" i="11"/>
  <c r="D51" i="11"/>
  <c r="D122" i="11"/>
  <c r="D142" i="11"/>
  <c r="D283" i="11"/>
  <c r="D87" i="11"/>
  <c r="D16" i="11"/>
  <c r="D147" i="11"/>
  <c r="D64" i="11"/>
  <c r="D245" i="11"/>
  <c r="D195" i="11"/>
  <c r="D237" i="11"/>
  <c r="D228" i="11"/>
  <c r="D75" i="11"/>
  <c r="D73" i="11"/>
  <c r="D137" i="11"/>
  <c r="D296" i="11"/>
  <c r="D138" i="11"/>
  <c r="D25" i="11"/>
  <c r="D5" i="11"/>
  <c r="D262" i="11"/>
  <c r="D126" i="11"/>
  <c r="D223" i="11"/>
  <c r="D275" i="11"/>
  <c r="D98" i="11"/>
  <c r="D263" i="11"/>
  <c r="D249" i="11"/>
  <c r="D19" i="11"/>
  <c r="D81" i="11"/>
  <c r="D184" i="11"/>
  <c r="D24" i="11"/>
  <c r="D63" i="11"/>
  <c r="D281" i="11"/>
  <c r="D30" i="11"/>
  <c r="D90" i="11"/>
  <c r="D56" i="11"/>
  <c r="D219" i="11"/>
  <c r="D233" i="11"/>
  <c r="D106" i="11"/>
  <c r="D224" i="11"/>
  <c r="D247" i="11"/>
  <c r="D74" i="11"/>
  <c r="D29" i="11"/>
  <c r="D82" i="11"/>
  <c r="D226" i="11"/>
  <c r="D23" i="11"/>
  <c r="D268" i="11"/>
  <c r="D55" i="11"/>
  <c r="D166" i="11"/>
  <c r="D165" i="11"/>
  <c r="D53" i="11"/>
  <c r="D212" i="11"/>
  <c r="D222" i="11"/>
  <c r="D12" i="11"/>
  <c r="D198" i="11"/>
  <c r="D22" i="11"/>
  <c r="D145" i="11"/>
  <c r="D211" i="11"/>
  <c r="D114" i="11"/>
  <c r="D154" i="11"/>
  <c r="D284" i="11"/>
  <c r="D131" i="11"/>
  <c r="D27" i="11"/>
  <c r="D40" i="11"/>
  <c r="D18" i="11"/>
  <c r="D136" i="11"/>
  <c r="D52" i="11"/>
  <c r="D132" i="11"/>
  <c r="D76" i="11"/>
  <c r="D140" i="11"/>
  <c r="D158" i="11"/>
  <c r="D50" i="11"/>
  <c r="D241" i="11"/>
  <c r="D221" i="11"/>
  <c r="D65" i="11"/>
  <c r="D210" i="11"/>
  <c r="D94" i="11"/>
  <c r="D78" i="11"/>
  <c r="D232" i="11"/>
  <c r="D175" i="11"/>
  <c r="D287" i="11"/>
  <c r="D303" i="11"/>
  <c r="D4" i="11"/>
  <c r="D10" i="11"/>
  <c r="D59" i="11"/>
  <c r="D261" i="11"/>
  <c r="D215" i="11"/>
  <c r="D243" i="11"/>
  <c r="D85" i="11"/>
  <c r="D110" i="11"/>
  <c r="D129" i="11"/>
  <c r="D134" i="11"/>
  <c r="D270" i="11"/>
  <c r="D100" i="11"/>
  <c r="D144" i="11"/>
  <c r="D255" i="11"/>
  <c r="D277" i="11"/>
  <c r="D170" i="11"/>
  <c r="D111" i="11"/>
  <c r="D174" i="11"/>
  <c r="D200" i="11"/>
  <c r="D54" i="11"/>
  <c r="D201" i="11"/>
  <c r="D276" i="11"/>
  <c r="D297" i="11"/>
  <c r="D213" i="11"/>
  <c r="D239" i="11"/>
  <c r="D253" i="11"/>
  <c r="D28" i="11"/>
  <c r="D220" i="11"/>
  <c r="D93" i="11"/>
  <c r="D169" i="11"/>
  <c r="D193" i="11"/>
  <c r="D143" i="11"/>
  <c r="D288" i="11"/>
  <c r="D187" i="11"/>
  <c r="D229" i="11"/>
  <c r="D118" i="11"/>
  <c r="D103" i="11"/>
  <c r="D80" i="11"/>
  <c r="D125" i="11"/>
  <c r="D99" i="11"/>
  <c r="D150" i="11"/>
  <c r="D302" i="11"/>
  <c r="D208" i="11"/>
  <c r="D57" i="11"/>
  <c r="D124" i="11"/>
  <c r="D60" i="11"/>
  <c r="D38" i="11"/>
  <c r="D278" i="11"/>
  <c r="D271" i="11"/>
  <c r="D45" i="11"/>
  <c r="D290" i="11"/>
  <c r="D292" i="11"/>
  <c r="D20" i="11"/>
  <c r="D260" i="11"/>
  <c r="D44" i="11"/>
  <c r="D161" i="11"/>
  <c r="D128" i="11"/>
  <c r="D190" i="11"/>
  <c r="D102" i="11"/>
  <c r="D238" i="11"/>
  <c r="D188" i="11"/>
  <c r="D66" i="11"/>
  <c r="D133" i="11"/>
  <c r="D119" i="11"/>
  <c r="D183" i="11"/>
  <c r="D293" i="11"/>
  <c r="D181" i="11"/>
  <c r="D48" i="11"/>
  <c r="D113" i="11"/>
  <c r="D216" i="11"/>
  <c r="D14" i="11"/>
  <c r="D264" i="11"/>
  <c r="D160" i="11"/>
  <c r="D71" i="11"/>
  <c r="D104" i="11"/>
  <c r="D33" i="11"/>
  <c r="D204" i="11"/>
  <c r="D191" i="11"/>
  <c r="D112" i="11"/>
  <c r="D31" i="11"/>
  <c r="D79" i="11"/>
  <c r="D149" i="11"/>
  <c r="D116" i="11"/>
  <c r="D265" i="11"/>
  <c r="D192" i="11"/>
  <c r="D269" i="11"/>
  <c r="D96" i="11"/>
  <c r="D257" i="11"/>
  <c r="D279" i="11"/>
  <c r="D298" i="11"/>
  <c r="D69" i="11"/>
  <c r="D274" i="11"/>
  <c r="D225" i="11"/>
  <c r="D304" i="11"/>
  <c r="D117" i="11"/>
  <c r="D130" i="11"/>
  <c r="D46" i="11"/>
  <c r="H25" i="8" l="1"/>
  <c r="B5" i="2"/>
  <c r="B46" i="3"/>
  <c r="C12" i="8" s="1"/>
  <c r="C19" i="8" s="1"/>
  <c r="C21" i="8" s="1"/>
  <c r="C25" i="8" s="1"/>
  <c r="B54" i="3" l="1"/>
  <c r="B16" i="4" s="1"/>
  <c r="B17" i="4"/>
  <c r="C35" i="6" s="1"/>
  <c r="C22" i="4"/>
  <c r="C6" i="8"/>
  <c r="C14" i="9"/>
  <c r="C15" i="9" s="1"/>
  <c r="C23" i="4" l="1"/>
  <c r="C24" i="4" s="1"/>
  <c r="E31" i="6"/>
  <c r="C7" i="8"/>
  <c r="B4" i="5"/>
  <c r="B18" i="4"/>
  <c r="C7" i="6" s="1"/>
  <c r="C9" i="8"/>
  <c r="E3" i="5"/>
  <c r="I3" i="5" s="1"/>
  <c r="E4" i="5" s="1"/>
  <c r="F4" i="5" s="1"/>
  <c r="D17" i="8" s="1"/>
  <c r="C8" i="6" l="1"/>
  <c r="C16" i="6" s="1"/>
  <c r="C22" i="6" s="1"/>
  <c r="C28" i="6" s="1"/>
  <c r="C37" i="6" s="1"/>
  <c r="C8" i="12" s="1"/>
  <c r="B8" i="5"/>
  <c r="C18" i="7"/>
  <c r="C23" i="7" s="1"/>
  <c r="J4" i="12" s="1"/>
  <c r="M7" i="12" s="1"/>
  <c r="D9" i="9"/>
  <c r="D21" i="9" s="1"/>
  <c r="B9" i="5"/>
  <c r="G6" i="5"/>
  <c r="F16" i="7" s="1"/>
  <c r="F25" i="6" s="1"/>
  <c r="G7" i="5"/>
  <c r="G16" i="7" s="1"/>
  <c r="G25" i="6" s="1"/>
  <c r="G4" i="5"/>
  <c r="D16" i="7" s="1"/>
  <c r="G5" i="5"/>
  <c r="E16" i="7" s="1"/>
  <c r="E25" i="6" s="1"/>
  <c r="D25" i="6" l="1"/>
  <c r="D26" i="6" s="1"/>
  <c r="D18" i="7"/>
  <c r="D21" i="7" s="1"/>
  <c r="G26" i="6"/>
  <c r="G18" i="7"/>
  <c r="G21" i="7" s="1"/>
  <c r="G18" i="8" s="1"/>
  <c r="E26" i="6"/>
  <c r="E18" i="7"/>
  <c r="F31" i="6"/>
  <c r="F26" i="6"/>
  <c r="F18" i="7"/>
  <c r="F21" i="7" s="1"/>
  <c r="F18" i="8" s="1"/>
  <c r="H4" i="5"/>
  <c r="K8" i="5"/>
  <c r="E21" i="7" l="1"/>
  <c r="E18" i="8" s="1"/>
  <c r="D23" i="7"/>
  <c r="F22" i="6"/>
  <c r="F23" i="7"/>
  <c r="J7" i="12" s="1"/>
  <c r="G31" i="6"/>
  <c r="E22" i="6"/>
  <c r="G22" i="6"/>
  <c r="G28" i="6" s="1"/>
  <c r="D8" i="9"/>
  <c r="I4" i="5"/>
  <c r="E5" i="5" s="1"/>
  <c r="F5" i="5" s="1"/>
  <c r="E17" i="8" s="1"/>
  <c r="G4" i="12"/>
  <c r="D33" i="6" l="1"/>
  <c r="D35" i="6" s="1"/>
  <c r="J5" i="12"/>
  <c r="E19" i="8"/>
  <c r="E21" i="8" s="1"/>
  <c r="E25" i="8" s="1"/>
  <c r="F33" i="6"/>
  <c r="F35" i="6" s="1"/>
  <c r="D22" i="6"/>
  <c r="D28" i="6" s="1"/>
  <c r="D37" i="6" s="1"/>
  <c r="D18" i="8"/>
  <c r="D19" i="8" s="1"/>
  <c r="D21" i="8" s="1"/>
  <c r="D25" i="8" s="1"/>
  <c r="G23" i="7"/>
  <c r="J8" i="12" s="1"/>
  <c r="F4" i="12"/>
  <c r="E23" i="7"/>
  <c r="J6" i="12" s="1"/>
  <c r="H5" i="5"/>
  <c r="I5" i="5" s="1"/>
  <c r="E6" i="5" s="1"/>
  <c r="E9" i="9"/>
  <c r="E21" i="9" s="1"/>
  <c r="E28" i="6"/>
  <c r="D4" i="12"/>
  <c r="H31" i="6"/>
  <c r="H35" i="6" s="1"/>
  <c r="H37" i="6" s="1"/>
  <c r="F28" i="6"/>
  <c r="E4" i="12"/>
  <c r="D20" i="9"/>
  <c r="G5" i="12"/>
  <c r="F5" i="12"/>
  <c r="M5" i="12" l="1"/>
  <c r="M6" i="12"/>
  <c r="E8" i="9"/>
  <c r="C5" i="12"/>
  <c r="C4" i="12"/>
  <c r="E33" i="6"/>
  <c r="E35" i="6" s="1"/>
  <c r="E37" i="6" s="1"/>
  <c r="G33" i="6"/>
  <c r="G35" i="6" s="1"/>
  <c r="G37" i="6" s="1"/>
  <c r="F37" i="6"/>
  <c r="E5" i="12"/>
  <c r="D5" i="12"/>
  <c r="F6" i="5"/>
  <c r="E11" i="9"/>
  <c r="E20" i="9"/>
  <c r="F9" i="9" l="1"/>
  <c r="F21" i="9" s="1"/>
  <c r="F17" i="8"/>
  <c r="F19" i="8" s="1"/>
  <c r="F21" i="8" s="1"/>
  <c r="F25" i="8" s="1"/>
  <c r="H6" i="5"/>
  <c r="F8" i="9" l="1"/>
  <c r="I6" i="5"/>
  <c r="E7" i="5" s="1"/>
  <c r="F7" i="5" l="1"/>
  <c r="F20" i="9"/>
  <c r="F11" i="9"/>
  <c r="G9" i="9" l="1"/>
  <c r="G21" i="9" s="1"/>
  <c r="G17" i="8"/>
  <c r="G19" i="8" s="1"/>
  <c r="G21" i="8" s="1"/>
  <c r="G25" i="8" s="1"/>
  <c r="H7" i="5"/>
  <c r="G8" i="9" l="1"/>
  <c r="I7" i="5"/>
  <c r="E8" i="5" s="1"/>
  <c r="F8" i="5" l="1"/>
  <c r="G11" i="9"/>
  <c r="G20" i="9"/>
  <c r="H9" i="9" l="1"/>
  <c r="H21" i="9" s="1"/>
  <c r="H8" i="5"/>
  <c r="H8" i="9" l="1"/>
  <c r="I8" i="5"/>
  <c r="H20" i="9" l="1"/>
  <c r="H11" i="9"/>
</calcChain>
</file>

<file path=xl/sharedStrings.xml><?xml version="1.0" encoding="utf-8"?>
<sst xmlns="http://schemas.openxmlformats.org/spreadsheetml/2006/main" count="553" uniqueCount="316">
  <si>
    <t>Inversión Inicial</t>
  </si>
  <si>
    <t>Tipo de inversión</t>
  </si>
  <si>
    <t>Valor</t>
  </si>
  <si>
    <t>Equipos de cómputo y hardware</t>
  </si>
  <si>
    <t>Consultoría especializada y mentoría</t>
  </si>
  <si>
    <t>Creación de infraestructura y arquitectura de software</t>
  </si>
  <si>
    <t>SUBTOTAL</t>
  </si>
  <si>
    <t>Concepto</t>
  </si>
  <si>
    <t>Cantidad</t>
  </si>
  <si>
    <t>Valor Unitario</t>
  </si>
  <si>
    <t>Valor Total</t>
  </si>
  <si>
    <t>Monitores</t>
  </si>
  <si>
    <t>Capital Social</t>
  </si>
  <si>
    <t>Prubeas de Usabilidad y Ajustes</t>
  </si>
  <si>
    <t>Inversión en Consultoría Especializada</t>
  </si>
  <si>
    <t>Inversión en Creación de Infraestructura y Arquitectura de Software</t>
  </si>
  <si>
    <t>Implementación / DevOPS</t>
  </si>
  <si>
    <t>Costos de Operación Gravables</t>
  </si>
  <si>
    <t>Sueldos de los Empleados</t>
  </si>
  <si>
    <t>Unidades</t>
  </si>
  <si>
    <t>Valor Unitario/mes</t>
  </si>
  <si>
    <t>Valor Total/mes</t>
  </si>
  <si>
    <t>Valor de 0</t>
  </si>
  <si>
    <t>Tasa de Crecimiento</t>
  </si>
  <si>
    <t>N/A</t>
  </si>
  <si>
    <t>Prestaciones y Parafiscales</t>
  </si>
  <si>
    <t>Líder de Desarrollo</t>
  </si>
  <si>
    <t>Líder I+D+I</t>
  </si>
  <si>
    <t>Total</t>
  </si>
  <si>
    <t>Cesantias</t>
  </si>
  <si>
    <t>Intereses sobre cesantias</t>
  </si>
  <si>
    <t>Primas</t>
  </si>
  <si>
    <t>Vacaciones</t>
  </si>
  <si>
    <t>Pensiones (AFP)</t>
  </si>
  <si>
    <t>Salud (EPS)</t>
  </si>
  <si>
    <t>Riesgos Laborales (ARL)</t>
  </si>
  <si>
    <t>TOTAL</t>
  </si>
  <si>
    <t>Caja de Compensación Familiar</t>
  </si>
  <si>
    <t>Activos Fijos Intangibles</t>
  </si>
  <si>
    <t>Registro de Marca</t>
  </si>
  <si>
    <t>Estatutos</t>
  </si>
  <si>
    <t>Registro Cámara de Comercio de Bogotá</t>
  </si>
  <si>
    <t>Inscripción de Libros Contables</t>
  </si>
  <si>
    <t>Apertura de Cuentas Bancarias</t>
  </si>
  <si>
    <t>Formulario Único de Registro Empresarial</t>
  </si>
  <si>
    <t>Conversión Anual</t>
  </si>
  <si>
    <t>Año 0</t>
  </si>
  <si>
    <t>Año 1</t>
  </si>
  <si>
    <t>Año 2</t>
  </si>
  <si>
    <t>Año 3</t>
  </si>
  <si>
    <t>Año 4</t>
  </si>
  <si>
    <t>Año 5</t>
  </si>
  <si>
    <t>Ingresos y Proyecciones de Venta</t>
  </si>
  <si>
    <t>Proyección Incremento de Ventas</t>
  </si>
  <si>
    <t>Ingresos</t>
  </si>
  <si>
    <t>IPC Proyectado y Flujo de Efectivo</t>
  </si>
  <si>
    <t>Valor/mes</t>
  </si>
  <si>
    <t>Valor/trimestre</t>
  </si>
  <si>
    <t>Valor/año</t>
  </si>
  <si>
    <t>Indicador</t>
  </si>
  <si>
    <t xml:space="preserve">Plan Gratuito </t>
  </si>
  <si>
    <t>IPC Proyectado</t>
  </si>
  <si>
    <t>Plan Suscriptor</t>
  </si>
  <si>
    <t>% Crecimiento de Ventas</t>
  </si>
  <si>
    <t>Publicidad de Plan Gratuito</t>
  </si>
  <si>
    <t>Crecimiento de ventas indexación IPC y % crecimiento</t>
  </si>
  <si>
    <t>Proyección de Ventas</t>
  </si>
  <si>
    <t>Flujo de efectivo</t>
  </si>
  <si>
    <t>Servicio</t>
  </si>
  <si>
    <t>N° Suscripción/mes</t>
  </si>
  <si>
    <t>Ingreso/mes</t>
  </si>
  <si>
    <t>Ingreso/trimestre</t>
  </si>
  <si>
    <t>Ingreso/anual</t>
  </si>
  <si>
    <t>Tabla de Financiamiento</t>
  </si>
  <si>
    <t>Amortización y Depreciación</t>
  </si>
  <si>
    <t>Préstamo (en Banco GNB Sudameris)</t>
  </si>
  <si>
    <t>Período</t>
  </si>
  <si>
    <t>Saldo</t>
  </si>
  <si>
    <t>Amortización</t>
  </si>
  <si>
    <t>Depreciación</t>
  </si>
  <si>
    <t>Activos Fijos</t>
  </si>
  <si>
    <t>Vida Útil</t>
  </si>
  <si>
    <t>Valor Inicial</t>
  </si>
  <si>
    <t>Computador 1</t>
  </si>
  <si>
    <t>5 años</t>
  </si>
  <si>
    <t>Perifericos 1</t>
  </si>
  <si>
    <t>Computador 2</t>
  </si>
  <si>
    <t>Perifericos 2</t>
  </si>
  <si>
    <t>Depreciación Total</t>
  </si>
  <si>
    <t>Tasa de Depreciación Total</t>
  </si>
  <si>
    <t>48 meses</t>
  </si>
  <si>
    <t>BALANCE GENERAL PROYECTADO</t>
  </si>
  <si>
    <t>TRIMESTRE</t>
  </si>
  <si>
    <t>ACTIVOS</t>
  </si>
  <si>
    <t>ACTIVOS CORRIENTES</t>
  </si>
  <si>
    <t>Efectivo y Equivalente de Efectivo</t>
  </si>
  <si>
    <t>Total Activos Corrientes</t>
  </si>
  <si>
    <t>ACTIVOS NO CORRIENTES</t>
  </si>
  <si>
    <t>Depreciación de Equipos</t>
  </si>
  <si>
    <t>Total Activos No Corrientes</t>
  </si>
  <si>
    <t>TOTAL ACTIVO</t>
  </si>
  <si>
    <t>PASIVOS</t>
  </si>
  <si>
    <t>PASIVOS CORRIENTES</t>
  </si>
  <si>
    <t>Total Pasivos Corrientes</t>
  </si>
  <si>
    <t>PASIVOS NO CORRIENTES</t>
  </si>
  <si>
    <t>Total Pasivos No Corrientes</t>
  </si>
  <si>
    <t>TOTAL PASIVOS</t>
  </si>
  <si>
    <t>CAPITAL</t>
  </si>
  <si>
    <t>TOTAL CAPITAL</t>
  </si>
  <si>
    <t>AÑO 0</t>
  </si>
  <si>
    <t>AÑO 1</t>
  </si>
  <si>
    <t>AÑO 2</t>
  </si>
  <si>
    <t>AÑO 3</t>
  </si>
  <si>
    <t>AÑO 4</t>
  </si>
  <si>
    <t>AÑO 5</t>
  </si>
  <si>
    <t>Capital de Trabajo</t>
  </si>
  <si>
    <t>Intereses</t>
  </si>
  <si>
    <t>FLUJO DE EFECTIVO</t>
  </si>
  <si>
    <t>FLUJO DE CAJA DE OPERACIÓN</t>
  </si>
  <si>
    <t>Depreciaciones</t>
  </si>
  <si>
    <t>Flujo de Caja Operativo Neto</t>
  </si>
  <si>
    <t>FLUJO DE CAJA DE INVERSIÓN</t>
  </si>
  <si>
    <t>Flujo de Caja de Inversión Neto</t>
  </si>
  <si>
    <t>FLUJO DE CAJA DE FINANCIAMIENTO</t>
  </si>
  <si>
    <t>Amortizaciones</t>
  </si>
  <si>
    <t>Flujo de Caja de Financiamiento Neto</t>
  </si>
  <si>
    <t>Costos y/o gastos</t>
  </si>
  <si>
    <t>Administración y ventas</t>
  </si>
  <si>
    <t>Producción</t>
  </si>
  <si>
    <t>Número de producción</t>
  </si>
  <si>
    <t>Numero permanente (100%)</t>
  </si>
  <si>
    <t>Otros gastos administrativos</t>
  </si>
  <si>
    <t>Subtotal</t>
  </si>
  <si>
    <t>Imprevistos</t>
  </si>
  <si>
    <t>Estimaciones del Punto de Equilibrio</t>
  </si>
  <si>
    <t>Ventas Iniciales Planteadas</t>
  </si>
  <si>
    <t>Costo de producción por unidad</t>
  </si>
  <si>
    <t>Depreciación de producción</t>
  </si>
  <si>
    <t>Depreciación de administración</t>
  </si>
  <si>
    <t>Valor agregado (19%)</t>
  </si>
  <si>
    <t>Punto de equilibrio</t>
  </si>
  <si>
    <t>Costo por unidad</t>
  </si>
  <si>
    <t>Precio por unidad</t>
  </si>
  <si>
    <t>Punto de Equilibrio</t>
  </si>
  <si>
    <t>Unidades mínimas vendidas</t>
  </si>
  <si>
    <t>Costo de referencia</t>
  </si>
  <si>
    <t>Ventas anuales mínimas</t>
  </si>
  <si>
    <t>Costos Fijos y Variables</t>
  </si>
  <si>
    <t>Costos</t>
  </si>
  <si>
    <t>Ventas</t>
  </si>
  <si>
    <t>Liquidez - razón corriente</t>
  </si>
  <si>
    <t>Nivel de endeudamiento total</t>
  </si>
  <si>
    <t>Rentabilidad operacional</t>
  </si>
  <si>
    <t>Rentabilidad neta</t>
  </si>
  <si>
    <t>Rentabilidad de patriominio</t>
  </si>
  <si>
    <t>Indicadores financieros</t>
  </si>
  <si>
    <t>Flujo de caja libre</t>
  </si>
  <si>
    <t>VAN, TIR y RBC</t>
  </si>
  <si>
    <t>TIO</t>
  </si>
  <si>
    <t>VAN</t>
  </si>
  <si>
    <t>TIR</t>
  </si>
  <si>
    <t>RBC</t>
  </si>
  <si>
    <t>Tipo</t>
  </si>
  <si>
    <t>Año 1 (2027)</t>
  </si>
  <si>
    <t>Año 2 (2028)</t>
  </si>
  <si>
    <t>Año 3 (2029)</t>
  </si>
  <si>
    <t>Año 4 (2030)</t>
  </si>
  <si>
    <t>Año 5 (2031)</t>
  </si>
  <si>
    <t>Utilidad o Pérdida del Ejercicio</t>
  </si>
  <si>
    <t>SUMA PASIVOS + CAPITAL</t>
  </si>
  <si>
    <t>Intangibles</t>
  </si>
  <si>
    <t>Préstamo</t>
  </si>
  <si>
    <t>Servicio de Internet</t>
  </si>
  <si>
    <t>Registros y Estatutos</t>
  </si>
  <si>
    <t>ENTRADAS</t>
  </si>
  <si>
    <t>Aportaciones de socios</t>
  </si>
  <si>
    <t>Servicios de Infraestructura de TI/Hosting del Sitio</t>
  </si>
  <si>
    <t>Suma de Activos Fijos</t>
  </si>
  <si>
    <t>Servicios e Infraestructura</t>
  </si>
  <si>
    <t>Servicios e Infraestructuras</t>
  </si>
  <si>
    <t>Aportaciones de financiamiento bancario</t>
  </si>
  <si>
    <t>Recursos Físicos (Activos Fijos Tangibles)</t>
  </si>
  <si>
    <t>Inversión en Planeación y Diseño UX/UI</t>
  </si>
  <si>
    <t>Inversión en Producción y Creación de Contenidos Interactivos</t>
  </si>
  <si>
    <t>Producción y creación de contenidos interactivos</t>
  </si>
  <si>
    <t>Planeación y diseño UX/UI</t>
  </si>
  <si>
    <t>Activos fijos tangibles</t>
  </si>
  <si>
    <t>Activos fijos intangibles</t>
  </si>
  <si>
    <t>Computadoras o laptops</t>
  </si>
  <si>
    <t>Perifericos (mouse, teclados, audífonos)</t>
  </si>
  <si>
    <t>Investigación UX (tesis y entrevistas)</t>
  </si>
  <si>
    <t>Diseño UI (mockups y prototipos)</t>
  </si>
  <si>
    <t>Producción audiovisual promocional</t>
  </si>
  <si>
    <t>Estrategia y branding (Diseño y marca)</t>
  </si>
  <si>
    <t>Guión y diseño</t>
  </si>
  <si>
    <t>Desarrollo de simuladores</t>
  </si>
  <si>
    <t>Licencias y recursos (stock y assets)</t>
  </si>
  <si>
    <t>Producción multimedia (audios y videos)</t>
  </si>
  <si>
    <t>Asesoría legal y cumplimiento</t>
  </si>
  <si>
    <t>Seguridad de la información / datos</t>
  </si>
  <si>
    <t>Mentoría estratégica y producto</t>
  </si>
  <si>
    <t>Setup inicial de la nube (arquitectura y deploy)</t>
  </si>
  <si>
    <t>Licencias de software (herramientas)</t>
  </si>
  <si>
    <t>Dominios y certificados de SSL</t>
  </si>
  <si>
    <t>Financiamiento externo</t>
  </si>
  <si>
    <t>Aportes sociales (Fin. por socios)</t>
  </si>
  <si>
    <t>Contribución de los Socios</t>
  </si>
  <si>
    <t>Participación</t>
  </si>
  <si>
    <t>Leidy Marcela</t>
  </si>
  <si>
    <t>David Rincón</t>
  </si>
  <si>
    <t>Pago mensual</t>
  </si>
  <si>
    <t>Pago anual</t>
  </si>
  <si>
    <t>Tasa de interés (anualmente)</t>
  </si>
  <si>
    <t>Cuota inicial</t>
  </si>
  <si>
    <t>Valor del préstamo</t>
  </si>
  <si>
    <t>Plazo de meses/períodos</t>
  </si>
  <si>
    <t>Amortización del Crédito</t>
  </si>
  <si>
    <t>Interés</t>
  </si>
  <si>
    <t xml:space="preserve">Pago al crédito </t>
  </si>
  <si>
    <t>Saldo final</t>
  </si>
  <si>
    <t>0 (Año 0)</t>
  </si>
  <si>
    <t>1 (Año 1)</t>
  </si>
  <si>
    <t>2 (Año 2)</t>
  </si>
  <si>
    <t>3 (Año 3)</t>
  </si>
  <si>
    <t>4 (Año 4)</t>
  </si>
  <si>
    <t>5 (Año 5)</t>
  </si>
  <si>
    <t>Ingresos obtenidos del negocio</t>
  </si>
  <si>
    <t>Total Entradas/Ingresos</t>
  </si>
  <si>
    <t>SALIDAS</t>
  </si>
  <si>
    <t>Depósito en banco</t>
  </si>
  <si>
    <t>Capital de trabajo</t>
  </si>
  <si>
    <t>ESTADO DE RESULTADOS PROYECTADOS</t>
  </si>
  <si>
    <t>UTILIDAD BRUTA</t>
  </si>
  <si>
    <t>Total de Utilidad Bruta</t>
  </si>
  <si>
    <t>Inversiones hacia activos fijos</t>
  </si>
  <si>
    <t>Gastos generales</t>
  </si>
  <si>
    <t>Depreciación anual</t>
  </si>
  <si>
    <t>Intereses del financiamiento</t>
  </si>
  <si>
    <t>Total Salidas</t>
  </si>
  <si>
    <t>FLUJO DE CAJA PROYECTADO</t>
  </si>
  <si>
    <t>Inversión de equipos de computación</t>
  </si>
  <si>
    <t>Desembolso pasivos a largo plazo</t>
  </si>
  <si>
    <t>Pago de dividendos</t>
  </si>
  <si>
    <t>Capital social</t>
  </si>
  <si>
    <t>Impuestos de la renta</t>
  </si>
  <si>
    <t>Utilidad del ejercicio</t>
  </si>
  <si>
    <t>Disponibilidad de efectivo</t>
  </si>
  <si>
    <t>FLUJOS DE EFECTIVO</t>
  </si>
  <si>
    <t>Precio de venta unitario promedio</t>
  </si>
  <si>
    <t>Unidades a producir y vender al año</t>
  </si>
  <si>
    <t>Ingresos por venta total anual</t>
  </si>
  <si>
    <t>Costo de producción</t>
  </si>
  <si>
    <t>Costo unitario promedio ponderado</t>
  </si>
  <si>
    <t>Costos fijos (Gasto general anual)</t>
  </si>
  <si>
    <t>Monitor 1</t>
  </si>
  <si>
    <t>Monitor 2</t>
  </si>
  <si>
    <t>Planeación en Marketing, Lanzamiento y Proyección</t>
  </si>
  <si>
    <t>Planeación de marketing, lanzamiento y proyección</t>
  </si>
  <si>
    <t>Campañas de Marketing y Demostraciones</t>
  </si>
  <si>
    <t>Papelería y Accesorios</t>
  </si>
  <si>
    <t>Ingresos obtenidos por actividades cotidianas</t>
  </si>
  <si>
    <t>Costo de ventas</t>
  </si>
  <si>
    <t>Dinero aportado por suscripciones</t>
  </si>
  <si>
    <t>Dinero aportado por publicidad</t>
  </si>
  <si>
    <t>Personas que pertenecen al plan de suscripciones</t>
  </si>
  <si>
    <t>Personas que pertenecen al plan gratuito (publicidad)</t>
  </si>
  <si>
    <t>Personas que pertenecen a cada plan por mes</t>
  </si>
  <si>
    <t>Total de planes existentes anualmente</t>
  </si>
  <si>
    <t>Total de planes existentes anualmente sin importar su plan</t>
  </si>
  <si>
    <t>Especificaciones del dinero generado y de los planes existentes</t>
  </si>
  <si>
    <t>Valor de cada plan contando con el IPC</t>
  </si>
  <si>
    <t>Valor del plan de pago</t>
  </si>
  <si>
    <t>Valor del plan gratuito</t>
  </si>
  <si>
    <t>Dinero generado por cada apartado anualmente</t>
  </si>
  <si>
    <t>Dinero generado por cada cliente en promedio al mes</t>
  </si>
  <si>
    <t>Especificaciones del costo de ventas por cada cliente</t>
  </si>
  <si>
    <t>Cantidad de planes anualmente y costos de operación y gastos</t>
  </si>
  <si>
    <t>Dinero generado por cada cliente en promedio al año</t>
  </si>
  <si>
    <t>Costos de operación por cada cliente</t>
  </si>
  <si>
    <t>Costos de operación por cada cliente al mes</t>
  </si>
  <si>
    <t>Costos de operación por cada cliente al año</t>
  </si>
  <si>
    <t>Promedio total</t>
  </si>
  <si>
    <t>Costos de produccion total</t>
  </si>
  <si>
    <t>Costos operativos</t>
  </si>
  <si>
    <t>Costos in</t>
  </si>
  <si>
    <t>materia prima</t>
  </si>
  <si>
    <t>costos de opera. / mano de obra</t>
  </si>
  <si>
    <t>costos indirectos</t>
  </si>
  <si>
    <t>Costos Indirectos de Fabricación</t>
  </si>
  <si>
    <t>Total Costos de Fabricación y Operación</t>
  </si>
  <si>
    <t>TOTAL COSTOS DE FABRIACIÓN, OPERACIÓN Y DEPRECIACIÓN</t>
  </si>
  <si>
    <t>Costos de mano de obra, indirectos y depreciación</t>
  </si>
  <si>
    <t>Gastos de administración</t>
  </si>
  <si>
    <t>Total de Utilidad Operativa</t>
  </si>
  <si>
    <t>UTILIDAD OPERATIVA</t>
  </si>
  <si>
    <t>RESULTADO ANTES DE IMPUESTOS</t>
  </si>
  <si>
    <t>Gastos financieros</t>
  </si>
  <si>
    <t>EDUFINANZAS S.A.S.</t>
  </si>
  <si>
    <t>Otros ingresos (préstamo)</t>
  </si>
  <si>
    <t>Total de Utilidad antes de Impuestos</t>
  </si>
  <si>
    <t>IMPUESTOS</t>
  </si>
  <si>
    <t>Impuestos</t>
  </si>
  <si>
    <t>UTILIDAD NETA</t>
  </si>
  <si>
    <t>Acreedores comerciales y otras cuentas por pagar</t>
  </si>
  <si>
    <t>Salarios y beneficios a empleados</t>
  </si>
  <si>
    <t>Tributos (impuestos) por pagar</t>
  </si>
  <si>
    <t>Planeación de Marketing, lanzamiento y proyección</t>
  </si>
  <si>
    <t>AÑOS</t>
  </si>
  <si>
    <t>Propiedad Planta y Equipos</t>
  </si>
  <si>
    <t>Resultados acumulados/dividendos</t>
  </si>
  <si>
    <t>Costo de inversión inicial y de activos fijos</t>
  </si>
  <si>
    <t>Cantidad de planes anualmente y costos de operación y gastos (plan suscriptor solamente)</t>
  </si>
  <si>
    <t>Efectivo generado por cada persona que entre en el negocio (sin importar su plan)</t>
  </si>
  <si>
    <t>Cuotas de pago del préstamo</t>
  </si>
  <si>
    <t>Intereses del préstamo</t>
  </si>
  <si>
    <t>Depreciaciones de 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</si>
</sst>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"/>
    <numFmt numFmtId="165" formatCode="&quot;$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 vertical="center"/>
    </xf>
    <xf numFmtId="164" fontId="3" fillId="0" borderId="4" xfId="0" applyNumberFormat="1" applyFont="1" applyBorder="1" applyAlignment="1">
      <alignment horizontal="center" vertical="center"/>
    </xf>
    <xf numFmtId="9" fontId="0" fillId="0" borderId="4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 vertical="center"/>
    </xf>
    <xf numFmtId="0" fontId="0" fillId="0" borderId="4" xfId="0" applyBorder="1"/>
    <xf numFmtId="164" fontId="1" fillId="0" borderId="1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/>
    <xf numFmtId="0" fontId="1" fillId="0" borderId="0" xfId="0" applyFont="1" applyFill="1" applyAlignment="1"/>
    <xf numFmtId="164" fontId="0" fillId="0" borderId="4" xfId="0" applyNumberFormat="1" applyBorder="1" applyAlignment="1">
      <alignment horizontal="left" vertical="center"/>
    </xf>
    <xf numFmtId="10" fontId="0" fillId="0" borderId="15" xfId="0" applyNumberFormat="1" applyBorder="1" applyAlignment="1">
      <alignment horizontal="center" vertical="center"/>
    </xf>
    <xf numFmtId="10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left" vertical="center"/>
    </xf>
    <xf numFmtId="164" fontId="0" fillId="9" borderId="4" xfId="0" applyNumberFormat="1" applyFill="1" applyBorder="1"/>
    <xf numFmtId="164" fontId="2" fillId="0" borderId="4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4" xfId="0" applyNumberForma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3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4" xfId="0" applyNumberFormat="1" applyFont="1" applyBorder="1" applyAlignment="1">
      <alignment horizontal="center" vertical="center"/>
    </xf>
    <xf numFmtId="10" fontId="1" fillId="0" borderId="4" xfId="0" applyNumberFormat="1" applyFont="1" applyFill="1" applyBorder="1" applyAlignment="1">
      <alignment horizontal="center" vertical="center"/>
    </xf>
    <xf numFmtId="0" fontId="1" fillId="6" borderId="4" xfId="0" applyFont="1" applyFill="1" applyBorder="1" applyAlignment="1">
      <alignment vertical="center"/>
    </xf>
    <xf numFmtId="10" fontId="1" fillId="10" borderId="4" xfId="0" applyNumberFormat="1" applyFont="1" applyFill="1" applyBorder="1" applyAlignment="1">
      <alignment horizontal="center" vertical="center"/>
    </xf>
    <xf numFmtId="164" fontId="2" fillId="10" borderId="4" xfId="0" applyNumberFormat="1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10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9" fontId="1" fillId="0" borderId="4" xfId="0" applyNumberFormat="1" applyFont="1" applyBorder="1" applyAlignment="1">
      <alignment horizontal="center" vertical="center"/>
    </xf>
    <xf numFmtId="0" fontId="1" fillId="14" borderId="14" xfId="0" applyFont="1" applyFill="1" applyBorder="1" applyAlignment="1">
      <alignment horizontal="center"/>
    </xf>
    <xf numFmtId="0" fontId="1" fillId="0" borderId="4" xfId="0" applyFont="1" applyBorder="1"/>
    <xf numFmtId="0" fontId="1" fillId="0" borderId="15" xfId="0" applyFont="1" applyBorder="1"/>
    <xf numFmtId="164" fontId="0" fillId="0" borderId="15" xfId="0" applyNumberFormat="1" applyBorder="1" applyAlignment="1">
      <alignment horizontal="center" vertical="center"/>
    </xf>
    <xf numFmtId="0" fontId="7" fillId="2" borderId="1" xfId="0" applyFont="1" applyFill="1" applyBorder="1"/>
    <xf numFmtId="164" fontId="1" fillId="2" borderId="14" xfId="0" applyNumberFormat="1" applyFont="1" applyFill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14" borderId="14" xfId="0" applyNumberFormat="1" applyFont="1" applyFill="1" applyBorder="1" applyAlignment="1">
      <alignment horizontal="center"/>
    </xf>
    <xf numFmtId="0" fontId="1" fillId="0" borderId="3" xfId="0" applyFont="1" applyBorder="1"/>
    <xf numFmtId="0" fontId="1" fillId="0" borderId="0" xfId="0" applyFont="1" applyAlignment="1">
      <alignment horizontal="right"/>
    </xf>
    <xf numFmtId="0" fontId="1" fillId="8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0" fillId="0" borderId="4" xfId="0" applyNumberFormat="1" applyBorder="1"/>
    <xf numFmtId="9" fontId="0" fillId="0" borderId="4" xfId="0" applyNumberFormat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164" fontId="1" fillId="14" borderId="4" xfId="0" applyNumberFormat="1" applyFont="1" applyFill="1" applyBorder="1"/>
    <xf numFmtId="164" fontId="2" fillId="14" borderId="4" xfId="0" applyNumberFormat="1" applyFont="1" applyFill="1" applyBorder="1"/>
    <xf numFmtId="0" fontId="0" fillId="0" borderId="3" xfId="0" applyBorder="1"/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0" borderId="3" xfId="0" applyNumberFormat="1" applyBorder="1"/>
    <xf numFmtId="3" fontId="0" fillId="0" borderId="0" xfId="0" applyNumberFormat="1"/>
    <xf numFmtId="3" fontId="1" fillId="16" borderId="4" xfId="0" applyNumberFormat="1" applyFont="1" applyFill="1" applyBorder="1" applyAlignment="1">
      <alignment horizontal="center"/>
    </xf>
    <xf numFmtId="3" fontId="0" fillId="4" borderId="4" xfId="0" applyNumberForma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4" xfId="0" applyNumberFormat="1" applyBorder="1"/>
    <xf numFmtId="10" fontId="0" fillId="0" borderId="4" xfId="0" applyNumberFormat="1" applyBorder="1"/>
    <xf numFmtId="0" fontId="0" fillId="15" borderId="4" xfId="0" applyFill="1" applyBorder="1"/>
    <xf numFmtId="0" fontId="3" fillId="8" borderId="4" xfId="0" applyFont="1" applyFill="1" applyBorder="1"/>
    <xf numFmtId="10" fontId="3" fillId="15" borderId="4" xfId="0" applyNumberFormat="1" applyFont="1" applyFill="1" applyBorder="1"/>
    <xf numFmtId="0" fontId="0" fillId="15" borderId="4" xfId="0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0" borderId="15" xfId="0" applyFont="1" applyFill="1" applyBorder="1"/>
    <xf numFmtId="164" fontId="0" fillId="0" borderId="15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left" vertical="center"/>
    </xf>
    <xf numFmtId="9" fontId="1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" fillId="0" borderId="0" xfId="0" applyFont="1" applyAlignment="1"/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3" fontId="0" fillId="0" borderId="4" xfId="0" applyNumberFormat="1" applyBorder="1"/>
    <xf numFmtId="164" fontId="0" fillId="0" borderId="0" xfId="0" applyNumberFormat="1" applyFill="1" applyBorder="1"/>
    <xf numFmtId="0" fontId="2" fillId="0" borderId="0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165" fontId="0" fillId="0" borderId="4" xfId="0" applyNumberFormat="1" applyBorder="1" applyAlignment="1">
      <alignment horizontal="center"/>
    </xf>
    <xf numFmtId="3" fontId="3" fillId="0" borderId="4" xfId="0" applyNumberFormat="1" applyFont="1" applyBorder="1" applyAlignment="1">
      <alignment horizontal="center" vertical="center"/>
    </xf>
    <xf numFmtId="0" fontId="0" fillId="17" borderId="4" xfId="0" applyFill="1" applyBorder="1"/>
    <xf numFmtId="164" fontId="2" fillId="0" borderId="0" xfId="0" applyNumberFormat="1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164" fontId="2" fillId="15" borderId="4" xfId="0" applyNumberFormat="1" applyFont="1" applyFill="1" applyBorder="1" applyAlignment="1">
      <alignment horizontal="center"/>
    </xf>
    <xf numFmtId="165" fontId="0" fillId="0" borderId="4" xfId="0" applyNumberFormat="1" applyBorder="1"/>
    <xf numFmtId="9" fontId="0" fillId="0" borderId="15" xfId="0" applyNumberFormat="1" applyBorder="1" applyAlignment="1">
      <alignment horizontal="center"/>
    </xf>
    <xf numFmtId="164" fontId="0" fillId="6" borderId="15" xfId="0" applyNumberFormat="1" applyFill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3" borderId="3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64" fontId="0" fillId="0" borderId="4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7" borderId="6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 vertic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1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1" fillId="12" borderId="3" xfId="0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13" borderId="22" xfId="0" applyFont="1" applyFill="1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1" fillId="16" borderId="25" xfId="0" applyFont="1" applyFill="1" applyBorder="1" applyAlignment="1">
      <alignment horizontal="center"/>
    </xf>
    <xf numFmtId="0" fontId="1" fillId="16" borderId="2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13" borderId="8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1" fillId="16" borderId="5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164" fontId="0" fillId="0" borderId="27" xfId="0" applyNumberFormat="1" applyBorder="1" applyAlignment="1">
      <alignment horizontal="center"/>
    </xf>
    <xf numFmtId="0" fontId="0" fillId="0" borderId="28" xfId="0" applyFont="1" applyBorder="1"/>
    <xf numFmtId="165" fontId="0" fillId="0" borderId="4" xfId="0" applyNumberFormat="1" applyBorder="1" applyAlignment="1">
      <alignment horizontal="center" vertical="center"/>
    </xf>
    <xf numFmtId="3" fontId="0" fillId="0" borderId="3" xfId="0" applyNumberFormat="1" applyBorder="1"/>
    <xf numFmtId="0" fontId="1" fillId="13" borderId="19" xfId="0" applyFont="1" applyFill="1" applyBorder="1" applyAlignment="1">
      <alignment horizontal="center"/>
    </xf>
    <xf numFmtId="0" fontId="1" fillId="13" borderId="21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4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1">
                <a:solidFill>
                  <a:schemeClr val="tx1"/>
                </a:solidFill>
                <a:latin typeface="Bahnschrift" panose="020B0502040204020203" pitchFamily="34" charset="0"/>
              </a:rPr>
              <a:t>Punto</a:t>
            </a:r>
            <a:r>
              <a:rPr lang="es-CO" sz="1800" b="1" i="1" baseline="0">
                <a:solidFill>
                  <a:schemeClr val="tx1"/>
                </a:solidFill>
                <a:latin typeface="Bahnschrift" panose="020B0502040204020203" pitchFamily="34" charset="0"/>
              </a:rPr>
              <a:t> de Equilibrio</a:t>
            </a:r>
            <a:endParaRPr lang="es-CO" sz="1800" b="1" i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3286481098917856E-2"/>
          <c:y val="9.7475647414520361E-2"/>
          <c:w val="0.90370538942540568"/>
          <c:h val="0.78826593062084316"/>
        </c:manualLayout>
      </c:layout>
      <c:lineChart>
        <c:grouping val="standard"/>
        <c:varyColors val="0"/>
        <c:ser>
          <c:idx val="0"/>
          <c:order val="0"/>
          <c:tx>
            <c:strRef>
              <c:f>'Grafica Punto de Equilibrio'!$C$3</c:f>
              <c:strCache>
                <c:ptCount val="1"/>
                <c:pt idx="0">
                  <c:v>Costos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Equilibrio'!$C$4:$C$5004</c:f>
              <c:numCache>
                <c:formatCode>"$"\ #,##0</c:formatCode>
                <c:ptCount val="5001"/>
                <c:pt idx="0">
                  <c:v>1755600</c:v>
                </c:pt>
                <c:pt idx="1">
                  <c:v>1758247.3386135516</c:v>
                </c:pt>
                <c:pt idx="2">
                  <c:v>1760894.6772271034</c:v>
                </c:pt>
                <c:pt idx="3">
                  <c:v>1763542.015840655</c:v>
                </c:pt>
                <c:pt idx="4">
                  <c:v>1766189.3544542065</c:v>
                </c:pt>
                <c:pt idx="5">
                  <c:v>1768836.6930677583</c:v>
                </c:pt>
                <c:pt idx="6">
                  <c:v>1771484.0316813099</c:v>
                </c:pt>
                <c:pt idx="7">
                  <c:v>1774131.3702948617</c:v>
                </c:pt>
                <c:pt idx="8">
                  <c:v>1776778.7089084133</c:v>
                </c:pt>
                <c:pt idx="9">
                  <c:v>1779426.0475219649</c:v>
                </c:pt>
                <c:pt idx="10">
                  <c:v>1782073.3861355167</c:v>
                </c:pt>
                <c:pt idx="11">
                  <c:v>1784720.7247490683</c:v>
                </c:pt>
                <c:pt idx="12">
                  <c:v>1787368.0633626198</c:v>
                </c:pt>
                <c:pt idx="13">
                  <c:v>1790015.4019761716</c:v>
                </c:pt>
                <c:pt idx="14">
                  <c:v>1792662.7405897232</c:v>
                </c:pt>
                <c:pt idx="15">
                  <c:v>1795310.079203275</c:v>
                </c:pt>
                <c:pt idx="16">
                  <c:v>1797957.4178168266</c:v>
                </c:pt>
                <c:pt idx="17">
                  <c:v>1800604.7564303782</c:v>
                </c:pt>
                <c:pt idx="18">
                  <c:v>1803252.09504393</c:v>
                </c:pt>
                <c:pt idx="19">
                  <c:v>1805899.4336574816</c:v>
                </c:pt>
                <c:pt idx="20">
                  <c:v>1808546.7722710331</c:v>
                </c:pt>
                <c:pt idx="21">
                  <c:v>1811194.110884585</c:v>
                </c:pt>
                <c:pt idx="22">
                  <c:v>1813841.4494981365</c:v>
                </c:pt>
                <c:pt idx="23">
                  <c:v>1816488.7881116881</c:v>
                </c:pt>
                <c:pt idx="24">
                  <c:v>1819136.1267252399</c:v>
                </c:pt>
                <c:pt idx="25">
                  <c:v>1821783.4653387915</c:v>
                </c:pt>
                <c:pt idx="26">
                  <c:v>1824430.8039523433</c:v>
                </c:pt>
                <c:pt idx="27">
                  <c:v>1827078.1425658949</c:v>
                </c:pt>
                <c:pt idx="28">
                  <c:v>1829725.4811794464</c:v>
                </c:pt>
                <c:pt idx="29">
                  <c:v>1832372.8197929983</c:v>
                </c:pt>
                <c:pt idx="30">
                  <c:v>1835020.1584065498</c:v>
                </c:pt>
                <c:pt idx="31">
                  <c:v>1837667.4970201014</c:v>
                </c:pt>
                <c:pt idx="32">
                  <c:v>1840314.8356336532</c:v>
                </c:pt>
                <c:pt idx="33">
                  <c:v>1842962.1742472048</c:v>
                </c:pt>
                <c:pt idx="34">
                  <c:v>1845609.5128607566</c:v>
                </c:pt>
                <c:pt idx="35">
                  <c:v>1848256.8514743082</c:v>
                </c:pt>
                <c:pt idx="36">
                  <c:v>1850904.1900878598</c:v>
                </c:pt>
                <c:pt idx="37">
                  <c:v>1853551.5287014116</c:v>
                </c:pt>
                <c:pt idx="38">
                  <c:v>1856198.8673149631</c:v>
                </c:pt>
                <c:pt idx="39">
                  <c:v>1858846.2059285147</c:v>
                </c:pt>
                <c:pt idx="40">
                  <c:v>1861493.5445420665</c:v>
                </c:pt>
                <c:pt idx="41">
                  <c:v>1864140.8831556181</c:v>
                </c:pt>
                <c:pt idx="42">
                  <c:v>1866788.2217691699</c:v>
                </c:pt>
                <c:pt idx="43">
                  <c:v>1869435.5603827215</c:v>
                </c:pt>
                <c:pt idx="44">
                  <c:v>1872082.8989962731</c:v>
                </c:pt>
                <c:pt idx="45">
                  <c:v>1874730.2376098249</c:v>
                </c:pt>
                <c:pt idx="46">
                  <c:v>1877377.5762233764</c:v>
                </c:pt>
                <c:pt idx="47">
                  <c:v>1880024.914836928</c:v>
                </c:pt>
                <c:pt idx="48">
                  <c:v>1882672.2534504798</c:v>
                </c:pt>
                <c:pt idx="49">
                  <c:v>1885319.5920640314</c:v>
                </c:pt>
                <c:pt idx="50">
                  <c:v>1887966.930677583</c:v>
                </c:pt>
                <c:pt idx="51">
                  <c:v>1890614.2692911348</c:v>
                </c:pt>
                <c:pt idx="52">
                  <c:v>1893261.6079046864</c:v>
                </c:pt>
                <c:pt idx="53">
                  <c:v>1895908.9465182382</c:v>
                </c:pt>
                <c:pt idx="54">
                  <c:v>1898556.2851317897</c:v>
                </c:pt>
                <c:pt idx="55">
                  <c:v>1901203.6237453413</c:v>
                </c:pt>
                <c:pt idx="56">
                  <c:v>1903850.9623588931</c:v>
                </c:pt>
                <c:pt idx="57">
                  <c:v>1906498.3009724447</c:v>
                </c:pt>
                <c:pt idx="58">
                  <c:v>1909145.6395859963</c:v>
                </c:pt>
                <c:pt idx="59">
                  <c:v>1911792.9781995481</c:v>
                </c:pt>
                <c:pt idx="60">
                  <c:v>1914440.3168130997</c:v>
                </c:pt>
                <c:pt idx="61">
                  <c:v>1917087.6554266512</c:v>
                </c:pt>
                <c:pt idx="62">
                  <c:v>1919734.994040203</c:v>
                </c:pt>
                <c:pt idx="63">
                  <c:v>1922382.3326537546</c:v>
                </c:pt>
                <c:pt idx="64">
                  <c:v>1925029.6712673064</c:v>
                </c:pt>
                <c:pt idx="65">
                  <c:v>1927677.009880858</c:v>
                </c:pt>
                <c:pt idx="66">
                  <c:v>1930324.3484944096</c:v>
                </c:pt>
                <c:pt idx="67">
                  <c:v>1932971.6871079614</c:v>
                </c:pt>
                <c:pt idx="68">
                  <c:v>1935619.025721513</c:v>
                </c:pt>
                <c:pt idx="69">
                  <c:v>1938266.3643350648</c:v>
                </c:pt>
                <c:pt idx="70">
                  <c:v>1940913.7029486164</c:v>
                </c:pt>
                <c:pt idx="71">
                  <c:v>1943561.0415621679</c:v>
                </c:pt>
                <c:pt idx="72">
                  <c:v>1946208.3801757197</c:v>
                </c:pt>
                <c:pt idx="73">
                  <c:v>1948855.7187892713</c:v>
                </c:pt>
                <c:pt idx="74">
                  <c:v>1951503.0574028229</c:v>
                </c:pt>
                <c:pt idx="75">
                  <c:v>1954150.3960163747</c:v>
                </c:pt>
                <c:pt idx="76">
                  <c:v>1956797.7346299263</c:v>
                </c:pt>
                <c:pt idx="77">
                  <c:v>1959445.0732434778</c:v>
                </c:pt>
                <c:pt idx="78">
                  <c:v>1962092.4118570297</c:v>
                </c:pt>
                <c:pt idx="79">
                  <c:v>1964739.7504705812</c:v>
                </c:pt>
                <c:pt idx="80">
                  <c:v>1967387.089084133</c:v>
                </c:pt>
                <c:pt idx="81">
                  <c:v>1970034.4276976846</c:v>
                </c:pt>
                <c:pt idx="82">
                  <c:v>1972681.7663112362</c:v>
                </c:pt>
                <c:pt idx="83">
                  <c:v>1975329.104924788</c:v>
                </c:pt>
                <c:pt idx="84">
                  <c:v>1977976.4435383396</c:v>
                </c:pt>
                <c:pt idx="85">
                  <c:v>1980623.7821518912</c:v>
                </c:pt>
                <c:pt idx="86">
                  <c:v>1983271.120765443</c:v>
                </c:pt>
                <c:pt idx="87">
                  <c:v>1985918.4593789945</c:v>
                </c:pt>
                <c:pt idx="88">
                  <c:v>1988565.7979925461</c:v>
                </c:pt>
                <c:pt idx="89">
                  <c:v>1991213.1366060979</c:v>
                </c:pt>
                <c:pt idx="90">
                  <c:v>1993860.4752196495</c:v>
                </c:pt>
                <c:pt idx="91">
                  <c:v>1996507.8138332013</c:v>
                </c:pt>
                <c:pt idx="92">
                  <c:v>1999155.1524467529</c:v>
                </c:pt>
                <c:pt idx="93">
                  <c:v>2001802.4910603045</c:v>
                </c:pt>
                <c:pt idx="94">
                  <c:v>2004449.8296738563</c:v>
                </c:pt>
                <c:pt idx="95">
                  <c:v>2007097.1682874078</c:v>
                </c:pt>
                <c:pt idx="96">
                  <c:v>2009744.5069009596</c:v>
                </c:pt>
                <c:pt idx="97">
                  <c:v>2012391.8455145112</c:v>
                </c:pt>
                <c:pt idx="98">
                  <c:v>2015039.1841280628</c:v>
                </c:pt>
                <c:pt idx="99">
                  <c:v>2017686.5227416144</c:v>
                </c:pt>
                <c:pt idx="100">
                  <c:v>2020333.8613551662</c:v>
                </c:pt>
                <c:pt idx="101">
                  <c:v>2022981.1999687178</c:v>
                </c:pt>
                <c:pt idx="102">
                  <c:v>2025628.5385822696</c:v>
                </c:pt>
                <c:pt idx="103">
                  <c:v>2028275.8771958211</c:v>
                </c:pt>
                <c:pt idx="104">
                  <c:v>2030923.2158093727</c:v>
                </c:pt>
                <c:pt idx="105">
                  <c:v>2033570.5544229245</c:v>
                </c:pt>
                <c:pt idx="106">
                  <c:v>2036217.8930364761</c:v>
                </c:pt>
                <c:pt idx="107">
                  <c:v>2038865.2316500279</c:v>
                </c:pt>
                <c:pt idx="108">
                  <c:v>2041512.5702635795</c:v>
                </c:pt>
                <c:pt idx="109">
                  <c:v>2044159.9088771311</c:v>
                </c:pt>
                <c:pt idx="110">
                  <c:v>2046807.2474906826</c:v>
                </c:pt>
                <c:pt idx="111">
                  <c:v>2049454.5861042344</c:v>
                </c:pt>
                <c:pt idx="112">
                  <c:v>2052101.924717786</c:v>
                </c:pt>
                <c:pt idx="113">
                  <c:v>2054749.2633313378</c:v>
                </c:pt>
                <c:pt idx="114">
                  <c:v>2057396.6019448894</c:v>
                </c:pt>
                <c:pt idx="115">
                  <c:v>2060043.940558441</c:v>
                </c:pt>
                <c:pt idx="116">
                  <c:v>2062691.2791719928</c:v>
                </c:pt>
                <c:pt idx="117">
                  <c:v>2065338.6177855444</c:v>
                </c:pt>
                <c:pt idx="118">
                  <c:v>2067985.9563990962</c:v>
                </c:pt>
                <c:pt idx="119">
                  <c:v>2070633.2950126478</c:v>
                </c:pt>
                <c:pt idx="120">
                  <c:v>2073280.6336261993</c:v>
                </c:pt>
                <c:pt idx="121">
                  <c:v>2075927.9722397511</c:v>
                </c:pt>
                <c:pt idx="122">
                  <c:v>2078575.3108533027</c:v>
                </c:pt>
                <c:pt idx="123">
                  <c:v>2081222.6494668545</c:v>
                </c:pt>
                <c:pt idx="124">
                  <c:v>2083869.9880804061</c:v>
                </c:pt>
                <c:pt idx="125">
                  <c:v>2086517.3266939577</c:v>
                </c:pt>
                <c:pt idx="126">
                  <c:v>2089164.6653075092</c:v>
                </c:pt>
                <c:pt idx="127">
                  <c:v>2091812.0039210611</c:v>
                </c:pt>
                <c:pt idx="128">
                  <c:v>2094459.3425346126</c:v>
                </c:pt>
                <c:pt idx="129">
                  <c:v>2097106.6811481644</c:v>
                </c:pt>
                <c:pt idx="130">
                  <c:v>2099754.019761716</c:v>
                </c:pt>
                <c:pt idx="131">
                  <c:v>2102401.3583752676</c:v>
                </c:pt>
                <c:pt idx="132">
                  <c:v>2105048.6969888192</c:v>
                </c:pt>
                <c:pt idx="133">
                  <c:v>2107696.0356023712</c:v>
                </c:pt>
                <c:pt idx="134">
                  <c:v>2110343.3742159228</c:v>
                </c:pt>
                <c:pt idx="135">
                  <c:v>2112990.7128294744</c:v>
                </c:pt>
                <c:pt idx="136">
                  <c:v>2115638.0514430259</c:v>
                </c:pt>
                <c:pt idx="137">
                  <c:v>2118285.3900565775</c:v>
                </c:pt>
                <c:pt idx="138">
                  <c:v>2120932.7286701296</c:v>
                </c:pt>
                <c:pt idx="139">
                  <c:v>2123580.0672836811</c:v>
                </c:pt>
                <c:pt idx="140">
                  <c:v>2126227.4058972327</c:v>
                </c:pt>
                <c:pt idx="141">
                  <c:v>2128874.7445107843</c:v>
                </c:pt>
                <c:pt idx="142">
                  <c:v>2131522.0831243359</c:v>
                </c:pt>
                <c:pt idx="143">
                  <c:v>2134169.4217378874</c:v>
                </c:pt>
                <c:pt idx="144">
                  <c:v>2136816.7603514395</c:v>
                </c:pt>
                <c:pt idx="145">
                  <c:v>2139464.098964991</c:v>
                </c:pt>
                <c:pt idx="146">
                  <c:v>2142111.4375785426</c:v>
                </c:pt>
                <c:pt idx="147">
                  <c:v>2144758.7761920942</c:v>
                </c:pt>
                <c:pt idx="148">
                  <c:v>2147406.1148056458</c:v>
                </c:pt>
                <c:pt idx="149">
                  <c:v>2150053.4534191974</c:v>
                </c:pt>
                <c:pt idx="150">
                  <c:v>2152700.7920327494</c:v>
                </c:pt>
                <c:pt idx="151">
                  <c:v>2155348.130646301</c:v>
                </c:pt>
                <c:pt idx="152">
                  <c:v>2157995.4692598525</c:v>
                </c:pt>
                <c:pt idx="153">
                  <c:v>2160642.8078734041</c:v>
                </c:pt>
                <c:pt idx="154">
                  <c:v>2163290.1464869557</c:v>
                </c:pt>
                <c:pt idx="155">
                  <c:v>2165937.4851005077</c:v>
                </c:pt>
                <c:pt idx="156">
                  <c:v>2168584.8237140593</c:v>
                </c:pt>
                <c:pt idx="157">
                  <c:v>2171232.1623276109</c:v>
                </c:pt>
                <c:pt idx="158">
                  <c:v>2173879.5009411625</c:v>
                </c:pt>
                <c:pt idx="159">
                  <c:v>2176526.839554714</c:v>
                </c:pt>
                <c:pt idx="160">
                  <c:v>2179174.1781682661</c:v>
                </c:pt>
                <c:pt idx="161">
                  <c:v>2181821.5167818177</c:v>
                </c:pt>
                <c:pt idx="162">
                  <c:v>2184468.8553953692</c:v>
                </c:pt>
                <c:pt idx="163">
                  <c:v>2187116.1940089208</c:v>
                </c:pt>
                <c:pt idx="164">
                  <c:v>2189763.5326224724</c:v>
                </c:pt>
                <c:pt idx="165">
                  <c:v>2192410.8712360244</c:v>
                </c:pt>
                <c:pt idx="166">
                  <c:v>2195058.209849576</c:v>
                </c:pt>
                <c:pt idx="167">
                  <c:v>2197705.5484631276</c:v>
                </c:pt>
                <c:pt idx="168">
                  <c:v>2200352.8870766792</c:v>
                </c:pt>
                <c:pt idx="169">
                  <c:v>2203000.2256902307</c:v>
                </c:pt>
                <c:pt idx="170">
                  <c:v>2205647.5643037823</c:v>
                </c:pt>
                <c:pt idx="171">
                  <c:v>2208294.9029173339</c:v>
                </c:pt>
                <c:pt idx="172">
                  <c:v>2210942.2415308859</c:v>
                </c:pt>
                <c:pt idx="173">
                  <c:v>2213589.5801444375</c:v>
                </c:pt>
                <c:pt idx="174">
                  <c:v>2216236.9187579891</c:v>
                </c:pt>
                <c:pt idx="175">
                  <c:v>2218884.2573715406</c:v>
                </c:pt>
                <c:pt idx="176">
                  <c:v>2221531.5959850922</c:v>
                </c:pt>
                <c:pt idx="177">
                  <c:v>2224178.9345986443</c:v>
                </c:pt>
                <c:pt idx="178">
                  <c:v>2226826.2732121958</c:v>
                </c:pt>
                <c:pt idx="179">
                  <c:v>2229473.6118257474</c:v>
                </c:pt>
                <c:pt idx="180">
                  <c:v>2232120.950439299</c:v>
                </c:pt>
                <c:pt idx="181">
                  <c:v>2234768.2890528506</c:v>
                </c:pt>
                <c:pt idx="182">
                  <c:v>2237415.6276664026</c:v>
                </c:pt>
                <c:pt idx="183">
                  <c:v>2240062.9662799542</c:v>
                </c:pt>
                <c:pt idx="184">
                  <c:v>2242710.3048935058</c:v>
                </c:pt>
                <c:pt idx="185">
                  <c:v>2245357.6435070573</c:v>
                </c:pt>
                <c:pt idx="186">
                  <c:v>2248004.9821206089</c:v>
                </c:pt>
                <c:pt idx="187">
                  <c:v>2250652.320734161</c:v>
                </c:pt>
                <c:pt idx="188">
                  <c:v>2253299.6593477125</c:v>
                </c:pt>
                <c:pt idx="189">
                  <c:v>2255946.9979612641</c:v>
                </c:pt>
                <c:pt idx="190">
                  <c:v>2258594.3365748157</c:v>
                </c:pt>
                <c:pt idx="191">
                  <c:v>2261241.6751883673</c:v>
                </c:pt>
                <c:pt idx="192">
                  <c:v>2263889.0138019193</c:v>
                </c:pt>
                <c:pt idx="193">
                  <c:v>2266536.3524154709</c:v>
                </c:pt>
                <c:pt idx="194">
                  <c:v>2269183.6910290224</c:v>
                </c:pt>
                <c:pt idx="195">
                  <c:v>2271831.029642574</c:v>
                </c:pt>
                <c:pt idx="196">
                  <c:v>2274478.3682561256</c:v>
                </c:pt>
                <c:pt idx="197">
                  <c:v>2277125.7068696772</c:v>
                </c:pt>
                <c:pt idx="198">
                  <c:v>2279773.0454832288</c:v>
                </c:pt>
                <c:pt idx="199">
                  <c:v>2282420.3840967808</c:v>
                </c:pt>
                <c:pt idx="200">
                  <c:v>2285067.7227103324</c:v>
                </c:pt>
                <c:pt idx="201">
                  <c:v>2287715.0613238839</c:v>
                </c:pt>
                <c:pt idx="202">
                  <c:v>2290362.3999374355</c:v>
                </c:pt>
                <c:pt idx="203">
                  <c:v>2293009.7385509871</c:v>
                </c:pt>
                <c:pt idx="204">
                  <c:v>2295657.0771645391</c:v>
                </c:pt>
                <c:pt idx="205">
                  <c:v>2298304.4157780907</c:v>
                </c:pt>
                <c:pt idx="206">
                  <c:v>2300951.7543916423</c:v>
                </c:pt>
                <c:pt idx="207">
                  <c:v>2303599.0930051939</c:v>
                </c:pt>
                <c:pt idx="208">
                  <c:v>2306246.4316187454</c:v>
                </c:pt>
                <c:pt idx="209">
                  <c:v>2308893.7702322975</c:v>
                </c:pt>
                <c:pt idx="210">
                  <c:v>2311541.1088458491</c:v>
                </c:pt>
                <c:pt idx="211">
                  <c:v>2314188.4474594006</c:v>
                </c:pt>
                <c:pt idx="212">
                  <c:v>2316835.7860729522</c:v>
                </c:pt>
                <c:pt idx="213">
                  <c:v>2319483.1246865038</c:v>
                </c:pt>
                <c:pt idx="214">
                  <c:v>2322130.4633000558</c:v>
                </c:pt>
                <c:pt idx="215">
                  <c:v>2324777.8019136074</c:v>
                </c:pt>
                <c:pt idx="216">
                  <c:v>2327425.140527159</c:v>
                </c:pt>
                <c:pt idx="217">
                  <c:v>2330072.4791407106</c:v>
                </c:pt>
                <c:pt idx="218">
                  <c:v>2332719.8177542621</c:v>
                </c:pt>
                <c:pt idx="219">
                  <c:v>2335367.1563678142</c:v>
                </c:pt>
                <c:pt idx="220">
                  <c:v>2338014.4949813653</c:v>
                </c:pt>
                <c:pt idx="221">
                  <c:v>2340661.8335949173</c:v>
                </c:pt>
                <c:pt idx="222">
                  <c:v>2343309.1722084689</c:v>
                </c:pt>
                <c:pt idx="223">
                  <c:v>2345956.5108220205</c:v>
                </c:pt>
                <c:pt idx="224">
                  <c:v>2348603.849435572</c:v>
                </c:pt>
                <c:pt idx="225">
                  <c:v>2351251.1880491236</c:v>
                </c:pt>
                <c:pt idx="226">
                  <c:v>2353898.5266626757</c:v>
                </c:pt>
                <c:pt idx="227">
                  <c:v>2356545.8652762272</c:v>
                </c:pt>
                <c:pt idx="228">
                  <c:v>2359193.2038897788</c:v>
                </c:pt>
                <c:pt idx="229">
                  <c:v>2361840.5425033304</c:v>
                </c:pt>
                <c:pt idx="230">
                  <c:v>2364487.881116882</c:v>
                </c:pt>
                <c:pt idx="231">
                  <c:v>2367135.219730434</c:v>
                </c:pt>
                <c:pt idx="232">
                  <c:v>2369782.5583439856</c:v>
                </c:pt>
                <c:pt idx="233">
                  <c:v>2372429.8969575372</c:v>
                </c:pt>
                <c:pt idx="234">
                  <c:v>2375077.2355710887</c:v>
                </c:pt>
                <c:pt idx="235">
                  <c:v>2377724.5741846403</c:v>
                </c:pt>
                <c:pt idx="236">
                  <c:v>2380371.9127981924</c:v>
                </c:pt>
                <c:pt idx="237">
                  <c:v>2383019.2514117439</c:v>
                </c:pt>
                <c:pt idx="238">
                  <c:v>2385666.5900252955</c:v>
                </c:pt>
                <c:pt idx="239">
                  <c:v>2388313.9286388471</c:v>
                </c:pt>
                <c:pt idx="240">
                  <c:v>2390961.2672523987</c:v>
                </c:pt>
                <c:pt idx="241">
                  <c:v>2393608.6058659507</c:v>
                </c:pt>
                <c:pt idx="242">
                  <c:v>2396255.9444795023</c:v>
                </c:pt>
                <c:pt idx="243">
                  <c:v>2398903.2830930538</c:v>
                </c:pt>
                <c:pt idx="244">
                  <c:v>2401550.6217066054</c:v>
                </c:pt>
                <c:pt idx="245">
                  <c:v>2404197.960320157</c:v>
                </c:pt>
                <c:pt idx="246">
                  <c:v>2406845.298933709</c:v>
                </c:pt>
                <c:pt idx="247">
                  <c:v>2409492.6375472602</c:v>
                </c:pt>
                <c:pt idx="248">
                  <c:v>2412139.9761608122</c:v>
                </c:pt>
                <c:pt idx="249">
                  <c:v>2414787.3147743638</c:v>
                </c:pt>
                <c:pt idx="250">
                  <c:v>2417434.6533879153</c:v>
                </c:pt>
                <c:pt idx="251">
                  <c:v>2420081.9920014669</c:v>
                </c:pt>
                <c:pt idx="252">
                  <c:v>2422729.3306150185</c:v>
                </c:pt>
                <c:pt idx="253">
                  <c:v>2425376.6692285705</c:v>
                </c:pt>
                <c:pt idx="254">
                  <c:v>2428024.0078421221</c:v>
                </c:pt>
                <c:pt idx="255">
                  <c:v>2430671.3464556737</c:v>
                </c:pt>
                <c:pt idx="256">
                  <c:v>2433318.6850692253</c:v>
                </c:pt>
                <c:pt idx="257">
                  <c:v>2435966.0236827768</c:v>
                </c:pt>
                <c:pt idx="258">
                  <c:v>2438613.3622963289</c:v>
                </c:pt>
                <c:pt idx="259">
                  <c:v>2441260.7009098805</c:v>
                </c:pt>
                <c:pt idx="260">
                  <c:v>2443908.039523432</c:v>
                </c:pt>
                <c:pt idx="261">
                  <c:v>2446555.3781369836</c:v>
                </c:pt>
                <c:pt idx="262">
                  <c:v>2449202.7167505352</c:v>
                </c:pt>
                <c:pt idx="263">
                  <c:v>2451850.0553640872</c:v>
                </c:pt>
                <c:pt idx="264">
                  <c:v>2454497.3939776388</c:v>
                </c:pt>
                <c:pt idx="265">
                  <c:v>2457144.7325911904</c:v>
                </c:pt>
                <c:pt idx="266">
                  <c:v>2459792.071204742</c:v>
                </c:pt>
                <c:pt idx="267">
                  <c:v>2462439.4098182935</c:v>
                </c:pt>
                <c:pt idx="268">
                  <c:v>2465086.7484318456</c:v>
                </c:pt>
                <c:pt idx="269">
                  <c:v>2467734.0870453971</c:v>
                </c:pt>
                <c:pt idx="270">
                  <c:v>2470381.4256589487</c:v>
                </c:pt>
                <c:pt idx="271">
                  <c:v>2473028.7642725003</c:v>
                </c:pt>
                <c:pt idx="272">
                  <c:v>2475676.1028860519</c:v>
                </c:pt>
                <c:pt idx="273">
                  <c:v>2478323.4414996039</c:v>
                </c:pt>
                <c:pt idx="274">
                  <c:v>2480970.780113155</c:v>
                </c:pt>
                <c:pt idx="275">
                  <c:v>2483618.1187267071</c:v>
                </c:pt>
                <c:pt idx="276">
                  <c:v>2486265.4573402586</c:v>
                </c:pt>
                <c:pt idx="277">
                  <c:v>2488912.7959538102</c:v>
                </c:pt>
                <c:pt idx="278">
                  <c:v>2491560.1345673618</c:v>
                </c:pt>
                <c:pt idx="279">
                  <c:v>2494207.4731809134</c:v>
                </c:pt>
                <c:pt idx="280">
                  <c:v>2496854.8117944654</c:v>
                </c:pt>
                <c:pt idx="281">
                  <c:v>2499502.150408017</c:v>
                </c:pt>
                <c:pt idx="282">
                  <c:v>2502149.4890215686</c:v>
                </c:pt>
                <c:pt idx="283">
                  <c:v>2504796.8276351201</c:v>
                </c:pt>
                <c:pt idx="284">
                  <c:v>2507444.1662486717</c:v>
                </c:pt>
                <c:pt idx="285">
                  <c:v>2510091.5048622238</c:v>
                </c:pt>
                <c:pt idx="286">
                  <c:v>2512738.8434757753</c:v>
                </c:pt>
                <c:pt idx="287">
                  <c:v>2515386.1820893269</c:v>
                </c:pt>
                <c:pt idx="288">
                  <c:v>2518033.5207028785</c:v>
                </c:pt>
                <c:pt idx="289">
                  <c:v>2520680.8593164301</c:v>
                </c:pt>
                <c:pt idx="290">
                  <c:v>2523328.1979299821</c:v>
                </c:pt>
                <c:pt idx="291">
                  <c:v>2525975.5365435337</c:v>
                </c:pt>
                <c:pt idx="292">
                  <c:v>2528622.8751570852</c:v>
                </c:pt>
                <c:pt idx="293">
                  <c:v>2531270.2137706368</c:v>
                </c:pt>
                <c:pt idx="294">
                  <c:v>2533917.5523841884</c:v>
                </c:pt>
                <c:pt idx="295">
                  <c:v>2536564.8909977404</c:v>
                </c:pt>
                <c:pt idx="296">
                  <c:v>2539212.229611292</c:v>
                </c:pt>
                <c:pt idx="297">
                  <c:v>2541859.5682248436</c:v>
                </c:pt>
                <c:pt idx="298">
                  <c:v>2544506.9068383952</c:v>
                </c:pt>
                <c:pt idx="299">
                  <c:v>2547154.2454519467</c:v>
                </c:pt>
                <c:pt idx="300">
                  <c:v>2549801.5840654983</c:v>
                </c:pt>
                <c:pt idx="301">
                  <c:v>2552448.9226790499</c:v>
                </c:pt>
                <c:pt idx="302">
                  <c:v>2555096.2612926019</c:v>
                </c:pt>
                <c:pt idx="303">
                  <c:v>2557743.5999061535</c:v>
                </c:pt>
                <c:pt idx="304">
                  <c:v>2560390.9385197051</c:v>
                </c:pt>
                <c:pt idx="305">
                  <c:v>2563038.2771332567</c:v>
                </c:pt>
                <c:pt idx="306">
                  <c:v>2565685.6157468082</c:v>
                </c:pt>
                <c:pt idx="307">
                  <c:v>2568332.9543603603</c:v>
                </c:pt>
                <c:pt idx="308">
                  <c:v>2570980.2929739119</c:v>
                </c:pt>
                <c:pt idx="309">
                  <c:v>2573627.6315874634</c:v>
                </c:pt>
                <c:pt idx="310">
                  <c:v>2576274.970201015</c:v>
                </c:pt>
                <c:pt idx="311">
                  <c:v>2578922.3088145666</c:v>
                </c:pt>
                <c:pt idx="312">
                  <c:v>2581569.6474281186</c:v>
                </c:pt>
                <c:pt idx="313">
                  <c:v>2584216.9860416702</c:v>
                </c:pt>
                <c:pt idx="314">
                  <c:v>2586864.3246552218</c:v>
                </c:pt>
                <c:pt idx="315">
                  <c:v>2589511.6632687734</c:v>
                </c:pt>
                <c:pt idx="316">
                  <c:v>2592159.0018823249</c:v>
                </c:pt>
                <c:pt idx="317">
                  <c:v>2594806.340495877</c:v>
                </c:pt>
                <c:pt idx="318">
                  <c:v>2597453.6791094285</c:v>
                </c:pt>
                <c:pt idx="319">
                  <c:v>2600101.0177229801</c:v>
                </c:pt>
                <c:pt idx="320">
                  <c:v>2602748.3563365317</c:v>
                </c:pt>
                <c:pt idx="321">
                  <c:v>2605395.6949500833</c:v>
                </c:pt>
                <c:pt idx="322">
                  <c:v>2608043.0335636353</c:v>
                </c:pt>
                <c:pt idx="323">
                  <c:v>2610690.3721771864</c:v>
                </c:pt>
                <c:pt idx="324">
                  <c:v>2613337.7107907385</c:v>
                </c:pt>
                <c:pt idx="325">
                  <c:v>2615985.04940429</c:v>
                </c:pt>
                <c:pt idx="326">
                  <c:v>2618632.3880178416</c:v>
                </c:pt>
                <c:pt idx="327">
                  <c:v>2621279.7266313932</c:v>
                </c:pt>
                <c:pt idx="328">
                  <c:v>2623927.0652449448</c:v>
                </c:pt>
                <c:pt idx="329">
                  <c:v>2626574.4038584968</c:v>
                </c:pt>
                <c:pt idx="330">
                  <c:v>2629221.7424720484</c:v>
                </c:pt>
                <c:pt idx="331">
                  <c:v>2631869.0810856</c:v>
                </c:pt>
                <c:pt idx="332">
                  <c:v>2634516.4196991515</c:v>
                </c:pt>
                <c:pt idx="333">
                  <c:v>2637163.7583127031</c:v>
                </c:pt>
                <c:pt idx="334">
                  <c:v>2639811.0969262552</c:v>
                </c:pt>
                <c:pt idx="335">
                  <c:v>2642458.4355398067</c:v>
                </c:pt>
                <c:pt idx="336">
                  <c:v>2645105.7741533583</c:v>
                </c:pt>
                <c:pt idx="337">
                  <c:v>2647753.1127669099</c:v>
                </c:pt>
                <c:pt idx="338">
                  <c:v>2650400.4513804615</c:v>
                </c:pt>
                <c:pt idx="339">
                  <c:v>2653047.7899940135</c:v>
                </c:pt>
                <c:pt idx="340">
                  <c:v>2655695.1286075651</c:v>
                </c:pt>
                <c:pt idx="341">
                  <c:v>2658342.4672211166</c:v>
                </c:pt>
                <c:pt idx="342">
                  <c:v>2660989.8058346682</c:v>
                </c:pt>
                <c:pt idx="343">
                  <c:v>2663637.1444482198</c:v>
                </c:pt>
                <c:pt idx="344">
                  <c:v>2666284.4830617718</c:v>
                </c:pt>
                <c:pt idx="345">
                  <c:v>2668931.8216753234</c:v>
                </c:pt>
                <c:pt idx="346">
                  <c:v>2671579.160288875</c:v>
                </c:pt>
                <c:pt idx="347">
                  <c:v>2674226.4989024266</c:v>
                </c:pt>
                <c:pt idx="348">
                  <c:v>2676873.8375159781</c:v>
                </c:pt>
                <c:pt idx="349">
                  <c:v>2679521.1761295302</c:v>
                </c:pt>
                <c:pt idx="350">
                  <c:v>2682168.5147430813</c:v>
                </c:pt>
                <c:pt idx="351">
                  <c:v>2684815.8533566333</c:v>
                </c:pt>
                <c:pt idx="352">
                  <c:v>2687463.1919701849</c:v>
                </c:pt>
                <c:pt idx="353">
                  <c:v>2690110.5305837365</c:v>
                </c:pt>
                <c:pt idx="354">
                  <c:v>2692757.8691972881</c:v>
                </c:pt>
                <c:pt idx="355">
                  <c:v>2695405.2078108396</c:v>
                </c:pt>
                <c:pt idx="356">
                  <c:v>2698052.5464243917</c:v>
                </c:pt>
                <c:pt idx="357">
                  <c:v>2700699.8850379433</c:v>
                </c:pt>
                <c:pt idx="358">
                  <c:v>2703347.2236514948</c:v>
                </c:pt>
                <c:pt idx="359">
                  <c:v>2705994.5622650464</c:v>
                </c:pt>
                <c:pt idx="360">
                  <c:v>2708641.900878598</c:v>
                </c:pt>
                <c:pt idx="361">
                  <c:v>2711289.23949215</c:v>
                </c:pt>
                <c:pt idx="362">
                  <c:v>2713936.5781057016</c:v>
                </c:pt>
                <c:pt idx="363">
                  <c:v>2716583.9167192532</c:v>
                </c:pt>
                <c:pt idx="364">
                  <c:v>2719231.2553328048</c:v>
                </c:pt>
                <c:pt idx="365">
                  <c:v>2721878.5939463563</c:v>
                </c:pt>
                <c:pt idx="366">
                  <c:v>2724525.9325599084</c:v>
                </c:pt>
                <c:pt idx="367">
                  <c:v>2727173.2711734599</c:v>
                </c:pt>
                <c:pt idx="368">
                  <c:v>2729820.6097870115</c:v>
                </c:pt>
                <c:pt idx="369">
                  <c:v>2732467.9484005631</c:v>
                </c:pt>
                <c:pt idx="370">
                  <c:v>2735115.2870141147</c:v>
                </c:pt>
                <c:pt idx="371">
                  <c:v>2737762.6256276667</c:v>
                </c:pt>
                <c:pt idx="372">
                  <c:v>2740409.9642412183</c:v>
                </c:pt>
                <c:pt idx="373">
                  <c:v>2743057.3028547699</c:v>
                </c:pt>
                <c:pt idx="374">
                  <c:v>2745704.6414683214</c:v>
                </c:pt>
                <c:pt idx="375">
                  <c:v>2748351.980081873</c:v>
                </c:pt>
                <c:pt idx="376">
                  <c:v>2750999.3186954251</c:v>
                </c:pt>
                <c:pt idx="377">
                  <c:v>2753646.6573089762</c:v>
                </c:pt>
                <c:pt idx="378">
                  <c:v>2756293.9959225282</c:v>
                </c:pt>
                <c:pt idx="379">
                  <c:v>2758941.3345360798</c:v>
                </c:pt>
                <c:pt idx="380">
                  <c:v>2761588.6731496314</c:v>
                </c:pt>
                <c:pt idx="381">
                  <c:v>2764236.0117631829</c:v>
                </c:pt>
                <c:pt idx="382">
                  <c:v>2766883.3503767345</c:v>
                </c:pt>
                <c:pt idx="383">
                  <c:v>2769530.6889902866</c:v>
                </c:pt>
                <c:pt idx="384">
                  <c:v>2772178.0276038381</c:v>
                </c:pt>
                <c:pt idx="385">
                  <c:v>2774825.3662173897</c:v>
                </c:pt>
                <c:pt idx="386">
                  <c:v>2777472.7048309413</c:v>
                </c:pt>
                <c:pt idx="387">
                  <c:v>2780120.0434444929</c:v>
                </c:pt>
                <c:pt idx="388">
                  <c:v>2782767.3820580449</c:v>
                </c:pt>
                <c:pt idx="389">
                  <c:v>2785414.7206715965</c:v>
                </c:pt>
                <c:pt idx="390">
                  <c:v>2788062.059285148</c:v>
                </c:pt>
                <c:pt idx="391">
                  <c:v>2790709.3978986996</c:v>
                </c:pt>
                <c:pt idx="392">
                  <c:v>2793356.7365122512</c:v>
                </c:pt>
                <c:pt idx="393">
                  <c:v>2796004.0751258032</c:v>
                </c:pt>
                <c:pt idx="394">
                  <c:v>2798651.4137393548</c:v>
                </c:pt>
                <c:pt idx="395">
                  <c:v>2801298.7523529064</c:v>
                </c:pt>
                <c:pt idx="396">
                  <c:v>2803946.090966458</c:v>
                </c:pt>
                <c:pt idx="397">
                  <c:v>2806593.4295800095</c:v>
                </c:pt>
                <c:pt idx="398">
                  <c:v>2809240.7681935616</c:v>
                </c:pt>
                <c:pt idx="399">
                  <c:v>2811888.1068071127</c:v>
                </c:pt>
                <c:pt idx="400">
                  <c:v>2814535.4454206647</c:v>
                </c:pt>
                <c:pt idx="401">
                  <c:v>2817182.7840342163</c:v>
                </c:pt>
                <c:pt idx="402">
                  <c:v>2819830.1226477679</c:v>
                </c:pt>
                <c:pt idx="403">
                  <c:v>2822477.4612613199</c:v>
                </c:pt>
                <c:pt idx="404">
                  <c:v>2825124.799874871</c:v>
                </c:pt>
                <c:pt idx="405">
                  <c:v>2827772.1384884231</c:v>
                </c:pt>
                <c:pt idx="406">
                  <c:v>2830419.4771019747</c:v>
                </c:pt>
                <c:pt idx="407">
                  <c:v>2833066.8157155262</c:v>
                </c:pt>
                <c:pt idx="408">
                  <c:v>2835714.1543290783</c:v>
                </c:pt>
                <c:pt idx="409">
                  <c:v>2838361.4929426294</c:v>
                </c:pt>
                <c:pt idx="410">
                  <c:v>2841008.8315561814</c:v>
                </c:pt>
                <c:pt idx="411">
                  <c:v>2843656.170169733</c:v>
                </c:pt>
                <c:pt idx="412">
                  <c:v>2846303.5087832846</c:v>
                </c:pt>
                <c:pt idx="413">
                  <c:v>2848950.8473968362</c:v>
                </c:pt>
                <c:pt idx="414">
                  <c:v>2851598.1860103877</c:v>
                </c:pt>
                <c:pt idx="415">
                  <c:v>2854245.5246239398</c:v>
                </c:pt>
                <c:pt idx="416">
                  <c:v>2856892.8632374913</c:v>
                </c:pt>
                <c:pt idx="417">
                  <c:v>2859540.2018510429</c:v>
                </c:pt>
                <c:pt idx="418">
                  <c:v>2862187.5404645945</c:v>
                </c:pt>
                <c:pt idx="419">
                  <c:v>2864834.8790781461</c:v>
                </c:pt>
                <c:pt idx="420">
                  <c:v>2867482.2176916981</c:v>
                </c:pt>
                <c:pt idx="421">
                  <c:v>2870129.5563052492</c:v>
                </c:pt>
                <c:pt idx="422">
                  <c:v>2872776.8949188013</c:v>
                </c:pt>
                <c:pt idx="423">
                  <c:v>2875424.2335323528</c:v>
                </c:pt>
                <c:pt idx="424">
                  <c:v>2878071.5721459044</c:v>
                </c:pt>
                <c:pt idx="425">
                  <c:v>2880718.9107594565</c:v>
                </c:pt>
                <c:pt idx="426">
                  <c:v>2883366.2493730076</c:v>
                </c:pt>
                <c:pt idx="427">
                  <c:v>2886013.5879865596</c:v>
                </c:pt>
                <c:pt idx="428">
                  <c:v>2888660.9266001112</c:v>
                </c:pt>
                <c:pt idx="429">
                  <c:v>2891308.2652136628</c:v>
                </c:pt>
                <c:pt idx="430">
                  <c:v>2893955.6038272148</c:v>
                </c:pt>
                <c:pt idx="431">
                  <c:v>2896602.9424407659</c:v>
                </c:pt>
                <c:pt idx="432">
                  <c:v>2899250.281054318</c:v>
                </c:pt>
                <c:pt idx="433">
                  <c:v>2901897.6196678695</c:v>
                </c:pt>
                <c:pt idx="434">
                  <c:v>2904544.9582814211</c:v>
                </c:pt>
                <c:pt idx="435">
                  <c:v>2907192.2968949731</c:v>
                </c:pt>
                <c:pt idx="436">
                  <c:v>2909839.6355085243</c:v>
                </c:pt>
                <c:pt idx="437">
                  <c:v>2912486.9741220763</c:v>
                </c:pt>
                <c:pt idx="438">
                  <c:v>2915134.3127356279</c:v>
                </c:pt>
                <c:pt idx="439">
                  <c:v>2917781.6513491794</c:v>
                </c:pt>
                <c:pt idx="440">
                  <c:v>2920428.989962731</c:v>
                </c:pt>
                <c:pt idx="441">
                  <c:v>2923076.3285762826</c:v>
                </c:pt>
                <c:pt idx="442">
                  <c:v>2925723.6671898346</c:v>
                </c:pt>
                <c:pt idx="443">
                  <c:v>2928371.0058033862</c:v>
                </c:pt>
                <c:pt idx="444">
                  <c:v>2931018.3444169378</c:v>
                </c:pt>
                <c:pt idx="445">
                  <c:v>2933665.6830304894</c:v>
                </c:pt>
                <c:pt idx="446">
                  <c:v>2936313.0216440409</c:v>
                </c:pt>
                <c:pt idx="447">
                  <c:v>2938960.360257593</c:v>
                </c:pt>
                <c:pt idx="448">
                  <c:v>2941607.6988711441</c:v>
                </c:pt>
                <c:pt idx="449">
                  <c:v>2944255.0374846961</c:v>
                </c:pt>
                <c:pt idx="450">
                  <c:v>2946902.3760982477</c:v>
                </c:pt>
                <c:pt idx="451">
                  <c:v>2949549.7147117993</c:v>
                </c:pt>
                <c:pt idx="452">
                  <c:v>2952197.0533253513</c:v>
                </c:pt>
                <c:pt idx="453">
                  <c:v>2954844.3919389024</c:v>
                </c:pt>
                <c:pt idx="454">
                  <c:v>2957491.7305524545</c:v>
                </c:pt>
                <c:pt idx="455">
                  <c:v>2960139.0691660061</c:v>
                </c:pt>
                <c:pt idx="456">
                  <c:v>2962786.4077795576</c:v>
                </c:pt>
                <c:pt idx="457">
                  <c:v>2965433.7463931097</c:v>
                </c:pt>
                <c:pt idx="458">
                  <c:v>2968081.0850066608</c:v>
                </c:pt>
                <c:pt idx="459">
                  <c:v>2970728.4236202128</c:v>
                </c:pt>
                <c:pt idx="460">
                  <c:v>2973375.7622337644</c:v>
                </c:pt>
                <c:pt idx="461">
                  <c:v>2976023.100847316</c:v>
                </c:pt>
                <c:pt idx="462">
                  <c:v>2978670.439460868</c:v>
                </c:pt>
                <c:pt idx="463">
                  <c:v>2981317.7780744191</c:v>
                </c:pt>
                <c:pt idx="464">
                  <c:v>2983965.1166879712</c:v>
                </c:pt>
                <c:pt idx="465">
                  <c:v>2986612.4553015227</c:v>
                </c:pt>
                <c:pt idx="466">
                  <c:v>2989259.7939150743</c:v>
                </c:pt>
                <c:pt idx="467">
                  <c:v>2991907.1325286259</c:v>
                </c:pt>
                <c:pt idx="468">
                  <c:v>2994554.4711421775</c:v>
                </c:pt>
                <c:pt idx="469">
                  <c:v>2997201.8097557295</c:v>
                </c:pt>
                <c:pt idx="470">
                  <c:v>2999849.1483692806</c:v>
                </c:pt>
                <c:pt idx="471">
                  <c:v>3002496.4869828327</c:v>
                </c:pt>
                <c:pt idx="472">
                  <c:v>3005143.8255963842</c:v>
                </c:pt>
                <c:pt idx="473">
                  <c:v>3007791.1642099358</c:v>
                </c:pt>
                <c:pt idx="474">
                  <c:v>3010438.5028234879</c:v>
                </c:pt>
                <c:pt idx="475">
                  <c:v>3013085.841437039</c:v>
                </c:pt>
                <c:pt idx="476">
                  <c:v>3015733.180050591</c:v>
                </c:pt>
                <c:pt idx="477">
                  <c:v>3018380.5186641426</c:v>
                </c:pt>
                <c:pt idx="478">
                  <c:v>3021027.8572776942</c:v>
                </c:pt>
                <c:pt idx="479">
                  <c:v>3023675.1958912462</c:v>
                </c:pt>
                <c:pt idx="480">
                  <c:v>3026322.5345047973</c:v>
                </c:pt>
                <c:pt idx="481">
                  <c:v>3028969.8731183494</c:v>
                </c:pt>
                <c:pt idx="482">
                  <c:v>3031617.2117319009</c:v>
                </c:pt>
                <c:pt idx="483">
                  <c:v>3034264.5503454525</c:v>
                </c:pt>
                <c:pt idx="484">
                  <c:v>3036911.8889590045</c:v>
                </c:pt>
                <c:pt idx="485">
                  <c:v>3039559.2275725557</c:v>
                </c:pt>
                <c:pt idx="486">
                  <c:v>3042206.5661861077</c:v>
                </c:pt>
                <c:pt idx="487">
                  <c:v>3044853.9047996593</c:v>
                </c:pt>
                <c:pt idx="488">
                  <c:v>3047501.2434132108</c:v>
                </c:pt>
                <c:pt idx="489">
                  <c:v>3050148.5820267629</c:v>
                </c:pt>
                <c:pt idx="490">
                  <c:v>3052795.920640314</c:v>
                </c:pt>
                <c:pt idx="491">
                  <c:v>3055443.259253866</c:v>
                </c:pt>
                <c:pt idx="492">
                  <c:v>3058090.5978674176</c:v>
                </c:pt>
                <c:pt idx="493">
                  <c:v>3060737.9364809692</c:v>
                </c:pt>
                <c:pt idx="494">
                  <c:v>3063385.2750945208</c:v>
                </c:pt>
                <c:pt idx="495">
                  <c:v>3066032.6137080723</c:v>
                </c:pt>
                <c:pt idx="496">
                  <c:v>3068679.9523216244</c:v>
                </c:pt>
                <c:pt idx="497">
                  <c:v>3071327.2909351755</c:v>
                </c:pt>
                <c:pt idx="498">
                  <c:v>3073974.6295487275</c:v>
                </c:pt>
                <c:pt idx="499">
                  <c:v>3076621.9681622791</c:v>
                </c:pt>
                <c:pt idx="500">
                  <c:v>3079269.3067758307</c:v>
                </c:pt>
                <c:pt idx="501">
                  <c:v>3081916.6453893827</c:v>
                </c:pt>
                <c:pt idx="502">
                  <c:v>3084563.9840029338</c:v>
                </c:pt>
                <c:pt idx="503">
                  <c:v>3087211.3226164859</c:v>
                </c:pt>
                <c:pt idx="504">
                  <c:v>3089858.6612300375</c:v>
                </c:pt>
                <c:pt idx="505">
                  <c:v>3092505.999843589</c:v>
                </c:pt>
                <c:pt idx="506">
                  <c:v>3095153.3384571411</c:v>
                </c:pt>
                <c:pt idx="507">
                  <c:v>3097800.6770706922</c:v>
                </c:pt>
                <c:pt idx="508">
                  <c:v>3100448.0156842442</c:v>
                </c:pt>
                <c:pt idx="509">
                  <c:v>3103095.3542977958</c:v>
                </c:pt>
                <c:pt idx="510">
                  <c:v>3105742.6929113474</c:v>
                </c:pt>
                <c:pt idx="511">
                  <c:v>3108390.0315248994</c:v>
                </c:pt>
                <c:pt idx="512">
                  <c:v>3111037.3701384505</c:v>
                </c:pt>
                <c:pt idx="513">
                  <c:v>3113684.7087520026</c:v>
                </c:pt>
                <c:pt idx="514">
                  <c:v>3116332.0473655541</c:v>
                </c:pt>
                <c:pt idx="515">
                  <c:v>3118979.3859791057</c:v>
                </c:pt>
                <c:pt idx="516">
                  <c:v>3121626.7245926573</c:v>
                </c:pt>
                <c:pt idx="517">
                  <c:v>3124274.0632062089</c:v>
                </c:pt>
                <c:pt idx="518">
                  <c:v>3126921.4018197609</c:v>
                </c:pt>
                <c:pt idx="519">
                  <c:v>3129568.7404333125</c:v>
                </c:pt>
                <c:pt idx="520">
                  <c:v>3132216.0790468641</c:v>
                </c:pt>
                <c:pt idx="521">
                  <c:v>3134863.4176604156</c:v>
                </c:pt>
                <c:pt idx="522">
                  <c:v>3137510.7562739672</c:v>
                </c:pt>
                <c:pt idx="523">
                  <c:v>3140158.0948875193</c:v>
                </c:pt>
                <c:pt idx="524">
                  <c:v>3142805.4335010704</c:v>
                </c:pt>
                <c:pt idx="525">
                  <c:v>3145452.7721146224</c:v>
                </c:pt>
                <c:pt idx="526">
                  <c:v>3148100.110728174</c:v>
                </c:pt>
                <c:pt idx="527">
                  <c:v>3150747.4493417256</c:v>
                </c:pt>
                <c:pt idx="528">
                  <c:v>3153394.7879552776</c:v>
                </c:pt>
                <c:pt idx="529">
                  <c:v>3156042.1265688287</c:v>
                </c:pt>
                <c:pt idx="530">
                  <c:v>3158689.4651823808</c:v>
                </c:pt>
                <c:pt idx="531">
                  <c:v>3161336.8037959323</c:v>
                </c:pt>
                <c:pt idx="532">
                  <c:v>3163984.1424094839</c:v>
                </c:pt>
                <c:pt idx="533">
                  <c:v>3166631.4810230359</c:v>
                </c:pt>
                <c:pt idx="534">
                  <c:v>3169278.8196365871</c:v>
                </c:pt>
                <c:pt idx="535">
                  <c:v>3171926.1582501391</c:v>
                </c:pt>
                <c:pt idx="536">
                  <c:v>3174573.4968636907</c:v>
                </c:pt>
                <c:pt idx="537">
                  <c:v>3177220.8354772422</c:v>
                </c:pt>
                <c:pt idx="538">
                  <c:v>3179868.1740907943</c:v>
                </c:pt>
                <c:pt idx="539">
                  <c:v>3182515.5127043454</c:v>
                </c:pt>
                <c:pt idx="540">
                  <c:v>3185162.8513178974</c:v>
                </c:pt>
                <c:pt idx="541">
                  <c:v>3187810.189931449</c:v>
                </c:pt>
                <c:pt idx="542">
                  <c:v>3190457.5285450006</c:v>
                </c:pt>
                <c:pt idx="543">
                  <c:v>3193104.8671585522</c:v>
                </c:pt>
                <c:pt idx="544">
                  <c:v>3195752.2057721037</c:v>
                </c:pt>
                <c:pt idx="545">
                  <c:v>3198399.5443856558</c:v>
                </c:pt>
                <c:pt idx="546">
                  <c:v>3201046.8829992074</c:v>
                </c:pt>
                <c:pt idx="547">
                  <c:v>3203694.2216127589</c:v>
                </c:pt>
                <c:pt idx="548">
                  <c:v>3206341.5602263105</c:v>
                </c:pt>
                <c:pt idx="549">
                  <c:v>3208988.8988398621</c:v>
                </c:pt>
                <c:pt idx="550">
                  <c:v>3211636.2374534141</c:v>
                </c:pt>
                <c:pt idx="551">
                  <c:v>3214283.5760669652</c:v>
                </c:pt>
                <c:pt idx="552">
                  <c:v>3216930.9146805173</c:v>
                </c:pt>
                <c:pt idx="553">
                  <c:v>3219578.2532940689</c:v>
                </c:pt>
                <c:pt idx="554">
                  <c:v>3222225.5919076204</c:v>
                </c:pt>
                <c:pt idx="555">
                  <c:v>3224872.9305211725</c:v>
                </c:pt>
                <c:pt idx="556">
                  <c:v>3227520.2691347236</c:v>
                </c:pt>
                <c:pt idx="557">
                  <c:v>3230167.6077482756</c:v>
                </c:pt>
                <c:pt idx="558">
                  <c:v>3232814.9463618272</c:v>
                </c:pt>
                <c:pt idx="559">
                  <c:v>3235462.2849753788</c:v>
                </c:pt>
                <c:pt idx="560">
                  <c:v>3238109.6235889308</c:v>
                </c:pt>
                <c:pt idx="561">
                  <c:v>3240756.9622024819</c:v>
                </c:pt>
                <c:pt idx="562">
                  <c:v>3243404.300816034</c:v>
                </c:pt>
                <c:pt idx="563">
                  <c:v>3246051.6394295855</c:v>
                </c:pt>
                <c:pt idx="564">
                  <c:v>3248698.9780431371</c:v>
                </c:pt>
                <c:pt idx="565">
                  <c:v>3251346.3166566892</c:v>
                </c:pt>
                <c:pt idx="566">
                  <c:v>3253993.6552702403</c:v>
                </c:pt>
                <c:pt idx="567">
                  <c:v>3256640.9938837923</c:v>
                </c:pt>
                <c:pt idx="568">
                  <c:v>3259288.3324973439</c:v>
                </c:pt>
                <c:pt idx="569">
                  <c:v>3261935.6711108955</c:v>
                </c:pt>
                <c:pt idx="570">
                  <c:v>3264583.009724447</c:v>
                </c:pt>
                <c:pt idx="571">
                  <c:v>3267230.3483379986</c:v>
                </c:pt>
                <c:pt idx="572">
                  <c:v>3269877.6869515507</c:v>
                </c:pt>
                <c:pt idx="573">
                  <c:v>3272525.0255651022</c:v>
                </c:pt>
                <c:pt idx="574">
                  <c:v>3275172.3641786538</c:v>
                </c:pt>
                <c:pt idx="575">
                  <c:v>3277819.7027922054</c:v>
                </c:pt>
                <c:pt idx="576">
                  <c:v>3280467.041405757</c:v>
                </c:pt>
                <c:pt idx="577">
                  <c:v>3283114.380019309</c:v>
                </c:pt>
                <c:pt idx="578">
                  <c:v>3285761.7186328601</c:v>
                </c:pt>
                <c:pt idx="579">
                  <c:v>3288409.0572464122</c:v>
                </c:pt>
                <c:pt idx="580">
                  <c:v>3291056.3958599637</c:v>
                </c:pt>
                <c:pt idx="581">
                  <c:v>3293703.7344735153</c:v>
                </c:pt>
                <c:pt idx="582">
                  <c:v>3296351.0730870673</c:v>
                </c:pt>
                <c:pt idx="583">
                  <c:v>3298998.4117006185</c:v>
                </c:pt>
                <c:pt idx="584">
                  <c:v>3301645.7503141705</c:v>
                </c:pt>
                <c:pt idx="585">
                  <c:v>3304293.0889277221</c:v>
                </c:pt>
                <c:pt idx="586">
                  <c:v>3306940.4275412736</c:v>
                </c:pt>
                <c:pt idx="587">
                  <c:v>3309587.7661548257</c:v>
                </c:pt>
                <c:pt idx="588">
                  <c:v>3312235.1047683768</c:v>
                </c:pt>
                <c:pt idx="589">
                  <c:v>3314882.4433819288</c:v>
                </c:pt>
                <c:pt idx="590">
                  <c:v>3317529.7819954804</c:v>
                </c:pt>
                <c:pt idx="591">
                  <c:v>3320177.120609032</c:v>
                </c:pt>
                <c:pt idx="592">
                  <c:v>3322824.459222584</c:v>
                </c:pt>
                <c:pt idx="593">
                  <c:v>3325471.7978361351</c:v>
                </c:pt>
                <c:pt idx="594">
                  <c:v>3328119.1364496872</c:v>
                </c:pt>
                <c:pt idx="595">
                  <c:v>3330766.4750632388</c:v>
                </c:pt>
                <c:pt idx="596">
                  <c:v>3333413.8136767903</c:v>
                </c:pt>
                <c:pt idx="597">
                  <c:v>3336061.1522903419</c:v>
                </c:pt>
                <c:pt idx="598">
                  <c:v>3338708.4909038935</c:v>
                </c:pt>
                <c:pt idx="599">
                  <c:v>3341355.8295174455</c:v>
                </c:pt>
                <c:pt idx="600">
                  <c:v>3344003.1681309966</c:v>
                </c:pt>
                <c:pt idx="601">
                  <c:v>3346650.5067445487</c:v>
                </c:pt>
                <c:pt idx="602">
                  <c:v>3349297.8453581003</c:v>
                </c:pt>
                <c:pt idx="603">
                  <c:v>3351945.1839716518</c:v>
                </c:pt>
                <c:pt idx="604">
                  <c:v>3354592.5225852039</c:v>
                </c:pt>
                <c:pt idx="605">
                  <c:v>3357239.861198755</c:v>
                </c:pt>
                <c:pt idx="606">
                  <c:v>3359887.199812307</c:v>
                </c:pt>
                <c:pt idx="607">
                  <c:v>3362534.5384258586</c:v>
                </c:pt>
                <c:pt idx="608">
                  <c:v>3365181.8770394102</c:v>
                </c:pt>
                <c:pt idx="609">
                  <c:v>3367829.2156529622</c:v>
                </c:pt>
                <c:pt idx="610">
                  <c:v>3370476.5542665133</c:v>
                </c:pt>
                <c:pt idx="611">
                  <c:v>3373123.8928800654</c:v>
                </c:pt>
                <c:pt idx="612">
                  <c:v>3375771.2314936169</c:v>
                </c:pt>
                <c:pt idx="613">
                  <c:v>3378418.5701071685</c:v>
                </c:pt>
                <c:pt idx="614">
                  <c:v>3381065.9087207206</c:v>
                </c:pt>
                <c:pt idx="615">
                  <c:v>3383713.2473342717</c:v>
                </c:pt>
                <c:pt idx="616">
                  <c:v>3386360.5859478237</c:v>
                </c:pt>
                <c:pt idx="617">
                  <c:v>3389007.9245613753</c:v>
                </c:pt>
                <c:pt idx="618">
                  <c:v>3391655.2631749269</c:v>
                </c:pt>
                <c:pt idx="619">
                  <c:v>3394302.6017884784</c:v>
                </c:pt>
                <c:pt idx="620">
                  <c:v>3396949.94040203</c:v>
                </c:pt>
                <c:pt idx="621">
                  <c:v>3399597.2790155821</c:v>
                </c:pt>
                <c:pt idx="622">
                  <c:v>3402244.6176291336</c:v>
                </c:pt>
                <c:pt idx="623">
                  <c:v>3404891.9562426852</c:v>
                </c:pt>
                <c:pt idx="624">
                  <c:v>3407539.2948562368</c:v>
                </c:pt>
                <c:pt idx="625">
                  <c:v>3410186.6334697884</c:v>
                </c:pt>
                <c:pt idx="626">
                  <c:v>3412833.9720833404</c:v>
                </c:pt>
                <c:pt idx="627">
                  <c:v>3415481.3106968915</c:v>
                </c:pt>
                <c:pt idx="628">
                  <c:v>3418128.6493104436</c:v>
                </c:pt>
                <c:pt idx="629">
                  <c:v>3420775.9879239951</c:v>
                </c:pt>
                <c:pt idx="630">
                  <c:v>3423423.3265375467</c:v>
                </c:pt>
                <c:pt idx="631">
                  <c:v>3426070.6651510987</c:v>
                </c:pt>
                <c:pt idx="632">
                  <c:v>3428718.0037646499</c:v>
                </c:pt>
                <c:pt idx="633">
                  <c:v>3431365.3423782019</c:v>
                </c:pt>
                <c:pt idx="634">
                  <c:v>3434012.6809917535</c:v>
                </c:pt>
                <c:pt idx="635">
                  <c:v>3436660.019605305</c:v>
                </c:pt>
                <c:pt idx="636">
                  <c:v>3439307.3582188571</c:v>
                </c:pt>
                <c:pt idx="637">
                  <c:v>3441954.6968324082</c:v>
                </c:pt>
                <c:pt idx="638">
                  <c:v>3444602.0354459602</c:v>
                </c:pt>
                <c:pt idx="639">
                  <c:v>3447249.3740595118</c:v>
                </c:pt>
                <c:pt idx="640">
                  <c:v>3449896.7126730634</c:v>
                </c:pt>
                <c:pt idx="641">
                  <c:v>3452544.0512866154</c:v>
                </c:pt>
                <c:pt idx="642">
                  <c:v>3455191.3899001665</c:v>
                </c:pt>
                <c:pt idx="643">
                  <c:v>3457838.7285137186</c:v>
                </c:pt>
                <c:pt idx="644">
                  <c:v>3460486.0671272702</c:v>
                </c:pt>
                <c:pt idx="645">
                  <c:v>3463133.4057408217</c:v>
                </c:pt>
                <c:pt idx="646">
                  <c:v>3465780.7443543733</c:v>
                </c:pt>
                <c:pt idx="647">
                  <c:v>3468428.0829679249</c:v>
                </c:pt>
                <c:pt idx="648">
                  <c:v>3471075.4215814769</c:v>
                </c:pt>
                <c:pt idx="649">
                  <c:v>3473722.7601950285</c:v>
                </c:pt>
                <c:pt idx="650">
                  <c:v>3476370.0988085801</c:v>
                </c:pt>
                <c:pt idx="651">
                  <c:v>3479017.4374221317</c:v>
                </c:pt>
                <c:pt idx="652">
                  <c:v>3481664.7760356832</c:v>
                </c:pt>
                <c:pt idx="653">
                  <c:v>3484312.1146492353</c:v>
                </c:pt>
                <c:pt idx="654">
                  <c:v>3486959.4532627864</c:v>
                </c:pt>
                <c:pt idx="655">
                  <c:v>3489606.7918763384</c:v>
                </c:pt>
                <c:pt idx="656">
                  <c:v>3492254.13048989</c:v>
                </c:pt>
                <c:pt idx="657">
                  <c:v>3494901.4691034416</c:v>
                </c:pt>
                <c:pt idx="658">
                  <c:v>3497548.8077169936</c:v>
                </c:pt>
                <c:pt idx="659">
                  <c:v>3500196.1463305447</c:v>
                </c:pt>
                <c:pt idx="660">
                  <c:v>3502843.4849440968</c:v>
                </c:pt>
                <c:pt idx="661">
                  <c:v>3505490.8235576483</c:v>
                </c:pt>
                <c:pt idx="662">
                  <c:v>3508138.1621711999</c:v>
                </c:pt>
                <c:pt idx="663">
                  <c:v>3510785.500784752</c:v>
                </c:pt>
                <c:pt idx="664">
                  <c:v>3513432.8393983031</c:v>
                </c:pt>
                <c:pt idx="665">
                  <c:v>3516080.1780118551</c:v>
                </c:pt>
                <c:pt idx="666">
                  <c:v>3518727.5166254067</c:v>
                </c:pt>
                <c:pt idx="667">
                  <c:v>3521374.8552389583</c:v>
                </c:pt>
                <c:pt idx="668">
                  <c:v>3524022.1938525103</c:v>
                </c:pt>
                <c:pt idx="669">
                  <c:v>3526669.5324660614</c:v>
                </c:pt>
                <c:pt idx="670">
                  <c:v>3529316.8710796135</c:v>
                </c:pt>
                <c:pt idx="671">
                  <c:v>3531964.209693165</c:v>
                </c:pt>
                <c:pt idx="672">
                  <c:v>3534611.5483067166</c:v>
                </c:pt>
                <c:pt idx="673">
                  <c:v>3537258.8869202682</c:v>
                </c:pt>
                <c:pt idx="674">
                  <c:v>3539906.2255338198</c:v>
                </c:pt>
                <c:pt idx="675">
                  <c:v>3542553.5641473718</c:v>
                </c:pt>
                <c:pt idx="676">
                  <c:v>3545200.9027609234</c:v>
                </c:pt>
                <c:pt idx="677">
                  <c:v>3547848.241374475</c:v>
                </c:pt>
                <c:pt idx="678">
                  <c:v>3550495.5799880265</c:v>
                </c:pt>
                <c:pt idx="679">
                  <c:v>3553142.9186015781</c:v>
                </c:pt>
                <c:pt idx="680">
                  <c:v>3555790.2572151301</c:v>
                </c:pt>
                <c:pt idx="681">
                  <c:v>3558437.5958286813</c:v>
                </c:pt>
                <c:pt idx="682">
                  <c:v>3561084.9344422333</c:v>
                </c:pt>
                <c:pt idx="683">
                  <c:v>3563732.2730557849</c:v>
                </c:pt>
                <c:pt idx="684">
                  <c:v>3566379.6116693364</c:v>
                </c:pt>
                <c:pt idx="685">
                  <c:v>3569026.9502828885</c:v>
                </c:pt>
                <c:pt idx="686">
                  <c:v>3571674.2888964396</c:v>
                </c:pt>
                <c:pt idx="687">
                  <c:v>3574321.6275099916</c:v>
                </c:pt>
                <c:pt idx="688">
                  <c:v>3576968.9661235432</c:v>
                </c:pt>
                <c:pt idx="689">
                  <c:v>3579616.3047370948</c:v>
                </c:pt>
                <c:pt idx="690">
                  <c:v>3582263.6433506468</c:v>
                </c:pt>
                <c:pt idx="691">
                  <c:v>3584910.9819641979</c:v>
                </c:pt>
                <c:pt idx="692">
                  <c:v>3587558.32057775</c:v>
                </c:pt>
                <c:pt idx="693">
                  <c:v>3590205.6591913016</c:v>
                </c:pt>
                <c:pt idx="694">
                  <c:v>3592852.9978048531</c:v>
                </c:pt>
                <c:pt idx="695">
                  <c:v>3595500.3364184052</c:v>
                </c:pt>
                <c:pt idx="696">
                  <c:v>3598147.6750319563</c:v>
                </c:pt>
                <c:pt idx="697">
                  <c:v>3600795.0136455083</c:v>
                </c:pt>
                <c:pt idx="698">
                  <c:v>3603442.3522590599</c:v>
                </c:pt>
                <c:pt idx="699">
                  <c:v>3606089.6908726115</c:v>
                </c:pt>
                <c:pt idx="700">
                  <c:v>3608737.0294861631</c:v>
                </c:pt>
                <c:pt idx="701">
                  <c:v>3611384.3680997146</c:v>
                </c:pt>
                <c:pt idx="702">
                  <c:v>3614031.7067132667</c:v>
                </c:pt>
                <c:pt idx="703">
                  <c:v>3616679.0453268182</c:v>
                </c:pt>
                <c:pt idx="704">
                  <c:v>3619326.3839403698</c:v>
                </c:pt>
                <c:pt idx="705">
                  <c:v>3621973.7225539214</c:v>
                </c:pt>
                <c:pt idx="706">
                  <c:v>3624621.061167473</c:v>
                </c:pt>
                <c:pt idx="707">
                  <c:v>3627268.399781025</c:v>
                </c:pt>
                <c:pt idx="708">
                  <c:v>3629915.7383945761</c:v>
                </c:pt>
                <c:pt idx="709">
                  <c:v>3632563.0770081282</c:v>
                </c:pt>
                <c:pt idx="710">
                  <c:v>3635210.4156216797</c:v>
                </c:pt>
                <c:pt idx="711">
                  <c:v>3637857.7542352313</c:v>
                </c:pt>
                <c:pt idx="712">
                  <c:v>3640505.0928487834</c:v>
                </c:pt>
                <c:pt idx="713">
                  <c:v>3643152.4314623345</c:v>
                </c:pt>
                <c:pt idx="714">
                  <c:v>3645799.7700758865</c:v>
                </c:pt>
                <c:pt idx="715">
                  <c:v>3648447.1086894381</c:v>
                </c:pt>
                <c:pt idx="716">
                  <c:v>3651094.4473029897</c:v>
                </c:pt>
                <c:pt idx="717">
                  <c:v>3653741.7859165417</c:v>
                </c:pt>
                <c:pt idx="718">
                  <c:v>3656389.1245300928</c:v>
                </c:pt>
                <c:pt idx="719">
                  <c:v>3659036.4631436449</c:v>
                </c:pt>
                <c:pt idx="720">
                  <c:v>3661683.8017571964</c:v>
                </c:pt>
                <c:pt idx="721">
                  <c:v>3664331.140370748</c:v>
                </c:pt>
                <c:pt idx="722">
                  <c:v>3666978.4789843</c:v>
                </c:pt>
                <c:pt idx="723">
                  <c:v>3669625.8175978512</c:v>
                </c:pt>
                <c:pt idx="724">
                  <c:v>3672273.1562114032</c:v>
                </c:pt>
                <c:pt idx="725">
                  <c:v>3674920.4948249548</c:v>
                </c:pt>
                <c:pt idx="726">
                  <c:v>3677567.8334385063</c:v>
                </c:pt>
                <c:pt idx="727">
                  <c:v>3680215.1720520579</c:v>
                </c:pt>
                <c:pt idx="728">
                  <c:v>3682862.5106656095</c:v>
                </c:pt>
                <c:pt idx="729">
                  <c:v>3685509.8492791615</c:v>
                </c:pt>
                <c:pt idx="730">
                  <c:v>3688157.1878927127</c:v>
                </c:pt>
                <c:pt idx="731">
                  <c:v>3690804.5265062647</c:v>
                </c:pt>
                <c:pt idx="732">
                  <c:v>3693451.8651198163</c:v>
                </c:pt>
                <c:pt idx="733">
                  <c:v>3696099.2037333678</c:v>
                </c:pt>
                <c:pt idx="734">
                  <c:v>3698746.5423469199</c:v>
                </c:pt>
                <c:pt idx="735">
                  <c:v>3701393.880960471</c:v>
                </c:pt>
                <c:pt idx="736">
                  <c:v>3704041.219574023</c:v>
                </c:pt>
                <c:pt idx="737">
                  <c:v>3706688.5581875746</c:v>
                </c:pt>
                <c:pt idx="738">
                  <c:v>3709335.8968011262</c:v>
                </c:pt>
                <c:pt idx="739">
                  <c:v>3711983.2354146782</c:v>
                </c:pt>
                <c:pt idx="740">
                  <c:v>3714630.5740282293</c:v>
                </c:pt>
                <c:pt idx="741">
                  <c:v>3717277.9126417814</c:v>
                </c:pt>
                <c:pt idx="742">
                  <c:v>3719925.251255333</c:v>
                </c:pt>
                <c:pt idx="743">
                  <c:v>3722572.5898688845</c:v>
                </c:pt>
                <c:pt idx="744">
                  <c:v>3725219.9284824366</c:v>
                </c:pt>
                <c:pt idx="745">
                  <c:v>3727867.2670959877</c:v>
                </c:pt>
                <c:pt idx="746">
                  <c:v>3730514.6057095397</c:v>
                </c:pt>
                <c:pt idx="747">
                  <c:v>3733161.9443230913</c:v>
                </c:pt>
                <c:pt idx="748">
                  <c:v>3735809.2829366429</c:v>
                </c:pt>
                <c:pt idx="749">
                  <c:v>3738456.6215501945</c:v>
                </c:pt>
                <c:pt idx="750">
                  <c:v>3741103.960163746</c:v>
                </c:pt>
                <c:pt idx="751">
                  <c:v>3743751.2987772981</c:v>
                </c:pt>
                <c:pt idx="752">
                  <c:v>3746398.6373908496</c:v>
                </c:pt>
                <c:pt idx="753">
                  <c:v>3749045.9760044012</c:v>
                </c:pt>
                <c:pt idx="754">
                  <c:v>3751693.3146179528</c:v>
                </c:pt>
                <c:pt idx="755">
                  <c:v>3754340.6532315044</c:v>
                </c:pt>
                <c:pt idx="756">
                  <c:v>3756987.9918450564</c:v>
                </c:pt>
                <c:pt idx="757">
                  <c:v>3759635.3304586075</c:v>
                </c:pt>
                <c:pt idx="758">
                  <c:v>3762282.6690721596</c:v>
                </c:pt>
                <c:pt idx="759">
                  <c:v>3764930.0076857111</c:v>
                </c:pt>
                <c:pt idx="760">
                  <c:v>3767577.3462992627</c:v>
                </c:pt>
                <c:pt idx="761">
                  <c:v>3770224.6849128148</c:v>
                </c:pt>
                <c:pt idx="762">
                  <c:v>3772872.0235263659</c:v>
                </c:pt>
                <c:pt idx="763">
                  <c:v>3775519.3621399179</c:v>
                </c:pt>
                <c:pt idx="764">
                  <c:v>3778166.7007534695</c:v>
                </c:pt>
                <c:pt idx="765">
                  <c:v>3780814.0393670211</c:v>
                </c:pt>
                <c:pt idx="766">
                  <c:v>3783461.3779805731</c:v>
                </c:pt>
                <c:pt idx="767">
                  <c:v>3786108.7165941242</c:v>
                </c:pt>
                <c:pt idx="768">
                  <c:v>3788756.0552076763</c:v>
                </c:pt>
                <c:pt idx="769">
                  <c:v>3791403.3938212278</c:v>
                </c:pt>
                <c:pt idx="770">
                  <c:v>3794050.7324347794</c:v>
                </c:pt>
                <c:pt idx="771">
                  <c:v>3796698.0710483314</c:v>
                </c:pt>
                <c:pt idx="772">
                  <c:v>3799345.4096618826</c:v>
                </c:pt>
                <c:pt idx="773">
                  <c:v>3801992.7482754346</c:v>
                </c:pt>
                <c:pt idx="774">
                  <c:v>3804640.0868889862</c:v>
                </c:pt>
                <c:pt idx="775">
                  <c:v>3807287.4255025377</c:v>
                </c:pt>
                <c:pt idx="776">
                  <c:v>3809934.7641160893</c:v>
                </c:pt>
                <c:pt idx="777">
                  <c:v>3812582.1027296409</c:v>
                </c:pt>
                <c:pt idx="778">
                  <c:v>3815229.4413431929</c:v>
                </c:pt>
                <c:pt idx="779">
                  <c:v>3817876.7799567445</c:v>
                </c:pt>
                <c:pt idx="780">
                  <c:v>3820524.1185702961</c:v>
                </c:pt>
                <c:pt idx="781">
                  <c:v>3823171.4571838477</c:v>
                </c:pt>
                <c:pt idx="782">
                  <c:v>3825818.7957973992</c:v>
                </c:pt>
                <c:pt idx="783">
                  <c:v>3828466.1344109513</c:v>
                </c:pt>
                <c:pt idx="784">
                  <c:v>3831113.4730245024</c:v>
                </c:pt>
                <c:pt idx="785">
                  <c:v>3833760.8116380544</c:v>
                </c:pt>
                <c:pt idx="786">
                  <c:v>3836408.150251606</c:v>
                </c:pt>
                <c:pt idx="787">
                  <c:v>3839055.4888651576</c:v>
                </c:pt>
                <c:pt idx="788">
                  <c:v>3841702.8274787096</c:v>
                </c:pt>
                <c:pt idx="789">
                  <c:v>3844350.1660922607</c:v>
                </c:pt>
                <c:pt idx="790">
                  <c:v>3846997.5047058128</c:v>
                </c:pt>
                <c:pt idx="791">
                  <c:v>3849644.8433193644</c:v>
                </c:pt>
                <c:pt idx="792">
                  <c:v>3852292.1819329159</c:v>
                </c:pt>
                <c:pt idx="793">
                  <c:v>3854939.5205464675</c:v>
                </c:pt>
                <c:pt idx="794">
                  <c:v>3857586.8591600196</c:v>
                </c:pt>
                <c:pt idx="795">
                  <c:v>3860234.1977735711</c:v>
                </c:pt>
                <c:pt idx="796">
                  <c:v>3862881.5363871227</c:v>
                </c:pt>
                <c:pt idx="797">
                  <c:v>3865528.8750006743</c:v>
                </c:pt>
                <c:pt idx="798">
                  <c:v>3868176.2136142259</c:v>
                </c:pt>
                <c:pt idx="799">
                  <c:v>3870823.5522277774</c:v>
                </c:pt>
                <c:pt idx="800">
                  <c:v>3873470.8908413295</c:v>
                </c:pt>
                <c:pt idx="801">
                  <c:v>3876118.229454881</c:v>
                </c:pt>
                <c:pt idx="802">
                  <c:v>3878765.5680684326</c:v>
                </c:pt>
                <c:pt idx="803">
                  <c:v>3881412.9066819842</c:v>
                </c:pt>
                <c:pt idx="804">
                  <c:v>3884060.2452955358</c:v>
                </c:pt>
                <c:pt idx="805">
                  <c:v>3886707.5839090878</c:v>
                </c:pt>
                <c:pt idx="806">
                  <c:v>3889354.9225226394</c:v>
                </c:pt>
                <c:pt idx="807">
                  <c:v>3892002.261136191</c:v>
                </c:pt>
                <c:pt idx="808">
                  <c:v>3894649.5997497425</c:v>
                </c:pt>
                <c:pt idx="809">
                  <c:v>3897296.9383632941</c:v>
                </c:pt>
                <c:pt idx="810">
                  <c:v>3899944.2769768462</c:v>
                </c:pt>
                <c:pt idx="811">
                  <c:v>3902591.6155903977</c:v>
                </c:pt>
                <c:pt idx="812">
                  <c:v>3905238.9542039493</c:v>
                </c:pt>
                <c:pt idx="813">
                  <c:v>3907886.2928175009</c:v>
                </c:pt>
                <c:pt idx="814">
                  <c:v>3910533.6314310525</c:v>
                </c:pt>
                <c:pt idx="815">
                  <c:v>3913180.970044604</c:v>
                </c:pt>
                <c:pt idx="816">
                  <c:v>3915828.3086581561</c:v>
                </c:pt>
                <c:pt idx="817">
                  <c:v>3918475.6472717077</c:v>
                </c:pt>
                <c:pt idx="818">
                  <c:v>3921122.9858852592</c:v>
                </c:pt>
                <c:pt idx="819">
                  <c:v>3923770.3244988108</c:v>
                </c:pt>
                <c:pt idx="820">
                  <c:v>3926417.6631123624</c:v>
                </c:pt>
                <c:pt idx="821">
                  <c:v>3929065.0017259144</c:v>
                </c:pt>
                <c:pt idx="822">
                  <c:v>3931712.340339466</c:v>
                </c:pt>
                <c:pt idx="823">
                  <c:v>3934359.6789530176</c:v>
                </c:pt>
                <c:pt idx="824">
                  <c:v>3937007.0175665691</c:v>
                </c:pt>
                <c:pt idx="825">
                  <c:v>3939654.3561801207</c:v>
                </c:pt>
                <c:pt idx="826">
                  <c:v>3942301.6947936723</c:v>
                </c:pt>
                <c:pt idx="827">
                  <c:v>3944949.0334072243</c:v>
                </c:pt>
                <c:pt idx="828">
                  <c:v>3947596.3720207759</c:v>
                </c:pt>
                <c:pt idx="829">
                  <c:v>3950243.7106343275</c:v>
                </c:pt>
                <c:pt idx="830">
                  <c:v>3952891.0492478791</c:v>
                </c:pt>
                <c:pt idx="831">
                  <c:v>3955538.3878614306</c:v>
                </c:pt>
                <c:pt idx="832">
                  <c:v>3958185.7264749827</c:v>
                </c:pt>
                <c:pt idx="833">
                  <c:v>3960833.0650885343</c:v>
                </c:pt>
                <c:pt idx="834">
                  <c:v>3963480.4037020858</c:v>
                </c:pt>
                <c:pt idx="835">
                  <c:v>3966127.7423156374</c:v>
                </c:pt>
                <c:pt idx="836">
                  <c:v>3968775.080929189</c:v>
                </c:pt>
                <c:pt idx="837">
                  <c:v>3971422.4195427406</c:v>
                </c:pt>
                <c:pt idx="838">
                  <c:v>3974069.7581562926</c:v>
                </c:pt>
                <c:pt idx="839">
                  <c:v>3976717.0967698442</c:v>
                </c:pt>
                <c:pt idx="840">
                  <c:v>3979364.4353833958</c:v>
                </c:pt>
                <c:pt idx="841">
                  <c:v>3982011.7739969473</c:v>
                </c:pt>
                <c:pt idx="842">
                  <c:v>3984659.1126104989</c:v>
                </c:pt>
                <c:pt idx="843">
                  <c:v>3987306.451224051</c:v>
                </c:pt>
                <c:pt idx="844">
                  <c:v>3989953.7898376025</c:v>
                </c:pt>
                <c:pt idx="845">
                  <c:v>3992601.1284511541</c:v>
                </c:pt>
                <c:pt idx="846">
                  <c:v>3995248.4670647057</c:v>
                </c:pt>
                <c:pt idx="847">
                  <c:v>3997895.8056782573</c:v>
                </c:pt>
                <c:pt idx="848">
                  <c:v>4000543.1442918093</c:v>
                </c:pt>
                <c:pt idx="849">
                  <c:v>4003190.4829053609</c:v>
                </c:pt>
                <c:pt idx="850">
                  <c:v>4005837.8215189124</c:v>
                </c:pt>
                <c:pt idx="851">
                  <c:v>4008485.160132464</c:v>
                </c:pt>
                <c:pt idx="852">
                  <c:v>4011132.4987460156</c:v>
                </c:pt>
                <c:pt idx="853">
                  <c:v>4013779.8373595672</c:v>
                </c:pt>
                <c:pt idx="854">
                  <c:v>4016427.1759731192</c:v>
                </c:pt>
                <c:pt idx="855">
                  <c:v>4019074.5145866708</c:v>
                </c:pt>
                <c:pt idx="856">
                  <c:v>4021721.8532002224</c:v>
                </c:pt>
                <c:pt idx="857">
                  <c:v>4024369.1918137739</c:v>
                </c:pt>
                <c:pt idx="858">
                  <c:v>4027016.5304273255</c:v>
                </c:pt>
                <c:pt idx="859">
                  <c:v>4029663.8690408776</c:v>
                </c:pt>
                <c:pt idx="860">
                  <c:v>4032311.2076544291</c:v>
                </c:pt>
                <c:pt idx="861">
                  <c:v>4034958.5462679807</c:v>
                </c:pt>
                <c:pt idx="862">
                  <c:v>4037605.8848815323</c:v>
                </c:pt>
                <c:pt idx="863">
                  <c:v>4040253.2234950839</c:v>
                </c:pt>
                <c:pt idx="864">
                  <c:v>4042900.5621086354</c:v>
                </c:pt>
                <c:pt idx="865">
                  <c:v>4045547.9007221875</c:v>
                </c:pt>
                <c:pt idx="866">
                  <c:v>4048195.2393357391</c:v>
                </c:pt>
                <c:pt idx="867">
                  <c:v>4050842.5779492906</c:v>
                </c:pt>
                <c:pt idx="868">
                  <c:v>4053489.9165628422</c:v>
                </c:pt>
                <c:pt idx="869">
                  <c:v>4056137.2551763938</c:v>
                </c:pt>
                <c:pt idx="870">
                  <c:v>4058784.5937899458</c:v>
                </c:pt>
                <c:pt idx="871">
                  <c:v>4061431.9324034974</c:v>
                </c:pt>
                <c:pt idx="872">
                  <c:v>4064079.271017049</c:v>
                </c:pt>
                <c:pt idx="873">
                  <c:v>4066726.6096306005</c:v>
                </c:pt>
                <c:pt idx="874">
                  <c:v>4069373.9482441521</c:v>
                </c:pt>
                <c:pt idx="875">
                  <c:v>4072021.2868577037</c:v>
                </c:pt>
                <c:pt idx="876">
                  <c:v>4074668.6254712557</c:v>
                </c:pt>
                <c:pt idx="877">
                  <c:v>4077315.9640848073</c:v>
                </c:pt>
                <c:pt idx="878">
                  <c:v>4079963.3026983589</c:v>
                </c:pt>
                <c:pt idx="879">
                  <c:v>4082610.6413119105</c:v>
                </c:pt>
                <c:pt idx="880">
                  <c:v>4085257.979925462</c:v>
                </c:pt>
                <c:pt idx="881">
                  <c:v>4087905.3185390141</c:v>
                </c:pt>
                <c:pt idx="882">
                  <c:v>4090552.6571525657</c:v>
                </c:pt>
                <c:pt idx="883">
                  <c:v>4093199.9957661172</c:v>
                </c:pt>
                <c:pt idx="884">
                  <c:v>4095847.3343796688</c:v>
                </c:pt>
                <c:pt idx="885">
                  <c:v>4098494.6729932204</c:v>
                </c:pt>
                <c:pt idx="886">
                  <c:v>4101142.0116067724</c:v>
                </c:pt>
                <c:pt idx="887">
                  <c:v>4103789.350220324</c:v>
                </c:pt>
                <c:pt idx="888">
                  <c:v>4106436.6888338756</c:v>
                </c:pt>
                <c:pt idx="889">
                  <c:v>4109084.0274474272</c:v>
                </c:pt>
                <c:pt idx="890">
                  <c:v>4111731.3660609787</c:v>
                </c:pt>
                <c:pt idx="891">
                  <c:v>4114378.7046745303</c:v>
                </c:pt>
                <c:pt idx="892">
                  <c:v>4117026.0432880824</c:v>
                </c:pt>
                <c:pt idx="893">
                  <c:v>4119673.3819016339</c:v>
                </c:pt>
                <c:pt idx="894">
                  <c:v>4122320.7205151855</c:v>
                </c:pt>
                <c:pt idx="895">
                  <c:v>4124968.0591287371</c:v>
                </c:pt>
                <c:pt idx="896">
                  <c:v>4127615.3977422887</c:v>
                </c:pt>
                <c:pt idx="897">
                  <c:v>4130262.7363558407</c:v>
                </c:pt>
                <c:pt idx="898">
                  <c:v>4132910.0749693923</c:v>
                </c:pt>
                <c:pt idx="899">
                  <c:v>4135557.4135829438</c:v>
                </c:pt>
                <c:pt idx="900">
                  <c:v>4138204.7521964954</c:v>
                </c:pt>
                <c:pt idx="901">
                  <c:v>4140852.090810047</c:v>
                </c:pt>
                <c:pt idx="902">
                  <c:v>4143499.4294235986</c:v>
                </c:pt>
                <c:pt idx="903">
                  <c:v>4146146.7680371506</c:v>
                </c:pt>
                <c:pt idx="904">
                  <c:v>4148794.1066507022</c:v>
                </c:pt>
                <c:pt idx="905">
                  <c:v>4151441.4452642538</c:v>
                </c:pt>
                <c:pt idx="906">
                  <c:v>4154088.7838778053</c:v>
                </c:pt>
                <c:pt idx="907">
                  <c:v>4156736.1224913569</c:v>
                </c:pt>
                <c:pt idx="908">
                  <c:v>4159383.461104909</c:v>
                </c:pt>
                <c:pt idx="909">
                  <c:v>4162030.7997184605</c:v>
                </c:pt>
                <c:pt idx="910">
                  <c:v>4164678.1383320121</c:v>
                </c:pt>
                <c:pt idx="911">
                  <c:v>4167325.4769455637</c:v>
                </c:pt>
                <c:pt idx="912">
                  <c:v>4169972.8155591153</c:v>
                </c:pt>
                <c:pt idx="913">
                  <c:v>4172620.1541726673</c:v>
                </c:pt>
                <c:pt idx="914">
                  <c:v>4175267.4927862189</c:v>
                </c:pt>
                <c:pt idx="915">
                  <c:v>4177914.8313997705</c:v>
                </c:pt>
                <c:pt idx="916">
                  <c:v>4180562.170013322</c:v>
                </c:pt>
                <c:pt idx="917">
                  <c:v>4183209.5086268736</c:v>
                </c:pt>
                <c:pt idx="918">
                  <c:v>4185856.8472404252</c:v>
                </c:pt>
                <c:pt idx="919">
                  <c:v>4188504.1858539772</c:v>
                </c:pt>
                <c:pt idx="920">
                  <c:v>4191151.5244675288</c:v>
                </c:pt>
                <c:pt idx="921">
                  <c:v>4193798.8630810804</c:v>
                </c:pt>
                <c:pt idx="922">
                  <c:v>4196446.2016946319</c:v>
                </c:pt>
                <c:pt idx="923">
                  <c:v>4199093.5403081831</c:v>
                </c:pt>
                <c:pt idx="924">
                  <c:v>4201740.878921736</c:v>
                </c:pt>
                <c:pt idx="925">
                  <c:v>4204388.2175352871</c:v>
                </c:pt>
                <c:pt idx="926">
                  <c:v>4207035.5561488383</c:v>
                </c:pt>
                <c:pt idx="927">
                  <c:v>4209682.8947623903</c:v>
                </c:pt>
                <c:pt idx="928">
                  <c:v>4212330.2333759423</c:v>
                </c:pt>
                <c:pt idx="929">
                  <c:v>4214977.5719894934</c:v>
                </c:pt>
                <c:pt idx="930">
                  <c:v>4217624.9106030455</c:v>
                </c:pt>
                <c:pt idx="931">
                  <c:v>4220272.2492165975</c:v>
                </c:pt>
                <c:pt idx="932">
                  <c:v>4222919.5878301486</c:v>
                </c:pt>
                <c:pt idx="933">
                  <c:v>4225566.9264436997</c:v>
                </c:pt>
                <c:pt idx="934">
                  <c:v>4228214.2650572518</c:v>
                </c:pt>
                <c:pt idx="935">
                  <c:v>4230861.6036708038</c:v>
                </c:pt>
                <c:pt idx="936">
                  <c:v>4233508.9422843549</c:v>
                </c:pt>
                <c:pt idx="937">
                  <c:v>4236156.280897907</c:v>
                </c:pt>
                <c:pt idx="938">
                  <c:v>4238803.619511459</c:v>
                </c:pt>
                <c:pt idx="939">
                  <c:v>4241450.9581250101</c:v>
                </c:pt>
                <c:pt idx="940">
                  <c:v>4244098.2967385612</c:v>
                </c:pt>
                <c:pt idx="941">
                  <c:v>4246745.6353521142</c:v>
                </c:pt>
                <c:pt idx="942">
                  <c:v>4249392.9739656653</c:v>
                </c:pt>
                <c:pt idx="943">
                  <c:v>4252040.3125792164</c:v>
                </c:pt>
                <c:pt idx="944">
                  <c:v>4254687.6511927685</c:v>
                </c:pt>
                <c:pt idx="945">
                  <c:v>4257334.9898063205</c:v>
                </c:pt>
                <c:pt idx="946">
                  <c:v>4259982.3284198716</c:v>
                </c:pt>
                <c:pt idx="947">
                  <c:v>4262629.6670334237</c:v>
                </c:pt>
                <c:pt idx="948">
                  <c:v>4265277.0056469757</c:v>
                </c:pt>
                <c:pt idx="949">
                  <c:v>4267924.3442605268</c:v>
                </c:pt>
                <c:pt idx="950">
                  <c:v>4270571.6828740779</c:v>
                </c:pt>
                <c:pt idx="951">
                  <c:v>4273219.0214876309</c:v>
                </c:pt>
                <c:pt idx="952">
                  <c:v>4275866.360101182</c:v>
                </c:pt>
                <c:pt idx="953">
                  <c:v>4278513.6987147331</c:v>
                </c:pt>
                <c:pt idx="954">
                  <c:v>4281161.0373282852</c:v>
                </c:pt>
                <c:pt idx="955">
                  <c:v>4283808.3759418372</c:v>
                </c:pt>
                <c:pt idx="956">
                  <c:v>4286455.7145553883</c:v>
                </c:pt>
                <c:pt idx="957">
                  <c:v>4289103.0531689404</c:v>
                </c:pt>
                <c:pt idx="958">
                  <c:v>4291750.3917824924</c:v>
                </c:pt>
                <c:pt idx="959">
                  <c:v>4294397.7303960435</c:v>
                </c:pt>
                <c:pt idx="960">
                  <c:v>4297045.0690095946</c:v>
                </c:pt>
                <c:pt idx="961">
                  <c:v>4299692.4076231467</c:v>
                </c:pt>
                <c:pt idx="962">
                  <c:v>4302339.7462366987</c:v>
                </c:pt>
                <c:pt idx="963">
                  <c:v>4304987.0848502498</c:v>
                </c:pt>
                <c:pt idx="964">
                  <c:v>4307634.4234638019</c:v>
                </c:pt>
                <c:pt idx="965">
                  <c:v>4310281.7620773539</c:v>
                </c:pt>
                <c:pt idx="966">
                  <c:v>4312929.100690905</c:v>
                </c:pt>
                <c:pt idx="967">
                  <c:v>4315576.4393044561</c:v>
                </c:pt>
                <c:pt idx="968">
                  <c:v>4318223.7779180091</c:v>
                </c:pt>
                <c:pt idx="969">
                  <c:v>4320871.1165315602</c:v>
                </c:pt>
                <c:pt idx="970">
                  <c:v>4323518.4551451113</c:v>
                </c:pt>
                <c:pt idx="971">
                  <c:v>4326165.7937586633</c:v>
                </c:pt>
                <c:pt idx="972">
                  <c:v>4328813.1323722154</c:v>
                </c:pt>
                <c:pt idx="973">
                  <c:v>4331460.4709857665</c:v>
                </c:pt>
                <c:pt idx="974">
                  <c:v>4334107.8095993185</c:v>
                </c:pt>
                <c:pt idx="975">
                  <c:v>4336755.1482128706</c:v>
                </c:pt>
                <c:pt idx="976">
                  <c:v>4339402.4868264217</c:v>
                </c:pt>
                <c:pt idx="977">
                  <c:v>4342049.8254399728</c:v>
                </c:pt>
                <c:pt idx="978">
                  <c:v>4344697.1640535258</c:v>
                </c:pt>
                <c:pt idx="979">
                  <c:v>4347344.5026670769</c:v>
                </c:pt>
                <c:pt idx="980">
                  <c:v>4349991.841280628</c:v>
                </c:pt>
                <c:pt idx="981">
                  <c:v>4352639.17989418</c:v>
                </c:pt>
                <c:pt idx="982">
                  <c:v>4355286.5185077321</c:v>
                </c:pt>
                <c:pt idx="983">
                  <c:v>4357933.8571212832</c:v>
                </c:pt>
                <c:pt idx="984">
                  <c:v>4360581.1957348352</c:v>
                </c:pt>
                <c:pt idx="985">
                  <c:v>4363228.5343483873</c:v>
                </c:pt>
                <c:pt idx="986">
                  <c:v>4365875.8729619384</c:v>
                </c:pt>
                <c:pt idx="987">
                  <c:v>4368523.2115754895</c:v>
                </c:pt>
                <c:pt idx="988">
                  <c:v>4371170.5501890415</c:v>
                </c:pt>
                <c:pt idx="989">
                  <c:v>4373817.8888025936</c:v>
                </c:pt>
                <c:pt idx="990">
                  <c:v>4376465.2274161447</c:v>
                </c:pt>
                <c:pt idx="991">
                  <c:v>4379112.5660296967</c:v>
                </c:pt>
                <c:pt idx="992">
                  <c:v>4381759.9046432488</c:v>
                </c:pt>
                <c:pt idx="993">
                  <c:v>4384407.2432567999</c:v>
                </c:pt>
                <c:pt idx="994">
                  <c:v>4387054.581870351</c:v>
                </c:pt>
                <c:pt idx="995">
                  <c:v>4389701.920483904</c:v>
                </c:pt>
                <c:pt idx="996">
                  <c:v>4392349.2590974551</c:v>
                </c:pt>
                <c:pt idx="997">
                  <c:v>4394996.5977110062</c:v>
                </c:pt>
                <c:pt idx="998">
                  <c:v>4397643.9363245582</c:v>
                </c:pt>
                <c:pt idx="999">
                  <c:v>4400291.2749381103</c:v>
                </c:pt>
                <c:pt idx="1000">
                  <c:v>4402938.6135516614</c:v>
                </c:pt>
                <c:pt idx="1001">
                  <c:v>4405585.9521652134</c:v>
                </c:pt>
                <c:pt idx="1002">
                  <c:v>4408233.2907787655</c:v>
                </c:pt>
                <c:pt idx="1003">
                  <c:v>4410880.6293923166</c:v>
                </c:pt>
                <c:pt idx="1004">
                  <c:v>4413527.9680058677</c:v>
                </c:pt>
                <c:pt idx="1005">
                  <c:v>4416175.3066194197</c:v>
                </c:pt>
                <c:pt idx="1006">
                  <c:v>4418822.6452329718</c:v>
                </c:pt>
                <c:pt idx="1007">
                  <c:v>4421469.9838465229</c:v>
                </c:pt>
                <c:pt idx="1008">
                  <c:v>4424117.3224600749</c:v>
                </c:pt>
                <c:pt idx="1009">
                  <c:v>4426764.661073627</c:v>
                </c:pt>
                <c:pt idx="1010">
                  <c:v>4429411.9996871781</c:v>
                </c:pt>
                <c:pt idx="1011">
                  <c:v>4432059.3383007301</c:v>
                </c:pt>
                <c:pt idx="1012">
                  <c:v>4434706.6769142821</c:v>
                </c:pt>
                <c:pt idx="1013">
                  <c:v>4437354.0155278333</c:v>
                </c:pt>
                <c:pt idx="1014">
                  <c:v>4440001.3541413844</c:v>
                </c:pt>
                <c:pt idx="1015">
                  <c:v>4442648.6927549364</c:v>
                </c:pt>
                <c:pt idx="1016">
                  <c:v>4445296.0313684884</c:v>
                </c:pt>
                <c:pt idx="1017">
                  <c:v>4447943.3699820396</c:v>
                </c:pt>
                <c:pt idx="1018">
                  <c:v>4450590.7085955916</c:v>
                </c:pt>
                <c:pt idx="1019">
                  <c:v>4453238.0472091436</c:v>
                </c:pt>
                <c:pt idx="1020">
                  <c:v>4455885.3858226947</c:v>
                </c:pt>
                <c:pt idx="1021">
                  <c:v>4458532.7244362459</c:v>
                </c:pt>
                <c:pt idx="1022">
                  <c:v>4461180.0630497988</c:v>
                </c:pt>
                <c:pt idx="1023">
                  <c:v>4463827.4016633499</c:v>
                </c:pt>
                <c:pt idx="1024">
                  <c:v>4466474.7402769011</c:v>
                </c:pt>
                <c:pt idx="1025">
                  <c:v>4469122.0788904531</c:v>
                </c:pt>
                <c:pt idx="1026">
                  <c:v>4471769.4175040051</c:v>
                </c:pt>
                <c:pt idx="1027">
                  <c:v>4474416.7561175562</c:v>
                </c:pt>
                <c:pt idx="1028">
                  <c:v>4477064.0947311083</c:v>
                </c:pt>
                <c:pt idx="1029">
                  <c:v>4479711.4333446603</c:v>
                </c:pt>
                <c:pt idx="1030">
                  <c:v>4482358.7719582114</c:v>
                </c:pt>
                <c:pt idx="1031">
                  <c:v>4485006.1105717625</c:v>
                </c:pt>
                <c:pt idx="1032">
                  <c:v>4487653.4491853146</c:v>
                </c:pt>
                <c:pt idx="1033">
                  <c:v>4490300.7877988666</c:v>
                </c:pt>
                <c:pt idx="1034">
                  <c:v>4492948.1264124177</c:v>
                </c:pt>
                <c:pt idx="1035">
                  <c:v>4495595.4650259698</c:v>
                </c:pt>
                <c:pt idx="1036">
                  <c:v>4498242.8036395218</c:v>
                </c:pt>
                <c:pt idx="1037">
                  <c:v>4500890.1422530729</c:v>
                </c:pt>
                <c:pt idx="1038">
                  <c:v>4503537.480866625</c:v>
                </c:pt>
                <c:pt idx="1039">
                  <c:v>4506184.819480177</c:v>
                </c:pt>
                <c:pt idx="1040">
                  <c:v>4508832.1580937281</c:v>
                </c:pt>
                <c:pt idx="1041">
                  <c:v>4511479.4967072792</c:v>
                </c:pt>
                <c:pt idx="1042">
                  <c:v>4514126.8353208313</c:v>
                </c:pt>
                <c:pt idx="1043">
                  <c:v>4516774.1739343833</c:v>
                </c:pt>
                <c:pt idx="1044">
                  <c:v>4519421.5125479344</c:v>
                </c:pt>
                <c:pt idx="1045">
                  <c:v>4522068.8511614865</c:v>
                </c:pt>
                <c:pt idx="1046">
                  <c:v>4524716.1897750385</c:v>
                </c:pt>
                <c:pt idx="1047">
                  <c:v>4527363.5283885896</c:v>
                </c:pt>
                <c:pt idx="1048">
                  <c:v>4530010.8670021407</c:v>
                </c:pt>
                <c:pt idx="1049">
                  <c:v>4532658.2056156937</c:v>
                </c:pt>
                <c:pt idx="1050">
                  <c:v>4535305.5442292448</c:v>
                </c:pt>
                <c:pt idx="1051">
                  <c:v>4537952.8828427959</c:v>
                </c:pt>
                <c:pt idx="1052">
                  <c:v>4540600.221456348</c:v>
                </c:pt>
                <c:pt idx="1053">
                  <c:v>4543247.5600699</c:v>
                </c:pt>
                <c:pt idx="1054">
                  <c:v>4545894.8986834511</c:v>
                </c:pt>
                <c:pt idx="1055">
                  <c:v>4548542.2372970032</c:v>
                </c:pt>
                <c:pt idx="1056">
                  <c:v>4551189.5759105552</c:v>
                </c:pt>
                <c:pt idx="1057">
                  <c:v>4553836.9145241063</c:v>
                </c:pt>
                <c:pt idx="1058">
                  <c:v>4556484.2531376574</c:v>
                </c:pt>
                <c:pt idx="1059">
                  <c:v>4559131.5917512095</c:v>
                </c:pt>
                <c:pt idx="1060">
                  <c:v>4561778.9303647615</c:v>
                </c:pt>
                <c:pt idx="1061">
                  <c:v>4564426.2689783126</c:v>
                </c:pt>
                <c:pt idx="1062">
                  <c:v>4567073.6075918647</c:v>
                </c:pt>
                <c:pt idx="1063">
                  <c:v>4569720.9462054167</c:v>
                </c:pt>
                <c:pt idx="1064">
                  <c:v>4572368.2848189678</c:v>
                </c:pt>
                <c:pt idx="1065">
                  <c:v>4575015.6234325198</c:v>
                </c:pt>
                <c:pt idx="1066">
                  <c:v>4577662.9620460719</c:v>
                </c:pt>
                <c:pt idx="1067">
                  <c:v>4580310.300659623</c:v>
                </c:pt>
                <c:pt idx="1068">
                  <c:v>4582957.6392731741</c:v>
                </c:pt>
                <c:pt idx="1069">
                  <c:v>4585604.9778867261</c:v>
                </c:pt>
                <c:pt idx="1070">
                  <c:v>4588252.3165002782</c:v>
                </c:pt>
                <c:pt idx="1071">
                  <c:v>4590899.6551138293</c:v>
                </c:pt>
                <c:pt idx="1072">
                  <c:v>4593546.9937273813</c:v>
                </c:pt>
                <c:pt idx="1073">
                  <c:v>4596194.3323409334</c:v>
                </c:pt>
                <c:pt idx="1074">
                  <c:v>4598841.6709544845</c:v>
                </c:pt>
                <c:pt idx="1075">
                  <c:v>4601489.0095680356</c:v>
                </c:pt>
                <c:pt idx="1076">
                  <c:v>4604136.3481815886</c:v>
                </c:pt>
                <c:pt idx="1077">
                  <c:v>4606783.6867951397</c:v>
                </c:pt>
                <c:pt idx="1078">
                  <c:v>4609431.0254086908</c:v>
                </c:pt>
                <c:pt idx="1079">
                  <c:v>4612078.3640222428</c:v>
                </c:pt>
                <c:pt idx="1080">
                  <c:v>4614725.7026357949</c:v>
                </c:pt>
                <c:pt idx="1081">
                  <c:v>4617373.041249346</c:v>
                </c:pt>
                <c:pt idx="1082">
                  <c:v>4620020.379862898</c:v>
                </c:pt>
                <c:pt idx="1083">
                  <c:v>4622667.7184764501</c:v>
                </c:pt>
                <c:pt idx="1084">
                  <c:v>4625315.0570900012</c:v>
                </c:pt>
                <c:pt idx="1085">
                  <c:v>4627962.3957035523</c:v>
                </c:pt>
                <c:pt idx="1086">
                  <c:v>4630609.7343171043</c:v>
                </c:pt>
                <c:pt idx="1087">
                  <c:v>4633257.0729306564</c:v>
                </c:pt>
                <c:pt idx="1088">
                  <c:v>4635904.4115442075</c:v>
                </c:pt>
                <c:pt idx="1089">
                  <c:v>4638551.7501577595</c:v>
                </c:pt>
                <c:pt idx="1090">
                  <c:v>4641199.0887713116</c:v>
                </c:pt>
                <c:pt idx="1091">
                  <c:v>4643846.4273848627</c:v>
                </c:pt>
                <c:pt idx="1092">
                  <c:v>4646493.7659984147</c:v>
                </c:pt>
                <c:pt idx="1093">
                  <c:v>4649141.1046119668</c:v>
                </c:pt>
                <c:pt idx="1094">
                  <c:v>4651788.4432255179</c:v>
                </c:pt>
                <c:pt idx="1095">
                  <c:v>4654435.781839069</c:v>
                </c:pt>
                <c:pt idx="1096">
                  <c:v>4657083.120452621</c:v>
                </c:pt>
                <c:pt idx="1097">
                  <c:v>4659730.4590661731</c:v>
                </c:pt>
                <c:pt idx="1098">
                  <c:v>4662377.7976797242</c:v>
                </c:pt>
                <c:pt idx="1099">
                  <c:v>4665025.1362932762</c:v>
                </c:pt>
                <c:pt idx="1100">
                  <c:v>4667672.4749068283</c:v>
                </c:pt>
                <c:pt idx="1101">
                  <c:v>4670319.8135203794</c:v>
                </c:pt>
                <c:pt idx="1102">
                  <c:v>4672967.1521339305</c:v>
                </c:pt>
                <c:pt idx="1103">
                  <c:v>4675614.4907474834</c:v>
                </c:pt>
                <c:pt idx="1104">
                  <c:v>4678261.8293610346</c:v>
                </c:pt>
                <c:pt idx="1105">
                  <c:v>4680909.1679745857</c:v>
                </c:pt>
                <c:pt idx="1106">
                  <c:v>4683556.5065881377</c:v>
                </c:pt>
                <c:pt idx="1107">
                  <c:v>4686203.8452016897</c:v>
                </c:pt>
                <c:pt idx="1108">
                  <c:v>4688851.1838152409</c:v>
                </c:pt>
                <c:pt idx="1109">
                  <c:v>4691498.5224287929</c:v>
                </c:pt>
                <c:pt idx="1110">
                  <c:v>4694145.8610423449</c:v>
                </c:pt>
                <c:pt idx="1111">
                  <c:v>4696793.1996558961</c:v>
                </c:pt>
                <c:pt idx="1112">
                  <c:v>4699440.5382694472</c:v>
                </c:pt>
                <c:pt idx="1113">
                  <c:v>4702087.8768829992</c:v>
                </c:pt>
                <c:pt idx="1114">
                  <c:v>4704735.2154965512</c:v>
                </c:pt>
                <c:pt idx="1115">
                  <c:v>4707382.5541101024</c:v>
                </c:pt>
                <c:pt idx="1116">
                  <c:v>4710029.8927236544</c:v>
                </c:pt>
                <c:pt idx="1117">
                  <c:v>4712677.2313372064</c:v>
                </c:pt>
                <c:pt idx="1118">
                  <c:v>4715324.5699507575</c:v>
                </c:pt>
                <c:pt idx="1119">
                  <c:v>4717971.9085643096</c:v>
                </c:pt>
                <c:pt idx="1120">
                  <c:v>4720619.2471778616</c:v>
                </c:pt>
                <c:pt idx="1121">
                  <c:v>4723266.5857914127</c:v>
                </c:pt>
                <c:pt idx="1122">
                  <c:v>4725913.9244049639</c:v>
                </c:pt>
                <c:pt idx="1123">
                  <c:v>4728561.2630185159</c:v>
                </c:pt>
                <c:pt idx="1124">
                  <c:v>4731208.6016320679</c:v>
                </c:pt>
                <c:pt idx="1125">
                  <c:v>4733855.940245619</c:v>
                </c:pt>
                <c:pt idx="1126">
                  <c:v>4736503.2788591711</c:v>
                </c:pt>
                <c:pt idx="1127">
                  <c:v>4739150.6174727231</c:v>
                </c:pt>
                <c:pt idx="1128">
                  <c:v>4741797.9560862742</c:v>
                </c:pt>
                <c:pt idx="1129">
                  <c:v>4744445.2946998253</c:v>
                </c:pt>
                <c:pt idx="1130">
                  <c:v>4747092.6333133783</c:v>
                </c:pt>
                <c:pt idx="1131">
                  <c:v>4749739.9719269294</c:v>
                </c:pt>
                <c:pt idx="1132">
                  <c:v>4752387.3105404805</c:v>
                </c:pt>
                <c:pt idx="1133">
                  <c:v>4755034.6491540326</c:v>
                </c:pt>
                <c:pt idx="1134">
                  <c:v>4757681.9877675846</c:v>
                </c:pt>
                <c:pt idx="1135">
                  <c:v>4760329.3263811357</c:v>
                </c:pt>
                <c:pt idx="1136">
                  <c:v>4762976.6649946878</c:v>
                </c:pt>
                <c:pt idx="1137">
                  <c:v>4765624.0036082398</c:v>
                </c:pt>
                <c:pt idx="1138">
                  <c:v>4768271.3422217909</c:v>
                </c:pt>
                <c:pt idx="1139">
                  <c:v>4770918.680835342</c:v>
                </c:pt>
                <c:pt idx="1140">
                  <c:v>4773566.0194488941</c:v>
                </c:pt>
                <c:pt idx="1141">
                  <c:v>4776213.3580624461</c:v>
                </c:pt>
                <c:pt idx="1142">
                  <c:v>4778860.6966759972</c:v>
                </c:pt>
                <c:pt idx="1143">
                  <c:v>4781508.0352895493</c:v>
                </c:pt>
                <c:pt idx="1144">
                  <c:v>4784155.3739031013</c:v>
                </c:pt>
                <c:pt idx="1145">
                  <c:v>4786802.7125166524</c:v>
                </c:pt>
                <c:pt idx="1146">
                  <c:v>4789450.0511302045</c:v>
                </c:pt>
                <c:pt idx="1147">
                  <c:v>4792097.3897437565</c:v>
                </c:pt>
                <c:pt idx="1148">
                  <c:v>4794744.7283573076</c:v>
                </c:pt>
                <c:pt idx="1149">
                  <c:v>4797392.0669708587</c:v>
                </c:pt>
                <c:pt idx="1150">
                  <c:v>4800039.4055844108</c:v>
                </c:pt>
                <c:pt idx="1151">
                  <c:v>4802686.7441979628</c:v>
                </c:pt>
                <c:pt idx="1152">
                  <c:v>4805334.0828115139</c:v>
                </c:pt>
                <c:pt idx="1153">
                  <c:v>4807981.421425066</c:v>
                </c:pt>
                <c:pt idx="1154">
                  <c:v>4810628.760038618</c:v>
                </c:pt>
                <c:pt idx="1155">
                  <c:v>4813276.0986521691</c:v>
                </c:pt>
                <c:pt idx="1156">
                  <c:v>4815923.4372657202</c:v>
                </c:pt>
                <c:pt idx="1157">
                  <c:v>4818570.7758792732</c:v>
                </c:pt>
                <c:pt idx="1158">
                  <c:v>4821218.1144928243</c:v>
                </c:pt>
                <c:pt idx="1159">
                  <c:v>4823865.4531063754</c:v>
                </c:pt>
                <c:pt idx="1160">
                  <c:v>4826512.7917199275</c:v>
                </c:pt>
                <c:pt idx="1161">
                  <c:v>4829160.1303334795</c:v>
                </c:pt>
                <c:pt idx="1162">
                  <c:v>4831807.4689470306</c:v>
                </c:pt>
                <c:pt idx="1163">
                  <c:v>4834454.8075605826</c:v>
                </c:pt>
                <c:pt idx="1164">
                  <c:v>4837102.1461741347</c:v>
                </c:pt>
                <c:pt idx="1165">
                  <c:v>4839749.4847876858</c:v>
                </c:pt>
                <c:pt idx="1166">
                  <c:v>4842396.8234012369</c:v>
                </c:pt>
                <c:pt idx="1167">
                  <c:v>4845044.1620147889</c:v>
                </c:pt>
                <c:pt idx="1168">
                  <c:v>4847691.500628341</c:v>
                </c:pt>
                <c:pt idx="1169">
                  <c:v>4850338.8392418921</c:v>
                </c:pt>
                <c:pt idx="1170">
                  <c:v>4852986.1778554441</c:v>
                </c:pt>
                <c:pt idx="1171">
                  <c:v>4855633.5164689962</c:v>
                </c:pt>
                <c:pt idx="1172">
                  <c:v>4858280.8550825473</c:v>
                </c:pt>
                <c:pt idx="1173">
                  <c:v>4860928.1936960993</c:v>
                </c:pt>
                <c:pt idx="1174">
                  <c:v>4863575.5323096514</c:v>
                </c:pt>
                <c:pt idx="1175">
                  <c:v>4866222.8709232025</c:v>
                </c:pt>
                <c:pt idx="1176">
                  <c:v>4868870.2095367536</c:v>
                </c:pt>
                <c:pt idx="1177">
                  <c:v>4871517.5481503056</c:v>
                </c:pt>
                <c:pt idx="1178">
                  <c:v>4874164.8867638577</c:v>
                </c:pt>
                <c:pt idx="1179">
                  <c:v>4876812.2253774088</c:v>
                </c:pt>
                <c:pt idx="1180">
                  <c:v>4879459.5639909608</c:v>
                </c:pt>
                <c:pt idx="1181">
                  <c:v>4882106.9026045129</c:v>
                </c:pt>
                <c:pt idx="1182">
                  <c:v>4884754.241218064</c:v>
                </c:pt>
                <c:pt idx="1183">
                  <c:v>4887401.5798316151</c:v>
                </c:pt>
                <c:pt idx="1184">
                  <c:v>4890048.9184451681</c:v>
                </c:pt>
                <c:pt idx="1185">
                  <c:v>4892696.2570587192</c:v>
                </c:pt>
                <c:pt idx="1186">
                  <c:v>4895343.5956722703</c:v>
                </c:pt>
                <c:pt idx="1187">
                  <c:v>4897990.9342858223</c:v>
                </c:pt>
                <c:pt idx="1188">
                  <c:v>4900638.2728993744</c:v>
                </c:pt>
                <c:pt idx="1189">
                  <c:v>4903285.6115129255</c:v>
                </c:pt>
                <c:pt idx="1190">
                  <c:v>4905932.9501264775</c:v>
                </c:pt>
                <c:pt idx="1191">
                  <c:v>4908580.2887400296</c:v>
                </c:pt>
                <c:pt idx="1192">
                  <c:v>4911227.6273535807</c:v>
                </c:pt>
                <c:pt idx="1193">
                  <c:v>4913874.9659671318</c:v>
                </c:pt>
                <c:pt idx="1194">
                  <c:v>4916522.3045806838</c:v>
                </c:pt>
                <c:pt idx="1195">
                  <c:v>4919169.6431942359</c:v>
                </c:pt>
                <c:pt idx="1196">
                  <c:v>4921816.981807787</c:v>
                </c:pt>
                <c:pt idx="1197">
                  <c:v>4924464.320421339</c:v>
                </c:pt>
                <c:pt idx="1198">
                  <c:v>4927111.6590348911</c:v>
                </c:pt>
                <c:pt idx="1199">
                  <c:v>4929758.9976484422</c:v>
                </c:pt>
                <c:pt idx="1200">
                  <c:v>4932406.3362619933</c:v>
                </c:pt>
                <c:pt idx="1201">
                  <c:v>4935053.6748755462</c:v>
                </c:pt>
                <c:pt idx="1202">
                  <c:v>4937701.0134890974</c:v>
                </c:pt>
                <c:pt idx="1203">
                  <c:v>4940348.3521026485</c:v>
                </c:pt>
                <c:pt idx="1204">
                  <c:v>4942995.6907162005</c:v>
                </c:pt>
                <c:pt idx="1205">
                  <c:v>4945643.0293297525</c:v>
                </c:pt>
                <c:pt idx="1206">
                  <c:v>4948290.3679433037</c:v>
                </c:pt>
                <c:pt idx="1207">
                  <c:v>4950937.7065568557</c:v>
                </c:pt>
                <c:pt idx="1208">
                  <c:v>4953585.0451704077</c:v>
                </c:pt>
                <c:pt idx="1209">
                  <c:v>4956232.3837839589</c:v>
                </c:pt>
                <c:pt idx="1210">
                  <c:v>4958879.72239751</c:v>
                </c:pt>
                <c:pt idx="1211">
                  <c:v>4961527.0610110629</c:v>
                </c:pt>
                <c:pt idx="1212">
                  <c:v>4964174.399624614</c:v>
                </c:pt>
                <c:pt idx="1213">
                  <c:v>4966821.7382381652</c:v>
                </c:pt>
                <c:pt idx="1214">
                  <c:v>4969469.0768517172</c:v>
                </c:pt>
                <c:pt idx="1215">
                  <c:v>4972116.4154652692</c:v>
                </c:pt>
                <c:pt idx="1216">
                  <c:v>4974763.7540788203</c:v>
                </c:pt>
                <c:pt idx="1217">
                  <c:v>4977411.0926923724</c:v>
                </c:pt>
                <c:pt idx="1218">
                  <c:v>4980058.4313059244</c:v>
                </c:pt>
                <c:pt idx="1219">
                  <c:v>4982705.7699194755</c:v>
                </c:pt>
                <c:pt idx="1220">
                  <c:v>4985353.1085330267</c:v>
                </c:pt>
                <c:pt idx="1221">
                  <c:v>4988000.4471465787</c:v>
                </c:pt>
                <c:pt idx="1222">
                  <c:v>4990647.7857601307</c:v>
                </c:pt>
                <c:pt idx="1223">
                  <c:v>4993295.1243736818</c:v>
                </c:pt>
                <c:pt idx="1224">
                  <c:v>4995942.4629872339</c:v>
                </c:pt>
                <c:pt idx="1225">
                  <c:v>4998589.8016007859</c:v>
                </c:pt>
                <c:pt idx="1226">
                  <c:v>5001237.140214337</c:v>
                </c:pt>
                <c:pt idx="1227">
                  <c:v>5003884.4788278881</c:v>
                </c:pt>
                <c:pt idx="1228">
                  <c:v>5006531.8174414411</c:v>
                </c:pt>
                <c:pt idx="1229">
                  <c:v>5009179.1560549922</c:v>
                </c:pt>
                <c:pt idx="1230">
                  <c:v>5011826.4946685433</c:v>
                </c:pt>
                <c:pt idx="1231">
                  <c:v>5014473.8332820954</c:v>
                </c:pt>
                <c:pt idx="1232">
                  <c:v>5017121.1718956474</c:v>
                </c:pt>
                <c:pt idx="1233">
                  <c:v>5019768.5105091985</c:v>
                </c:pt>
                <c:pt idx="1234">
                  <c:v>5022415.8491227506</c:v>
                </c:pt>
                <c:pt idx="1235">
                  <c:v>5025063.1877363026</c:v>
                </c:pt>
                <c:pt idx="1236">
                  <c:v>5027710.5263498537</c:v>
                </c:pt>
                <c:pt idx="1237">
                  <c:v>5030357.8649634048</c:v>
                </c:pt>
                <c:pt idx="1238">
                  <c:v>5033005.2035769569</c:v>
                </c:pt>
                <c:pt idx="1239">
                  <c:v>5035652.5421905089</c:v>
                </c:pt>
                <c:pt idx="1240">
                  <c:v>5038299.88080406</c:v>
                </c:pt>
                <c:pt idx="1241">
                  <c:v>5040947.2194176121</c:v>
                </c:pt>
                <c:pt idx="1242">
                  <c:v>5043594.5580311641</c:v>
                </c:pt>
                <c:pt idx="1243">
                  <c:v>5046241.8966447152</c:v>
                </c:pt>
                <c:pt idx="1244">
                  <c:v>5048889.2352582673</c:v>
                </c:pt>
                <c:pt idx="1245">
                  <c:v>5051536.5738718193</c:v>
                </c:pt>
                <c:pt idx="1246">
                  <c:v>5054183.9124853704</c:v>
                </c:pt>
                <c:pt idx="1247">
                  <c:v>5056831.2510989215</c:v>
                </c:pt>
                <c:pt idx="1248">
                  <c:v>5059478.5897124736</c:v>
                </c:pt>
                <c:pt idx="1249">
                  <c:v>5062125.9283260256</c:v>
                </c:pt>
                <c:pt idx="1250">
                  <c:v>5064773.2669395767</c:v>
                </c:pt>
                <c:pt idx="1251">
                  <c:v>5067420.6055531288</c:v>
                </c:pt>
                <c:pt idx="1252">
                  <c:v>5070067.9441666808</c:v>
                </c:pt>
                <c:pt idx="1253">
                  <c:v>5072715.2827802319</c:v>
                </c:pt>
                <c:pt idx="1254">
                  <c:v>5075362.621393783</c:v>
                </c:pt>
                <c:pt idx="1255">
                  <c:v>5078009.960007336</c:v>
                </c:pt>
                <c:pt idx="1256">
                  <c:v>5080657.2986208871</c:v>
                </c:pt>
                <c:pt idx="1257">
                  <c:v>5083304.6372344382</c:v>
                </c:pt>
                <c:pt idx="1258">
                  <c:v>5085951.9758479903</c:v>
                </c:pt>
                <c:pt idx="1259">
                  <c:v>5088599.3144615423</c:v>
                </c:pt>
                <c:pt idx="1260">
                  <c:v>5091246.6530750934</c:v>
                </c:pt>
                <c:pt idx="1261">
                  <c:v>5093893.9916886454</c:v>
                </c:pt>
                <c:pt idx="1262">
                  <c:v>5096541.3303021975</c:v>
                </c:pt>
                <c:pt idx="1263">
                  <c:v>5099188.6689157486</c:v>
                </c:pt>
                <c:pt idx="1264">
                  <c:v>5101836.0075292997</c:v>
                </c:pt>
                <c:pt idx="1265">
                  <c:v>5104483.3461428517</c:v>
                </c:pt>
                <c:pt idx="1266">
                  <c:v>5107130.6847564038</c:v>
                </c:pt>
                <c:pt idx="1267">
                  <c:v>5109778.0233699549</c:v>
                </c:pt>
                <c:pt idx="1268">
                  <c:v>5112425.3619835069</c:v>
                </c:pt>
                <c:pt idx="1269">
                  <c:v>5115072.700597059</c:v>
                </c:pt>
                <c:pt idx="1270">
                  <c:v>5117720.0392106101</c:v>
                </c:pt>
                <c:pt idx="1271">
                  <c:v>5120367.3778241621</c:v>
                </c:pt>
                <c:pt idx="1272">
                  <c:v>5123014.7164377142</c:v>
                </c:pt>
                <c:pt idx="1273">
                  <c:v>5125662.0550512653</c:v>
                </c:pt>
                <c:pt idx="1274">
                  <c:v>5128309.3936648164</c:v>
                </c:pt>
                <c:pt idx="1275">
                  <c:v>5130956.7322783684</c:v>
                </c:pt>
                <c:pt idx="1276">
                  <c:v>5133604.0708919205</c:v>
                </c:pt>
                <c:pt idx="1277">
                  <c:v>5136251.4095054716</c:v>
                </c:pt>
                <c:pt idx="1278">
                  <c:v>5138898.7481190236</c:v>
                </c:pt>
                <c:pt idx="1279">
                  <c:v>5141546.0867325757</c:v>
                </c:pt>
                <c:pt idx="1280">
                  <c:v>5144193.4253461268</c:v>
                </c:pt>
                <c:pt idx="1281">
                  <c:v>5146840.7639596779</c:v>
                </c:pt>
                <c:pt idx="1282">
                  <c:v>5149488.1025732309</c:v>
                </c:pt>
                <c:pt idx="1283">
                  <c:v>5152135.441186782</c:v>
                </c:pt>
                <c:pt idx="1284">
                  <c:v>5154782.7798003331</c:v>
                </c:pt>
                <c:pt idx="1285">
                  <c:v>5157430.1184138851</c:v>
                </c:pt>
                <c:pt idx="1286">
                  <c:v>5160077.4570274372</c:v>
                </c:pt>
                <c:pt idx="1287">
                  <c:v>5162724.7956409883</c:v>
                </c:pt>
                <c:pt idx="1288">
                  <c:v>5165372.1342545403</c:v>
                </c:pt>
                <c:pt idx="1289">
                  <c:v>5168019.4728680924</c:v>
                </c:pt>
                <c:pt idx="1290">
                  <c:v>5170666.8114816435</c:v>
                </c:pt>
                <c:pt idx="1291">
                  <c:v>5173314.1500951946</c:v>
                </c:pt>
                <c:pt idx="1292">
                  <c:v>5175961.4887087466</c:v>
                </c:pt>
                <c:pt idx="1293">
                  <c:v>5178608.8273222987</c:v>
                </c:pt>
                <c:pt idx="1294">
                  <c:v>5181256.1659358498</c:v>
                </c:pt>
                <c:pt idx="1295">
                  <c:v>5183903.5045494018</c:v>
                </c:pt>
                <c:pt idx="1296">
                  <c:v>5186550.8431629539</c:v>
                </c:pt>
                <c:pt idx="1297">
                  <c:v>5189198.181776505</c:v>
                </c:pt>
                <c:pt idx="1298">
                  <c:v>5191845.520390057</c:v>
                </c:pt>
                <c:pt idx="1299">
                  <c:v>5194492.859003609</c:v>
                </c:pt>
                <c:pt idx="1300">
                  <c:v>5197140.1976171602</c:v>
                </c:pt>
                <c:pt idx="1301">
                  <c:v>5199787.5362307113</c:v>
                </c:pt>
                <c:pt idx="1302">
                  <c:v>5202434.8748442633</c:v>
                </c:pt>
                <c:pt idx="1303">
                  <c:v>5205082.2134578153</c:v>
                </c:pt>
                <c:pt idx="1304">
                  <c:v>5207729.5520713665</c:v>
                </c:pt>
                <c:pt idx="1305">
                  <c:v>5210376.8906849185</c:v>
                </c:pt>
                <c:pt idx="1306">
                  <c:v>5213024.2292984705</c:v>
                </c:pt>
                <c:pt idx="1307">
                  <c:v>5215671.5679120217</c:v>
                </c:pt>
                <c:pt idx="1308">
                  <c:v>5218318.9065255728</c:v>
                </c:pt>
                <c:pt idx="1309">
                  <c:v>5220966.2451391257</c:v>
                </c:pt>
                <c:pt idx="1310">
                  <c:v>5223613.5837526768</c:v>
                </c:pt>
                <c:pt idx="1311">
                  <c:v>5226260.922366228</c:v>
                </c:pt>
                <c:pt idx="1312">
                  <c:v>5228908.26097978</c:v>
                </c:pt>
                <c:pt idx="1313">
                  <c:v>5231555.599593332</c:v>
                </c:pt>
                <c:pt idx="1314">
                  <c:v>5234202.9382068831</c:v>
                </c:pt>
                <c:pt idx="1315">
                  <c:v>5236850.2768204352</c:v>
                </c:pt>
                <c:pt idx="1316">
                  <c:v>5239497.6154339872</c:v>
                </c:pt>
                <c:pt idx="1317">
                  <c:v>5242144.9540475383</c:v>
                </c:pt>
                <c:pt idx="1318">
                  <c:v>5244792.2926610895</c:v>
                </c:pt>
                <c:pt idx="1319">
                  <c:v>5247439.6312746415</c:v>
                </c:pt>
                <c:pt idx="1320">
                  <c:v>5250086.9698881935</c:v>
                </c:pt>
                <c:pt idx="1321">
                  <c:v>5252734.3085017446</c:v>
                </c:pt>
                <c:pt idx="1322">
                  <c:v>5255381.6471152967</c:v>
                </c:pt>
                <c:pt idx="1323">
                  <c:v>5258028.9857288487</c:v>
                </c:pt>
                <c:pt idx="1324">
                  <c:v>5260676.3243423998</c:v>
                </c:pt>
                <c:pt idx="1325">
                  <c:v>5263323.6629559519</c:v>
                </c:pt>
                <c:pt idx="1326">
                  <c:v>5265971.0015695039</c:v>
                </c:pt>
                <c:pt idx="1327">
                  <c:v>5268618.340183055</c:v>
                </c:pt>
                <c:pt idx="1328">
                  <c:v>5271265.6787966061</c:v>
                </c:pt>
                <c:pt idx="1329">
                  <c:v>5273913.0174101582</c:v>
                </c:pt>
                <c:pt idx="1330">
                  <c:v>5276560.3560237102</c:v>
                </c:pt>
                <c:pt idx="1331">
                  <c:v>5279207.6946372613</c:v>
                </c:pt>
                <c:pt idx="1332">
                  <c:v>5281855.0332508134</c:v>
                </c:pt>
                <c:pt idx="1333">
                  <c:v>5284502.3718643654</c:v>
                </c:pt>
                <c:pt idx="1334">
                  <c:v>5287149.7104779165</c:v>
                </c:pt>
                <c:pt idx="1335">
                  <c:v>5289797.0490914676</c:v>
                </c:pt>
                <c:pt idx="1336">
                  <c:v>5292444.3877050206</c:v>
                </c:pt>
                <c:pt idx="1337">
                  <c:v>5295091.7263185717</c:v>
                </c:pt>
                <c:pt idx="1338">
                  <c:v>5297739.0649321228</c:v>
                </c:pt>
                <c:pt idx="1339">
                  <c:v>5300386.4035456749</c:v>
                </c:pt>
                <c:pt idx="1340">
                  <c:v>5303033.7421592269</c:v>
                </c:pt>
                <c:pt idx="1341">
                  <c:v>5305681.080772778</c:v>
                </c:pt>
                <c:pt idx="1342">
                  <c:v>5308328.4193863301</c:v>
                </c:pt>
                <c:pt idx="1343">
                  <c:v>5310975.7579998821</c:v>
                </c:pt>
                <c:pt idx="1344">
                  <c:v>5313623.0966134332</c:v>
                </c:pt>
                <c:pt idx="1345">
                  <c:v>5316270.4352269843</c:v>
                </c:pt>
                <c:pt idx="1346">
                  <c:v>5318917.7738405364</c:v>
                </c:pt>
                <c:pt idx="1347">
                  <c:v>5321565.1124540884</c:v>
                </c:pt>
                <c:pt idx="1348">
                  <c:v>5324212.4510676395</c:v>
                </c:pt>
                <c:pt idx="1349">
                  <c:v>5326859.7896811916</c:v>
                </c:pt>
                <c:pt idx="1350">
                  <c:v>5329507.1282947436</c:v>
                </c:pt>
                <c:pt idx="1351">
                  <c:v>5332154.4669082947</c:v>
                </c:pt>
                <c:pt idx="1352">
                  <c:v>5334801.8055218467</c:v>
                </c:pt>
                <c:pt idx="1353">
                  <c:v>5337449.1441353988</c:v>
                </c:pt>
                <c:pt idx="1354">
                  <c:v>5340096.4827489499</c:v>
                </c:pt>
                <c:pt idx="1355">
                  <c:v>5342743.821362501</c:v>
                </c:pt>
                <c:pt idx="1356">
                  <c:v>5345391.1599760531</c:v>
                </c:pt>
                <c:pt idx="1357">
                  <c:v>5348038.4985896051</c:v>
                </c:pt>
                <c:pt idx="1358">
                  <c:v>5350685.8372031562</c:v>
                </c:pt>
                <c:pt idx="1359">
                  <c:v>5353333.1758167082</c:v>
                </c:pt>
                <c:pt idx="1360">
                  <c:v>5355980.5144302603</c:v>
                </c:pt>
                <c:pt idx="1361">
                  <c:v>5358627.8530438114</c:v>
                </c:pt>
                <c:pt idx="1362">
                  <c:v>5361275.1916573625</c:v>
                </c:pt>
                <c:pt idx="1363">
                  <c:v>5363922.5302709155</c:v>
                </c:pt>
                <c:pt idx="1364">
                  <c:v>5366569.8688844666</c:v>
                </c:pt>
                <c:pt idx="1365">
                  <c:v>5369217.2074980177</c:v>
                </c:pt>
                <c:pt idx="1366">
                  <c:v>5371864.5461115697</c:v>
                </c:pt>
                <c:pt idx="1367">
                  <c:v>5374511.8847251218</c:v>
                </c:pt>
                <c:pt idx="1368">
                  <c:v>5377159.2233386729</c:v>
                </c:pt>
                <c:pt idx="1369">
                  <c:v>5379806.5619522249</c:v>
                </c:pt>
                <c:pt idx="1370">
                  <c:v>5382453.900565777</c:v>
                </c:pt>
                <c:pt idx="1371">
                  <c:v>5385101.2391793281</c:v>
                </c:pt>
                <c:pt idx="1372">
                  <c:v>5387748.5777928792</c:v>
                </c:pt>
                <c:pt idx="1373">
                  <c:v>5390395.9164064312</c:v>
                </c:pt>
                <c:pt idx="1374">
                  <c:v>5393043.2550199833</c:v>
                </c:pt>
                <c:pt idx="1375">
                  <c:v>5395690.5936335344</c:v>
                </c:pt>
                <c:pt idx="1376">
                  <c:v>5398337.9322470864</c:v>
                </c:pt>
                <c:pt idx="1377">
                  <c:v>5400985.2708606385</c:v>
                </c:pt>
                <c:pt idx="1378">
                  <c:v>5403632.6094741896</c:v>
                </c:pt>
                <c:pt idx="1379">
                  <c:v>5406279.9480877416</c:v>
                </c:pt>
                <c:pt idx="1380">
                  <c:v>5408927.2867012937</c:v>
                </c:pt>
                <c:pt idx="1381">
                  <c:v>5411574.6253148448</c:v>
                </c:pt>
                <c:pt idx="1382">
                  <c:v>5414221.9639283959</c:v>
                </c:pt>
                <c:pt idx="1383">
                  <c:v>5416869.3025419479</c:v>
                </c:pt>
                <c:pt idx="1384">
                  <c:v>5419516.6411555</c:v>
                </c:pt>
                <c:pt idx="1385">
                  <c:v>5422163.9797690511</c:v>
                </c:pt>
                <c:pt idx="1386">
                  <c:v>5424811.3183826031</c:v>
                </c:pt>
                <c:pt idx="1387">
                  <c:v>5427458.6569961552</c:v>
                </c:pt>
                <c:pt idx="1388">
                  <c:v>5430105.9956097063</c:v>
                </c:pt>
                <c:pt idx="1389">
                  <c:v>5432753.3342232574</c:v>
                </c:pt>
                <c:pt idx="1390">
                  <c:v>5435400.6728368104</c:v>
                </c:pt>
                <c:pt idx="1391">
                  <c:v>5438048.0114503615</c:v>
                </c:pt>
                <c:pt idx="1392">
                  <c:v>5440695.3500639126</c:v>
                </c:pt>
                <c:pt idx="1393">
                  <c:v>5443342.6886774646</c:v>
                </c:pt>
                <c:pt idx="1394">
                  <c:v>5445990.0272910167</c:v>
                </c:pt>
                <c:pt idx="1395">
                  <c:v>5448637.3659045678</c:v>
                </c:pt>
                <c:pt idx="1396">
                  <c:v>5451284.7045181198</c:v>
                </c:pt>
                <c:pt idx="1397">
                  <c:v>5453932.0431316718</c:v>
                </c:pt>
                <c:pt idx="1398">
                  <c:v>5456579.381745223</c:v>
                </c:pt>
                <c:pt idx="1399">
                  <c:v>5459226.7203587741</c:v>
                </c:pt>
                <c:pt idx="1400">
                  <c:v>5461874.0589723261</c:v>
                </c:pt>
                <c:pt idx="1401">
                  <c:v>5464521.3975858781</c:v>
                </c:pt>
                <c:pt idx="1402">
                  <c:v>5467168.7361994293</c:v>
                </c:pt>
                <c:pt idx="1403">
                  <c:v>5469816.0748129813</c:v>
                </c:pt>
                <c:pt idx="1404">
                  <c:v>5472463.4134265333</c:v>
                </c:pt>
                <c:pt idx="1405">
                  <c:v>5475110.7520400845</c:v>
                </c:pt>
                <c:pt idx="1406">
                  <c:v>5477758.0906536365</c:v>
                </c:pt>
                <c:pt idx="1407">
                  <c:v>5480405.4292671885</c:v>
                </c:pt>
                <c:pt idx="1408">
                  <c:v>5483052.7678807396</c:v>
                </c:pt>
                <c:pt idx="1409">
                  <c:v>5485700.1064942908</c:v>
                </c:pt>
                <c:pt idx="1410">
                  <c:v>5488347.4451078428</c:v>
                </c:pt>
                <c:pt idx="1411">
                  <c:v>5490994.7837213948</c:v>
                </c:pt>
                <c:pt idx="1412">
                  <c:v>5493642.1223349459</c:v>
                </c:pt>
                <c:pt idx="1413">
                  <c:v>5496289.460948498</c:v>
                </c:pt>
                <c:pt idx="1414">
                  <c:v>5498936.79956205</c:v>
                </c:pt>
                <c:pt idx="1415">
                  <c:v>5501584.1381756011</c:v>
                </c:pt>
                <c:pt idx="1416">
                  <c:v>5504231.4767891522</c:v>
                </c:pt>
                <c:pt idx="1417">
                  <c:v>5506878.8154027052</c:v>
                </c:pt>
                <c:pt idx="1418">
                  <c:v>5509526.1540162563</c:v>
                </c:pt>
                <c:pt idx="1419">
                  <c:v>5512173.4926298074</c:v>
                </c:pt>
                <c:pt idx="1420">
                  <c:v>5514820.8312433595</c:v>
                </c:pt>
                <c:pt idx="1421">
                  <c:v>5517468.1698569115</c:v>
                </c:pt>
                <c:pt idx="1422">
                  <c:v>5520115.5084704626</c:v>
                </c:pt>
                <c:pt idx="1423">
                  <c:v>5522762.8470840147</c:v>
                </c:pt>
                <c:pt idx="1424">
                  <c:v>5525410.1856975667</c:v>
                </c:pt>
                <c:pt idx="1425">
                  <c:v>5528057.5243111178</c:v>
                </c:pt>
                <c:pt idx="1426">
                  <c:v>5530704.8629246689</c:v>
                </c:pt>
                <c:pt idx="1427">
                  <c:v>5533352.201538221</c:v>
                </c:pt>
                <c:pt idx="1428">
                  <c:v>5535999.540151773</c:v>
                </c:pt>
                <c:pt idx="1429">
                  <c:v>5538646.8787653241</c:v>
                </c:pt>
                <c:pt idx="1430">
                  <c:v>5541294.2173788762</c:v>
                </c:pt>
                <c:pt idx="1431">
                  <c:v>5543941.5559924282</c:v>
                </c:pt>
                <c:pt idx="1432">
                  <c:v>5546588.8946059793</c:v>
                </c:pt>
                <c:pt idx="1433">
                  <c:v>5549236.2332195304</c:v>
                </c:pt>
                <c:pt idx="1434">
                  <c:v>5551883.5718330834</c:v>
                </c:pt>
                <c:pt idx="1435">
                  <c:v>5554530.9104466345</c:v>
                </c:pt>
                <c:pt idx="1436">
                  <c:v>5557178.2490601856</c:v>
                </c:pt>
                <c:pt idx="1437">
                  <c:v>5559825.5876737377</c:v>
                </c:pt>
                <c:pt idx="1438">
                  <c:v>5562472.9262872897</c:v>
                </c:pt>
                <c:pt idx="1439">
                  <c:v>5565120.2649008408</c:v>
                </c:pt>
                <c:pt idx="1440">
                  <c:v>5567767.6035143929</c:v>
                </c:pt>
                <c:pt idx="1441">
                  <c:v>5570414.9421279449</c:v>
                </c:pt>
                <c:pt idx="1442">
                  <c:v>5573062.280741496</c:v>
                </c:pt>
                <c:pt idx="1443">
                  <c:v>5575709.6193550471</c:v>
                </c:pt>
                <c:pt idx="1444">
                  <c:v>5578356.9579686001</c:v>
                </c:pt>
                <c:pt idx="1445">
                  <c:v>5581004.2965821512</c:v>
                </c:pt>
                <c:pt idx="1446">
                  <c:v>5583651.6351957023</c:v>
                </c:pt>
                <c:pt idx="1447">
                  <c:v>5586298.9738092544</c:v>
                </c:pt>
                <c:pt idx="1448">
                  <c:v>5588946.3124228064</c:v>
                </c:pt>
                <c:pt idx="1449">
                  <c:v>5591593.6510363575</c:v>
                </c:pt>
                <c:pt idx="1450">
                  <c:v>5594240.9896499095</c:v>
                </c:pt>
                <c:pt idx="1451">
                  <c:v>5596888.3282634616</c:v>
                </c:pt>
                <c:pt idx="1452">
                  <c:v>5599535.6668770127</c:v>
                </c:pt>
                <c:pt idx="1453">
                  <c:v>5602183.0054905638</c:v>
                </c:pt>
                <c:pt idx="1454">
                  <c:v>5604830.3441041159</c:v>
                </c:pt>
                <c:pt idx="1455">
                  <c:v>5607477.6827176679</c:v>
                </c:pt>
                <c:pt idx="1456">
                  <c:v>5610125.021331219</c:v>
                </c:pt>
                <c:pt idx="1457">
                  <c:v>5612772.359944771</c:v>
                </c:pt>
                <c:pt idx="1458">
                  <c:v>5615419.6985583231</c:v>
                </c:pt>
                <c:pt idx="1459">
                  <c:v>5618067.0371718742</c:v>
                </c:pt>
                <c:pt idx="1460">
                  <c:v>5620714.3757854253</c:v>
                </c:pt>
                <c:pt idx="1461">
                  <c:v>5623361.7143989783</c:v>
                </c:pt>
                <c:pt idx="1462">
                  <c:v>5626009.0530125294</c:v>
                </c:pt>
                <c:pt idx="1463">
                  <c:v>5628656.3916260805</c:v>
                </c:pt>
                <c:pt idx="1464">
                  <c:v>5631303.7302396325</c:v>
                </c:pt>
                <c:pt idx="1465">
                  <c:v>5633951.0688531846</c:v>
                </c:pt>
                <c:pt idx="1466">
                  <c:v>5636598.4074667357</c:v>
                </c:pt>
                <c:pt idx="1467">
                  <c:v>5639245.7460802877</c:v>
                </c:pt>
                <c:pt idx="1468">
                  <c:v>5641893.0846938398</c:v>
                </c:pt>
                <c:pt idx="1469">
                  <c:v>5644540.4233073909</c:v>
                </c:pt>
                <c:pt idx="1470">
                  <c:v>5647187.761920942</c:v>
                </c:pt>
                <c:pt idx="1471">
                  <c:v>5649835.100534495</c:v>
                </c:pt>
                <c:pt idx="1472">
                  <c:v>5652482.4391480461</c:v>
                </c:pt>
                <c:pt idx="1473">
                  <c:v>5655129.7777615972</c:v>
                </c:pt>
                <c:pt idx="1474">
                  <c:v>5657777.1163751492</c:v>
                </c:pt>
                <c:pt idx="1475">
                  <c:v>5660424.4549887013</c:v>
                </c:pt>
                <c:pt idx="1476">
                  <c:v>5663071.7936022524</c:v>
                </c:pt>
                <c:pt idx="1477">
                  <c:v>5665719.1322158044</c:v>
                </c:pt>
                <c:pt idx="1478">
                  <c:v>5668366.4708293565</c:v>
                </c:pt>
                <c:pt idx="1479">
                  <c:v>5671013.8094429076</c:v>
                </c:pt>
                <c:pt idx="1480">
                  <c:v>5673661.1480564587</c:v>
                </c:pt>
                <c:pt idx="1481">
                  <c:v>5676308.4866700107</c:v>
                </c:pt>
                <c:pt idx="1482">
                  <c:v>5678955.8252835628</c:v>
                </c:pt>
                <c:pt idx="1483">
                  <c:v>5681603.1638971139</c:v>
                </c:pt>
                <c:pt idx="1484">
                  <c:v>5684250.5025106659</c:v>
                </c:pt>
                <c:pt idx="1485">
                  <c:v>5686897.841124218</c:v>
                </c:pt>
                <c:pt idx="1486">
                  <c:v>5689545.1797377691</c:v>
                </c:pt>
                <c:pt idx="1487">
                  <c:v>5692192.5183513202</c:v>
                </c:pt>
                <c:pt idx="1488">
                  <c:v>5694839.8569648731</c:v>
                </c:pt>
                <c:pt idx="1489">
                  <c:v>5697487.1955784243</c:v>
                </c:pt>
                <c:pt idx="1490">
                  <c:v>5700134.5341919754</c:v>
                </c:pt>
                <c:pt idx="1491">
                  <c:v>5702781.8728055274</c:v>
                </c:pt>
                <c:pt idx="1492">
                  <c:v>5705429.2114190795</c:v>
                </c:pt>
                <c:pt idx="1493">
                  <c:v>5708076.5500326306</c:v>
                </c:pt>
                <c:pt idx="1494">
                  <c:v>5710723.8886461826</c:v>
                </c:pt>
                <c:pt idx="1495">
                  <c:v>5713371.2272597346</c:v>
                </c:pt>
                <c:pt idx="1496">
                  <c:v>5716018.5658732858</c:v>
                </c:pt>
                <c:pt idx="1497">
                  <c:v>5718665.9044868369</c:v>
                </c:pt>
                <c:pt idx="1498">
                  <c:v>5721313.2431003889</c:v>
                </c:pt>
                <c:pt idx="1499">
                  <c:v>5723960.5817139409</c:v>
                </c:pt>
                <c:pt idx="1500">
                  <c:v>5726607.9203274921</c:v>
                </c:pt>
                <c:pt idx="1501">
                  <c:v>5729255.2589410441</c:v>
                </c:pt>
                <c:pt idx="1502">
                  <c:v>5731902.5975545961</c:v>
                </c:pt>
                <c:pt idx="1503">
                  <c:v>5734549.9361681473</c:v>
                </c:pt>
                <c:pt idx="1504">
                  <c:v>5737197.2747816993</c:v>
                </c:pt>
                <c:pt idx="1505">
                  <c:v>5739844.6133952513</c:v>
                </c:pt>
                <c:pt idx="1506">
                  <c:v>5742491.9520088024</c:v>
                </c:pt>
                <c:pt idx="1507">
                  <c:v>5745139.2906223536</c:v>
                </c:pt>
                <c:pt idx="1508">
                  <c:v>5747786.6292359056</c:v>
                </c:pt>
                <c:pt idx="1509">
                  <c:v>5750433.9678494576</c:v>
                </c:pt>
                <c:pt idx="1510">
                  <c:v>5753081.3064630087</c:v>
                </c:pt>
                <c:pt idx="1511">
                  <c:v>5755728.6450765608</c:v>
                </c:pt>
                <c:pt idx="1512">
                  <c:v>5758375.9836901128</c:v>
                </c:pt>
                <c:pt idx="1513">
                  <c:v>5761023.3223036639</c:v>
                </c:pt>
                <c:pt idx="1514">
                  <c:v>5763670.660917215</c:v>
                </c:pt>
                <c:pt idx="1515">
                  <c:v>5766317.999530768</c:v>
                </c:pt>
                <c:pt idx="1516">
                  <c:v>5768965.3381443191</c:v>
                </c:pt>
                <c:pt idx="1517">
                  <c:v>5771612.6767578702</c:v>
                </c:pt>
                <c:pt idx="1518">
                  <c:v>5774260.0153714223</c:v>
                </c:pt>
                <c:pt idx="1519">
                  <c:v>5776907.3539849743</c:v>
                </c:pt>
                <c:pt idx="1520">
                  <c:v>5779554.6925985254</c:v>
                </c:pt>
                <c:pt idx="1521">
                  <c:v>5782202.0312120775</c:v>
                </c:pt>
                <c:pt idx="1522">
                  <c:v>5784849.3698256295</c:v>
                </c:pt>
                <c:pt idx="1523">
                  <c:v>5787496.7084391806</c:v>
                </c:pt>
                <c:pt idx="1524">
                  <c:v>5790144.0470527317</c:v>
                </c:pt>
                <c:pt idx="1525">
                  <c:v>5792791.3856662838</c:v>
                </c:pt>
                <c:pt idx="1526">
                  <c:v>5795438.7242798358</c:v>
                </c:pt>
                <c:pt idx="1527">
                  <c:v>5798086.0628933869</c:v>
                </c:pt>
                <c:pt idx="1528">
                  <c:v>5800733.401506939</c:v>
                </c:pt>
                <c:pt idx="1529">
                  <c:v>5803380.740120491</c:v>
                </c:pt>
                <c:pt idx="1530">
                  <c:v>5806028.0787340421</c:v>
                </c:pt>
                <c:pt idx="1531">
                  <c:v>5808675.4173475942</c:v>
                </c:pt>
                <c:pt idx="1532">
                  <c:v>5811322.7559611462</c:v>
                </c:pt>
                <c:pt idx="1533">
                  <c:v>5813970.0945746973</c:v>
                </c:pt>
                <c:pt idx="1534">
                  <c:v>5816617.4331882484</c:v>
                </c:pt>
                <c:pt idx="1535">
                  <c:v>5819264.7718018005</c:v>
                </c:pt>
                <c:pt idx="1536">
                  <c:v>5821912.1104153525</c:v>
                </c:pt>
                <c:pt idx="1537">
                  <c:v>5824559.4490289036</c:v>
                </c:pt>
                <c:pt idx="1538">
                  <c:v>5827206.7876424557</c:v>
                </c:pt>
                <c:pt idx="1539">
                  <c:v>5829854.1262560077</c:v>
                </c:pt>
                <c:pt idx="1540">
                  <c:v>5832501.4648695588</c:v>
                </c:pt>
                <c:pt idx="1541">
                  <c:v>5835148.8034831099</c:v>
                </c:pt>
                <c:pt idx="1542">
                  <c:v>5837796.1420966629</c:v>
                </c:pt>
                <c:pt idx="1543">
                  <c:v>5840443.480710214</c:v>
                </c:pt>
                <c:pt idx="1544">
                  <c:v>5843090.8193237651</c:v>
                </c:pt>
                <c:pt idx="1545">
                  <c:v>5845738.1579373172</c:v>
                </c:pt>
                <c:pt idx="1546">
                  <c:v>5848385.4965508692</c:v>
                </c:pt>
                <c:pt idx="1547">
                  <c:v>5851032.8351644203</c:v>
                </c:pt>
                <c:pt idx="1548">
                  <c:v>5853680.1737779723</c:v>
                </c:pt>
                <c:pt idx="1549">
                  <c:v>5856327.5123915244</c:v>
                </c:pt>
                <c:pt idx="1550">
                  <c:v>5858974.8510050755</c:v>
                </c:pt>
                <c:pt idx="1551">
                  <c:v>5861622.1896186266</c:v>
                </c:pt>
                <c:pt idx="1552">
                  <c:v>5864269.5282321787</c:v>
                </c:pt>
                <c:pt idx="1553">
                  <c:v>5866916.8668457307</c:v>
                </c:pt>
                <c:pt idx="1554">
                  <c:v>5869564.2054592818</c:v>
                </c:pt>
                <c:pt idx="1555">
                  <c:v>5872211.5440728338</c:v>
                </c:pt>
                <c:pt idx="1556">
                  <c:v>5874858.8826863859</c:v>
                </c:pt>
                <c:pt idx="1557">
                  <c:v>5877506.221299937</c:v>
                </c:pt>
                <c:pt idx="1558">
                  <c:v>5880153.559913489</c:v>
                </c:pt>
                <c:pt idx="1559">
                  <c:v>5882800.8985270411</c:v>
                </c:pt>
                <c:pt idx="1560">
                  <c:v>5885448.2371405922</c:v>
                </c:pt>
                <c:pt idx="1561">
                  <c:v>5888095.5757541433</c:v>
                </c:pt>
                <c:pt idx="1562">
                  <c:v>5890742.9143676953</c:v>
                </c:pt>
                <c:pt idx="1563">
                  <c:v>5893390.2529812474</c:v>
                </c:pt>
                <c:pt idx="1564">
                  <c:v>5896037.5915947985</c:v>
                </c:pt>
                <c:pt idx="1565">
                  <c:v>5898684.9302083505</c:v>
                </c:pt>
                <c:pt idx="1566">
                  <c:v>5901332.2688219026</c:v>
                </c:pt>
                <c:pt idx="1567">
                  <c:v>5903979.6074354537</c:v>
                </c:pt>
                <c:pt idx="1568">
                  <c:v>5906626.9460490048</c:v>
                </c:pt>
                <c:pt idx="1569">
                  <c:v>5909274.2846625578</c:v>
                </c:pt>
                <c:pt idx="1570">
                  <c:v>5911921.6232761089</c:v>
                </c:pt>
                <c:pt idx="1571">
                  <c:v>5914568.96188966</c:v>
                </c:pt>
                <c:pt idx="1572">
                  <c:v>5917216.300503212</c:v>
                </c:pt>
                <c:pt idx="1573">
                  <c:v>5919863.6391167641</c:v>
                </c:pt>
                <c:pt idx="1574">
                  <c:v>5922510.9777303152</c:v>
                </c:pt>
                <c:pt idx="1575">
                  <c:v>5925158.3163438672</c:v>
                </c:pt>
                <c:pt idx="1576">
                  <c:v>5927805.6549574193</c:v>
                </c:pt>
                <c:pt idx="1577">
                  <c:v>5930452.9935709704</c:v>
                </c:pt>
                <c:pt idx="1578">
                  <c:v>5933100.3321845215</c:v>
                </c:pt>
                <c:pt idx="1579">
                  <c:v>5935747.6707980735</c:v>
                </c:pt>
                <c:pt idx="1580">
                  <c:v>5938395.0094116256</c:v>
                </c:pt>
                <c:pt idx="1581">
                  <c:v>5941042.3480251767</c:v>
                </c:pt>
                <c:pt idx="1582">
                  <c:v>5943689.6866387287</c:v>
                </c:pt>
                <c:pt idx="1583">
                  <c:v>5946337.0252522808</c:v>
                </c:pt>
                <c:pt idx="1584">
                  <c:v>5948984.3638658319</c:v>
                </c:pt>
                <c:pt idx="1585">
                  <c:v>5951631.7024793839</c:v>
                </c:pt>
                <c:pt idx="1586">
                  <c:v>5954279.041092935</c:v>
                </c:pt>
                <c:pt idx="1587">
                  <c:v>5956926.3797064871</c:v>
                </c:pt>
                <c:pt idx="1588">
                  <c:v>5959573.7183200391</c:v>
                </c:pt>
                <c:pt idx="1589">
                  <c:v>5962221.0569335902</c:v>
                </c:pt>
                <c:pt idx="1590">
                  <c:v>5964868.3955471423</c:v>
                </c:pt>
                <c:pt idx="1591">
                  <c:v>5967515.7341606934</c:v>
                </c:pt>
                <c:pt idx="1592">
                  <c:v>5970163.0727742454</c:v>
                </c:pt>
                <c:pt idx="1593">
                  <c:v>5972810.4113877974</c:v>
                </c:pt>
                <c:pt idx="1594">
                  <c:v>5975457.7500013486</c:v>
                </c:pt>
                <c:pt idx="1595">
                  <c:v>5978105.0886149006</c:v>
                </c:pt>
                <c:pt idx="1596">
                  <c:v>5980752.4272284517</c:v>
                </c:pt>
                <c:pt idx="1597">
                  <c:v>5983399.7658420037</c:v>
                </c:pt>
                <c:pt idx="1598">
                  <c:v>5986047.1044555549</c:v>
                </c:pt>
                <c:pt idx="1599">
                  <c:v>5988694.4430691069</c:v>
                </c:pt>
                <c:pt idx="1600">
                  <c:v>5991341.7816826589</c:v>
                </c:pt>
                <c:pt idx="1601">
                  <c:v>5993989.1202962101</c:v>
                </c:pt>
                <c:pt idx="1602">
                  <c:v>5996636.4589097621</c:v>
                </c:pt>
                <c:pt idx="1603">
                  <c:v>5999283.7975233132</c:v>
                </c:pt>
                <c:pt idx="1604">
                  <c:v>6001931.1361368652</c:v>
                </c:pt>
                <c:pt idx="1605">
                  <c:v>6004578.4747504173</c:v>
                </c:pt>
                <c:pt idx="1606">
                  <c:v>6007225.8133639684</c:v>
                </c:pt>
                <c:pt idx="1607">
                  <c:v>6009873.1519775204</c:v>
                </c:pt>
                <c:pt idx="1608">
                  <c:v>6012520.4905910715</c:v>
                </c:pt>
                <c:pt idx="1609">
                  <c:v>6015167.8292046236</c:v>
                </c:pt>
                <c:pt idx="1610">
                  <c:v>6017815.1678181756</c:v>
                </c:pt>
                <c:pt idx="1611">
                  <c:v>6020462.5064317267</c:v>
                </c:pt>
                <c:pt idx="1612">
                  <c:v>6023109.8450452788</c:v>
                </c:pt>
                <c:pt idx="1613">
                  <c:v>6025757.1836588299</c:v>
                </c:pt>
                <c:pt idx="1614">
                  <c:v>6028404.5222723819</c:v>
                </c:pt>
                <c:pt idx="1615">
                  <c:v>6031051.860885934</c:v>
                </c:pt>
                <c:pt idx="1616">
                  <c:v>6033699.1994994851</c:v>
                </c:pt>
                <c:pt idx="1617">
                  <c:v>6036346.5381130371</c:v>
                </c:pt>
                <c:pt idx="1618">
                  <c:v>6038993.8767265882</c:v>
                </c:pt>
                <c:pt idx="1619">
                  <c:v>6041641.2153401403</c:v>
                </c:pt>
                <c:pt idx="1620">
                  <c:v>6044288.5539536923</c:v>
                </c:pt>
                <c:pt idx="1621">
                  <c:v>6046935.8925672434</c:v>
                </c:pt>
                <c:pt idx="1622">
                  <c:v>6049583.2311807955</c:v>
                </c:pt>
                <c:pt idx="1623">
                  <c:v>6052230.5697943466</c:v>
                </c:pt>
                <c:pt idx="1624">
                  <c:v>6054877.9084078986</c:v>
                </c:pt>
                <c:pt idx="1625">
                  <c:v>6057525.2470214497</c:v>
                </c:pt>
                <c:pt idx="1626">
                  <c:v>6060172.5856350018</c:v>
                </c:pt>
                <c:pt idx="1627">
                  <c:v>6062819.9242485538</c:v>
                </c:pt>
                <c:pt idx="1628">
                  <c:v>6065467.2628621049</c:v>
                </c:pt>
                <c:pt idx="1629">
                  <c:v>6068114.601475657</c:v>
                </c:pt>
                <c:pt idx="1630">
                  <c:v>6070761.9400892081</c:v>
                </c:pt>
                <c:pt idx="1631">
                  <c:v>6073409.2787027601</c:v>
                </c:pt>
                <c:pt idx="1632">
                  <c:v>6076056.6173163122</c:v>
                </c:pt>
                <c:pt idx="1633">
                  <c:v>6078703.9559298633</c:v>
                </c:pt>
                <c:pt idx="1634">
                  <c:v>6081351.2945434153</c:v>
                </c:pt>
                <c:pt idx="1635">
                  <c:v>6083998.6331569664</c:v>
                </c:pt>
                <c:pt idx="1636">
                  <c:v>6086645.9717705185</c:v>
                </c:pt>
                <c:pt idx="1637">
                  <c:v>6089293.3103840705</c:v>
                </c:pt>
                <c:pt idx="1638">
                  <c:v>6091940.6489976216</c:v>
                </c:pt>
                <c:pt idx="1639">
                  <c:v>6094587.9876111737</c:v>
                </c:pt>
                <c:pt idx="1640">
                  <c:v>6097235.3262247248</c:v>
                </c:pt>
                <c:pt idx="1641">
                  <c:v>6099882.6648382768</c:v>
                </c:pt>
                <c:pt idx="1642">
                  <c:v>6102530.0034518288</c:v>
                </c:pt>
                <c:pt idx="1643">
                  <c:v>6105177.34206538</c:v>
                </c:pt>
                <c:pt idx="1644">
                  <c:v>6107824.680678932</c:v>
                </c:pt>
                <c:pt idx="1645">
                  <c:v>6110472.0192924831</c:v>
                </c:pt>
                <c:pt idx="1646">
                  <c:v>6113119.3579060351</c:v>
                </c:pt>
                <c:pt idx="1647">
                  <c:v>6115766.6965195863</c:v>
                </c:pt>
                <c:pt idx="1648">
                  <c:v>6118414.0351331383</c:v>
                </c:pt>
                <c:pt idx="1649">
                  <c:v>6121061.3737466903</c:v>
                </c:pt>
                <c:pt idx="1650">
                  <c:v>6123708.7123602415</c:v>
                </c:pt>
                <c:pt idx="1651">
                  <c:v>6126356.0509737935</c:v>
                </c:pt>
                <c:pt idx="1652">
                  <c:v>6129003.3895873446</c:v>
                </c:pt>
                <c:pt idx="1653">
                  <c:v>6131650.7282008966</c:v>
                </c:pt>
                <c:pt idx="1654">
                  <c:v>6134298.0668144487</c:v>
                </c:pt>
                <c:pt idx="1655">
                  <c:v>6136945.4054279998</c:v>
                </c:pt>
                <c:pt idx="1656">
                  <c:v>6139592.7440415518</c:v>
                </c:pt>
                <c:pt idx="1657">
                  <c:v>6142240.0826551029</c:v>
                </c:pt>
                <c:pt idx="1658">
                  <c:v>6144887.421268655</c:v>
                </c:pt>
                <c:pt idx="1659">
                  <c:v>6147534.759882207</c:v>
                </c:pt>
                <c:pt idx="1660">
                  <c:v>6150182.0984957581</c:v>
                </c:pt>
                <c:pt idx="1661">
                  <c:v>6152829.4371093102</c:v>
                </c:pt>
                <c:pt idx="1662">
                  <c:v>6155476.7757228613</c:v>
                </c:pt>
                <c:pt idx="1663">
                  <c:v>6158124.1143364133</c:v>
                </c:pt>
                <c:pt idx="1664">
                  <c:v>6160771.4529499654</c:v>
                </c:pt>
                <c:pt idx="1665">
                  <c:v>6163418.7915635165</c:v>
                </c:pt>
                <c:pt idx="1666">
                  <c:v>6166066.1301770685</c:v>
                </c:pt>
                <c:pt idx="1667">
                  <c:v>6168713.4687906196</c:v>
                </c:pt>
                <c:pt idx="1668">
                  <c:v>6171360.8074041717</c:v>
                </c:pt>
                <c:pt idx="1669">
                  <c:v>6174008.1460177237</c:v>
                </c:pt>
                <c:pt idx="1670">
                  <c:v>6176655.4846312748</c:v>
                </c:pt>
                <c:pt idx="1671">
                  <c:v>6179302.8232448269</c:v>
                </c:pt>
                <c:pt idx="1672">
                  <c:v>6181950.161858378</c:v>
                </c:pt>
                <c:pt idx="1673">
                  <c:v>6184597.50047193</c:v>
                </c:pt>
                <c:pt idx="1674">
                  <c:v>6187244.8390854811</c:v>
                </c:pt>
                <c:pt idx="1675">
                  <c:v>6189892.1776990332</c:v>
                </c:pt>
                <c:pt idx="1676">
                  <c:v>6192539.5163125852</c:v>
                </c:pt>
                <c:pt idx="1677">
                  <c:v>6195186.8549261363</c:v>
                </c:pt>
                <c:pt idx="1678">
                  <c:v>6197834.1935396884</c:v>
                </c:pt>
                <c:pt idx="1679">
                  <c:v>6200481.5321532395</c:v>
                </c:pt>
                <c:pt idx="1680">
                  <c:v>6203128.8707667915</c:v>
                </c:pt>
                <c:pt idx="1681">
                  <c:v>6205776.2093803436</c:v>
                </c:pt>
                <c:pt idx="1682">
                  <c:v>6208423.5479938947</c:v>
                </c:pt>
                <c:pt idx="1683">
                  <c:v>6211070.8866074467</c:v>
                </c:pt>
                <c:pt idx="1684">
                  <c:v>6213718.2252209978</c:v>
                </c:pt>
                <c:pt idx="1685">
                  <c:v>6216365.5638345499</c:v>
                </c:pt>
                <c:pt idx="1686">
                  <c:v>6219012.9024481019</c:v>
                </c:pt>
                <c:pt idx="1687">
                  <c:v>6221660.241061653</c:v>
                </c:pt>
                <c:pt idx="1688">
                  <c:v>6224307.5796752051</c:v>
                </c:pt>
                <c:pt idx="1689">
                  <c:v>6226954.9182887562</c:v>
                </c:pt>
                <c:pt idx="1690">
                  <c:v>6229602.2569023082</c:v>
                </c:pt>
                <c:pt idx="1691">
                  <c:v>6232249.5955158602</c:v>
                </c:pt>
                <c:pt idx="1692">
                  <c:v>6234896.9341294114</c:v>
                </c:pt>
                <c:pt idx="1693">
                  <c:v>6237544.2727429634</c:v>
                </c:pt>
                <c:pt idx="1694">
                  <c:v>6240191.6113565145</c:v>
                </c:pt>
                <c:pt idx="1695">
                  <c:v>6242838.9499700665</c:v>
                </c:pt>
                <c:pt idx="1696">
                  <c:v>6245486.2885836186</c:v>
                </c:pt>
                <c:pt idx="1697">
                  <c:v>6248133.6271971697</c:v>
                </c:pt>
                <c:pt idx="1698">
                  <c:v>6250780.9658107217</c:v>
                </c:pt>
                <c:pt idx="1699">
                  <c:v>6253428.3044242729</c:v>
                </c:pt>
                <c:pt idx="1700">
                  <c:v>6256075.6430378249</c:v>
                </c:pt>
                <c:pt idx="1701">
                  <c:v>6258722.981651376</c:v>
                </c:pt>
                <c:pt idx="1702">
                  <c:v>6261370.320264928</c:v>
                </c:pt>
                <c:pt idx="1703">
                  <c:v>6264017.6588784801</c:v>
                </c:pt>
                <c:pt idx="1704">
                  <c:v>6266664.9974920312</c:v>
                </c:pt>
                <c:pt idx="1705">
                  <c:v>6269312.3361055832</c:v>
                </c:pt>
                <c:pt idx="1706">
                  <c:v>6271959.6747191343</c:v>
                </c:pt>
                <c:pt idx="1707">
                  <c:v>6274607.0133326864</c:v>
                </c:pt>
                <c:pt idx="1708">
                  <c:v>6277254.3519462384</c:v>
                </c:pt>
                <c:pt idx="1709">
                  <c:v>6279901.6905597895</c:v>
                </c:pt>
                <c:pt idx="1710">
                  <c:v>6282549.0291733416</c:v>
                </c:pt>
                <c:pt idx="1711">
                  <c:v>6285196.3677868927</c:v>
                </c:pt>
                <c:pt idx="1712">
                  <c:v>6287843.7064004447</c:v>
                </c:pt>
                <c:pt idx="1713">
                  <c:v>6290491.0450139968</c:v>
                </c:pt>
                <c:pt idx="1714">
                  <c:v>6293138.3836275479</c:v>
                </c:pt>
                <c:pt idx="1715">
                  <c:v>6295785.7222410999</c:v>
                </c:pt>
                <c:pt idx="1716">
                  <c:v>6298433.060854651</c:v>
                </c:pt>
                <c:pt idx="1717">
                  <c:v>6301080.3994682031</c:v>
                </c:pt>
                <c:pt idx="1718">
                  <c:v>6303727.7380817551</c:v>
                </c:pt>
                <c:pt idx="1719">
                  <c:v>6306375.0766953062</c:v>
                </c:pt>
                <c:pt idx="1720">
                  <c:v>6309022.4153088583</c:v>
                </c:pt>
                <c:pt idx="1721">
                  <c:v>6311669.7539224094</c:v>
                </c:pt>
                <c:pt idx="1722">
                  <c:v>6314317.0925359614</c:v>
                </c:pt>
                <c:pt idx="1723">
                  <c:v>6316964.4311495135</c:v>
                </c:pt>
                <c:pt idx="1724">
                  <c:v>6319611.7697630646</c:v>
                </c:pt>
                <c:pt idx="1725">
                  <c:v>6322259.1083766166</c:v>
                </c:pt>
                <c:pt idx="1726">
                  <c:v>6324906.4469901677</c:v>
                </c:pt>
                <c:pt idx="1727">
                  <c:v>6327553.7856037198</c:v>
                </c:pt>
                <c:pt idx="1728">
                  <c:v>6330201.1242172709</c:v>
                </c:pt>
                <c:pt idx="1729">
                  <c:v>6332848.4628308229</c:v>
                </c:pt>
                <c:pt idx="1730">
                  <c:v>6335495.801444375</c:v>
                </c:pt>
                <c:pt idx="1731">
                  <c:v>6338143.1400579261</c:v>
                </c:pt>
                <c:pt idx="1732">
                  <c:v>6340790.4786714781</c:v>
                </c:pt>
                <c:pt idx="1733">
                  <c:v>6343437.8172850292</c:v>
                </c:pt>
                <c:pt idx="1734">
                  <c:v>6346085.1558985813</c:v>
                </c:pt>
                <c:pt idx="1735">
                  <c:v>6348732.4945121333</c:v>
                </c:pt>
                <c:pt idx="1736">
                  <c:v>6351379.8331256844</c:v>
                </c:pt>
                <c:pt idx="1737">
                  <c:v>6354027.1717392365</c:v>
                </c:pt>
                <c:pt idx="1738">
                  <c:v>6356674.5103527876</c:v>
                </c:pt>
                <c:pt idx="1739">
                  <c:v>6359321.8489663396</c:v>
                </c:pt>
                <c:pt idx="1740">
                  <c:v>6361969.1875798916</c:v>
                </c:pt>
                <c:pt idx="1741">
                  <c:v>6364616.5261934428</c:v>
                </c:pt>
                <c:pt idx="1742">
                  <c:v>6367263.8648069948</c:v>
                </c:pt>
                <c:pt idx="1743">
                  <c:v>6369911.2034205459</c:v>
                </c:pt>
                <c:pt idx="1744">
                  <c:v>6372558.5420340979</c:v>
                </c:pt>
                <c:pt idx="1745">
                  <c:v>6375205.88064765</c:v>
                </c:pt>
                <c:pt idx="1746">
                  <c:v>6377853.2192612011</c:v>
                </c:pt>
                <c:pt idx="1747">
                  <c:v>6380500.5578747531</c:v>
                </c:pt>
                <c:pt idx="1748">
                  <c:v>6383147.8964883042</c:v>
                </c:pt>
                <c:pt idx="1749">
                  <c:v>6385795.2351018563</c:v>
                </c:pt>
                <c:pt idx="1750">
                  <c:v>6388442.5737154074</c:v>
                </c:pt>
                <c:pt idx="1751">
                  <c:v>6391089.9123289594</c:v>
                </c:pt>
                <c:pt idx="1752">
                  <c:v>6393737.2509425115</c:v>
                </c:pt>
                <c:pt idx="1753">
                  <c:v>6396384.5895560626</c:v>
                </c:pt>
                <c:pt idx="1754">
                  <c:v>6399031.9281696146</c:v>
                </c:pt>
                <c:pt idx="1755">
                  <c:v>6401679.2667831657</c:v>
                </c:pt>
                <c:pt idx="1756">
                  <c:v>6404326.6053967178</c:v>
                </c:pt>
                <c:pt idx="1757">
                  <c:v>6406973.9440102698</c:v>
                </c:pt>
                <c:pt idx="1758">
                  <c:v>6409621.2826238209</c:v>
                </c:pt>
                <c:pt idx="1759">
                  <c:v>6412268.621237373</c:v>
                </c:pt>
                <c:pt idx="1760">
                  <c:v>6414915.9598509241</c:v>
                </c:pt>
                <c:pt idx="1761">
                  <c:v>6417563.2984644761</c:v>
                </c:pt>
                <c:pt idx="1762">
                  <c:v>6420210.6370780282</c:v>
                </c:pt>
                <c:pt idx="1763">
                  <c:v>6422857.9756915793</c:v>
                </c:pt>
                <c:pt idx="1764">
                  <c:v>6425505.3143051313</c:v>
                </c:pt>
                <c:pt idx="1765">
                  <c:v>6428152.6529186824</c:v>
                </c:pt>
                <c:pt idx="1766">
                  <c:v>6430799.9915322345</c:v>
                </c:pt>
                <c:pt idx="1767">
                  <c:v>6433447.3301457865</c:v>
                </c:pt>
                <c:pt idx="1768">
                  <c:v>6436094.6687593376</c:v>
                </c:pt>
                <c:pt idx="1769">
                  <c:v>6438742.0073728897</c:v>
                </c:pt>
                <c:pt idx="1770">
                  <c:v>6441389.3459864408</c:v>
                </c:pt>
                <c:pt idx="1771">
                  <c:v>6444036.6845999928</c:v>
                </c:pt>
                <c:pt idx="1772">
                  <c:v>6446684.0232135449</c:v>
                </c:pt>
                <c:pt idx="1773">
                  <c:v>6449331.361827096</c:v>
                </c:pt>
                <c:pt idx="1774">
                  <c:v>6451978.700440648</c:v>
                </c:pt>
                <c:pt idx="1775">
                  <c:v>6454626.0390541991</c:v>
                </c:pt>
                <c:pt idx="1776">
                  <c:v>6457273.3776677512</c:v>
                </c:pt>
                <c:pt idx="1777">
                  <c:v>6459920.7162813023</c:v>
                </c:pt>
                <c:pt idx="1778">
                  <c:v>6462568.0548948543</c:v>
                </c:pt>
                <c:pt idx="1779">
                  <c:v>6465215.3935084064</c:v>
                </c:pt>
                <c:pt idx="1780">
                  <c:v>6467862.7321219575</c:v>
                </c:pt>
                <c:pt idx="1781">
                  <c:v>6470510.0707355095</c:v>
                </c:pt>
                <c:pt idx="1782">
                  <c:v>6473157.4093490606</c:v>
                </c:pt>
                <c:pt idx="1783">
                  <c:v>6475804.7479626127</c:v>
                </c:pt>
                <c:pt idx="1784">
                  <c:v>6478452.0865761647</c:v>
                </c:pt>
                <c:pt idx="1785">
                  <c:v>6481099.4251897158</c:v>
                </c:pt>
                <c:pt idx="1786">
                  <c:v>6483746.7638032679</c:v>
                </c:pt>
                <c:pt idx="1787">
                  <c:v>6486394.102416819</c:v>
                </c:pt>
                <c:pt idx="1788">
                  <c:v>6489041.441030371</c:v>
                </c:pt>
                <c:pt idx="1789">
                  <c:v>6491688.779643923</c:v>
                </c:pt>
                <c:pt idx="1790">
                  <c:v>6494336.1182574742</c:v>
                </c:pt>
                <c:pt idx="1791">
                  <c:v>6496983.4568710262</c:v>
                </c:pt>
                <c:pt idx="1792">
                  <c:v>6499630.7954845773</c:v>
                </c:pt>
                <c:pt idx="1793">
                  <c:v>6502278.1340981293</c:v>
                </c:pt>
                <c:pt idx="1794">
                  <c:v>6504925.4727116814</c:v>
                </c:pt>
                <c:pt idx="1795">
                  <c:v>6507572.8113252325</c:v>
                </c:pt>
                <c:pt idx="1796">
                  <c:v>6510220.1499387845</c:v>
                </c:pt>
                <c:pt idx="1797">
                  <c:v>6512867.4885523356</c:v>
                </c:pt>
                <c:pt idx="1798">
                  <c:v>6515514.8271658877</c:v>
                </c:pt>
                <c:pt idx="1799">
                  <c:v>6518162.1657794397</c:v>
                </c:pt>
                <c:pt idx="1800">
                  <c:v>6520809.5043929908</c:v>
                </c:pt>
                <c:pt idx="1801">
                  <c:v>6523456.8430065429</c:v>
                </c:pt>
                <c:pt idx="1802">
                  <c:v>6526104.181620094</c:v>
                </c:pt>
                <c:pt idx="1803">
                  <c:v>6528751.520233646</c:v>
                </c:pt>
                <c:pt idx="1804">
                  <c:v>6531398.8588471971</c:v>
                </c:pt>
                <c:pt idx="1805">
                  <c:v>6534046.1974607492</c:v>
                </c:pt>
                <c:pt idx="1806">
                  <c:v>6536693.5360743012</c:v>
                </c:pt>
                <c:pt idx="1807">
                  <c:v>6539340.8746878523</c:v>
                </c:pt>
                <c:pt idx="1808">
                  <c:v>6541988.2133014044</c:v>
                </c:pt>
                <c:pt idx="1809">
                  <c:v>6544635.5519149555</c:v>
                </c:pt>
                <c:pt idx="1810">
                  <c:v>6547282.8905285075</c:v>
                </c:pt>
                <c:pt idx="1811">
                  <c:v>6549930.2291420596</c:v>
                </c:pt>
                <c:pt idx="1812">
                  <c:v>6552577.5677556107</c:v>
                </c:pt>
                <c:pt idx="1813">
                  <c:v>6555224.9063691627</c:v>
                </c:pt>
                <c:pt idx="1814">
                  <c:v>6557872.2449827138</c:v>
                </c:pt>
                <c:pt idx="1815">
                  <c:v>6560519.5835962659</c:v>
                </c:pt>
                <c:pt idx="1816">
                  <c:v>6563166.9222098179</c:v>
                </c:pt>
                <c:pt idx="1817">
                  <c:v>6565814.260823369</c:v>
                </c:pt>
                <c:pt idx="1818">
                  <c:v>6568461.5994369211</c:v>
                </c:pt>
                <c:pt idx="1819">
                  <c:v>6571108.9380504722</c:v>
                </c:pt>
                <c:pt idx="1820">
                  <c:v>6573756.2766640242</c:v>
                </c:pt>
                <c:pt idx="1821">
                  <c:v>6576403.6152775763</c:v>
                </c:pt>
                <c:pt idx="1822">
                  <c:v>6579050.9538911274</c:v>
                </c:pt>
                <c:pt idx="1823">
                  <c:v>6581698.2925046794</c:v>
                </c:pt>
                <c:pt idx="1824">
                  <c:v>6584345.6311182305</c:v>
                </c:pt>
                <c:pt idx="1825">
                  <c:v>6586992.9697317826</c:v>
                </c:pt>
                <c:pt idx="1826">
                  <c:v>6589640.3083453346</c:v>
                </c:pt>
                <c:pt idx="1827">
                  <c:v>6592287.6469588857</c:v>
                </c:pt>
                <c:pt idx="1828">
                  <c:v>6594934.9855724378</c:v>
                </c:pt>
                <c:pt idx="1829">
                  <c:v>6597582.3241859889</c:v>
                </c:pt>
                <c:pt idx="1830">
                  <c:v>6600229.6627995409</c:v>
                </c:pt>
                <c:pt idx="1831">
                  <c:v>6602877.001413092</c:v>
                </c:pt>
                <c:pt idx="1832">
                  <c:v>6605524.3400266441</c:v>
                </c:pt>
                <c:pt idx="1833">
                  <c:v>6608171.6786401961</c:v>
                </c:pt>
                <c:pt idx="1834">
                  <c:v>6610819.0172537472</c:v>
                </c:pt>
                <c:pt idx="1835">
                  <c:v>6613466.3558672993</c:v>
                </c:pt>
                <c:pt idx="1836">
                  <c:v>6616113.6944808504</c:v>
                </c:pt>
                <c:pt idx="1837">
                  <c:v>6618761.0330944024</c:v>
                </c:pt>
                <c:pt idx="1838">
                  <c:v>6621408.3717079544</c:v>
                </c:pt>
                <c:pt idx="1839">
                  <c:v>6624055.7103215056</c:v>
                </c:pt>
                <c:pt idx="1840">
                  <c:v>6626703.0489350576</c:v>
                </c:pt>
                <c:pt idx="1841">
                  <c:v>6629350.3875486087</c:v>
                </c:pt>
                <c:pt idx="1842">
                  <c:v>6631997.7261621607</c:v>
                </c:pt>
                <c:pt idx="1843">
                  <c:v>6634645.0647757128</c:v>
                </c:pt>
                <c:pt idx="1844">
                  <c:v>6637292.4033892639</c:v>
                </c:pt>
                <c:pt idx="1845">
                  <c:v>6639939.7420028159</c:v>
                </c:pt>
                <c:pt idx="1846">
                  <c:v>6642587.080616367</c:v>
                </c:pt>
                <c:pt idx="1847">
                  <c:v>6645234.4192299191</c:v>
                </c:pt>
                <c:pt idx="1848">
                  <c:v>6647881.7578434711</c:v>
                </c:pt>
                <c:pt idx="1849">
                  <c:v>6650529.0964570222</c:v>
                </c:pt>
                <c:pt idx="1850">
                  <c:v>6653176.4350705743</c:v>
                </c:pt>
                <c:pt idx="1851">
                  <c:v>6655823.7736841254</c:v>
                </c:pt>
                <c:pt idx="1852">
                  <c:v>6658471.1122976774</c:v>
                </c:pt>
                <c:pt idx="1853">
                  <c:v>6661118.4509112295</c:v>
                </c:pt>
                <c:pt idx="1854">
                  <c:v>6663765.7895247806</c:v>
                </c:pt>
                <c:pt idx="1855">
                  <c:v>6666413.1281383326</c:v>
                </c:pt>
                <c:pt idx="1856">
                  <c:v>6669060.4667518837</c:v>
                </c:pt>
                <c:pt idx="1857">
                  <c:v>6671707.8053654358</c:v>
                </c:pt>
                <c:pt idx="1858">
                  <c:v>6674355.1439789869</c:v>
                </c:pt>
                <c:pt idx="1859">
                  <c:v>6677002.4825925389</c:v>
                </c:pt>
                <c:pt idx="1860">
                  <c:v>6679649.821206091</c:v>
                </c:pt>
                <c:pt idx="1861">
                  <c:v>6682297.1598196421</c:v>
                </c:pt>
                <c:pt idx="1862">
                  <c:v>6684944.4984331941</c:v>
                </c:pt>
                <c:pt idx="1863">
                  <c:v>6687591.8370467452</c:v>
                </c:pt>
                <c:pt idx="1864">
                  <c:v>6690239.1756602973</c:v>
                </c:pt>
                <c:pt idx="1865">
                  <c:v>6692886.5142738493</c:v>
                </c:pt>
                <c:pt idx="1866">
                  <c:v>6695533.8528874004</c:v>
                </c:pt>
                <c:pt idx="1867">
                  <c:v>6698181.1915009525</c:v>
                </c:pt>
                <c:pt idx="1868">
                  <c:v>6700828.5301145036</c:v>
                </c:pt>
                <c:pt idx="1869">
                  <c:v>6703475.8687280556</c:v>
                </c:pt>
                <c:pt idx="1870">
                  <c:v>6706123.2073416077</c:v>
                </c:pt>
                <c:pt idx="1871">
                  <c:v>6708770.5459551588</c:v>
                </c:pt>
                <c:pt idx="1872">
                  <c:v>6711417.8845687108</c:v>
                </c:pt>
                <c:pt idx="1873">
                  <c:v>6714065.2231822619</c:v>
                </c:pt>
                <c:pt idx="1874">
                  <c:v>6716712.561795814</c:v>
                </c:pt>
                <c:pt idx="1875">
                  <c:v>6719359.900409366</c:v>
                </c:pt>
                <c:pt idx="1876">
                  <c:v>6722007.2390229171</c:v>
                </c:pt>
                <c:pt idx="1877">
                  <c:v>6724654.5776364692</c:v>
                </c:pt>
                <c:pt idx="1878">
                  <c:v>6727301.9162500203</c:v>
                </c:pt>
                <c:pt idx="1879">
                  <c:v>6729949.2548635723</c:v>
                </c:pt>
                <c:pt idx="1880">
                  <c:v>6732596.5934771234</c:v>
                </c:pt>
                <c:pt idx="1881">
                  <c:v>6735243.9320906755</c:v>
                </c:pt>
                <c:pt idx="1882">
                  <c:v>6737891.2707042275</c:v>
                </c:pt>
                <c:pt idx="1883">
                  <c:v>6740538.6093177786</c:v>
                </c:pt>
                <c:pt idx="1884">
                  <c:v>6743185.9479313307</c:v>
                </c:pt>
                <c:pt idx="1885">
                  <c:v>6745833.2865448818</c:v>
                </c:pt>
                <c:pt idx="1886">
                  <c:v>6748480.6251584338</c:v>
                </c:pt>
                <c:pt idx="1887">
                  <c:v>6751127.9637719858</c:v>
                </c:pt>
                <c:pt idx="1888">
                  <c:v>6753775.302385537</c:v>
                </c:pt>
                <c:pt idx="1889">
                  <c:v>6756422.640999089</c:v>
                </c:pt>
                <c:pt idx="1890">
                  <c:v>6759069.9796126401</c:v>
                </c:pt>
                <c:pt idx="1891">
                  <c:v>6761717.3182261921</c:v>
                </c:pt>
                <c:pt idx="1892">
                  <c:v>6764364.6568397442</c:v>
                </c:pt>
                <c:pt idx="1893">
                  <c:v>6767011.9954532953</c:v>
                </c:pt>
                <c:pt idx="1894">
                  <c:v>6769659.3340668473</c:v>
                </c:pt>
                <c:pt idx="1895">
                  <c:v>6772306.6726803984</c:v>
                </c:pt>
                <c:pt idx="1896">
                  <c:v>6774954.0112939505</c:v>
                </c:pt>
                <c:pt idx="1897">
                  <c:v>6777601.3499075025</c:v>
                </c:pt>
                <c:pt idx="1898">
                  <c:v>6780248.6885210536</c:v>
                </c:pt>
                <c:pt idx="1899">
                  <c:v>6782896.0271346057</c:v>
                </c:pt>
                <c:pt idx="1900">
                  <c:v>6785543.3657481568</c:v>
                </c:pt>
                <c:pt idx="1901">
                  <c:v>6788190.7043617088</c:v>
                </c:pt>
                <c:pt idx="1902">
                  <c:v>6790838.0429752609</c:v>
                </c:pt>
                <c:pt idx="1903">
                  <c:v>6793485.381588812</c:v>
                </c:pt>
                <c:pt idx="1904">
                  <c:v>6796132.720202364</c:v>
                </c:pt>
                <c:pt idx="1905">
                  <c:v>6798780.0588159151</c:v>
                </c:pt>
                <c:pt idx="1906">
                  <c:v>6801427.3974294672</c:v>
                </c:pt>
                <c:pt idx="1907">
                  <c:v>6804074.7360430183</c:v>
                </c:pt>
                <c:pt idx="1908">
                  <c:v>6806722.0746565703</c:v>
                </c:pt>
                <c:pt idx="1909">
                  <c:v>6809369.4132701224</c:v>
                </c:pt>
                <c:pt idx="1910">
                  <c:v>6812016.7518836735</c:v>
                </c:pt>
                <c:pt idx="1911">
                  <c:v>6814664.0904972255</c:v>
                </c:pt>
                <c:pt idx="1912">
                  <c:v>6817311.4291107766</c:v>
                </c:pt>
                <c:pt idx="1913">
                  <c:v>6819958.7677243287</c:v>
                </c:pt>
                <c:pt idx="1914">
                  <c:v>6822606.1063378807</c:v>
                </c:pt>
                <c:pt idx="1915">
                  <c:v>6825253.4449514318</c:v>
                </c:pt>
                <c:pt idx="1916">
                  <c:v>6827900.7835649839</c:v>
                </c:pt>
                <c:pt idx="1917">
                  <c:v>6830548.122178535</c:v>
                </c:pt>
                <c:pt idx="1918">
                  <c:v>6833195.460792087</c:v>
                </c:pt>
                <c:pt idx="1919">
                  <c:v>6835842.7994056391</c:v>
                </c:pt>
                <c:pt idx="1920">
                  <c:v>6838490.1380191902</c:v>
                </c:pt>
                <c:pt idx="1921">
                  <c:v>6841137.4766327422</c:v>
                </c:pt>
                <c:pt idx="1922">
                  <c:v>6843784.8152462933</c:v>
                </c:pt>
                <c:pt idx="1923">
                  <c:v>6846432.1538598454</c:v>
                </c:pt>
                <c:pt idx="1924">
                  <c:v>6849079.4924733974</c:v>
                </c:pt>
                <c:pt idx="1925">
                  <c:v>6851726.8310869485</c:v>
                </c:pt>
                <c:pt idx="1926">
                  <c:v>6854374.1697005006</c:v>
                </c:pt>
                <c:pt idx="1927">
                  <c:v>6857021.5083140517</c:v>
                </c:pt>
                <c:pt idx="1928">
                  <c:v>6859668.8469276037</c:v>
                </c:pt>
                <c:pt idx="1929">
                  <c:v>6862316.1855411557</c:v>
                </c:pt>
                <c:pt idx="1930">
                  <c:v>6864963.5241547069</c:v>
                </c:pt>
                <c:pt idx="1931">
                  <c:v>6867610.8627682589</c:v>
                </c:pt>
                <c:pt idx="1932">
                  <c:v>6870258.20138181</c:v>
                </c:pt>
                <c:pt idx="1933">
                  <c:v>6872905.5399953621</c:v>
                </c:pt>
                <c:pt idx="1934">
                  <c:v>6875552.8786089132</c:v>
                </c:pt>
                <c:pt idx="1935">
                  <c:v>6878200.2172224652</c:v>
                </c:pt>
                <c:pt idx="1936">
                  <c:v>6880847.5558360172</c:v>
                </c:pt>
                <c:pt idx="1937">
                  <c:v>6883494.8944495684</c:v>
                </c:pt>
                <c:pt idx="1938">
                  <c:v>6886142.2330631204</c:v>
                </c:pt>
                <c:pt idx="1939">
                  <c:v>6888789.5716766715</c:v>
                </c:pt>
                <c:pt idx="1940">
                  <c:v>6891436.9102902235</c:v>
                </c:pt>
                <c:pt idx="1941">
                  <c:v>6894084.2489037756</c:v>
                </c:pt>
                <c:pt idx="1942">
                  <c:v>6896731.5875173267</c:v>
                </c:pt>
                <c:pt idx="1943">
                  <c:v>6899378.9261308787</c:v>
                </c:pt>
                <c:pt idx="1944">
                  <c:v>6902026.2647444298</c:v>
                </c:pt>
                <c:pt idx="1945">
                  <c:v>6904673.6033579819</c:v>
                </c:pt>
                <c:pt idx="1946">
                  <c:v>6907320.9419715339</c:v>
                </c:pt>
                <c:pt idx="1947">
                  <c:v>6909968.280585085</c:v>
                </c:pt>
                <c:pt idx="1948">
                  <c:v>6912615.6191986371</c:v>
                </c:pt>
                <c:pt idx="1949">
                  <c:v>6915262.9578121882</c:v>
                </c:pt>
                <c:pt idx="1950">
                  <c:v>6917910.2964257402</c:v>
                </c:pt>
                <c:pt idx="1951">
                  <c:v>6920557.6350392923</c:v>
                </c:pt>
                <c:pt idx="1952">
                  <c:v>6923204.9736528434</c:v>
                </c:pt>
                <c:pt idx="1953">
                  <c:v>6925852.3122663954</c:v>
                </c:pt>
                <c:pt idx="1954">
                  <c:v>6928499.6508799465</c:v>
                </c:pt>
                <c:pt idx="1955">
                  <c:v>6931146.9894934986</c:v>
                </c:pt>
                <c:pt idx="1956">
                  <c:v>6933794.3281070506</c:v>
                </c:pt>
                <c:pt idx="1957">
                  <c:v>6936441.6667206017</c:v>
                </c:pt>
                <c:pt idx="1958">
                  <c:v>6939089.0053341538</c:v>
                </c:pt>
                <c:pt idx="1959">
                  <c:v>6941736.3439477049</c:v>
                </c:pt>
                <c:pt idx="1960">
                  <c:v>6944383.6825612569</c:v>
                </c:pt>
                <c:pt idx="1961">
                  <c:v>6947031.021174808</c:v>
                </c:pt>
                <c:pt idx="1962">
                  <c:v>6949678.3597883601</c:v>
                </c:pt>
                <c:pt idx="1963">
                  <c:v>6952325.6984019121</c:v>
                </c:pt>
                <c:pt idx="1964">
                  <c:v>6954973.0370154632</c:v>
                </c:pt>
                <c:pt idx="1965">
                  <c:v>6957620.3756290153</c:v>
                </c:pt>
                <c:pt idx="1966">
                  <c:v>6960267.7142425664</c:v>
                </c:pt>
                <c:pt idx="1967">
                  <c:v>6962915.0528561184</c:v>
                </c:pt>
                <c:pt idx="1968">
                  <c:v>6965562.3914696705</c:v>
                </c:pt>
                <c:pt idx="1969">
                  <c:v>6968209.7300832216</c:v>
                </c:pt>
                <c:pt idx="1970">
                  <c:v>6970857.0686967736</c:v>
                </c:pt>
                <c:pt idx="1971">
                  <c:v>6973504.4073103247</c:v>
                </c:pt>
                <c:pt idx="1972">
                  <c:v>6976151.7459238768</c:v>
                </c:pt>
                <c:pt idx="1973">
                  <c:v>6978799.0845374288</c:v>
                </c:pt>
                <c:pt idx="1974">
                  <c:v>6981446.4231509799</c:v>
                </c:pt>
                <c:pt idx="1975">
                  <c:v>6984093.761764532</c:v>
                </c:pt>
                <c:pt idx="1976">
                  <c:v>6986741.1003780831</c:v>
                </c:pt>
                <c:pt idx="1977">
                  <c:v>6989388.4389916351</c:v>
                </c:pt>
                <c:pt idx="1978">
                  <c:v>6992035.7776051871</c:v>
                </c:pt>
                <c:pt idx="1979">
                  <c:v>6994683.1162187383</c:v>
                </c:pt>
                <c:pt idx="1980">
                  <c:v>6997330.4548322903</c:v>
                </c:pt>
                <c:pt idx="1981">
                  <c:v>6999977.7934458414</c:v>
                </c:pt>
                <c:pt idx="1982">
                  <c:v>7002625.1320593935</c:v>
                </c:pt>
                <c:pt idx="1983">
                  <c:v>7005272.4706729455</c:v>
                </c:pt>
                <c:pt idx="1984">
                  <c:v>7007919.8092864966</c:v>
                </c:pt>
                <c:pt idx="1985">
                  <c:v>7010567.1479000486</c:v>
                </c:pt>
                <c:pt idx="1986">
                  <c:v>7013214.4865135998</c:v>
                </c:pt>
                <c:pt idx="1987">
                  <c:v>7015861.8251271518</c:v>
                </c:pt>
                <c:pt idx="1988">
                  <c:v>7018509.1637407029</c:v>
                </c:pt>
                <c:pt idx="1989">
                  <c:v>7021156.5023542549</c:v>
                </c:pt>
                <c:pt idx="1990">
                  <c:v>7023803.840967807</c:v>
                </c:pt>
                <c:pt idx="1991">
                  <c:v>7026451.1795813581</c:v>
                </c:pt>
                <c:pt idx="1992">
                  <c:v>7029098.5181949101</c:v>
                </c:pt>
                <c:pt idx="1993">
                  <c:v>7031745.8568084612</c:v>
                </c:pt>
                <c:pt idx="1994">
                  <c:v>7034393.1954220133</c:v>
                </c:pt>
                <c:pt idx="1995">
                  <c:v>7037040.5340355653</c:v>
                </c:pt>
                <c:pt idx="1996">
                  <c:v>7039687.8726491164</c:v>
                </c:pt>
                <c:pt idx="1997">
                  <c:v>7042335.2112626685</c:v>
                </c:pt>
                <c:pt idx="1998">
                  <c:v>7044982.5498762196</c:v>
                </c:pt>
                <c:pt idx="1999">
                  <c:v>7047629.8884897716</c:v>
                </c:pt>
                <c:pt idx="2000">
                  <c:v>7050277.2271033237</c:v>
                </c:pt>
                <c:pt idx="2001">
                  <c:v>7052924.5657168748</c:v>
                </c:pt>
                <c:pt idx="2002">
                  <c:v>7055571.9043304268</c:v>
                </c:pt>
                <c:pt idx="2003">
                  <c:v>7058219.2429439779</c:v>
                </c:pt>
                <c:pt idx="2004">
                  <c:v>7060866.58155753</c:v>
                </c:pt>
                <c:pt idx="2005">
                  <c:v>7063513.920171082</c:v>
                </c:pt>
                <c:pt idx="2006">
                  <c:v>7066161.2587846331</c:v>
                </c:pt>
                <c:pt idx="2007">
                  <c:v>7068808.5973981852</c:v>
                </c:pt>
                <c:pt idx="2008">
                  <c:v>7071455.9360117363</c:v>
                </c:pt>
                <c:pt idx="2009">
                  <c:v>7074103.2746252883</c:v>
                </c:pt>
                <c:pt idx="2010">
                  <c:v>7076750.6132388394</c:v>
                </c:pt>
                <c:pt idx="2011">
                  <c:v>7079397.9518523915</c:v>
                </c:pt>
                <c:pt idx="2012">
                  <c:v>7082045.2904659435</c:v>
                </c:pt>
                <c:pt idx="2013">
                  <c:v>7084692.6290794946</c:v>
                </c:pt>
                <c:pt idx="2014">
                  <c:v>7087339.9676930467</c:v>
                </c:pt>
                <c:pt idx="2015">
                  <c:v>7089987.3063065978</c:v>
                </c:pt>
                <c:pt idx="2016">
                  <c:v>7092634.6449201498</c:v>
                </c:pt>
                <c:pt idx="2017">
                  <c:v>7095281.9835337019</c:v>
                </c:pt>
                <c:pt idx="2018">
                  <c:v>7097929.322147253</c:v>
                </c:pt>
                <c:pt idx="2019">
                  <c:v>7100576.660760805</c:v>
                </c:pt>
                <c:pt idx="2020">
                  <c:v>7103223.9993743561</c:v>
                </c:pt>
                <c:pt idx="2021">
                  <c:v>7105871.3379879082</c:v>
                </c:pt>
                <c:pt idx="2022">
                  <c:v>7108518.6766014602</c:v>
                </c:pt>
                <c:pt idx="2023">
                  <c:v>7111166.0152150113</c:v>
                </c:pt>
                <c:pt idx="2024">
                  <c:v>7113813.3538285634</c:v>
                </c:pt>
                <c:pt idx="2025">
                  <c:v>7116460.6924421145</c:v>
                </c:pt>
                <c:pt idx="2026">
                  <c:v>7119108.0310556665</c:v>
                </c:pt>
                <c:pt idx="2027">
                  <c:v>7121755.3696692185</c:v>
                </c:pt>
                <c:pt idx="2028">
                  <c:v>7124402.7082827697</c:v>
                </c:pt>
                <c:pt idx="2029">
                  <c:v>7127050.0468963217</c:v>
                </c:pt>
                <c:pt idx="2030">
                  <c:v>7129697.3855098728</c:v>
                </c:pt>
                <c:pt idx="2031">
                  <c:v>7132344.7241234249</c:v>
                </c:pt>
                <c:pt idx="2032">
                  <c:v>7134992.0627369769</c:v>
                </c:pt>
                <c:pt idx="2033">
                  <c:v>7137639.401350528</c:v>
                </c:pt>
                <c:pt idx="2034">
                  <c:v>7140286.73996408</c:v>
                </c:pt>
                <c:pt idx="2035">
                  <c:v>7142934.0785776312</c:v>
                </c:pt>
                <c:pt idx="2036">
                  <c:v>7145581.4171911832</c:v>
                </c:pt>
                <c:pt idx="2037">
                  <c:v>7148228.7558047343</c:v>
                </c:pt>
                <c:pt idx="2038">
                  <c:v>7150876.0944182863</c:v>
                </c:pt>
                <c:pt idx="2039">
                  <c:v>7153523.4330318384</c:v>
                </c:pt>
                <c:pt idx="2040">
                  <c:v>7156170.7716453895</c:v>
                </c:pt>
                <c:pt idx="2041">
                  <c:v>7158818.1102589415</c:v>
                </c:pt>
                <c:pt idx="2042">
                  <c:v>7161465.4488724926</c:v>
                </c:pt>
                <c:pt idx="2043">
                  <c:v>7164112.7874860447</c:v>
                </c:pt>
                <c:pt idx="2044">
                  <c:v>7166760.1260995967</c:v>
                </c:pt>
                <c:pt idx="2045">
                  <c:v>7169407.4647131478</c:v>
                </c:pt>
                <c:pt idx="2046">
                  <c:v>7172054.8033266999</c:v>
                </c:pt>
                <c:pt idx="2047">
                  <c:v>7174702.141940251</c:v>
                </c:pt>
                <c:pt idx="2048">
                  <c:v>7177349.480553803</c:v>
                </c:pt>
                <c:pt idx="2049">
                  <c:v>7179996.8191673551</c:v>
                </c:pt>
                <c:pt idx="2050">
                  <c:v>7182644.1577809062</c:v>
                </c:pt>
                <c:pt idx="2051">
                  <c:v>7185291.4963944582</c:v>
                </c:pt>
                <c:pt idx="2052">
                  <c:v>7187938.8350080093</c:v>
                </c:pt>
                <c:pt idx="2053">
                  <c:v>7190586.1736215614</c:v>
                </c:pt>
                <c:pt idx="2054">
                  <c:v>7193233.5122351134</c:v>
                </c:pt>
                <c:pt idx="2055">
                  <c:v>7195880.8508486645</c:v>
                </c:pt>
                <c:pt idx="2056">
                  <c:v>7198528.1894622166</c:v>
                </c:pt>
                <c:pt idx="2057">
                  <c:v>7201175.5280757677</c:v>
                </c:pt>
                <c:pt idx="2058">
                  <c:v>7203822.8666893197</c:v>
                </c:pt>
                <c:pt idx="2059">
                  <c:v>7206470.2053028718</c:v>
                </c:pt>
                <c:pt idx="2060">
                  <c:v>7209117.5439164229</c:v>
                </c:pt>
                <c:pt idx="2061">
                  <c:v>7211764.8825299749</c:v>
                </c:pt>
                <c:pt idx="2062">
                  <c:v>7214412.221143526</c:v>
                </c:pt>
                <c:pt idx="2063">
                  <c:v>7217059.5597570781</c:v>
                </c:pt>
                <c:pt idx="2064">
                  <c:v>7219706.8983706292</c:v>
                </c:pt>
                <c:pt idx="2065">
                  <c:v>7222354.2369841812</c:v>
                </c:pt>
                <c:pt idx="2066">
                  <c:v>7225001.5755977333</c:v>
                </c:pt>
                <c:pt idx="2067">
                  <c:v>7227648.9142112844</c:v>
                </c:pt>
                <c:pt idx="2068">
                  <c:v>7230296.2528248364</c:v>
                </c:pt>
                <c:pt idx="2069">
                  <c:v>7232943.5914383875</c:v>
                </c:pt>
                <c:pt idx="2070">
                  <c:v>7235590.9300519396</c:v>
                </c:pt>
                <c:pt idx="2071">
                  <c:v>7238238.2686654916</c:v>
                </c:pt>
                <c:pt idx="2072">
                  <c:v>7240885.6072790427</c:v>
                </c:pt>
                <c:pt idx="2073">
                  <c:v>7243532.9458925948</c:v>
                </c:pt>
                <c:pt idx="2074">
                  <c:v>7246180.2845061459</c:v>
                </c:pt>
                <c:pt idx="2075">
                  <c:v>7248827.6231196979</c:v>
                </c:pt>
                <c:pt idx="2076">
                  <c:v>7251474.9617332499</c:v>
                </c:pt>
                <c:pt idx="2077">
                  <c:v>7254122.3003468011</c:v>
                </c:pt>
                <c:pt idx="2078">
                  <c:v>7256769.6389603531</c:v>
                </c:pt>
                <c:pt idx="2079">
                  <c:v>7259416.9775739042</c:v>
                </c:pt>
                <c:pt idx="2080">
                  <c:v>7262064.3161874563</c:v>
                </c:pt>
                <c:pt idx="2081">
                  <c:v>7264711.6548010083</c:v>
                </c:pt>
                <c:pt idx="2082">
                  <c:v>7267358.9934145594</c:v>
                </c:pt>
                <c:pt idx="2083">
                  <c:v>7270006.3320281114</c:v>
                </c:pt>
                <c:pt idx="2084">
                  <c:v>7272653.6706416626</c:v>
                </c:pt>
                <c:pt idx="2085">
                  <c:v>7275301.0092552146</c:v>
                </c:pt>
                <c:pt idx="2086">
                  <c:v>7277948.3478687666</c:v>
                </c:pt>
                <c:pt idx="2087">
                  <c:v>7280595.6864823177</c:v>
                </c:pt>
                <c:pt idx="2088">
                  <c:v>7283243.0250958698</c:v>
                </c:pt>
                <c:pt idx="2089">
                  <c:v>7285890.3637094209</c:v>
                </c:pt>
                <c:pt idx="2090">
                  <c:v>7288537.7023229729</c:v>
                </c:pt>
                <c:pt idx="2091">
                  <c:v>7291185.040936524</c:v>
                </c:pt>
                <c:pt idx="2092">
                  <c:v>7293832.3795500761</c:v>
                </c:pt>
                <c:pt idx="2093">
                  <c:v>7296479.7181636281</c:v>
                </c:pt>
                <c:pt idx="2094">
                  <c:v>7299127.0567771792</c:v>
                </c:pt>
                <c:pt idx="2095">
                  <c:v>7301774.3953907313</c:v>
                </c:pt>
                <c:pt idx="2096">
                  <c:v>7304421.7340042824</c:v>
                </c:pt>
                <c:pt idx="2097">
                  <c:v>7307069.0726178344</c:v>
                </c:pt>
                <c:pt idx="2098">
                  <c:v>7309716.4112313865</c:v>
                </c:pt>
                <c:pt idx="2099">
                  <c:v>7312363.7498449376</c:v>
                </c:pt>
                <c:pt idx="2100">
                  <c:v>7315011.0884584896</c:v>
                </c:pt>
                <c:pt idx="2101">
                  <c:v>7317658.4270720407</c:v>
                </c:pt>
                <c:pt idx="2102">
                  <c:v>7320305.7656855928</c:v>
                </c:pt>
                <c:pt idx="2103">
                  <c:v>7322953.1042991448</c:v>
                </c:pt>
                <c:pt idx="2104">
                  <c:v>7325600.4429126959</c:v>
                </c:pt>
                <c:pt idx="2105">
                  <c:v>7328247.781526248</c:v>
                </c:pt>
                <c:pt idx="2106">
                  <c:v>7330895.1201397991</c:v>
                </c:pt>
                <c:pt idx="2107">
                  <c:v>7333542.4587533511</c:v>
                </c:pt>
                <c:pt idx="2108">
                  <c:v>7336189.7973669032</c:v>
                </c:pt>
                <c:pt idx="2109">
                  <c:v>7338837.1359804543</c:v>
                </c:pt>
                <c:pt idx="2110">
                  <c:v>7341484.4745940063</c:v>
                </c:pt>
                <c:pt idx="2111">
                  <c:v>7344131.8132075574</c:v>
                </c:pt>
                <c:pt idx="2112">
                  <c:v>7346779.1518211095</c:v>
                </c:pt>
                <c:pt idx="2113">
                  <c:v>7349426.4904346606</c:v>
                </c:pt>
                <c:pt idx="2114">
                  <c:v>7352073.8290482126</c:v>
                </c:pt>
                <c:pt idx="2115">
                  <c:v>7354721.1676617647</c:v>
                </c:pt>
                <c:pt idx="2116">
                  <c:v>7357368.5062753158</c:v>
                </c:pt>
                <c:pt idx="2117">
                  <c:v>7360015.8448888678</c:v>
                </c:pt>
                <c:pt idx="2118">
                  <c:v>7362663.1835024189</c:v>
                </c:pt>
                <c:pt idx="2119">
                  <c:v>7365310.522115971</c:v>
                </c:pt>
                <c:pt idx="2120">
                  <c:v>7367957.860729523</c:v>
                </c:pt>
                <c:pt idx="2121">
                  <c:v>7370605.1993430741</c:v>
                </c:pt>
                <c:pt idx="2122">
                  <c:v>7373252.5379566262</c:v>
                </c:pt>
                <c:pt idx="2123">
                  <c:v>7375899.8765701773</c:v>
                </c:pt>
                <c:pt idx="2124">
                  <c:v>7378547.2151837293</c:v>
                </c:pt>
                <c:pt idx="2125">
                  <c:v>7381194.5537972813</c:v>
                </c:pt>
                <c:pt idx="2126">
                  <c:v>7383841.8924108325</c:v>
                </c:pt>
                <c:pt idx="2127">
                  <c:v>7386489.2310243845</c:v>
                </c:pt>
                <c:pt idx="2128">
                  <c:v>7389136.5696379356</c:v>
                </c:pt>
                <c:pt idx="2129">
                  <c:v>7391783.9082514876</c:v>
                </c:pt>
                <c:pt idx="2130">
                  <c:v>7394431.2468650397</c:v>
                </c:pt>
                <c:pt idx="2131">
                  <c:v>7397078.5854785908</c:v>
                </c:pt>
                <c:pt idx="2132">
                  <c:v>7399725.9240921428</c:v>
                </c:pt>
                <c:pt idx="2133">
                  <c:v>7402373.262705694</c:v>
                </c:pt>
                <c:pt idx="2134">
                  <c:v>7405020.601319246</c:v>
                </c:pt>
                <c:pt idx="2135">
                  <c:v>7407667.939932798</c:v>
                </c:pt>
                <c:pt idx="2136">
                  <c:v>7410315.2785463491</c:v>
                </c:pt>
                <c:pt idx="2137">
                  <c:v>7412962.6171599012</c:v>
                </c:pt>
                <c:pt idx="2138">
                  <c:v>7415609.9557734523</c:v>
                </c:pt>
                <c:pt idx="2139">
                  <c:v>7418257.2943870043</c:v>
                </c:pt>
                <c:pt idx="2140">
                  <c:v>7420904.6330005554</c:v>
                </c:pt>
                <c:pt idx="2141">
                  <c:v>7423551.9716141075</c:v>
                </c:pt>
                <c:pt idx="2142">
                  <c:v>7426199.3102276595</c:v>
                </c:pt>
                <c:pt idx="2143">
                  <c:v>7428846.6488412106</c:v>
                </c:pt>
                <c:pt idx="2144">
                  <c:v>7431493.9874547627</c:v>
                </c:pt>
                <c:pt idx="2145">
                  <c:v>7434141.3260683138</c:v>
                </c:pt>
                <c:pt idx="2146">
                  <c:v>7436788.6646818658</c:v>
                </c:pt>
                <c:pt idx="2147">
                  <c:v>7439436.0032954179</c:v>
                </c:pt>
                <c:pt idx="2148">
                  <c:v>7442083.341908969</c:v>
                </c:pt>
                <c:pt idx="2149">
                  <c:v>7444730.680522521</c:v>
                </c:pt>
                <c:pt idx="2150">
                  <c:v>7447378.0191360721</c:v>
                </c:pt>
                <c:pt idx="2151">
                  <c:v>7450025.3577496242</c:v>
                </c:pt>
                <c:pt idx="2152">
                  <c:v>7452672.6963631762</c:v>
                </c:pt>
                <c:pt idx="2153">
                  <c:v>7455320.0349767273</c:v>
                </c:pt>
                <c:pt idx="2154">
                  <c:v>7457967.3735902794</c:v>
                </c:pt>
                <c:pt idx="2155">
                  <c:v>7460614.7122038305</c:v>
                </c:pt>
                <c:pt idx="2156">
                  <c:v>7463262.0508173825</c:v>
                </c:pt>
                <c:pt idx="2157">
                  <c:v>7465909.3894309346</c:v>
                </c:pt>
                <c:pt idx="2158">
                  <c:v>7468556.7280444857</c:v>
                </c:pt>
                <c:pt idx="2159">
                  <c:v>7471204.0666580377</c:v>
                </c:pt>
                <c:pt idx="2160">
                  <c:v>7473851.4052715888</c:v>
                </c:pt>
                <c:pt idx="2161">
                  <c:v>7476498.7438851409</c:v>
                </c:pt>
                <c:pt idx="2162">
                  <c:v>7479146.0824986929</c:v>
                </c:pt>
                <c:pt idx="2163">
                  <c:v>7481793.421112244</c:v>
                </c:pt>
                <c:pt idx="2164">
                  <c:v>7484440.7597257961</c:v>
                </c:pt>
                <c:pt idx="2165">
                  <c:v>7487088.0983393472</c:v>
                </c:pt>
                <c:pt idx="2166">
                  <c:v>7489735.4369528992</c:v>
                </c:pt>
                <c:pt idx="2167">
                  <c:v>7492382.7755664503</c:v>
                </c:pt>
                <c:pt idx="2168">
                  <c:v>7495030.1141800024</c:v>
                </c:pt>
                <c:pt idx="2169">
                  <c:v>7497677.4527935544</c:v>
                </c:pt>
                <c:pt idx="2170">
                  <c:v>7500324.7914071055</c:v>
                </c:pt>
                <c:pt idx="2171">
                  <c:v>7502972.1300206576</c:v>
                </c:pt>
                <c:pt idx="2172">
                  <c:v>7505619.4686342087</c:v>
                </c:pt>
                <c:pt idx="2173">
                  <c:v>7508266.8072477607</c:v>
                </c:pt>
                <c:pt idx="2174">
                  <c:v>7510914.1458613127</c:v>
                </c:pt>
                <c:pt idx="2175">
                  <c:v>7513561.4844748639</c:v>
                </c:pt>
                <c:pt idx="2176">
                  <c:v>7516208.8230884159</c:v>
                </c:pt>
                <c:pt idx="2177">
                  <c:v>7518856.161701967</c:v>
                </c:pt>
                <c:pt idx="2178">
                  <c:v>7521503.500315519</c:v>
                </c:pt>
                <c:pt idx="2179">
                  <c:v>7524150.8389290711</c:v>
                </c:pt>
                <c:pt idx="2180">
                  <c:v>7526798.1775426222</c:v>
                </c:pt>
                <c:pt idx="2181">
                  <c:v>7529445.5161561742</c:v>
                </c:pt>
                <c:pt idx="2182">
                  <c:v>7532092.8547697254</c:v>
                </c:pt>
                <c:pt idx="2183">
                  <c:v>7534740.1933832774</c:v>
                </c:pt>
                <c:pt idx="2184">
                  <c:v>7537387.5319968294</c:v>
                </c:pt>
                <c:pt idx="2185">
                  <c:v>7540034.8706103805</c:v>
                </c:pt>
                <c:pt idx="2186">
                  <c:v>7542682.2092239326</c:v>
                </c:pt>
                <c:pt idx="2187">
                  <c:v>7545329.5478374837</c:v>
                </c:pt>
                <c:pt idx="2188">
                  <c:v>7547976.8864510357</c:v>
                </c:pt>
                <c:pt idx="2189">
                  <c:v>7550624.2250645878</c:v>
                </c:pt>
                <c:pt idx="2190">
                  <c:v>7553271.5636781389</c:v>
                </c:pt>
                <c:pt idx="2191">
                  <c:v>7555918.9022916909</c:v>
                </c:pt>
                <c:pt idx="2192">
                  <c:v>7558566.240905242</c:v>
                </c:pt>
                <c:pt idx="2193">
                  <c:v>7561213.5795187941</c:v>
                </c:pt>
                <c:pt idx="2194">
                  <c:v>7563860.9181323452</c:v>
                </c:pt>
                <c:pt idx="2195">
                  <c:v>7566508.2567458972</c:v>
                </c:pt>
                <c:pt idx="2196">
                  <c:v>7569155.5953594493</c:v>
                </c:pt>
                <c:pt idx="2197">
                  <c:v>7571802.9339730004</c:v>
                </c:pt>
                <c:pt idx="2198">
                  <c:v>7574450.2725865524</c:v>
                </c:pt>
                <c:pt idx="2199">
                  <c:v>7577097.6112001035</c:v>
                </c:pt>
                <c:pt idx="2200">
                  <c:v>7579744.9498136556</c:v>
                </c:pt>
                <c:pt idx="2201">
                  <c:v>7582392.2884272076</c:v>
                </c:pt>
                <c:pt idx="2202">
                  <c:v>7585039.6270407587</c:v>
                </c:pt>
                <c:pt idx="2203">
                  <c:v>7587686.9656543108</c:v>
                </c:pt>
                <c:pt idx="2204">
                  <c:v>7590334.3042678619</c:v>
                </c:pt>
                <c:pt idx="2205">
                  <c:v>7592981.6428814139</c:v>
                </c:pt>
                <c:pt idx="2206">
                  <c:v>7595628.981494966</c:v>
                </c:pt>
                <c:pt idx="2207">
                  <c:v>7598276.3201085171</c:v>
                </c:pt>
                <c:pt idx="2208">
                  <c:v>7600923.6587220691</c:v>
                </c:pt>
                <c:pt idx="2209">
                  <c:v>7603570.9973356202</c:v>
                </c:pt>
                <c:pt idx="2210">
                  <c:v>7606218.3359491723</c:v>
                </c:pt>
                <c:pt idx="2211">
                  <c:v>7608865.6745627243</c:v>
                </c:pt>
                <c:pt idx="2212">
                  <c:v>7611513.0131762754</c:v>
                </c:pt>
                <c:pt idx="2213">
                  <c:v>7614160.3517898275</c:v>
                </c:pt>
                <c:pt idx="2214">
                  <c:v>7616807.6904033786</c:v>
                </c:pt>
                <c:pt idx="2215">
                  <c:v>7619455.0290169306</c:v>
                </c:pt>
                <c:pt idx="2216">
                  <c:v>7622102.3676304827</c:v>
                </c:pt>
                <c:pt idx="2217">
                  <c:v>7624749.7062440338</c:v>
                </c:pt>
                <c:pt idx="2218">
                  <c:v>7627397.0448575858</c:v>
                </c:pt>
                <c:pt idx="2219">
                  <c:v>7630044.3834711369</c:v>
                </c:pt>
                <c:pt idx="2220">
                  <c:v>7632691.722084689</c:v>
                </c:pt>
                <c:pt idx="2221">
                  <c:v>7635339.0606982401</c:v>
                </c:pt>
                <c:pt idx="2222">
                  <c:v>7637986.3993117921</c:v>
                </c:pt>
                <c:pt idx="2223">
                  <c:v>7640633.7379253441</c:v>
                </c:pt>
                <c:pt idx="2224">
                  <c:v>7643281.0765388953</c:v>
                </c:pt>
                <c:pt idx="2225">
                  <c:v>7645928.4151524473</c:v>
                </c:pt>
                <c:pt idx="2226">
                  <c:v>7648575.7537659984</c:v>
                </c:pt>
                <c:pt idx="2227">
                  <c:v>7651223.0923795504</c:v>
                </c:pt>
                <c:pt idx="2228">
                  <c:v>7653870.4309931025</c:v>
                </c:pt>
                <c:pt idx="2229">
                  <c:v>7656517.7696066536</c:v>
                </c:pt>
                <c:pt idx="2230">
                  <c:v>7659165.1082202056</c:v>
                </c:pt>
                <c:pt idx="2231">
                  <c:v>7661812.4468337568</c:v>
                </c:pt>
                <c:pt idx="2232">
                  <c:v>7664459.7854473088</c:v>
                </c:pt>
                <c:pt idx="2233">
                  <c:v>7667107.1240608608</c:v>
                </c:pt>
                <c:pt idx="2234">
                  <c:v>7669754.4626744119</c:v>
                </c:pt>
                <c:pt idx="2235">
                  <c:v>7672401.801287964</c:v>
                </c:pt>
                <c:pt idx="2236">
                  <c:v>7675049.1399015151</c:v>
                </c:pt>
                <c:pt idx="2237">
                  <c:v>7677696.4785150671</c:v>
                </c:pt>
                <c:pt idx="2238">
                  <c:v>7680343.8171286192</c:v>
                </c:pt>
                <c:pt idx="2239">
                  <c:v>7682991.1557421703</c:v>
                </c:pt>
                <c:pt idx="2240">
                  <c:v>7685638.4943557223</c:v>
                </c:pt>
                <c:pt idx="2241">
                  <c:v>7688285.8329692734</c:v>
                </c:pt>
                <c:pt idx="2242">
                  <c:v>7690933.1715828255</c:v>
                </c:pt>
                <c:pt idx="2243">
                  <c:v>7693580.5101963766</c:v>
                </c:pt>
                <c:pt idx="2244">
                  <c:v>7696227.8488099286</c:v>
                </c:pt>
                <c:pt idx="2245">
                  <c:v>7698875.1874234807</c:v>
                </c:pt>
                <c:pt idx="2246">
                  <c:v>7701522.5260370318</c:v>
                </c:pt>
                <c:pt idx="2247">
                  <c:v>7704169.8646505838</c:v>
                </c:pt>
                <c:pt idx="2248">
                  <c:v>7706817.2032641349</c:v>
                </c:pt>
                <c:pt idx="2249">
                  <c:v>7709464.541877687</c:v>
                </c:pt>
                <c:pt idx="2250">
                  <c:v>7712111.880491239</c:v>
                </c:pt>
                <c:pt idx="2251">
                  <c:v>7714759.2191047901</c:v>
                </c:pt>
                <c:pt idx="2252">
                  <c:v>7717406.5577183422</c:v>
                </c:pt>
                <c:pt idx="2253">
                  <c:v>7720053.8963318933</c:v>
                </c:pt>
                <c:pt idx="2254">
                  <c:v>7722701.2349454453</c:v>
                </c:pt>
                <c:pt idx="2255">
                  <c:v>7725348.5735589974</c:v>
                </c:pt>
                <c:pt idx="2256">
                  <c:v>7727995.9121725485</c:v>
                </c:pt>
                <c:pt idx="2257">
                  <c:v>7730643.2507861005</c:v>
                </c:pt>
                <c:pt idx="2258">
                  <c:v>7733290.5893996516</c:v>
                </c:pt>
                <c:pt idx="2259">
                  <c:v>7735937.9280132037</c:v>
                </c:pt>
                <c:pt idx="2260">
                  <c:v>7738585.2666267557</c:v>
                </c:pt>
                <c:pt idx="2261">
                  <c:v>7741232.6052403068</c:v>
                </c:pt>
                <c:pt idx="2262">
                  <c:v>7743879.9438538589</c:v>
                </c:pt>
                <c:pt idx="2263">
                  <c:v>7746527.28246741</c:v>
                </c:pt>
                <c:pt idx="2264">
                  <c:v>7749174.621080962</c:v>
                </c:pt>
                <c:pt idx="2265">
                  <c:v>7751821.9596945141</c:v>
                </c:pt>
                <c:pt idx="2266">
                  <c:v>7754469.2983080652</c:v>
                </c:pt>
                <c:pt idx="2267">
                  <c:v>7757116.6369216172</c:v>
                </c:pt>
                <c:pt idx="2268">
                  <c:v>7759763.9755351683</c:v>
                </c:pt>
                <c:pt idx="2269">
                  <c:v>7762411.3141487204</c:v>
                </c:pt>
                <c:pt idx="2270">
                  <c:v>7765058.6527622715</c:v>
                </c:pt>
                <c:pt idx="2271">
                  <c:v>7767705.9913758235</c:v>
                </c:pt>
                <c:pt idx="2272">
                  <c:v>7770353.3299893755</c:v>
                </c:pt>
                <c:pt idx="2273">
                  <c:v>7773000.6686029267</c:v>
                </c:pt>
                <c:pt idx="2274">
                  <c:v>7775648.0072164787</c:v>
                </c:pt>
                <c:pt idx="2275">
                  <c:v>7778295.3458300298</c:v>
                </c:pt>
                <c:pt idx="2276">
                  <c:v>7780942.6844435818</c:v>
                </c:pt>
                <c:pt idx="2277">
                  <c:v>7783590.0230571339</c:v>
                </c:pt>
                <c:pt idx="2278">
                  <c:v>7786237.361670685</c:v>
                </c:pt>
                <c:pt idx="2279">
                  <c:v>7788884.700284237</c:v>
                </c:pt>
                <c:pt idx="2280">
                  <c:v>7791532.0388977882</c:v>
                </c:pt>
                <c:pt idx="2281">
                  <c:v>7794179.3775113402</c:v>
                </c:pt>
                <c:pt idx="2282">
                  <c:v>7796826.7161248922</c:v>
                </c:pt>
                <c:pt idx="2283">
                  <c:v>7799474.0547384433</c:v>
                </c:pt>
                <c:pt idx="2284">
                  <c:v>7802121.3933519954</c:v>
                </c:pt>
                <c:pt idx="2285">
                  <c:v>7804768.7319655465</c:v>
                </c:pt>
                <c:pt idx="2286">
                  <c:v>7807416.0705790985</c:v>
                </c:pt>
                <c:pt idx="2287">
                  <c:v>7810063.4091926506</c:v>
                </c:pt>
                <c:pt idx="2288">
                  <c:v>7812710.7478062017</c:v>
                </c:pt>
                <c:pt idx="2289">
                  <c:v>7815358.0864197537</c:v>
                </c:pt>
                <c:pt idx="2290">
                  <c:v>7818005.4250333048</c:v>
                </c:pt>
                <c:pt idx="2291">
                  <c:v>7820652.7636468569</c:v>
                </c:pt>
                <c:pt idx="2292">
                  <c:v>7823300.1022604089</c:v>
                </c:pt>
                <c:pt idx="2293">
                  <c:v>7825947.44087396</c:v>
                </c:pt>
                <c:pt idx="2294">
                  <c:v>7828594.7794875121</c:v>
                </c:pt>
                <c:pt idx="2295">
                  <c:v>7831242.1181010632</c:v>
                </c:pt>
                <c:pt idx="2296">
                  <c:v>7833889.4567146152</c:v>
                </c:pt>
                <c:pt idx="2297">
                  <c:v>7836536.7953281663</c:v>
                </c:pt>
                <c:pt idx="2298">
                  <c:v>7839184.1339417184</c:v>
                </c:pt>
                <c:pt idx="2299">
                  <c:v>7841831.4725552704</c:v>
                </c:pt>
                <c:pt idx="2300">
                  <c:v>7844478.8111688215</c:v>
                </c:pt>
                <c:pt idx="2301">
                  <c:v>7847126.1497823736</c:v>
                </c:pt>
                <c:pt idx="2302">
                  <c:v>7849773.4883959247</c:v>
                </c:pt>
                <c:pt idx="2303">
                  <c:v>7852420.8270094767</c:v>
                </c:pt>
                <c:pt idx="2304">
                  <c:v>7855068.1656230288</c:v>
                </c:pt>
                <c:pt idx="2305">
                  <c:v>7857715.5042365799</c:v>
                </c:pt>
                <c:pt idx="2306">
                  <c:v>7860362.8428501319</c:v>
                </c:pt>
                <c:pt idx="2307">
                  <c:v>7863010.181463683</c:v>
                </c:pt>
                <c:pt idx="2308">
                  <c:v>7865657.5200772351</c:v>
                </c:pt>
                <c:pt idx="2309">
                  <c:v>7868304.8586907871</c:v>
                </c:pt>
                <c:pt idx="2310">
                  <c:v>7870952.1973043382</c:v>
                </c:pt>
                <c:pt idx="2311">
                  <c:v>7873599.5359178903</c:v>
                </c:pt>
                <c:pt idx="2312">
                  <c:v>7876246.8745314414</c:v>
                </c:pt>
                <c:pt idx="2313">
                  <c:v>7878894.2131449934</c:v>
                </c:pt>
                <c:pt idx="2314">
                  <c:v>7881541.5517585455</c:v>
                </c:pt>
                <c:pt idx="2315">
                  <c:v>7884188.8903720966</c:v>
                </c:pt>
                <c:pt idx="2316">
                  <c:v>7886836.2289856486</c:v>
                </c:pt>
                <c:pt idx="2317">
                  <c:v>7889483.5675991997</c:v>
                </c:pt>
                <c:pt idx="2318">
                  <c:v>7892130.9062127518</c:v>
                </c:pt>
                <c:pt idx="2319">
                  <c:v>7894778.2448263038</c:v>
                </c:pt>
                <c:pt idx="2320">
                  <c:v>7897425.5834398549</c:v>
                </c:pt>
                <c:pt idx="2321">
                  <c:v>7900072.9220534069</c:v>
                </c:pt>
                <c:pt idx="2322">
                  <c:v>7902720.2606669581</c:v>
                </c:pt>
                <c:pt idx="2323">
                  <c:v>7905367.5992805101</c:v>
                </c:pt>
                <c:pt idx="2324">
                  <c:v>7908014.9378940612</c:v>
                </c:pt>
                <c:pt idx="2325">
                  <c:v>7910662.2765076132</c:v>
                </c:pt>
                <c:pt idx="2326">
                  <c:v>7913309.6151211653</c:v>
                </c:pt>
                <c:pt idx="2327">
                  <c:v>7915956.9537347164</c:v>
                </c:pt>
                <c:pt idx="2328">
                  <c:v>7918604.2923482684</c:v>
                </c:pt>
                <c:pt idx="2329">
                  <c:v>7921251.6309618196</c:v>
                </c:pt>
                <c:pt idx="2330">
                  <c:v>7923898.9695753716</c:v>
                </c:pt>
                <c:pt idx="2331">
                  <c:v>7926546.3081889236</c:v>
                </c:pt>
                <c:pt idx="2332">
                  <c:v>7929193.6468024747</c:v>
                </c:pt>
                <c:pt idx="2333">
                  <c:v>7931840.9854160268</c:v>
                </c:pt>
                <c:pt idx="2334">
                  <c:v>7934488.3240295779</c:v>
                </c:pt>
                <c:pt idx="2335">
                  <c:v>7937135.6626431299</c:v>
                </c:pt>
                <c:pt idx="2336">
                  <c:v>7939783.001256682</c:v>
                </c:pt>
                <c:pt idx="2337">
                  <c:v>7942430.3398702331</c:v>
                </c:pt>
                <c:pt idx="2338">
                  <c:v>7945077.6784837851</c:v>
                </c:pt>
                <c:pt idx="2339">
                  <c:v>7947725.0170973362</c:v>
                </c:pt>
                <c:pt idx="2340">
                  <c:v>7950372.3557108883</c:v>
                </c:pt>
                <c:pt idx="2341">
                  <c:v>7953019.6943244403</c:v>
                </c:pt>
                <c:pt idx="2342">
                  <c:v>7955667.0329379914</c:v>
                </c:pt>
                <c:pt idx="2343">
                  <c:v>7958314.3715515435</c:v>
                </c:pt>
                <c:pt idx="2344">
                  <c:v>7960961.7101650946</c:v>
                </c:pt>
                <c:pt idx="2345">
                  <c:v>7963609.0487786466</c:v>
                </c:pt>
                <c:pt idx="2346">
                  <c:v>7966256.3873921987</c:v>
                </c:pt>
                <c:pt idx="2347">
                  <c:v>7968903.7260057498</c:v>
                </c:pt>
                <c:pt idx="2348">
                  <c:v>7971551.0646193018</c:v>
                </c:pt>
                <c:pt idx="2349">
                  <c:v>7974198.4032328529</c:v>
                </c:pt>
                <c:pt idx="2350">
                  <c:v>7976845.741846405</c:v>
                </c:pt>
                <c:pt idx="2351">
                  <c:v>7979493.0804599561</c:v>
                </c:pt>
                <c:pt idx="2352">
                  <c:v>7982140.4190735081</c:v>
                </c:pt>
                <c:pt idx="2353">
                  <c:v>7984787.7576870602</c:v>
                </c:pt>
                <c:pt idx="2354">
                  <c:v>7987435.0963006113</c:v>
                </c:pt>
                <c:pt idx="2355">
                  <c:v>7990082.4349141633</c:v>
                </c:pt>
                <c:pt idx="2356">
                  <c:v>7992729.7735277144</c:v>
                </c:pt>
                <c:pt idx="2357">
                  <c:v>7995377.1121412665</c:v>
                </c:pt>
                <c:pt idx="2358">
                  <c:v>7998024.4507548185</c:v>
                </c:pt>
                <c:pt idx="2359">
                  <c:v>8000671.7893683696</c:v>
                </c:pt>
                <c:pt idx="2360">
                  <c:v>8003319.1279819217</c:v>
                </c:pt>
                <c:pt idx="2361">
                  <c:v>8005966.4665954728</c:v>
                </c:pt>
                <c:pt idx="2362">
                  <c:v>8008613.8052090248</c:v>
                </c:pt>
                <c:pt idx="2363">
                  <c:v>8011261.1438225769</c:v>
                </c:pt>
                <c:pt idx="2364">
                  <c:v>8013908.482436128</c:v>
                </c:pt>
                <c:pt idx="2365">
                  <c:v>8016555.82104968</c:v>
                </c:pt>
                <c:pt idx="2366">
                  <c:v>8019203.1596632311</c:v>
                </c:pt>
                <c:pt idx="2367">
                  <c:v>8021850.4982767832</c:v>
                </c:pt>
                <c:pt idx="2368">
                  <c:v>8024497.8368903352</c:v>
                </c:pt>
                <c:pt idx="2369">
                  <c:v>8027145.1755038863</c:v>
                </c:pt>
                <c:pt idx="2370">
                  <c:v>8029792.5141174383</c:v>
                </c:pt>
                <c:pt idx="2371">
                  <c:v>8032439.8527309895</c:v>
                </c:pt>
                <c:pt idx="2372">
                  <c:v>8035087.1913445415</c:v>
                </c:pt>
                <c:pt idx="2373">
                  <c:v>8037734.5299580926</c:v>
                </c:pt>
                <c:pt idx="2374">
                  <c:v>8040381.8685716446</c:v>
                </c:pt>
                <c:pt idx="2375">
                  <c:v>8043029.2071851967</c:v>
                </c:pt>
                <c:pt idx="2376">
                  <c:v>8045676.5457987478</c:v>
                </c:pt>
                <c:pt idx="2377">
                  <c:v>8048323.8844122998</c:v>
                </c:pt>
                <c:pt idx="2378">
                  <c:v>8050971.223025851</c:v>
                </c:pt>
                <c:pt idx="2379">
                  <c:v>8053618.561639403</c:v>
                </c:pt>
                <c:pt idx="2380">
                  <c:v>8056265.900252955</c:v>
                </c:pt>
                <c:pt idx="2381">
                  <c:v>8058913.2388665061</c:v>
                </c:pt>
                <c:pt idx="2382">
                  <c:v>8061560.5774800582</c:v>
                </c:pt>
                <c:pt idx="2383">
                  <c:v>8064207.9160936093</c:v>
                </c:pt>
                <c:pt idx="2384">
                  <c:v>8066855.2547071613</c:v>
                </c:pt>
                <c:pt idx="2385">
                  <c:v>8069502.5933207134</c:v>
                </c:pt>
                <c:pt idx="2386">
                  <c:v>8072149.9319342645</c:v>
                </c:pt>
                <c:pt idx="2387">
                  <c:v>8074797.2705478165</c:v>
                </c:pt>
                <c:pt idx="2388">
                  <c:v>8077444.6091613676</c:v>
                </c:pt>
                <c:pt idx="2389">
                  <c:v>8080091.9477749197</c:v>
                </c:pt>
                <c:pt idx="2390">
                  <c:v>8082739.2863884717</c:v>
                </c:pt>
                <c:pt idx="2391">
                  <c:v>8085386.6250020228</c:v>
                </c:pt>
                <c:pt idx="2392">
                  <c:v>8088033.9636155749</c:v>
                </c:pt>
                <c:pt idx="2393">
                  <c:v>8090681.302229126</c:v>
                </c:pt>
                <c:pt idx="2394">
                  <c:v>8093328.640842678</c:v>
                </c:pt>
                <c:pt idx="2395">
                  <c:v>8095975.9794562301</c:v>
                </c:pt>
                <c:pt idx="2396">
                  <c:v>8098623.3180697812</c:v>
                </c:pt>
                <c:pt idx="2397">
                  <c:v>8101270.6566833332</c:v>
                </c:pt>
                <c:pt idx="2398">
                  <c:v>8103917.9952968843</c:v>
                </c:pt>
                <c:pt idx="2399">
                  <c:v>8106565.3339104364</c:v>
                </c:pt>
                <c:pt idx="2400">
                  <c:v>8109212.6725239875</c:v>
                </c:pt>
                <c:pt idx="2401">
                  <c:v>8111860.0111375395</c:v>
                </c:pt>
                <c:pt idx="2402">
                  <c:v>8114507.3497510916</c:v>
                </c:pt>
                <c:pt idx="2403">
                  <c:v>8117154.6883646427</c:v>
                </c:pt>
                <c:pt idx="2404">
                  <c:v>8119802.0269781947</c:v>
                </c:pt>
                <c:pt idx="2405">
                  <c:v>8122449.3655917458</c:v>
                </c:pt>
                <c:pt idx="2406">
                  <c:v>8125096.7042052979</c:v>
                </c:pt>
                <c:pt idx="2407">
                  <c:v>8127744.0428188499</c:v>
                </c:pt>
                <c:pt idx="2408">
                  <c:v>8130391.381432401</c:v>
                </c:pt>
                <c:pt idx="2409">
                  <c:v>8133038.7200459531</c:v>
                </c:pt>
                <c:pt idx="2410">
                  <c:v>8135686.0586595042</c:v>
                </c:pt>
                <c:pt idx="2411">
                  <c:v>8138333.3972730562</c:v>
                </c:pt>
                <c:pt idx="2412">
                  <c:v>8140980.7358866083</c:v>
                </c:pt>
                <c:pt idx="2413">
                  <c:v>8143628.0745001594</c:v>
                </c:pt>
                <c:pt idx="2414">
                  <c:v>8146275.4131137114</c:v>
                </c:pt>
                <c:pt idx="2415">
                  <c:v>8148922.7517272625</c:v>
                </c:pt>
                <c:pt idx="2416">
                  <c:v>8151570.0903408146</c:v>
                </c:pt>
                <c:pt idx="2417">
                  <c:v>8154217.4289543666</c:v>
                </c:pt>
                <c:pt idx="2418">
                  <c:v>8156864.7675679177</c:v>
                </c:pt>
                <c:pt idx="2419">
                  <c:v>8159512.1061814697</c:v>
                </c:pt>
                <c:pt idx="2420">
                  <c:v>8162159.4447950209</c:v>
                </c:pt>
                <c:pt idx="2421">
                  <c:v>8164806.7834085729</c:v>
                </c:pt>
                <c:pt idx="2422">
                  <c:v>8167454.1220221249</c:v>
                </c:pt>
                <c:pt idx="2423">
                  <c:v>8170101.460635676</c:v>
                </c:pt>
                <c:pt idx="2424">
                  <c:v>8172748.7992492281</c:v>
                </c:pt>
                <c:pt idx="2425">
                  <c:v>8175396.1378627792</c:v>
                </c:pt>
                <c:pt idx="2426">
                  <c:v>8178043.4764763312</c:v>
                </c:pt>
                <c:pt idx="2427">
                  <c:v>8180690.8150898824</c:v>
                </c:pt>
                <c:pt idx="2428">
                  <c:v>8183338.1537034344</c:v>
                </c:pt>
                <c:pt idx="2429">
                  <c:v>8185985.4923169864</c:v>
                </c:pt>
                <c:pt idx="2430">
                  <c:v>8188632.8309305375</c:v>
                </c:pt>
                <c:pt idx="2431">
                  <c:v>8191280.1695440896</c:v>
                </c:pt>
                <c:pt idx="2432">
                  <c:v>8193927.5081576407</c:v>
                </c:pt>
                <c:pt idx="2433">
                  <c:v>8196574.8467711927</c:v>
                </c:pt>
                <c:pt idx="2434">
                  <c:v>8199222.1853847448</c:v>
                </c:pt>
                <c:pt idx="2435">
                  <c:v>8201869.5239982959</c:v>
                </c:pt>
                <c:pt idx="2436">
                  <c:v>8204516.8626118479</c:v>
                </c:pt>
                <c:pt idx="2437">
                  <c:v>8207164.201225399</c:v>
                </c:pt>
                <c:pt idx="2438">
                  <c:v>8209811.5398389511</c:v>
                </c:pt>
                <c:pt idx="2439">
                  <c:v>8212458.8784525031</c:v>
                </c:pt>
                <c:pt idx="2440">
                  <c:v>8215106.2170660542</c:v>
                </c:pt>
                <c:pt idx="2441">
                  <c:v>8217753.5556796063</c:v>
                </c:pt>
                <c:pt idx="2442">
                  <c:v>8220400.8942931574</c:v>
                </c:pt>
                <c:pt idx="2443">
                  <c:v>8223048.2329067094</c:v>
                </c:pt>
                <c:pt idx="2444">
                  <c:v>8225695.5715202615</c:v>
                </c:pt>
                <c:pt idx="2445">
                  <c:v>8228342.9101338126</c:v>
                </c:pt>
                <c:pt idx="2446">
                  <c:v>8230990.2487473646</c:v>
                </c:pt>
                <c:pt idx="2447">
                  <c:v>8233637.5873609157</c:v>
                </c:pt>
                <c:pt idx="2448">
                  <c:v>8236284.9259744678</c:v>
                </c:pt>
                <c:pt idx="2449">
                  <c:v>8238932.2645880198</c:v>
                </c:pt>
                <c:pt idx="2450">
                  <c:v>8241579.6032015709</c:v>
                </c:pt>
                <c:pt idx="2451">
                  <c:v>8244226.941815123</c:v>
                </c:pt>
                <c:pt idx="2452">
                  <c:v>8246874.2804286741</c:v>
                </c:pt>
                <c:pt idx="2453">
                  <c:v>8249521.6190422261</c:v>
                </c:pt>
                <c:pt idx="2454">
                  <c:v>8252168.9576557772</c:v>
                </c:pt>
                <c:pt idx="2455">
                  <c:v>8254816.2962693293</c:v>
                </c:pt>
                <c:pt idx="2456">
                  <c:v>8257463.6348828813</c:v>
                </c:pt>
                <c:pt idx="2457">
                  <c:v>8260110.9734964324</c:v>
                </c:pt>
                <c:pt idx="2458">
                  <c:v>8262758.3121099845</c:v>
                </c:pt>
                <c:pt idx="2459">
                  <c:v>8265405.6507235356</c:v>
                </c:pt>
                <c:pt idx="2460">
                  <c:v>8268052.9893370876</c:v>
                </c:pt>
                <c:pt idx="2461">
                  <c:v>8270700.3279506397</c:v>
                </c:pt>
                <c:pt idx="2462">
                  <c:v>8273347.6665641908</c:v>
                </c:pt>
                <c:pt idx="2463">
                  <c:v>8275995.0051777428</c:v>
                </c:pt>
                <c:pt idx="2464">
                  <c:v>8278642.3437912939</c:v>
                </c:pt>
                <c:pt idx="2465">
                  <c:v>8281289.682404846</c:v>
                </c:pt>
                <c:pt idx="2466">
                  <c:v>8283937.021018398</c:v>
                </c:pt>
                <c:pt idx="2467">
                  <c:v>8286584.3596319491</c:v>
                </c:pt>
                <c:pt idx="2468">
                  <c:v>8289231.6982455011</c:v>
                </c:pt>
                <c:pt idx="2469">
                  <c:v>8291879.0368590523</c:v>
                </c:pt>
                <c:pt idx="2470">
                  <c:v>8294526.3754726043</c:v>
                </c:pt>
                <c:pt idx="2471">
                  <c:v>8297173.7140861563</c:v>
                </c:pt>
                <c:pt idx="2472">
                  <c:v>8299821.0526997074</c:v>
                </c:pt>
                <c:pt idx="2473">
                  <c:v>8302468.3913132595</c:v>
                </c:pt>
                <c:pt idx="2474">
                  <c:v>8305115.7299268106</c:v>
                </c:pt>
                <c:pt idx="2475">
                  <c:v>8307763.0685403626</c:v>
                </c:pt>
                <c:pt idx="2476">
                  <c:v>8310410.4071539138</c:v>
                </c:pt>
                <c:pt idx="2477">
                  <c:v>8313057.7457674658</c:v>
                </c:pt>
                <c:pt idx="2478">
                  <c:v>8315705.0843810178</c:v>
                </c:pt>
                <c:pt idx="2479">
                  <c:v>8318352.4229945689</c:v>
                </c:pt>
                <c:pt idx="2480">
                  <c:v>8320999.761608121</c:v>
                </c:pt>
                <c:pt idx="2481">
                  <c:v>8323647.1002216721</c:v>
                </c:pt>
                <c:pt idx="2482">
                  <c:v>8326294.4388352241</c:v>
                </c:pt>
                <c:pt idx="2483">
                  <c:v>8328941.7774487762</c:v>
                </c:pt>
                <c:pt idx="2484">
                  <c:v>8331589.1160623273</c:v>
                </c:pt>
                <c:pt idx="2485">
                  <c:v>8334236.4546758793</c:v>
                </c:pt>
                <c:pt idx="2486">
                  <c:v>8336883.7932894304</c:v>
                </c:pt>
                <c:pt idx="2487">
                  <c:v>8339531.1319029825</c:v>
                </c:pt>
                <c:pt idx="2488">
                  <c:v>8342178.4705165345</c:v>
                </c:pt>
                <c:pt idx="2489">
                  <c:v>8344825.8091300856</c:v>
                </c:pt>
                <c:pt idx="2490">
                  <c:v>8347473.1477436377</c:v>
                </c:pt>
                <c:pt idx="2491">
                  <c:v>8350120.4863571888</c:v>
                </c:pt>
                <c:pt idx="2492">
                  <c:v>8352767.8249707408</c:v>
                </c:pt>
                <c:pt idx="2493">
                  <c:v>8355415.1635842929</c:v>
                </c:pt>
                <c:pt idx="2494">
                  <c:v>8358062.502197844</c:v>
                </c:pt>
                <c:pt idx="2495">
                  <c:v>8360709.840811396</c:v>
                </c:pt>
                <c:pt idx="2496">
                  <c:v>8363357.1794249471</c:v>
                </c:pt>
                <c:pt idx="2497">
                  <c:v>8366004.5180384992</c:v>
                </c:pt>
                <c:pt idx="2498">
                  <c:v>8368651.8566520512</c:v>
                </c:pt>
                <c:pt idx="2499">
                  <c:v>8371299.1952656023</c:v>
                </c:pt>
                <c:pt idx="2500">
                  <c:v>8373946.5338791544</c:v>
                </c:pt>
                <c:pt idx="2501">
                  <c:v>8376593.8724927055</c:v>
                </c:pt>
                <c:pt idx="2502">
                  <c:v>8379241.2111062575</c:v>
                </c:pt>
                <c:pt idx="2503">
                  <c:v>8381888.5497198086</c:v>
                </c:pt>
                <c:pt idx="2504">
                  <c:v>8384535.8883333607</c:v>
                </c:pt>
                <c:pt idx="2505">
                  <c:v>8387183.2269469127</c:v>
                </c:pt>
                <c:pt idx="2506">
                  <c:v>8389830.5655604638</c:v>
                </c:pt>
                <c:pt idx="2507">
                  <c:v>8392477.9041740149</c:v>
                </c:pt>
                <c:pt idx="2508">
                  <c:v>8395125.242787566</c:v>
                </c:pt>
                <c:pt idx="2509">
                  <c:v>8397772.581401119</c:v>
                </c:pt>
                <c:pt idx="2510">
                  <c:v>8400419.920014672</c:v>
                </c:pt>
                <c:pt idx="2511">
                  <c:v>8403067.2586282231</c:v>
                </c:pt>
                <c:pt idx="2512">
                  <c:v>8405714.5972417742</c:v>
                </c:pt>
                <c:pt idx="2513">
                  <c:v>8408361.9358553253</c:v>
                </c:pt>
                <c:pt idx="2514">
                  <c:v>8411009.2744688764</c:v>
                </c:pt>
                <c:pt idx="2515">
                  <c:v>8413656.6130824294</c:v>
                </c:pt>
                <c:pt idx="2516">
                  <c:v>8416303.9516959805</c:v>
                </c:pt>
                <c:pt idx="2517">
                  <c:v>8418951.2903095335</c:v>
                </c:pt>
                <c:pt idx="2518">
                  <c:v>8421598.6289230846</c:v>
                </c:pt>
                <c:pt idx="2519">
                  <c:v>8424245.9675366357</c:v>
                </c:pt>
                <c:pt idx="2520">
                  <c:v>8426893.3061501868</c:v>
                </c:pt>
                <c:pt idx="2521">
                  <c:v>8429540.6447637379</c:v>
                </c:pt>
                <c:pt idx="2522">
                  <c:v>8432187.9833772909</c:v>
                </c:pt>
                <c:pt idx="2523">
                  <c:v>8434835.321990842</c:v>
                </c:pt>
                <c:pt idx="2524">
                  <c:v>8437482.660604395</c:v>
                </c:pt>
                <c:pt idx="2525">
                  <c:v>8440129.9992179461</c:v>
                </c:pt>
                <c:pt idx="2526">
                  <c:v>8442777.3378314972</c:v>
                </c:pt>
                <c:pt idx="2527">
                  <c:v>8445424.6764450483</c:v>
                </c:pt>
                <c:pt idx="2528">
                  <c:v>8448072.0150585994</c:v>
                </c:pt>
                <c:pt idx="2529">
                  <c:v>8450719.3536721524</c:v>
                </c:pt>
                <c:pt idx="2530">
                  <c:v>8453366.6922857035</c:v>
                </c:pt>
                <c:pt idx="2531">
                  <c:v>8456014.0308992565</c:v>
                </c:pt>
                <c:pt idx="2532">
                  <c:v>8458661.3695128076</c:v>
                </c:pt>
                <c:pt idx="2533">
                  <c:v>8461308.7081263587</c:v>
                </c:pt>
                <c:pt idx="2534">
                  <c:v>8463956.0467399098</c:v>
                </c:pt>
                <c:pt idx="2535">
                  <c:v>8466603.3853534609</c:v>
                </c:pt>
                <c:pt idx="2536">
                  <c:v>8469250.7239670139</c:v>
                </c:pt>
                <c:pt idx="2537">
                  <c:v>8471898.0625805669</c:v>
                </c:pt>
                <c:pt idx="2538">
                  <c:v>8474545.401194118</c:v>
                </c:pt>
                <c:pt idx="2539">
                  <c:v>8477192.7398076691</c:v>
                </c:pt>
                <c:pt idx="2540">
                  <c:v>8479840.0784212202</c:v>
                </c:pt>
                <c:pt idx="2541">
                  <c:v>8482487.4170347713</c:v>
                </c:pt>
                <c:pt idx="2542">
                  <c:v>8485134.7556483243</c:v>
                </c:pt>
                <c:pt idx="2543">
                  <c:v>8487782.0942618754</c:v>
                </c:pt>
                <c:pt idx="2544">
                  <c:v>8490429.4328754283</c:v>
                </c:pt>
                <c:pt idx="2545">
                  <c:v>8493076.7714889795</c:v>
                </c:pt>
                <c:pt idx="2546">
                  <c:v>8495724.1101025306</c:v>
                </c:pt>
                <c:pt idx="2547">
                  <c:v>8498371.4487160817</c:v>
                </c:pt>
                <c:pt idx="2548">
                  <c:v>8501018.7873296328</c:v>
                </c:pt>
                <c:pt idx="2549">
                  <c:v>8503666.1259431858</c:v>
                </c:pt>
                <c:pt idx="2550">
                  <c:v>8506313.4645567369</c:v>
                </c:pt>
                <c:pt idx="2551">
                  <c:v>8508960.8031702898</c:v>
                </c:pt>
                <c:pt idx="2552">
                  <c:v>8511608.141783841</c:v>
                </c:pt>
                <c:pt idx="2553">
                  <c:v>8514255.4803973921</c:v>
                </c:pt>
                <c:pt idx="2554">
                  <c:v>8516902.8190109432</c:v>
                </c:pt>
                <c:pt idx="2555">
                  <c:v>8519550.1576244943</c:v>
                </c:pt>
                <c:pt idx="2556">
                  <c:v>8522197.4962380473</c:v>
                </c:pt>
                <c:pt idx="2557">
                  <c:v>8524844.8348515984</c:v>
                </c:pt>
                <c:pt idx="2558">
                  <c:v>8527492.1734651513</c:v>
                </c:pt>
                <c:pt idx="2559">
                  <c:v>8530139.5120787024</c:v>
                </c:pt>
                <c:pt idx="2560">
                  <c:v>8532786.8506922536</c:v>
                </c:pt>
                <c:pt idx="2561">
                  <c:v>8535434.1893058047</c:v>
                </c:pt>
                <c:pt idx="2562">
                  <c:v>8538081.5279193558</c:v>
                </c:pt>
                <c:pt idx="2563">
                  <c:v>8540728.8665329088</c:v>
                </c:pt>
                <c:pt idx="2564">
                  <c:v>8543376.2051464617</c:v>
                </c:pt>
                <c:pt idx="2565">
                  <c:v>8546023.5437600128</c:v>
                </c:pt>
                <c:pt idx="2566">
                  <c:v>8548670.8823735639</c:v>
                </c:pt>
                <c:pt idx="2567">
                  <c:v>8551318.2209871151</c:v>
                </c:pt>
                <c:pt idx="2568">
                  <c:v>8553965.5596006662</c:v>
                </c:pt>
                <c:pt idx="2569">
                  <c:v>8556612.8982142191</c:v>
                </c:pt>
                <c:pt idx="2570">
                  <c:v>8559260.2368277702</c:v>
                </c:pt>
                <c:pt idx="2571">
                  <c:v>8561907.5754413232</c:v>
                </c:pt>
                <c:pt idx="2572">
                  <c:v>8564554.9140548743</c:v>
                </c:pt>
                <c:pt idx="2573">
                  <c:v>8567202.2526684254</c:v>
                </c:pt>
                <c:pt idx="2574">
                  <c:v>8569849.5912819766</c:v>
                </c:pt>
                <c:pt idx="2575">
                  <c:v>8572496.9298955277</c:v>
                </c:pt>
                <c:pt idx="2576">
                  <c:v>8575144.2685090806</c:v>
                </c:pt>
                <c:pt idx="2577">
                  <c:v>8577791.6071226317</c:v>
                </c:pt>
                <c:pt idx="2578">
                  <c:v>8580438.9457361847</c:v>
                </c:pt>
                <c:pt idx="2579">
                  <c:v>8583086.2843497358</c:v>
                </c:pt>
                <c:pt idx="2580">
                  <c:v>8585733.6229632869</c:v>
                </c:pt>
                <c:pt idx="2581">
                  <c:v>8588380.961576838</c:v>
                </c:pt>
                <c:pt idx="2582">
                  <c:v>8591028.3001903892</c:v>
                </c:pt>
                <c:pt idx="2583">
                  <c:v>8593675.6388039421</c:v>
                </c:pt>
                <c:pt idx="2584">
                  <c:v>8596322.9774174932</c:v>
                </c:pt>
                <c:pt idx="2585">
                  <c:v>8598970.3160310462</c:v>
                </c:pt>
                <c:pt idx="2586">
                  <c:v>8601617.6546445973</c:v>
                </c:pt>
                <c:pt idx="2587">
                  <c:v>8604264.9932581484</c:v>
                </c:pt>
                <c:pt idx="2588">
                  <c:v>8606912.3318716995</c:v>
                </c:pt>
                <c:pt idx="2589">
                  <c:v>8609559.6704852507</c:v>
                </c:pt>
                <c:pt idx="2590">
                  <c:v>8612207.0090988036</c:v>
                </c:pt>
                <c:pt idx="2591">
                  <c:v>8614854.3477123566</c:v>
                </c:pt>
                <c:pt idx="2592">
                  <c:v>8617501.6863259077</c:v>
                </c:pt>
                <c:pt idx="2593">
                  <c:v>8620149.0249394588</c:v>
                </c:pt>
                <c:pt idx="2594">
                  <c:v>8622796.3635530099</c:v>
                </c:pt>
                <c:pt idx="2595">
                  <c:v>8625443.702166561</c:v>
                </c:pt>
                <c:pt idx="2596">
                  <c:v>8628091.040780114</c:v>
                </c:pt>
                <c:pt idx="2597">
                  <c:v>8630738.3793936651</c:v>
                </c:pt>
                <c:pt idx="2598">
                  <c:v>8633385.7180072181</c:v>
                </c:pt>
                <c:pt idx="2599">
                  <c:v>8636033.0566207692</c:v>
                </c:pt>
                <c:pt idx="2600">
                  <c:v>8638680.3952343203</c:v>
                </c:pt>
                <c:pt idx="2601">
                  <c:v>8641327.7338478714</c:v>
                </c:pt>
                <c:pt idx="2602">
                  <c:v>8643975.0724614225</c:v>
                </c:pt>
                <c:pt idx="2603">
                  <c:v>8646622.4110749755</c:v>
                </c:pt>
                <c:pt idx="2604">
                  <c:v>8649269.7496885266</c:v>
                </c:pt>
                <c:pt idx="2605">
                  <c:v>8651917.0883020796</c:v>
                </c:pt>
                <c:pt idx="2606">
                  <c:v>8654564.4269156307</c:v>
                </c:pt>
                <c:pt idx="2607">
                  <c:v>8657211.7655291818</c:v>
                </c:pt>
                <c:pt idx="2608">
                  <c:v>8659859.1041427329</c:v>
                </c:pt>
                <c:pt idx="2609">
                  <c:v>8662506.442756284</c:v>
                </c:pt>
                <c:pt idx="2610">
                  <c:v>8665153.781369837</c:v>
                </c:pt>
                <c:pt idx="2611">
                  <c:v>8667801.1199833881</c:v>
                </c:pt>
                <c:pt idx="2612">
                  <c:v>8670448.4585969411</c:v>
                </c:pt>
                <c:pt idx="2613">
                  <c:v>8673095.7972104922</c:v>
                </c:pt>
                <c:pt idx="2614">
                  <c:v>8675743.1358240433</c:v>
                </c:pt>
                <c:pt idx="2615">
                  <c:v>8678390.4744375944</c:v>
                </c:pt>
                <c:pt idx="2616">
                  <c:v>8681037.8130511455</c:v>
                </c:pt>
                <c:pt idx="2617">
                  <c:v>8683685.1516646985</c:v>
                </c:pt>
                <c:pt idx="2618">
                  <c:v>8686332.4902782515</c:v>
                </c:pt>
                <c:pt idx="2619">
                  <c:v>8688979.8288918026</c:v>
                </c:pt>
                <c:pt idx="2620">
                  <c:v>8691627.1675053537</c:v>
                </c:pt>
                <c:pt idx="2621">
                  <c:v>8694274.5061189048</c:v>
                </c:pt>
                <c:pt idx="2622">
                  <c:v>8696921.8447324559</c:v>
                </c:pt>
                <c:pt idx="2623">
                  <c:v>8699569.1833460089</c:v>
                </c:pt>
                <c:pt idx="2624">
                  <c:v>8702216.52195956</c:v>
                </c:pt>
                <c:pt idx="2625">
                  <c:v>8704863.860573113</c:v>
                </c:pt>
                <c:pt idx="2626">
                  <c:v>8707511.1991866641</c:v>
                </c:pt>
                <c:pt idx="2627">
                  <c:v>8710158.5378002152</c:v>
                </c:pt>
                <c:pt idx="2628">
                  <c:v>8712805.8764137663</c:v>
                </c:pt>
                <c:pt idx="2629">
                  <c:v>8715453.2150273174</c:v>
                </c:pt>
                <c:pt idx="2630">
                  <c:v>8718100.5536408704</c:v>
                </c:pt>
                <c:pt idx="2631">
                  <c:v>8720747.8922544215</c:v>
                </c:pt>
                <c:pt idx="2632">
                  <c:v>8723395.2308679745</c:v>
                </c:pt>
                <c:pt idx="2633">
                  <c:v>8726042.5694815256</c:v>
                </c:pt>
                <c:pt idx="2634">
                  <c:v>8728689.9080950767</c:v>
                </c:pt>
                <c:pt idx="2635">
                  <c:v>8731337.2467086278</c:v>
                </c:pt>
                <c:pt idx="2636">
                  <c:v>8733984.5853221789</c:v>
                </c:pt>
                <c:pt idx="2637">
                  <c:v>8736631.9239357319</c:v>
                </c:pt>
                <c:pt idx="2638">
                  <c:v>8739279.262549283</c:v>
                </c:pt>
                <c:pt idx="2639">
                  <c:v>8741926.601162836</c:v>
                </c:pt>
                <c:pt idx="2640">
                  <c:v>8744573.9397763871</c:v>
                </c:pt>
                <c:pt idx="2641">
                  <c:v>8747221.2783899382</c:v>
                </c:pt>
                <c:pt idx="2642">
                  <c:v>8749868.6170034893</c:v>
                </c:pt>
                <c:pt idx="2643">
                  <c:v>8752515.9556170404</c:v>
                </c:pt>
                <c:pt idx="2644">
                  <c:v>8755163.2942305934</c:v>
                </c:pt>
                <c:pt idx="2645">
                  <c:v>8757810.6328441463</c:v>
                </c:pt>
                <c:pt idx="2646">
                  <c:v>8760457.9714576975</c:v>
                </c:pt>
                <c:pt idx="2647">
                  <c:v>8763105.3100712486</c:v>
                </c:pt>
                <c:pt idx="2648">
                  <c:v>8765752.6486847997</c:v>
                </c:pt>
                <c:pt idx="2649">
                  <c:v>8768399.9872983508</c:v>
                </c:pt>
                <c:pt idx="2650">
                  <c:v>8771047.3259119038</c:v>
                </c:pt>
                <c:pt idx="2651">
                  <c:v>8773694.6645254549</c:v>
                </c:pt>
                <c:pt idx="2652">
                  <c:v>8776342.0031390078</c:v>
                </c:pt>
                <c:pt idx="2653">
                  <c:v>8778989.3417525589</c:v>
                </c:pt>
                <c:pt idx="2654">
                  <c:v>8781636.6803661101</c:v>
                </c:pt>
                <c:pt idx="2655">
                  <c:v>8784284.0189796612</c:v>
                </c:pt>
                <c:pt idx="2656">
                  <c:v>8786931.3575932123</c:v>
                </c:pt>
                <c:pt idx="2657">
                  <c:v>8789578.6962067652</c:v>
                </c:pt>
                <c:pt idx="2658">
                  <c:v>8792226.0348203164</c:v>
                </c:pt>
                <c:pt idx="2659">
                  <c:v>8794873.3734338693</c:v>
                </c:pt>
                <c:pt idx="2660">
                  <c:v>8797520.7120474204</c:v>
                </c:pt>
                <c:pt idx="2661">
                  <c:v>8800168.0506609716</c:v>
                </c:pt>
                <c:pt idx="2662">
                  <c:v>8802815.3892745227</c:v>
                </c:pt>
                <c:pt idx="2663">
                  <c:v>8805462.7278880738</c:v>
                </c:pt>
                <c:pt idx="2664">
                  <c:v>8808110.0665016267</c:v>
                </c:pt>
                <c:pt idx="2665">
                  <c:v>8810757.4051151779</c:v>
                </c:pt>
                <c:pt idx="2666">
                  <c:v>8813404.7437287308</c:v>
                </c:pt>
                <c:pt idx="2667">
                  <c:v>8816052.0823422819</c:v>
                </c:pt>
                <c:pt idx="2668">
                  <c:v>8818699.420955833</c:v>
                </c:pt>
                <c:pt idx="2669">
                  <c:v>8821346.7595693842</c:v>
                </c:pt>
                <c:pt idx="2670">
                  <c:v>8823994.0981829353</c:v>
                </c:pt>
                <c:pt idx="2671">
                  <c:v>8826641.4367964882</c:v>
                </c:pt>
                <c:pt idx="2672">
                  <c:v>8829288.7754100412</c:v>
                </c:pt>
                <c:pt idx="2673">
                  <c:v>8831936.1140235923</c:v>
                </c:pt>
                <c:pt idx="2674">
                  <c:v>8834583.4526371434</c:v>
                </c:pt>
                <c:pt idx="2675">
                  <c:v>8837230.7912506945</c:v>
                </c:pt>
                <c:pt idx="2676">
                  <c:v>8839878.1298642457</c:v>
                </c:pt>
                <c:pt idx="2677">
                  <c:v>8842525.4684777986</c:v>
                </c:pt>
                <c:pt idx="2678">
                  <c:v>8845172.8070913497</c:v>
                </c:pt>
                <c:pt idx="2679">
                  <c:v>8847820.1457049027</c:v>
                </c:pt>
                <c:pt idx="2680">
                  <c:v>8850467.4843184538</c:v>
                </c:pt>
                <c:pt idx="2681">
                  <c:v>8853114.8229320049</c:v>
                </c:pt>
                <c:pt idx="2682">
                  <c:v>8855762.161545556</c:v>
                </c:pt>
                <c:pt idx="2683">
                  <c:v>8858409.5001591071</c:v>
                </c:pt>
                <c:pt idx="2684">
                  <c:v>8861056.8387726601</c:v>
                </c:pt>
                <c:pt idx="2685">
                  <c:v>8863704.1773862112</c:v>
                </c:pt>
                <c:pt idx="2686">
                  <c:v>8866351.5159997642</c:v>
                </c:pt>
                <c:pt idx="2687">
                  <c:v>8868998.8546133153</c:v>
                </c:pt>
                <c:pt idx="2688">
                  <c:v>8871646.1932268664</c:v>
                </c:pt>
                <c:pt idx="2689">
                  <c:v>8874293.5318404175</c:v>
                </c:pt>
                <c:pt idx="2690">
                  <c:v>8876940.8704539686</c:v>
                </c:pt>
                <c:pt idx="2691">
                  <c:v>8879588.2090675216</c:v>
                </c:pt>
                <c:pt idx="2692">
                  <c:v>8882235.5476810727</c:v>
                </c:pt>
                <c:pt idx="2693">
                  <c:v>8884882.8862946257</c:v>
                </c:pt>
                <c:pt idx="2694">
                  <c:v>8887530.2249081768</c:v>
                </c:pt>
                <c:pt idx="2695">
                  <c:v>8890177.5635217279</c:v>
                </c:pt>
                <c:pt idx="2696">
                  <c:v>8892824.902135279</c:v>
                </c:pt>
                <c:pt idx="2697">
                  <c:v>8895472.2407488301</c:v>
                </c:pt>
                <c:pt idx="2698">
                  <c:v>8898119.5793623831</c:v>
                </c:pt>
                <c:pt idx="2699">
                  <c:v>8900766.9179759361</c:v>
                </c:pt>
                <c:pt idx="2700">
                  <c:v>8903414.2565894872</c:v>
                </c:pt>
                <c:pt idx="2701">
                  <c:v>8906061.5952030383</c:v>
                </c:pt>
                <c:pt idx="2702">
                  <c:v>8908708.9338165894</c:v>
                </c:pt>
                <c:pt idx="2703">
                  <c:v>8911356.2724301405</c:v>
                </c:pt>
                <c:pt idx="2704">
                  <c:v>8914003.6110436935</c:v>
                </c:pt>
                <c:pt idx="2705">
                  <c:v>8916650.9496572446</c:v>
                </c:pt>
                <c:pt idx="2706">
                  <c:v>8919298.2882707976</c:v>
                </c:pt>
                <c:pt idx="2707">
                  <c:v>8921945.6268843487</c:v>
                </c:pt>
                <c:pt idx="2708">
                  <c:v>8924592.9654978998</c:v>
                </c:pt>
                <c:pt idx="2709">
                  <c:v>8927240.3041114509</c:v>
                </c:pt>
                <c:pt idx="2710">
                  <c:v>8929887.642725002</c:v>
                </c:pt>
                <c:pt idx="2711">
                  <c:v>8932534.981338555</c:v>
                </c:pt>
                <c:pt idx="2712">
                  <c:v>8935182.3199521061</c:v>
                </c:pt>
                <c:pt idx="2713">
                  <c:v>8937829.6585656591</c:v>
                </c:pt>
                <c:pt idx="2714">
                  <c:v>8940476.9971792102</c:v>
                </c:pt>
                <c:pt idx="2715">
                  <c:v>8943124.3357927613</c:v>
                </c:pt>
                <c:pt idx="2716">
                  <c:v>8945771.6744063124</c:v>
                </c:pt>
                <c:pt idx="2717">
                  <c:v>8948419.0130198635</c:v>
                </c:pt>
                <c:pt idx="2718">
                  <c:v>8951066.3516334165</c:v>
                </c:pt>
                <c:pt idx="2719">
                  <c:v>8953713.6902469676</c:v>
                </c:pt>
                <c:pt idx="2720">
                  <c:v>8956361.0288605206</c:v>
                </c:pt>
                <c:pt idx="2721">
                  <c:v>8959008.3674740717</c:v>
                </c:pt>
                <c:pt idx="2722">
                  <c:v>8961655.7060876228</c:v>
                </c:pt>
                <c:pt idx="2723">
                  <c:v>8964303.0447011739</c:v>
                </c:pt>
                <c:pt idx="2724">
                  <c:v>8966950.383314725</c:v>
                </c:pt>
                <c:pt idx="2725">
                  <c:v>8969597.721928278</c:v>
                </c:pt>
                <c:pt idx="2726">
                  <c:v>8972245.060541831</c:v>
                </c:pt>
                <c:pt idx="2727">
                  <c:v>8974892.3991553821</c:v>
                </c:pt>
                <c:pt idx="2728">
                  <c:v>8977539.7377689332</c:v>
                </c:pt>
                <c:pt idx="2729">
                  <c:v>8980187.0763824843</c:v>
                </c:pt>
                <c:pt idx="2730">
                  <c:v>8982834.4149960354</c:v>
                </c:pt>
                <c:pt idx="2731">
                  <c:v>8985481.7536095884</c:v>
                </c:pt>
                <c:pt idx="2732">
                  <c:v>8988129.0922231395</c:v>
                </c:pt>
                <c:pt idx="2733">
                  <c:v>8990776.4308366925</c:v>
                </c:pt>
                <c:pt idx="2734">
                  <c:v>8993423.7694502436</c:v>
                </c:pt>
                <c:pt idx="2735">
                  <c:v>8996071.1080637947</c:v>
                </c:pt>
                <c:pt idx="2736">
                  <c:v>8998718.4466773458</c:v>
                </c:pt>
                <c:pt idx="2737">
                  <c:v>9001365.7852908969</c:v>
                </c:pt>
                <c:pt idx="2738">
                  <c:v>9004013.1239044499</c:v>
                </c:pt>
                <c:pt idx="2739">
                  <c:v>9006660.462518001</c:v>
                </c:pt>
                <c:pt idx="2740">
                  <c:v>9009307.8011315539</c:v>
                </c:pt>
                <c:pt idx="2741">
                  <c:v>9011955.1397451051</c:v>
                </c:pt>
                <c:pt idx="2742">
                  <c:v>9014602.4783586562</c:v>
                </c:pt>
                <c:pt idx="2743">
                  <c:v>9017249.8169722073</c:v>
                </c:pt>
                <c:pt idx="2744">
                  <c:v>9019897.1555857584</c:v>
                </c:pt>
                <c:pt idx="2745">
                  <c:v>9022544.4941993114</c:v>
                </c:pt>
                <c:pt idx="2746">
                  <c:v>9025191.8328128625</c:v>
                </c:pt>
                <c:pt idx="2747">
                  <c:v>9027839.1714264154</c:v>
                </c:pt>
                <c:pt idx="2748">
                  <c:v>9030486.5100399666</c:v>
                </c:pt>
                <c:pt idx="2749">
                  <c:v>9033133.8486535177</c:v>
                </c:pt>
                <c:pt idx="2750">
                  <c:v>9035781.1872670688</c:v>
                </c:pt>
                <c:pt idx="2751">
                  <c:v>9038428.5258806199</c:v>
                </c:pt>
                <c:pt idx="2752">
                  <c:v>9041075.8644941729</c:v>
                </c:pt>
                <c:pt idx="2753">
                  <c:v>9043723.2031077258</c:v>
                </c:pt>
                <c:pt idx="2754">
                  <c:v>9046370.5417212769</c:v>
                </c:pt>
                <c:pt idx="2755">
                  <c:v>9049017.880334828</c:v>
                </c:pt>
                <c:pt idx="2756">
                  <c:v>9051665.2189483792</c:v>
                </c:pt>
                <c:pt idx="2757">
                  <c:v>9054312.5575619303</c:v>
                </c:pt>
                <c:pt idx="2758">
                  <c:v>9056959.8961754832</c:v>
                </c:pt>
                <c:pt idx="2759">
                  <c:v>9059607.2347890344</c:v>
                </c:pt>
                <c:pt idx="2760">
                  <c:v>9062254.5734025873</c:v>
                </c:pt>
                <c:pt idx="2761">
                  <c:v>9064901.9120161384</c:v>
                </c:pt>
                <c:pt idx="2762">
                  <c:v>9067549.2506296895</c:v>
                </c:pt>
                <c:pt idx="2763">
                  <c:v>9070196.5892432407</c:v>
                </c:pt>
                <c:pt idx="2764">
                  <c:v>9072843.9278567918</c:v>
                </c:pt>
                <c:pt idx="2765">
                  <c:v>9075491.2664703447</c:v>
                </c:pt>
                <c:pt idx="2766">
                  <c:v>9078138.6050838958</c:v>
                </c:pt>
                <c:pt idx="2767">
                  <c:v>9080785.9436974488</c:v>
                </c:pt>
                <c:pt idx="2768">
                  <c:v>9083433.2823109999</c:v>
                </c:pt>
                <c:pt idx="2769">
                  <c:v>9086080.620924551</c:v>
                </c:pt>
                <c:pt idx="2770">
                  <c:v>9088727.9595381021</c:v>
                </c:pt>
                <c:pt idx="2771">
                  <c:v>9091375.2981516533</c:v>
                </c:pt>
                <c:pt idx="2772">
                  <c:v>9094022.6367652062</c:v>
                </c:pt>
                <c:pt idx="2773">
                  <c:v>9096669.9753787573</c:v>
                </c:pt>
                <c:pt idx="2774">
                  <c:v>9099317.3139923103</c:v>
                </c:pt>
                <c:pt idx="2775">
                  <c:v>9101964.6526058614</c:v>
                </c:pt>
                <c:pt idx="2776">
                  <c:v>9104611.9912194125</c:v>
                </c:pt>
                <c:pt idx="2777">
                  <c:v>9107259.3298329636</c:v>
                </c:pt>
                <c:pt idx="2778">
                  <c:v>9109906.6684465148</c:v>
                </c:pt>
                <c:pt idx="2779">
                  <c:v>9112554.0070600677</c:v>
                </c:pt>
                <c:pt idx="2780">
                  <c:v>9115201.3456736207</c:v>
                </c:pt>
                <c:pt idx="2781">
                  <c:v>9117848.6842871718</c:v>
                </c:pt>
                <c:pt idx="2782">
                  <c:v>9120496.0229007229</c:v>
                </c:pt>
                <c:pt idx="2783">
                  <c:v>9123143.361514274</c:v>
                </c:pt>
                <c:pt idx="2784">
                  <c:v>9125790.7001278251</c:v>
                </c:pt>
                <c:pt idx="2785">
                  <c:v>9128438.0387413781</c:v>
                </c:pt>
                <c:pt idx="2786">
                  <c:v>9131085.3773549292</c:v>
                </c:pt>
                <c:pt idx="2787">
                  <c:v>9133732.7159684822</c:v>
                </c:pt>
                <c:pt idx="2788">
                  <c:v>9136380.0545820333</c:v>
                </c:pt>
                <c:pt idx="2789">
                  <c:v>9139027.3931955844</c:v>
                </c:pt>
                <c:pt idx="2790">
                  <c:v>9141674.7318091355</c:v>
                </c:pt>
                <c:pt idx="2791">
                  <c:v>9144322.0704226866</c:v>
                </c:pt>
                <c:pt idx="2792">
                  <c:v>9146969.4090362396</c:v>
                </c:pt>
                <c:pt idx="2793">
                  <c:v>9149616.7476497907</c:v>
                </c:pt>
                <c:pt idx="2794">
                  <c:v>9152264.0862633437</c:v>
                </c:pt>
                <c:pt idx="2795">
                  <c:v>9154911.4248768948</c:v>
                </c:pt>
                <c:pt idx="2796">
                  <c:v>9157558.7634904459</c:v>
                </c:pt>
                <c:pt idx="2797">
                  <c:v>9160206.102103997</c:v>
                </c:pt>
                <c:pt idx="2798">
                  <c:v>9162853.4407175481</c:v>
                </c:pt>
                <c:pt idx="2799">
                  <c:v>9165500.7793311011</c:v>
                </c:pt>
                <c:pt idx="2800">
                  <c:v>9168148.1179446522</c:v>
                </c:pt>
                <c:pt idx="2801">
                  <c:v>9170795.4565582052</c:v>
                </c:pt>
                <c:pt idx="2802">
                  <c:v>9173442.7951717563</c:v>
                </c:pt>
                <c:pt idx="2803">
                  <c:v>9176090.1337853074</c:v>
                </c:pt>
                <c:pt idx="2804">
                  <c:v>9178737.4723988585</c:v>
                </c:pt>
                <c:pt idx="2805">
                  <c:v>9181384.8110124096</c:v>
                </c:pt>
                <c:pt idx="2806">
                  <c:v>9184032.1496259626</c:v>
                </c:pt>
                <c:pt idx="2807">
                  <c:v>9186679.4882395156</c:v>
                </c:pt>
                <c:pt idx="2808">
                  <c:v>9189326.8268530667</c:v>
                </c:pt>
                <c:pt idx="2809">
                  <c:v>9191974.1654666178</c:v>
                </c:pt>
                <c:pt idx="2810">
                  <c:v>9194621.5040801689</c:v>
                </c:pt>
                <c:pt idx="2811">
                  <c:v>9197268.84269372</c:v>
                </c:pt>
                <c:pt idx="2812">
                  <c:v>9199916.181307273</c:v>
                </c:pt>
                <c:pt idx="2813">
                  <c:v>9202563.5199208241</c:v>
                </c:pt>
                <c:pt idx="2814">
                  <c:v>9205210.8585343771</c:v>
                </c:pt>
                <c:pt idx="2815">
                  <c:v>9207858.1971479282</c:v>
                </c:pt>
                <c:pt idx="2816">
                  <c:v>9210505.5357614793</c:v>
                </c:pt>
                <c:pt idx="2817">
                  <c:v>9213152.8743750304</c:v>
                </c:pt>
                <c:pt idx="2818">
                  <c:v>9215800.2129885815</c:v>
                </c:pt>
                <c:pt idx="2819">
                  <c:v>9218447.5516021345</c:v>
                </c:pt>
                <c:pt idx="2820">
                  <c:v>9221094.8902156856</c:v>
                </c:pt>
                <c:pt idx="2821">
                  <c:v>9223742.2288292386</c:v>
                </c:pt>
                <c:pt idx="2822">
                  <c:v>9226389.5674427897</c:v>
                </c:pt>
                <c:pt idx="2823">
                  <c:v>9229036.9060563408</c:v>
                </c:pt>
                <c:pt idx="2824">
                  <c:v>9231684.2446698919</c:v>
                </c:pt>
                <c:pt idx="2825">
                  <c:v>9234331.583283443</c:v>
                </c:pt>
                <c:pt idx="2826">
                  <c:v>9236978.921896996</c:v>
                </c:pt>
                <c:pt idx="2827">
                  <c:v>9239626.2605105471</c:v>
                </c:pt>
                <c:pt idx="2828">
                  <c:v>9242273.5991241001</c:v>
                </c:pt>
                <c:pt idx="2829">
                  <c:v>9244920.9377376512</c:v>
                </c:pt>
                <c:pt idx="2830">
                  <c:v>9247568.2763512023</c:v>
                </c:pt>
                <c:pt idx="2831">
                  <c:v>9250215.6149647534</c:v>
                </c:pt>
                <c:pt idx="2832">
                  <c:v>9252862.9535783045</c:v>
                </c:pt>
                <c:pt idx="2833">
                  <c:v>9255510.2921918575</c:v>
                </c:pt>
                <c:pt idx="2834">
                  <c:v>9258157.6308054104</c:v>
                </c:pt>
                <c:pt idx="2835">
                  <c:v>9260804.9694189616</c:v>
                </c:pt>
                <c:pt idx="2836">
                  <c:v>9263452.3080325127</c:v>
                </c:pt>
                <c:pt idx="2837">
                  <c:v>9266099.6466460638</c:v>
                </c:pt>
                <c:pt idx="2838">
                  <c:v>9268746.9852596149</c:v>
                </c:pt>
                <c:pt idx="2839">
                  <c:v>9271394.323873166</c:v>
                </c:pt>
                <c:pt idx="2840">
                  <c:v>9274041.662486719</c:v>
                </c:pt>
                <c:pt idx="2841">
                  <c:v>9276689.0011002719</c:v>
                </c:pt>
                <c:pt idx="2842">
                  <c:v>9279336.3397138231</c:v>
                </c:pt>
                <c:pt idx="2843">
                  <c:v>9281983.6783273742</c:v>
                </c:pt>
                <c:pt idx="2844">
                  <c:v>9284631.0169409253</c:v>
                </c:pt>
                <c:pt idx="2845">
                  <c:v>9287278.3555544764</c:v>
                </c:pt>
                <c:pt idx="2846">
                  <c:v>9289925.6941680294</c:v>
                </c:pt>
                <c:pt idx="2847">
                  <c:v>9292573.0327815805</c:v>
                </c:pt>
                <c:pt idx="2848">
                  <c:v>9295220.3713951334</c:v>
                </c:pt>
                <c:pt idx="2849">
                  <c:v>9297867.7100086845</c:v>
                </c:pt>
                <c:pt idx="2850">
                  <c:v>9300515.0486222357</c:v>
                </c:pt>
                <c:pt idx="2851">
                  <c:v>9303162.3872357868</c:v>
                </c:pt>
                <c:pt idx="2852">
                  <c:v>9305809.7258493379</c:v>
                </c:pt>
                <c:pt idx="2853">
                  <c:v>9308457.0644628908</c:v>
                </c:pt>
                <c:pt idx="2854">
                  <c:v>9311104.403076442</c:v>
                </c:pt>
                <c:pt idx="2855">
                  <c:v>9313751.7416899949</c:v>
                </c:pt>
                <c:pt idx="2856">
                  <c:v>9316399.080303546</c:v>
                </c:pt>
                <c:pt idx="2857">
                  <c:v>9319046.4189170972</c:v>
                </c:pt>
                <c:pt idx="2858">
                  <c:v>9321693.7575306483</c:v>
                </c:pt>
                <c:pt idx="2859">
                  <c:v>9324341.0961441994</c:v>
                </c:pt>
                <c:pt idx="2860">
                  <c:v>9326988.4347577523</c:v>
                </c:pt>
                <c:pt idx="2861">
                  <c:v>9329635.7733713053</c:v>
                </c:pt>
                <c:pt idx="2862">
                  <c:v>9332283.1119848564</c:v>
                </c:pt>
                <c:pt idx="2863">
                  <c:v>9334930.4505984075</c:v>
                </c:pt>
                <c:pt idx="2864">
                  <c:v>9337577.7892119586</c:v>
                </c:pt>
                <c:pt idx="2865">
                  <c:v>9340225.1278255098</c:v>
                </c:pt>
                <c:pt idx="2866">
                  <c:v>9342872.4664390609</c:v>
                </c:pt>
                <c:pt idx="2867">
                  <c:v>9345519.8050526138</c:v>
                </c:pt>
                <c:pt idx="2868">
                  <c:v>9348167.1436661668</c:v>
                </c:pt>
                <c:pt idx="2869">
                  <c:v>9350814.4822797179</c:v>
                </c:pt>
                <c:pt idx="2870">
                  <c:v>9353461.820893269</c:v>
                </c:pt>
                <c:pt idx="2871">
                  <c:v>9356109.1595068201</c:v>
                </c:pt>
                <c:pt idx="2872">
                  <c:v>9358756.4981203713</c:v>
                </c:pt>
                <c:pt idx="2873">
                  <c:v>9361403.8367339242</c:v>
                </c:pt>
                <c:pt idx="2874">
                  <c:v>9364051.1753474753</c:v>
                </c:pt>
                <c:pt idx="2875">
                  <c:v>9366698.5139610283</c:v>
                </c:pt>
                <c:pt idx="2876">
                  <c:v>9369345.8525745794</c:v>
                </c:pt>
                <c:pt idx="2877">
                  <c:v>9371993.1911881305</c:v>
                </c:pt>
                <c:pt idx="2878">
                  <c:v>9374640.5298016816</c:v>
                </c:pt>
                <c:pt idx="2879">
                  <c:v>9377287.8684152327</c:v>
                </c:pt>
                <c:pt idx="2880">
                  <c:v>9379935.2070287857</c:v>
                </c:pt>
                <c:pt idx="2881">
                  <c:v>9382582.5456423368</c:v>
                </c:pt>
                <c:pt idx="2882">
                  <c:v>9385229.8842558898</c:v>
                </c:pt>
                <c:pt idx="2883">
                  <c:v>9387877.2228694409</c:v>
                </c:pt>
                <c:pt idx="2884">
                  <c:v>9390524.561482992</c:v>
                </c:pt>
                <c:pt idx="2885">
                  <c:v>9393171.9000965431</c:v>
                </c:pt>
                <c:pt idx="2886">
                  <c:v>9395819.2387100942</c:v>
                </c:pt>
                <c:pt idx="2887">
                  <c:v>9398466.5773236472</c:v>
                </c:pt>
                <c:pt idx="2888">
                  <c:v>9401113.9159372002</c:v>
                </c:pt>
                <c:pt idx="2889">
                  <c:v>9403761.2545507513</c:v>
                </c:pt>
                <c:pt idx="2890">
                  <c:v>9406408.5931643024</c:v>
                </c:pt>
                <c:pt idx="2891">
                  <c:v>9409055.9317778535</c:v>
                </c:pt>
                <c:pt idx="2892">
                  <c:v>9411703.2703914046</c:v>
                </c:pt>
                <c:pt idx="2893">
                  <c:v>9414350.6090049557</c:v>
                </c:pt>
                <c:pt idx="2894">
                  <c:v>9416997.9476185087</c:v>
                </c:pt>
                <c:pt idx="2895">
                  <c:v>9419645.2862320617</c:v>
                </c:pt>
                <c:pt idx="2896">
                  <c:v>9422292.6248456128</c:v>
                </c:pt>
                <c:pt idx="2897">
                  <c:v>9424939.9634591639</c:v>
                </c:pt>
                <c:pt idx="2898">
                  <c:v>9427587.302072715</c:v>
                </c:pt>
                <c:pt idx="2899">
                  <c:v>9430234.6406862661</c:v>
                </c:pt>
                <c:pt idx="2900">
                  <c:v>9432881.9792998191</c:v>
                </c:pt>
                <c:pt idx="2901">
                  <c:v>9435529.3179133702</c:v>
                </c:pt>
                <c:pt idx="2902">
                  <c:v>9438176.6565269232</c:v>
                </c:pt>
                <c:pt idx="2903">
                  <c:v>9440823.9951404743</c:v>
                </c:pt>
                <c:pt idx="2904">
                  <c:v>9443471.3337540254</c:v>
                </c:pt>
                <c:pt idx="2905">
                  <c:v>9446118.6723675765</c:v>
                </c:pt>
                <c:pt idx="2906">
                  <c:v>9448766.0109811276</c:v>
                </c:pt>
                <c:pt idx="2907">
                  <c:v>9451413.3495946806</c:v>
                </c:pt>
                <c:pt idx="2908">
                  <c:v>9454060.6882082317</c:v>
                </c:pt>
                <c:pt idx="2909">
                  <c:v>9456708.0268217847</c:v>
                </c:pt>
                <c:pt idx="2910">
                  <c:v>9459355.3654353358</c:v>
                </c:pt>
                <c:pt idx="2911">
                  <c:v>9462002.7040488869</c:v>
                </c:pt>
                <c:pt idx="2912">
                  <c:v>9464650.042662438</c:v>
                </c:pt>
                <c:pt idx="2913">
                  <c:v>9467297.3812759891</c:v>
                </c:pt>
                <c:pt idx="2914">
                  <c:v>9469944.7198895421</c:v>
                </c:pt>
                <c:pt idx="2915">
                  <c:v>9472592.0585030951</c:v>
                </c:pt>
                <c:pt idx="2916">
                  <c:v>9475239.3971166462</c:v>
                </c:pt>
                <c:pt idx="2917">
                  <c:v>9477886.7357301973</c:v>
                </c:pt>
                <c:pt idx="2918">
                  <c:v>9480534.0743437484</c:v>
                </c:pt>
                <c:pt idx="2919">
                  <c:v>9483181.4129572995</c:v>
                </c:pt>
                <c:pt idx="2920">
                  <c:v>9485828.7515708506</c:v>
                </c:pt>
                <c:pt idx="2921">
                  <c:v>9488476.0901844036</c:v>
                </c:pt>
                <c:pt idx="2922">
                  <c:v>9491123.4287979566</c:v>
                </c:pt>
                <c:pt idx="2923">
                  <c:v>9493770.7674115077</c:v>
                </c:pt>
                <c:pt idx="2924">
                  <c:v>9496418.1060250588</c:v>
                </c:pt>
                <c:pt idx="2925">
                  <c:v>9499065.4446386099</c:v>
                </c:pt>
                <c:pt idx="2926">
                  <c:v>9501712.783252161</c:v>
                </c:pt>
                <c:pt idx="2927">
                  <c:v>9504360.121865714</c:v>
                </c:pt>
                <c:pt idx="2928">
                  <c:v>9507007.4604792651</c:v>
                </c:pt>
                <c:pt idx="2929">
                  <c:v>9509654.7990928181</c:v>
                </c:pt>
                <c:pt idx="2930">
                  <c:v>9512302.1377063692</c:v>
                </c:pt>
                <c:pt idx="2931">
                  <c:v>9514949.4763199203</c:v>
                </c:pt>
                <c:pt idx="2932">
                  <c:v>9517596.8149334714</c:v>
                </c:pt>
                <c:pt idx="2933">
                  <c:v>9520244.1535470225</c:v>
                </c:pt>
                <c:pt idx="2934">
                  <c:v>9522891.4921605755</c:v>
                </c:pt>
                <c:pt idx="2935">
                  <c:v>9525538.8307741266</c:v>
                </c:pt>
                <c:pt idx="2936">
                  <c:v>9528186.1693876795</c:v>
                </c:pt>
                <c:pt idx="2937">
                  <c:v>9530833.5080012307</c:v>
                </c:pt>
                <c:pt idx="2938">
                  <c:v>9533480.8466147818</c:v>
                </c:pt>
                <c:pt idx="2939">
                  <c:v>9536128.1852283329</c:v>
                </c:pt>
                <c:pt idx="2940">
                  <c:v>9538775.523841884</c:v>
                </c:pt>
                <c:pt idx="2941">
                  <c:v>9541422.862455437</c:v>
                </c:pt>
                <c:pt idx="2942">
                  <c:v>9544070.2010689899</c:v>
                </c:pt>
                <c:pt idx="2943">
                  <c:v>9546717.539682541</c:v>
                </c:pt>
                <c:pt idx="2944">
                  <c:v>9549364.8782960922</c:v>
                </c:pt>
                <c:pt idx="2945">
                  <c:v>9552012.2169096433</c:v>
                </c:pt>
                <c:pt idx="2946">
                  <c:v>9554659.5555231944</c:v>
                </c:pt>
                <c:pt idx="2947">
                  <c:v>9557306.8941367455</c:v>
                </c:pt>
                <c:pt idx="2948">
                  <c:v>9559954.2327502985</c:v>
                </c:pt>
                <c:pt idx="2949">
                  <c:v>9562601.5713638514</c:v>
                </c:pt>
                <c:pt idx="2950">
                  <c:v>9565248.9099774025</c:v>
                </c:pt>
                <c:pt idx="2951">
                  <c:v>9567896.2485909536</c:v>
                </c:pt>
                <c:pt idx="2952">
                  <c:v>9570543.5872045048</c:v>
                </c:pt>
                <c:pt idx="2953">
                  <c:v>9573190.9258180559</c:v>
                </c:pt>
                <c:pt idx="2954">
                  <c:v>9575838.2644316088</c:v>
                </c:pt>
                <c:pt idx="2955">
                  <c:v>9578485.60304516</c:v>
                </c:pt>
                <c:pt idx="2956">
                  <c:v>9581132.9416587129</c:v>
                </c:pt>
                <c:pt idx="2957">
                  <c:v>9583780.280272264</c:v>
                </c:pt>
                <c:pt idx="2958">
                  <c:v>9586427.6188858151</c:v>
                </c:pt>
                <c:pt idx="2959">
                  <c:v>9589074.9574993663</c:v>
                </c:pt>
                <c:pt idx="2960">
                  <c:v>9591722.2961129174</c:v>
                </c:pt>
                <c:pt idx="2961">
                  <c:v>9594369.6347264703</c:v>
                </c:pt>
                <c:pt idx="2962">
                  <c:v>9597016.9733400214</c:v>
                </c:pt>
                <c:pt idx="2963">
                  <c:v>9599664.3119535744</c:v>
                </c:pt>
                <c:pt idx="2964">
                  <c:v>9602311.6505671255</c:v>
                </c:pt>
                <c:pt idx="2965">
                  <c:v>9604958.9891806766</c:v>
                </c:pt>
                <c:pt idx="2966">
                  <c:v>9607606.3277942277</c:v>
                </c:pt>
                <c:pt idx="2967">
                  <c:v>9610253.6664077789</c:v>
                </c:pt>
                <c:pt idx="2968">
                  <c:v>9612901.0050213318</c:v>
                </c:pt>
                <c:pt idx="2969">
                  <c:v>9615548.3436348829</c:v>
                </c:pt>
                <c:pt idx="2970">
                  <c:v>9618195.6822484359</c:v>
                </c:pt>
                <c:pt idx="2971">
                  <c:v>9620843.020861987</c:v>
                </c:pt>
                <c:pt idx="2972">
                  <c:v>9623490.3594755381</c:v>
                </c:pt>
                <c:pt idx="2973">
                  <c:v>9626137.6980890892</c:v>
                </c:pt>
                <c:pt idx="2974">
                  <c:v>9628785.0367026404</c:v>
                </c:pt>
                <c:pt idx="2975">
                  <c:v>9631432.3753161933</c:v>
                </c:pt>
                <c:pt idx="2976">
                  <c:v>9634079.7139297463</c:v>
                </c:pt>
                <c:pt idx="2977">
                  <c:v>9636727.0525432974</c:v>
                </c:pt>
                <c:pt idx="2978">
                  <c:v>9639374.3911568485</c:v>
                </c:pt>
                <c:pt idx="2979">
                  <c:v>9642021.7297703996</c:v>
                </c:pt>
                <c:pt idx="2980">
                  <c:v>9644669.0683839507</c:v>
                </c:pt>
                <c:pt idx="2981">
                  <c:v>9647316.4069975037</c:v>
                </c:pt>
                <c:pt idx="2982">
                  <c:v>9649963.7456110548</c:v>
                </c:pt>
                <c:pt idx="2983">
                  <c:v>9652611.0842246078</c:v>
                </c:pt>
                <c:pt idx="2984">
                  <c:v>9655258.4228381589</c:v>
                </c:pt>
                <c:pt idx="2985">
                  <c:v>9657905.76145171</c:v>
                </c:pt>
                <c:pt idx="2986">
                  <c:v>9660553.1000652611</c:v>
                </c:pt>
                <c:pt idx="2987">
                  <c:v>9663200.4386788122</c:v>
                </c:pt>
                <c:pt idx="2988">
                  <c:v>9665847.7772923652</c:v>
                </c:pt>
                <c:pt idx="2989">
                  <c:v>9668495.1159059163</c:v>
                </c:pt>
                <c:pt idx="2990">
                  <c:v>9671142.4545194693</c:v>
                </c:pt>
                <c:pt idx="2991">
                  <c:v>9673789.7931330204</c:v>
                </c:pt>
                <c:pt idx="2992">
                  <c:v>9676437.1317465715</c:v>
                </c:pt>
                <c:pt idx="2993">
                  <c:v>9679084.4703601226</c:v>
                </c:pt>
                <c:pt idx="2994">
                  <c:v>9681731.8089736737</c:v>
                </c:pt>
                <c:pt idx="2995">
                  <c:v>9684379.1475872267</c:v>
                </c:pt>
                <c:pt idx="2996">
                  <c:v>9687026.4862007778</c:v>
                </c:pt>
                <c:pt idx="2997">
                  <c:v>9689673.8248143308</c:v>
                </c:pt>
                <c:pt idx="2998">
                  <c:v>9692321.1634278819</c:v>
                </c:pt>
                <c:pt idx="2999">
                  <c:v>9694968.502041433</c:v>
                </c:pt>
                <c:pt idx="3000">
                  <c:v>9697615.8406549841</c:v>
                </c:pt>
                <c:pt idx="3001">
                  <c:v>9700263.1792685352</c:v>
                </c:pt>
                <c:pt idx="3002">
                  <c:v>9702910.5178820882</c:v>
                </c:pt>
                <c:pt idx="3003">
                  <c:v>9705557.8564956412</c:v>
                </c:pt>
                <c:pt idx="3004">
                  <c:v>9708205.1951091923</c:v>
                </c:pt>
                <c:pt idx="3005">
                  <c:v>9710852.5337227434</c:v>
                </c:pt>
                <c:pt idx="3006">
                  <c:v>9713499.8723362945</c:v>
                </c:pt>
                <c:pt idx="3007">
                  <c:v>9716147.2109498456</c:v>
                </c:pt>
                <c:pt idx="3008">
                  <c:v>9718794.5495633986</c:v>
                </c:pt>
                <c:pt idx="3009">
                  <c:v>9721441.8881769497</c:v>
                </c:pt>
                <c:pt idx="3010">
                  <c:v>9724089.2267905027</c:v>
                </c:pt>
                <c:pt idx="3011">
                  <c:v>9726736.5654040538</c:v>
                </c:pt>
                <c:pt idx="3012">
                  <c:v>9729383.9040176049</c:v>
                </c:pt>
                <c:pt idx="3013">
                  <c:v>9732031.242631156</c:v>
                </c:pt>
                <c:pt idx="3014">
                  <c:v>9734678.5812447071</c:v>
                </c:pt>
                <c:pt idx="3015">
                  <c:v>9737325.9198582601</c:v>
                </c:pt>
                <c:pt idx="3016">
                  <c:v>9739973.2584718112</c:v>
                </c:pt>
                <c:pt idx="3017">
                  <c:v>9742620.5970853642</c:v>
                </c:pt>
                <c:pt idx="3018">
                  <c:v>9745267.9356989153</c:v>
                </c:pt>
                <c:pt idx="3019">
                  <c:v>9747915.2743124664</c:v>
                </c:pt>
                <c:pt idx="3020">
                  <c:v>9750562.6129260175</c:v>
                </c:pt>
                <c:pt idx="3021">
                  <c:v>9753209.9515395686</c:v>
                </c:pt>
                <c:pt idx="3022">
                  <c:v>9755857.2901531216</c:v>
                </c:pt>
                <c:pt idx="3023">
                  <c:v>9758504.6287666727</c:v>
                </c:pt>
                <c:pt idx="3024">
                  <c:v>9761151.9673802257</c:v>
                </c:pt>
                <c:pt idx="3025">
                  <c:v>9763799.3059937768</c:v>
                </c:pt>
                <c:pt idx="3026">
                  <c:v>9766446.6446073279</c:v>
                </c:pt>
                <c:pt idx="3027">
                  <c:v>9769093.983220879</c:v>
                </c:pt>
                <c:pt idx="3028">
                  <c:v>9771741.3218344301</c:v>
                </c:pt>
                <c:pt idx="3029">
                  <c:v>9774388.6604479831</c:v>
                </c:pt>
                <c:pt idx="3030">
                  <c:v>9777035.999061536</c:v>
                </c:pt>
                <c:pt idx="3031">
                  <c:v>9779683.3376750872</c:v>
                </c:pt>
                <c:pt idx="3032">
                  <c:v>9782330.6762886383</c:v>
                </c:pt>
                <c:pt idx="3033">
                  <c:v>9784978.0149021894</c:v>
                </c:pt>
                <c:pt idx="3034">
                  <c:v>9787625.3535157405</c:v>
                </c:pt>
                <c:pt idx="3035">
                  <c:v>9790272.6921292935</c:v>
                </c:pt>
                <c:pt idx="3036">
                  <c:v>9792920.0307428446</c:v>
                </c:pt>
                <c:pt idx="3037">
                  <c:v>9795567.3693563975</c:v>
                </c:pt>
                <c:pt idx="3038">
                  <c:v>9798214.7079699486</c:v>
                </c:pt>
                <c:pt idx="3039">
                  <c:v>9800862.0465834998</c:v>
                </c:pt>
                <c:pt idx="3040">
                  <c:v>9803509.3851970509</c:v>
                </c:pt>
                <c:pt idx="3041">
                  <c:v>9806156.723810602</c:v>
                </c:pt>
                <c:pt idx="3042">
                  <c:v>9808804.062424155</c:v>
                </c:pt>
                <c:pt idx="3043">
                  <c:v>9811451.4010377061</c:v>
                </c:pt>
                <c:pt idx="3044">
                  <c:v>9814098.739651259</c:v>
                </c:pt>
                <c:pt idx="3045">
                  <c:v>9816746.0782648101</c:v>
                </c:pt>
                <c:pt idx="3046">
                  <c:v>9819393.4168783613</c:v>
                </c:pt>
                <c:pt idx="3047">
                  <c:v>9822040.7554919124</c:v>
                </c:pt>
                <c:pt idx="3048">
                  <c:v>9824688.0941054635</c:v>
                </c:pt>
                <c:pt idx="3049">
                  <c:v>9827335.4327190164</c:v>
                </c:pt>
                <c:pt idx="3050">
                  <c:v>9829982.7713325676</c:v>
                </c:pt>
                <c:pt idx="3051">
                  <c:v>9832630.1099461205</c:v>
                </c:pt>
                <c:pt idx="3052">
                  <c:v>9835277.4485596716</c:v>
                </c:pt>
                <c:pt idx="3053">
                  <c:v>9837924.7871732228</c:v>
                </c:pt>
                <c:pt idx="3054">
                  <c:v>9840572.1257867739</c:v>
                </c:pt>
                <c:pt idx="3055">
                  <c:v>9843219.464400325</c:v>
                </c:pt>
                <c:pt idx="3056">
                  <c:v>9845866.8030138779</c:v>
                </c:pt>
                <c:pt idx="3057">
                  <c:v>9848514.1416274309</c:v>
                </c:pt>
                <c:pt idx="3058">
                  <c:v>9851161.480240982</c:v>
                </c:pt>
                <c:pt idx="3059">
                  <c:v>9853808.8188545331</c:v>
                </c:pt>
                <c:pt idx="3060">
                  <c:v>9856456.1574680842</c:v>
                </c:pt>
                <c:pt idx="3061">
                  <c:v>9859103.4960816354</c:v>
                </c:pt>
                <c:pt idx="3062">
                  <c:v>9861750.8346951883</c:v>
                </c:pt>
                <c:pt idx="3063">
                  <c:v>9864398.1733087394</c:v>
                </c:pt>
                <c:pt idx="3064">
                  <c:v>9867045.5119222924</c:v>
                </c:pt>
                <c:pt idx="3065">
                  <c:v>9869692.8505358435</c:v>
                </c:pt>
                <c:pt idx="3066">
                  <c:v>9872340.1891493946</c:v>
                </c:pt>
                <c:pt idx="3067">
                  <c:v>9874987.5277629457</c:v>
                </c:pt>
                <c:pt idx="3068">
                  <c:v>9877634.8663764969</c:v>
                </c:pt>
                <c:pt idx="3069">
                  <c:v>9880282.2049900498</c:v>
                </c:pt>
                <c:pt idx="3070">
                  <c:v>9882929.5436036009</c:v>
                </c:pt>
                <c:pt idx="3071">
                  <c:v>9885576.8822171539</c:v>
                </c:pt>
                <c:pt idx="3072">
                  <c:v>9888224.220830705</c:v>
                </c:pt>
                <c:pt idx="3073">
                  <c:v>9890871.5594442561</c:v>
                </c:pt>
                <c:pt idx="3074">
                  <c:v>9893518.8980578072</c:v>
                </c:pt>
                <c:pt idx="3075">
                  <c:v>9896166.2366713583</c:v>
                </c:pt>
                <c:pt idx="3076">
                  <c:v>9898813.5752849113</c:v>
                </c:pt>
                <c:pt idx="3077">
                  <c:v>9901460.9138984624</c:v>
                </c:pt>
                <c:pt idx="3078">
                  <c:v>9904108.2525120154</c:v>
                </c:pt>
                <c:pt idx="3079">
                  <c:v>9906755.5911255665</c:v>
                </c:pt>
                <c:pt idx="3080">
                  <c:v>9909402.9297391176</c:v>
                </c:pt>
                <c:pt idx="3081">
                  <c:v>9912050.2683526687</c:v>
                </c:pt>
                <c:pt idx="3082">
                  <c:v>9914697.6069662198</c:v>
                </c:pt>
                <c:pt idx="3083">
                  <c:v>9917344.9455797728</c:v>
                </c:pt>
                <c:pt idx="3084">
                  <c:v>9919992.2841933258</c:v>
                </c:pt>
                <c:pt idx="3085">
                  <c:v>9922639.6228068769</c:v>
                </c:pt>
                <c:pt idx="3086">
                  <c:v>9925286.961420428</c:v>
                </c:pt>
                <c:pt idx="3087">
                  <c:v>9927934.3000339791</c:v>
                </c:pt>
                <c:pt idx="3088">
                  <c:v>9930581.6386475302</c:v>
                </c:pt>
                <c:pt idx="3089">
                  <c:v>9933228.9772610832</c:v>
                </c:pt>
                <c:pt idx="3090">
                  <c:v>9935876.3158746343</c:v>
                </c:pt>
                <c:pt idx="3091">
                  <c:v>9938523.6544881873</c:v>
                </c:pt>
                <c:pt idx="3092">
                  <c:v>9941170.9931017384</c:v>
                </c:pt>
                <c:pt idx="3093">
                  <c:v>9943818.3317152895</c:v>
                </c:pt>
                <c:pt idx="3094">
                  <c:v>9946465.6703288406</c:v>
                </c:pt>
                <c:pt idx="3095">
                  <c:v>9949113.0089423917</c:v>
                </c:pt>
                <c:pt idx="3096">
                  <c:v>9951760.3475559447</c:v>
                </c:pt>
                <c:pt idx="3097">
                  <c:v>9954407.6861694958</c:v>
                </c:pt>
                <c:pt idx="3098">
                  <c:v>9957055.0247830488</c:v>
                </c:pt>
                <c:pt idx="3099">
                  <c:v>9959702.3633965999</c:v>
                </c:pt>
                <c:pt idx="3100">
                  <c:v>9962349.702010151</c:v>
                </c:pt>
                <c:pt idx="3101">
                  <c:v>9964997.0406237021</c:v>
                </c:pt>
                <c:pt idx="3102">
                  <c:v>9967644.3792372532</c:v>
                </c:pt>
                <c:pt idx="3103">
                  <c:v>9970291.7178508062</c:v>
                </c:pt>
                <c:pt idx="3104">
                  <c:v>9972939.0564643573</c:v>
                </c:pt>
                <c:pt idx="3105">
                  <c:v>9975586.3950779103</c:v>
                </c:pt>
                <c:pt idx="3106">
                  <c:v>9978233.7336914614</c:v>
                </c:pt>
                <c:pt idx="3107">
                  <c:v>9980881.0723050125</c:v>
                </c:pt>
                <c:pt idx="3108">
                  <c:v>9983528.4109185636</c:v>
                </c:pt>
                <c:pt idx="3109">
                  <c:v>9986175.7495321147</c:v>
                </c:pt>
                <c:pt idx="3110">
                  <c:v>9988823.0881456677</c:v>
                </c:pt>
                <c:pt idx="3111">
                  <c:v>9991470.4267592207</c:v>
                </c:pt>
                <c:pt idx="3112">
                  <c:v>9994117.7653727718</c:v>
                </c:pt>
                <c:pt idx="3113">
                  <c:v>9996765.1039863229</c:v>
                </c:pt>
                <c:pt idx="3114">
                  <c:v>9999412.442599874</c:v>
                </c:pt>
                <c:pt idx="3115">
                  <c:v>10002059.781213425</c:v>
                </c:pt>
                <c:pt idx="3116">
                  <c:v>10004707.119826978</c:v>
                </c:pt>
                <c:pt idx="3117">
                  <c:v>10007354.458440529</c:v>
                </c:pt>
                <c:pt idx="3118">
                  <c:v>10010001.797054082</c:v>
                </c:pt>
                <c:pt idx="3119">
                  <c:v>10012649.135667633</c:v>
                </c:pt>
                <c:pt idx="3120">
                  <c:v>10015296.474281184</c:v>
                </c:pt>
                <c:pt idx="3121">
                  <c:v>10017943.812894735</c:v>
                </c:pt>
                <c:pt idx="3122">
                  <c:v>10020591.151508287</c:v>
                </c:pt>
                <c:pt idx="3123">
                  <c:v>10023238.49012184</c:v>
                </c:pt>
                <c:pt idx="3124">
                  <c:v>10025885.828735391</c:v>
                </c:pt>
                <c:pt idx="3125">
                  <c:v>10028533.167348944</c:v>
                </c:pt>
                <c:pt idx="3126">
                  <c:v>10031180.505962495</c:v>
                </c:pt>
                <c:pt idx="3127">
                  <c:v>10033827.844576046</c:v>
                </c:pt>
                <c:pt idx="3128">
                  <c:v>10036475.183189597</c:v>
                </c:pt>
                <c:pt idx="3129">
                  <c:v>10039122.521803148</c:v>
                </c:pt>
                <c:pt idx="3130">
                  <c:v>10041769.860416701</c:v>
                </c:pt>
                <c:pt idx="3131">
                  <c:v>10044417.199030252</c:v>
                </c:pt>
                <c:pt idx="3132">
                  <c:v>10047064.537643805</c:v>
                </c:pt>
                <c:pt idx="3133">
                  <c:v>10049711.876257356</c:v>
                </c:pt>
                <c:pt idx="3134">
                  <c:v>10052359.214870907</c:v>
                </c:pt>
                <c:pt idx="3135">
                  <c:v>10055006.553484458</c:v>
                </c:pt>
                <c:pt idx="3136">
                  <c:v>10057653.89209801</c:v>
                </c:pt>
                <c:pt idx="3137">
                  <c:v>10060301.230711563</c:v>
                </c:pt>
                <c:pt idx="3138">
                  <c:v>10062948.569325116</c:v>
                </c:pt>
                <c:pt idx="3139">
                  <c:v>10065595.907938667</c:v>
                </c:pt>
                <c:pt idx="3140">
                  <c:v>10068243.246552218</c:v>
                </c:pt>
                <c:pt idx="3141">
                  <c:v>10070890.585165769</c:v>
                </c:pt>
                <c:pt idx="3142">
                  <c:v>10073537.92377932</c:v>
                </c:pt>
                <c:pt idx="3143">
                  <c:v>10076185.262392873</c:v>
                </c:pt>
                <c:pt idx="3144">
                  <c:v>10078832.601006424</c:v>
                </c:pt>
                <c:pt idx="3145">
                  <c:v>10081479.939619977</c:v>
                </c:pt>
                <c:pt idx="3146">
                  <c:v>10084127.278233528</c:v>
                </c:pt>
                <c:pt idx="3147">
                  <c:v>10086774.616847079</c:v>
                </c:pt>
                <c:pt idx="3148">
                  <c:v>10089421.95546063</c:v>
                </c:pt>
                <c:pt idx="3149">
                  <c:v>10092069.294074181</c:v>
                </c:pt>
                <c:pt idx="3150">
                  <c:v>10094716.632687734</c:v>
                </c:pt>
                <c:pt idx="3151">
                  <c:v>10097363.971301286</c:v>
                </c:pt>
                <c:pt idx="3152">
                  <c:v>10100011.309914839</c:v>
                </c:pt>
                <c:pt idx="3153">
                  <c:v>10102658.64852839</c:v>
                </c:pt>
                <c:pt idx="3154">
                  <c:v>10105305.987141941</c:v>
                </c:pt>
                <c:pt idx="3155">
                  <c:v>10107953.325755492</c:v>
                </c:pt>
                <c:pt idx="3156">
                  <c:v>10110600.664369043</c:v>
                </c:pt>
                <c:pt idx="3157">
                  <c:v>10113248.002982596</c:v>
                </c:pt>
                <c:pt idx="3158">
                  <c:v>10115895.341596147</c:v>
                </c:pt>
                <c:pt idx="3159">
                  <c:v>10118542.6802097</c:v>
                </c:pt>
                <c:pt idx="3160">
                  <c:v>10121190.018823251</c:v>
                </c:pt>
                <c:pt idx="3161">
                  <c:v>10123837.357436802</c:v>
                </c:pt>
                <c:pt idx="3162">
                  <c:v>10126484.696050353</c:v>
                </c:pt>
                <c:pt idx="3163">
                  <c:v>10129132.034663904</c:v>
                </c:pt>
                <c:pt idx="3164">
                  <c:v>10131779.373277457</c:v>
                </c:pt>
                <c:pt idx="3165">
                  <c:v>10134426.71189101</c:v>
                </c:pt>
                <c:pt idx="3166">
                  <c:v>10137074.050504562</c:v>
                </c:pt>
                <c:pt idx="3167">
                  <c:v>10139721.389118113</c:v>
                </c:pt>
                <c:pt idx="3168">
                  <c:v>10142368.727731664</c:v>
                </c:pt>
                <c:pt idx="3169">
                  <c:v>10145016.066345215</c:v>
                </c:pt>
                <c:pt idx="3170">
                  <c:v>10147663.404958768</c:v>
                </c:pt>
                <c:pt idx="3171">
                  <c:v>10150310.743572319</c:v>
                </c:pt>
                <c:pt idx="3172">
                  <c:v>10152958.08218587</c:v>
                </c:pt>
                <c:pt idx="3173">
                  <c:v>10155605.420799423</c:v>
                </c:pt>
                <c:pt idx="3174">
                  <c:v>10158252.759412974</c:v>
                </c:pt>
                <c:pt idx="3175">
                  <c:v>10160900.098026525</c:v>
                </c:pt>
                <c:pt idx="3176">
                  <c:v>10163547.436640078</c:v>
                </c:pt>
                <c:pt idx="3177">
                  <c:v>10166194.775253629</c:v>
                </c:pt>
                <c:pt idx="3178">
                  <c:v>10168842.11386718</c:v>
                </c:pt>
                <c:pt idx="3179">
                  <c:v>10171489.452480732</c:v>
                </c:pt>
                <c:pt idx="3180">
                  <c:v>10174136.791094285</c:v>
                </c:pt>
                <c:pt idx="3181">
                  <c:v>10176784.129707836</c:v>
                </c:pt>
                <c:pt idx="3182">
                  <c:v>10179431.468321387</c:v>
                </c:pt>
                <c:pt idx="3183">
                  <c:v>10182078.80693494</c:v>
                </c:pt>
                <c:pt idx="3184">
                  <c:v>10184726.145548491</c:v>
                </c:pt>
                <c:pt idx="3185">
                  <c:v>10187373.484162042</c:v>
                </c:pt>
                <c:pt idx="3186">
                  <c:v>10190020.822775595</c:v>
                </c:pt>
                <c:pt idx="3187">
                  <c:v>10192668.161389146</c:v>
                </c:pt>
                <c:pt idx="3188">
                  <c:v>10195315.500002697</c:v>
                </c:pt>
                <c:pt idx="3189">
                  <c:v>10197962.838616248</c:v>
                </c:pt>
                <c:pt idx="3190">
                  <c:v>10200610.177229801</c:v>
                </c:pt>
                <c:pt idx="3191">
                  <c:v>10203257.515843352</c:v>
                </c:pt>
                <c:pt idx="3192">
                  <c:v>10205904.854456903</c:v>
                </c:pt>
                <c:pt idx="3193">
                  <c:v>10208552.193070456</c:v>
                </c:pt>
                <c:pt idx="3194">
                  <c:v>10211199.531684007</c:v>
                </c:pt>
                <c:pt idx="3195">
                  <c:v>10213846.870297559</c:v>
                </c:pt>
                <c:pt idx="3196">
                  <c:v>10216494.20891111</c:v>
                </c:pt>
                <c:pt idx="3197">
                  <c:v>10219141.547524663</c:v>
                </c:pt>
                <c:pt idx="3198">
                  <c:v>10221788.886138214</c:v>
                </c:pt>
                <c:pt idx="3199">
                  <c:v>10224436.224751765</c:v>
                </c:pt>
                <c:pt idx="3200">
                  <c:v>10227083.563365318</c:v>
                </c:pt>
                <c:pt idx="3201">
                  <c:v>10229730.901978869</c:v>
                </c:pt>
                <c:pt idx="3202">
                  <c:v>10232378.24059242</c:v>
                </c:pt>
                <c:pt idx="3203">
                  <c:v>10235025.579205973</c:v>
                </c:pt>
                <c:pt idx="3204">
                  <c:v>10237672.917819524</c:v>
                </c:pt>
                <c:pt idx="3205">
                  <c:v>10240320.256433075</c:v>
                </c:pt>
                <c:pt idx="3206">
                  <c:v>10242967.595046626</c:v>
                </c:pt>
                <c:pt idx="3207">
                  <c:v>10245614.933660179</c:v>
                </c:pt>
                <c:pt idx="3208">
                  <c:v>10248262.27227373</c:v>
                </c:pt>
                <c:pt idx="3209">
                  <c:v>10250909.610887282</c:v>
                </c:pt>
                <c:pt idx="3210">
                  <c:v>10253556.949500835</c:v>
                </c:pt>
                <c:pt idx="3211">
                  <c:v>10256204.288114386</c:v>
                </c:pt>
                <c:pt idx="3212">
                  <c:v>10258851.626727937</c:v>
                </c:pt>
                <c:pt idx="3213">
                  <c:v>10261498.96534149</c:v>
                </c:pt>
                <c:pt idx="3214">
                  <c:v>10264146.303955041</c:v>
                </c:pt>
                <c:pt idx="3215">
                  <c:v>10266793.642568592</c:v>
                </c:pt>
                <c:pt idx="3216">
                  <c:v>10269440.981182143</c:v>
                </c:pt>
                <c:pt idx="3217">
                  <c:v>10272088.319795696</c:v>
                </c:pt>
                <c:pt idx="3218">
                  <c:v>10274735.658409247</c:v>
                </c:pt>
                <c:pt idx="3219">
                  <c:v>10277382.997022798</c:v>
                </c:pt>
                <c:pt idx="3220">
                  <c:v>10280030.335636351</c:v>
                </c:pt>
                <c:pt idx="3221">
                  <c:v>10282677.674249902</c:v>
                </c:pt>
                <c:pt idx="3222">
                  <c:v>10285325.012863453</c:v>
                </c:pt>
                <c:pt idx="3223">
                  <c:v>10287972.351477005</c:v>
                </c:pt>
                <c:pt idx="3224">
                  <c:v>10290619.690090558</c:v>
                </c:pt>
                <c:pt idx="3225">
                  <c:v>10293267.028704109</c:v>
                </c:pt>
                <c:pt idx="3226">
                  <c:v>10295914.36731766</c:v>
                </c:pt>
                <c:pt idx="3227">
                  <c:v>10298561.705931213</c:v>
                </c:pt>
                <c:pt idx="3228">
                  <c:v>10301209.044544764</c:v>
                </c:pt>
                <c:pt idx="3229">
                  <c:v>10303856.383158315</c:v>
                </c:pt>
                <c:pt idx="3230">
                  <c:v>10306503.721771868</c:v>
                </c:pt>
                <c:pt idx="3231">
                  <c:v>10309151.060385419</c:v>
                </c:pt>
                <c:pt idx="3232">
                  <c:v>10311798.39899897</c:v>
                </c:pt>
                <c:pt idx="3233">
                  <c:v>10314445.737612521</c:v>
                </c:pt>
                <c:pt idx="3234">
                  <c:v>10317093.076226074</c:v>
                </c:pt>
                <c:pt idx="3235">
                  <c:v>10319740.414839625</c:v>
                </c:pt>
                <c:pt idx="3236">
                  <c:v>10322387.753453176</c:v>
                </c:pt>
                <c:pt idx="3237">
                  <c:v>10325035.092066729</c:v>
                </c:pt>
                <c:pt idx="3238">
                  <c:v>10327682.430680281</c:v>
                </c:pt>
                <c:pt idx="3239">
                  <c:v>10330329.769293832</c:v>
                </c:pt>
                <c:pt idx="3240">
                  <c:v>10332977.107907385</c:v>
                </c:pt>
                <c:pt idx="3241">
                  <c:v>10335624.446520936</c:v>
                </c:pt>
                <c:pt idx="3242">
                  <c:v>10338271.785134487</c:v>
                </c:pt>
                <c:pt idx="3243">
                  <c:v>10340919.123748038</c:v>
                </c:pt>
                <c:pt idx="3244">
                  <c:v>10343566.462361591</c:v>
                </c:pt>
                <c:pt idx="3245">
                  <c:v>10346213.800975142</c:v>
                </c:pt>
                <c:pt idx="3246">
                  <c:v>10348861.139588693</c:v>
                </c:pt>
                <c:pt idx="3247">
                  <c:v>10351508.478202246</c:v>
                </c:pt>
                <c:pt idx="3248">
                  <c:v>10354155.816815797</c:v>
                </c:pt>
                <c:pt idx="3249">
                  <c:v>10356803.155429348</c:v>
                </c:pt>
                <c:pt idx="3250">
                  <c:v>10359450.494042899</c:v>
                </c:pt>
                <c:pt idx="3251">
                  <c:v>10362097.832656452</c:v>
                </c:pt>
                <c:pt idx="3252">
                  <c:v>10364745.171270004</c:v>
                </c:pt>
                <c:pt idx="3253">
                  <c:v>10367392.509883555</c:v>
                </c:pt>
                <c:pt idx="3254">
                  <c:v>10370039.848497108</c:v>
                </c:pt>
                <c:pt idx="3255">
                  <c:v>10372687.187110659</c:v>
                </c:pt>
                <c:pt idx="3256">
                  <c:v>10375334.52572421</c:v>
                </c:pt>
                <c:pt idx="3257">
                  <c:v>10377981.864337763</c:v>
                </c:pt>
                <c:pt idx="3258">
                  <c:v>10380629.202951314</c:v>
                </c:pt>
                <c:pt idx="3259">
                  <c:v>10383276.541564865</c:v>
                </c:pt>
                <c:pt idx="3260">
                  <c:v>10385923.880178416</c:v>
                </c:pt>
                <c:pt idx="3261">
                  <c:v>10388571.218791969</c:v>
                </c:pt>
                <c:pt idx="3262">
                  <c:v>10391218.55740552</c:v>
                </c:pt>
                <c:pt idx="3263">
                  <c:v>10393865.896019071</c:v>
                </c:pt>
                <c:pt idx="3264">
                  <c:v>10396513.234632624</c:v>
                </c:pt>
                <c:pt idx="3265">
                  <c:v>10399160.573246175</c:v>
                </c:pt>
                <c:pt idx="3266">
                  <c:v>10401807.911859727</c:v>
                </c:pt>
                <c:pt idx="3267">
                  <c:v>10404455.250473278</c:v>
                </c:pt>
                <c:pt idx="3268">
                  <c:v>10407102.589086831</c:v>
                </c:pt>
                <c:pt idx="3269">
                  <c:v>10409749.927700382</c:v>
                </c:pt>
                <c:pt idx="3270">
                  <c:v>10412397.266313933</c:v>
                </c:pt>
                <c:pt idx="3271">
                  <c:v>10415044.604927486</c:v>
                </c:pt>
                <c:pt idx="3272">
                  <c:v>10417691.943541037</c:v>
                </c:pt>
                <c:pt idx="3273">
                  <c:v>10420339.282154588</c:v>
                </c:pt>
                <c:pt idx="3274">
                  <c:v>10422986.620768141</c:v>
                </c:pt>
                <c:pt idx="3275">
                  <c:v>10425633.959381692</c:v>
                </c:pt>
                <c:pt idx="3276">
                  <c:v>10428281.297995243</c:v>
                </c:pt>
                <c:pt idx="3277">
                  <c:v>10430928.636608794</c:v>
                </c:pt>
                <c:pt idx="3278">
                  <c:v>10433575.975222347</c:v>
                </c:pt>
                <c:pt idx="3279">
                  <c:v>10436223.313835898</c:v>
                </c:pt>
                <c:pt idx="3280">
                  <c:v>10438870.65244945</c:v>
                </c:pt>
                <c:pt idx="3281">
                  <c:v>10441517.991063002</c:v>
                </c:pt>
                <c:pt idx="3282">
                  <c:v>10444165.329676554</c:v>
                </c:pt>
                <c:pt idx="3283">
                  <c:v>10446812.668290105</c:v>
                </c:pt>
                <c:pt idx="3284">
                  <c:v>10449460.006903658</c:v>
                </c:pt>
                <c:pt idx="3285">
                  <c:v>10452107.345517209</c:v>
                </c:pt>
                <c:pt idx="3286">
                  <c:v>10454754.68413076</c:v>
                </c:pt>
                <c:pt idx="3287">
                  <c:v>10457402.022744311</c:v>
                </c:pt>
                <c:pt idx="3288">
                  <c:v>10460049.361357864</c:v>
                </c:pt>
                <c:pt idx="3289">
                  <c:v>10462696.699971415</c:v>
                </c:pt>
                <c:pt idx="3290">
                  <c:v>10465344.038584966</c:v>
                </c:pt>
                <c:pt idx="3291">
                  <c:v>10467991.377198519</c:v>
                </c:pt>
                <c:pt idx="3292">
                  <c:v>10470638.71581207</c:v>
                </c:pt>
                <c:pt idx="3293">
                  <c:v>10473286.054425621</c:v>
                </c:pt>
                <c:pt idx="3294">
                  <c:v>10475933.393039173</c:v>
                </c:pt>
                <c:pt idx="3295">
                  <c:v>10478580.731652725</c:v>
                </c:pt>
                <c:pt idx="3296">
                  <c:v>10481228.070266277</c:v>
                </c:pt>
                <c:pt idx="3297">
                  <c:v>10483875.408879828</c:v>
                </c:pt>
                <c:pt idx="3298">
                  <c:v>10486522.747493381</c:v>
                </c:pt>
                <c:pt idx="3299">
                  <c:v>10489170.086106932</c:v>
                </c:pt>
                <c:pt idx="3300">
                  <c:v>10491817.424720483</c:v>
                </c:pt>
                <c:pt idx="3301">
                  <c:v>10494464.763334036</c:v>
                </c:pt>
                <c:pt idx="3302">
                  <c:v>10497112.101947587</c:v>
                </c:pt>
                <c:pt idx="3303">
                  <c:v>10499759.440561138</c:v>
                </c:pt>
                <c:pt idx="3304">
                  <c:v>10502406.779174689</c:v>
                </c:pt>
                <c:pt idx="3305">
                  <c:v>10505054.117788242</c:v>
                </c:pt>
                <c:pt idx="3306">
                  <c:v>10507701.456401793</c:v>
                </c:pt>
                <c:pt idx="3307">
                  <c:v>10510348.795015344</c:v>
                </c:pt>
                <c:pt idx="3308">
                  <c:v>10512996.133628897</c:v>
                </c:pt>
                <c:pt idx="3309">
                  <c:v>10515643.472242448</c:v>
                </c:pt>
                <c:pt idx="3310">
                  <c:v>10518290.810856</c:v>
                </c:pt>
                <c:pt idx="3311">
                  <c:v>10520938.149469553</c:v>
                </c:pt>
                <c:pt idx="3312">
                  <c:v>10523585.488083104</c:v>
                </c:pt>
                <c:pt idx="3313">
                  <c:v>10526232.826696655</c:v>
                </c:pt>
                <c:pt idx="3314">
                  <c:v>10528880.165310206</c:v>
                </c:pt>
                <c:pt idx="3315">
                  <c:v>10531527.503923759</c:v>
                </c:pt>
                <c:pt idx="3316">
                  <c:v>10534174.84253731</c:v>
                </c:pt>
                <c:pt idx="3317">
                  <c:v>10536822.181150861</c:v>
                </c:pt>
                <c:pt idx="3318">
                  <c:v>10539469.519764414</c:v>
                </c:pt>
                <c:pt idx="3319">
                  <c:v>10542116.858377965</c:v>
                </c:pt>
                <c:pt idx="3320">
                  <c:v>10544764.196991516</c:v>
                </c:pt>
                <c:pt idx="3321">
                  <c:v>10547411.535605067</c:v>
                </c:pt>
                <c:pt idx="3322">
                  <c:v>10550058.87421862</c:v>
                </c:pt>
                <c:pt idx="3323">
                  <c:v>10552706.212832171</c:v>
                </c:pt>
                <c:pt idx="3324">
                  <c:v>10555353.551445723</c:v>
                </c:pt>
                <c:pt idx="3325">
                  <c:v>10558000.890059276</c:v>
                </c:pt>
                <c:pt idx="3326">
                  <c:v>10560648.228672827</c:v>
                </c:pt>
                <c:pt idx="3327">
                  <c:v>10563295.567286378</c:v>
                </c:pt>
                <c:pt idx="3328">
                  <c:v>10565942.905899931</c:v>
                </c:pt>
                <c:pt idx="3329">
                  <c:v>10568590.244513482</c:v>
                </c:pt>
                <c:pt idx="3330">
                  <c:v>10571237.583127033</c:v>
                </c:pt>
                <c:pt idx="3331">
                  <c:v>10573884.921740584</c:v>
                </c:pt>
                <c:pt idx="3332">
                  <c:v>10576532.260354137</c:v>
                </c:pt>
                <c:pt idx="3333">
                  <c:v>10579179.598967688</c:v>
                </c:pt>
                <c:pt idx="3334">
                  <c:v>10581826.937581239</c:v>
                </c:pt>
                <c:pt idx="3335">
                  <c:v>10584474.276194792</c:v>
                </c:pt>
                <c:pt idx="3336">
                  <c:v>10587121.614808343</c:v>
                </c:pt>
                <c:pt idx="3337">
                  <c:v>10589768.953421894</c:v>
                </c:pt>
                <c:pt idx="3338">
                  <c:v>10592416.292035447</c:v>
                </c:pt>
                <c:pt idx="3339">
                  <c:v>10595063.630648999</c:v>
                </c:pt>
                <c:pt idx="3340">
                  <c:v>10597710.96926255</c:v>
                </c:pt>
                <c:pt idx="3341">
                  <c:v>10600358.307876101</c:v>
                </c:pt>
                <c:pt idx="3342">
                  <c:v>10603005.646489654</c:v>
                </c:pt>
                <c:pt idx="3343">
                  <c:v>10605652.985103205</c:v>
                </c:pt>
                <c:pt idx="3344">
                  <c:v>10608300.323716756</c:v>
                </c:pt>
                <c:pt idx="3345">
                  <c:v>10610947.662330309</c:v>
                </c:pt>
                <c:pt idx="3346">
                  <c:v>10613595.00094386</c:v>
                </c:pt>
                <c:pt idx="3347">
                  <c:v>10616242.339557411</c:v>
                </c:pt>
                <c:pt idx="3348">
                  <c:v>10618889.678170962</c:v>
                </c:pt>
                <c:pt idx="3349">
                  <c:v>10621537.016784515</c:v>
                </c:pt>
                <c:pt idx="3350">
                  <c:v>10624184.355398066</c:v>
                </c:pt>
                <c:pt idx="3351">
                  <c:v>10626831.694011617</c:v>
                </c:pt>
                <c:pt idx="3352">
                  <c:v>10629479.03262517</c:v>
                </c:pt>
                <c:pt idx="3353">
                  <c:v>10632126.371238722</c:v>
                </c:pt>
                <c:pt idx="3354">
                  <c:v>10634773.709852273</c:v>
                </c:pt>
                <c:pt idx="3355">
                  <c:v>10637421.048465826</c:v>
                </c:pt>
                <c:pt idx="3356">
                  <c:v>10640068.387079377</c:v>
                </c:pt>
                <c:pt idx="3357">
                  <c:v>10642715.725692928</c:v>
                </c:pt>
                <c:pt idx="3358">
                  <c:v>10645363.064306479</c:v>
                </c:pt>
                <c:pt idx="3359">
                  <c:v>10648010.402920032</c:v>
                </c:pt>
                <c:pt idx="3360">
                  <c:v>10650657.741533583</c:v>
                </c:pt>
                <c:pt idx="3361">
                  <c:v>10653305.080147134</c:v>
                </c:pt>
                <c:pt idx="3362">
                  <c:v>10655952.418760687</c:v>
                </c:pt>
                <c:pt idx="3363">
                  <c:v>10658599.757374238</c:v>
                </c:pt>
                <c:pt idx="3364">
                  <c:v>10661247.095987789</c:v>
                </c:pt>
                <c:pt idx="3365">
                  <c:v>10663894.434601342</c:v>
                </c:pt>
                <c:pt idx="3366">
                  <c:v>10666541.773214893</c:v>
                </c:pt>
                <c:pt idx="3367">
                  <c:v>10669189.111828445</c:v>
                </c:pt>
                <c:pt idx="3368">
                  <c:v>10671836.450441996</c:v>
                </c:pt>
                <c:pt idx="3369">
                  <c:v>10674483.789055549</c:v>
                </c:pt>
                <c:pt idx="3370">
                  <c:v>10677131.1276691</c:v>
                </c:pt>
                <c:pt idx="3371">
                  <c:v>10679778.466282651</c:v>
                </c:pt>
                <c:pt idx="3372">
                  <c:v>10682425.804896204</c:v>
                </c:pt>
                <c:pt idx="3373">
                  <c:v>10685073.143509755</c:v>
                </c:pt>
                <c:pt idx="3374">
                  <c:v>10687720.482123306</c:v>
                </c:pt>
                <c:pt idx="3375">
                  <c:v>10690367.820736857</c:v>
                </c:pt>
                <c:pt idx="3376">
                  <c:v>10693015.15935041</c:v>
                </c:pt>
                <c:pt idx="3377">
                  <c:v>10695662.497963961</c:v>
                </c:pt>
                <c:pt idx="3378">
                  <c:v>10698309.836577512</c:v>
                </c:pt>
                <c:pt idx="3379">
                  <c:v>10700957.175191065</c:v>
                </c:pt>
                <c:pt idx="3380">
                  <c:v>10703604.513804616</c:v>
                </c:pt>
                <c:pt idx="3381">
                  <c:v>10706251.852418168</c:v>
                </c:pt>
                <c:pt idx="3382">
                  <c:v>10708899.19103172</c:v>
                </c:pt>
                <c:pt idx="3383">
                  <c:v>10711546.529645272</c:v>
                </c:pt>
                <c:pt idx="3384">
                  <c:v>10714193.868258823</c:v>
                </c:pt>
                <c:pt idx="3385">
                  <c:v>10716841.206872374</c:v>
                </c:pt>
                <c:pt idx="3386">
                  <c:v>10719488.545485927</c:v>
                </c:pt>
                <c:pt idx="3387">
                  <c:v>10722135.884099478</c:v>
                </c:pt>
                <c:pt idx="3388">
                  <c:v>10724783.222713029</c:v>
                </c:pt>
                <c:pt idx="3389">
                  <c:v>10727430.561326582</c:v>
                </c:pt>
                <c:pt idx="3390">
                  <c:v>10730077.899940133</c:v>
                </c:pt>
                <c:pt idx="3391">
                  <c:v>10732725.238553684</c:v>
                </c:pt>
                <c:pt idx="3392">
                  <c:v>10735372.577167237</c:v>
                </c:pt>
                <c:pt idx="3393">
                  <c:v>10738019.915780788</c:v>
                </c:pt>
                <c:pt idx="3394">
                  <c:v>10740667.254394339</c:v>
                </c:pt>
                <c:pt idx="3395">
                  <c:v>10743314.593007891</c:v>
                </c:pt>
                <c:pt idx="3396">
                  <c:v>10745961.931621443</c:v>
                </c:pt>
                <c:pt idx="3397">
                  <c:v>10748609.270234995</c:v>
                </c:pt>
                <c:pt idx="3398">
                  <c:v>10751256.608848546</c:v>
                </c:pt>
                <c:pt idx="3399">
                  <c:v>10753903.947462099</c:v>
                </c:pt>
                <c:pt idx="3400">
                  <c:v>10756551.28607565</c:v>
                </c:pt>
                <c:pt idx="3401">
                  <c:v>10759198.624689201</c:v>
                </c:pt>
                <c:pt idx="3402">
                  <c:v>10761845.963302752</c:v>
                </c:pt>
                <c:pt idx="3403">
                  <c:v>10764493.301916305</c:v>
                </c:pt>
                <c:pt idx="3404">
                  <c:v>10767140.640529856</c:v>
                </c:pt>
                <c:pt idx="3405">
                  <c:v>10769787.979143407</c:v>
                </c:pt>
                <c:pt idx="3406">
                  <c:v>10772435.31775696</c:v>
                </c:pt>
                <c:pt idx="3407">
                  <c:v>10775082.656370511</c:v>
                </c:pt>
                <c:pt idx="3408">
                  <c:v>10777729.994984062</c:v>
                </c:pt>
                <c:pt idx="3409">
                  <c:v>10780377.333597615</c:v>
                </c:pt>
                <c:pt idx="3410">
                  <c:v>10783024.672211166</c:v>
                </c:pt>
                <c:pt idx="3411">
                  <c:v>10785672.010824718</c:v>
                </c:pt>
                <c:pt idx="3412">
                  <c:v>10788319.349438269</c:v>
                </c:pt>
                <c:pt idx="3413">
                  <c:v>10790966.688051822</c:v>
                </c:pt>
                <c:pt idx="3414">
                  <c:v>10793614.026665373</c:v>
                </c:pt>
                <c:pt idx="3415">
                  <c:v>10796261.365278924</c:v>
                </c:pt>
                <c:pt idx="3416">
                  <c:v>10798908.703892477</c:v>
                </c:pt>
                <c:pt idx="3417">
                  <c:v>10801556.042506028</c:v>
                </c:pt>
                <c:pt idx="3418">
                  <c:v>10804203.381119579</c:v>
                </c:pt>
                <c:pt idx="3419">
                  <c:v>10806850.719733132</c:v>
                </c:pt>
                <c:pt idx="3420">
                  <c:v>10809498.058346683</c:v>
                </c:pt>
                <c:pt idx="3421">
                  <c:v>10812145.396960234</c:v>
                </c:pt>
                <c:pt idx="3422">
                  <c:v>10814792.735573785</c:v>
                </c:pt>
                <c:pt idx="3423">
                  <c:v>10817440.074187338</c:v>
                </c:pt>
                <c:pt idx="3424">
                  <c:v>10820087.412800889</c:v>
                </c:pt>
                <c:pt idx="3425">
                  <c:v>10822734.751414441</c:v>
                </c:pt>
                <c:pt idx="3426">
                  <c:v>10825382.090027994</c:v>
                </c:pt>
                <c:pt idx="3427">
                  <c:v>10828029.428641545</c:v>
                </c:pt>
                <c:pt idx="3428">
                  <c:v>10830676.767255096</c:v>
                </c:pt>
                <c:pt idx="3429">
                  <c:v>10833324.105868647</c:v>
                </c:pt>
                <c:pt idx="3430">
                  <c:v>10835971.4444822</c:v>
                </c:pt>
                <c:pt idx="3431">
                  <c:v>10838618.783095751</c:v>
                </c:pt>
                <c:pt idx="3432">
                  <c:v>10841266.121709302</c:v>
                </c:pt>
                <c:pt idx="3433">
                  <c:v>10843913.460322855</c:v>
                </c:pt>
                <c:pt idx="3434">
                  <c:v>10846560.798936406</c:v>
                </c:pt>
                <c:pt idx="3435">
                  <c:v>10849208.137549957</c:v>
                </c:pt>
                <c:pt idx="3436">
                  <c:v>10851855.47616351</c:v>
                </c:pt>
                <c:pt idx="3437">
                  <c:v>10854502.814777061</c:v>
                </c:pt>
                <c:pt idx="3438">
                  <c:v>10857150.153390612</c:v>
                </c:pt>
                <c:pt idx="3439">
                  <c:v>10859797.492004164</c:v>
                </c:pt>
                <c:pt idx="3440">
                  <c:v>10862444.830617717</c:v>
                </c:pt>
                <c:pt idx="3441">
                  <c:v>10865092.169231268</c:v>
                </c:pt>
                <c:pt idx="3442">
                  <c:v>10867739.507844819</c:v>
                </c:pt>
                <c:pt idx="3443">
                  <c:v>10870386.846458372</c:v>
                </c:pt>
                <c:pt idx="3444">
                  <c:v>10873034.185071923</c:v>
                </c:pt>
                <c:pt idx="3445">
                  <c:v>10875681.523685474</c:v>
                </c:pt>
                <c:pt idx="3446">
                  <c:v>10878328.862299027</c:v>
                </c:pt>
                <c:pt idx="3447">
                  <c:v>10880976.200912578</c:v>
                </c:pt>
                <c:pt idx="3448">
                  <c:v>10883623.539526129</c:v>
                </c:pt>
                <c:pt idx="3449">
                  <c:v>10886270.87813968</c:v>
                </c:pt>
                <c:pt idx="3450">
                  <c:v>10888918.216753233</c:v>
                </c:pt>
                <c:pt idx="3451">
                  <c:v>10891565.555366784</c:v>
                </c:pt>
                <c:pt idx="3452">
                  <c:v>10894212.893980335</c:v>
                </c:pt>
                <c:pt idx="3453">
                  <c:v>10896860.232593888</c:v>
                </c:pt>
                <c:pt idx="3454">
                  <c:v>10899507.57120744</c:v>
                </c:pt>
                <c:pt idx="3455">
                  <c:v>10902154.909820991</c:v>
                </c:pt>
                <c:pt idx="3456">
                  <c:v>10904802.248434542</c:v>
                </c:pt>
                <c:pt idx="3457">
                  <c:v>10907449.587048095</c:v>
                </c:pt>
                <c:pt idx="3458">
                  <c:v>10910096.925661646</c:v>
                </c:pt>
                <c:pt idx="3459">
                  <c:v>10912744.264275197</c:v>
                </c:pt>
                <c:pt idx="3460">
                  <c:v>10915391.60288875</c:v>
                </c:pt>
                <c:pt idx="3461">
                  <c:v>10918038.941502301</c:v>
                </c:pt>
                <c:pt idx="3462">
                  <c:v>10920686.280115852</c:v>
                </c:pt>
                <c:pt idx="3463">
                  <c:v>10923333.618729405</c:v>
                </c:pt>
                <c:pt idx="3464">
                  <c:v>10925980.957342956</c:v>
                </c:pt>
                <c:pt idx="3465">
                  <c:v>10928628.295956507</c:v>
                </c:pt>
                <c:pt idx="3466">
                  <c:v>10931275.634570058</c:v>
                </c:pt>
                <c:pt idx="3467">
                  <c:v>10933922.973183611</c:v>
                </c:pt>
                <c:pt idx="3468">
                  <c:v>10936570.311797163</c:v>
                </c:pt>
                <c:pt idx="3469">
                  <c:v>10939217.650410714</c:v>
                </c:pt>
                <c:pt idx="3470">
                  <c:v>10941864.989024267</c:v>
                </c:pt>
                <c:pt idx="3471">
                  <c:v>10944512.327637818</c:v>
                </c:pt>
                <c:pt idx="3472">
                  <c:v>10947159.666251369</c:v>
                </c:pt>
                <c:pt idx="3473">
                  <c:v>10949807.004864922</c:v>
                </c:pt>
                <c:pt idx="3474">
                  <c:v>10952454.343478473</c:v>
                </c:pt>
                <c:pt idx="3475">
                  <c:v>10955101.682092024</c:v>
                </c:pt>
                <c:pt idx="3476">
                  <c:v>10957749.020705575</c:v>
                </c:pt>
                <c:pt idx="3477">
                  <c:v>10960396.359319128</c:v>
                </c:pt>
                <c:pt idx="3478">
                  <c:v>10963043.697932679</c:v>
                </c:pt>
                <c:pt idx="3479">
                  <c:v>10965691.03654623</c:v>
                </c:pt>
                <c:pt idx="3480">
                  <c:v>10968338.375159783</c:v>
                </c:pt>
                <c:pt idx="3481">
                  <c:v>10970985.713773334</c:v>
                </c:pt>
                <c:pt idx="3482">
                  <c:v>10973633.052386886</c:v>
                </c:pt>
                <c:pt idx="3483">
                  <c:v>10976280.391000437</c:v>
                </c:pt>
                <c:pt idx="3484">
                  <c:v>10978927.72961399</c:v>
                </c:pt>
                <c:pt idx="3485">
                  <c:v>10981575.068227541</c:v>
                </c:pt>
                <c:pt idx="3486">
                  <c:v>10984222.406841092</c:v>
                </c:pt>
                <c:pt idx="3487">
                  <c:v>10986869.745454645</c:v>
                </c:pt>
                <c:pt idx="3488">
                  <c:v>10989517.084068196</c:v>
                </c:pt>
                <c:pt idx="3489">
                  <c:v>10992164.422681747</c:v>
                </c:pt>
                <c:pt idx="3490">
                  <c:v>10994811.7612953</c:v>
                </c:pt>
                <c:pt idx="3491">
                  <c:v>10997459.099908851</c:v>
                </c:pt>
                <c:pt idx="3492">
                  <c:v>11000106.438522402</c:v>
                </c:pt>
                <c:pt idx="3493">
                  <c:v>11002753.777135953</c:v>
                </c:pt>
                <c:pt idx="3494">
                  <c:v>11005401.115749506</c:v>
                </c:pt>
                <c:pt idx="3495">
                  <c:v>11008048.454363057</c:v>
                </c:pt>
                <c:pt idx="3496">
                  <c:v>11010695.792976608</c:v>
                </c:pt>
                <c:pt idx="3497">
                  <c:v>11013343.131590161</c:v>
                </c:pt>
                <c:pt idx="3498">
                  <c:v>11015990.470203713</c:v>
                </c:pt>
                <c:pt idx="3499">
                  <c:v>11018637.808817264</c:v>
                </c:pt>
                <c:pt idx="3500">
                  <c:v>11021285.147430815</c:v>
                </c:pt>
                <c:pt idx="3501">
                  <c:v>11023932.486044368</c:v>
                </c:pt>
                <c:pt idx="3502">
                  <c:v>11026579.824657919</c:v>
                </c:pt>
                <c:pt idx="3503">
                  <c:v>11029227.16327147</c:v>
                </c:pt>
                <c:pt idx="3504">
                  <c:v>11031874.501885023</c:v>
                </c:pt>
                <c:pt idx="3505">
                  <c:v>11034521.840498574</c:v>
                </c:pt>
                <c:pt idx="3506">
                  <c:v>11037169.179112125</c:v>
                </c:pt>
                <c:pt idx="3507">
                  <c:v>11039816.517725678</c:v>
                </c:pt>
                <c:pt idx="3508">
                  <c:v>11042463.856339229</c:v>
                </c:pt>
                <c:pt idx="3509">
                  <c:v>11045111.19495278</c:v>
                </c:pt>
                <c:pt idx="3510">
                  <c:v>11047758.533566331</c:v>
                </c:pt>
                <c:pt idx="3511">
                  <c:v>11050405.872179884</c:v>
                </c:pt>
                <c:pt idx="3512">
                  <c:v>11053053.210793436</c:v>
                </c:pt>
                <c:pt idx="3513">
                  <c:v>11055700.549406987</c:v>
                </c:pt>
                <c:pt idx="3514">
                  <c:v>11058347.88802054</c:v>
                </c:pt>
                <c:pt idx="3515">
                  <c:v>11060995.226634091</c:v>
                </c:pt>
                <c:pt idx="3516">
                  <c:v>11063642.565247642</c:v>
                </c:pt>
                <c:pt idx="3517">
                  <c:v>11066289.903861195</c:v>
                </c:pt>
                <c:pt idx="3518">
                  <c:v>11068937.242474746</c:v>
                </c:pt>
                <c:pt idx="3519">
                  <c:v>11071584.581088297</c:v>
                </c:pt>
                <c:pt idx="3520">
                  <c:v>11074231.919701848</c:v>
                </c:pt>
                <c:pt idx="3521">
                  <c:v>11076879.258315401</c:v>
                </c:pt>
                <c:pt idx="3522">
                  <c:v>11079526.596928952</c:v>
                </c:pt>
                <c:pt idx="3523">
                  <c:v>11082173.935542503</c:v>
                </c:pt>
                <c:pt idx="3524">
                  <c:v>11084821.274156056</c:v>
                </c:pt>
                <c:pt idx="3525">
                  <c:v>11087468.612769607</c:v>
                </c:pt>
                <c:pt idx="3526">
                  <c:v>11090115.951383159</c:v>
                </c:pt>
                <c:pt idx="3527">
                  <c:v>11092763.28999671</c:v>
                </c:pt>
                <c:pt idx="3528">
                  <c:v>11095410.628610263</c:v>
                </c:pt>
                <c:pt idx="3529">
                  <c:v>11098057.967223814</c:v>
                </c:pt>
                <c:pt idx="3530">
                  <c:v>11100705.305837365</c:v>
                </c:pt>
                <c:pt idx="3531">
                  <c:v>11103352.644450918</c:v>
                </c:pt>
                <c:pt idx="3532">
                  <c:v>11105999.983064469</c:v>
                </c:pt>
                <c:pt idx="3533">
                  <c:v>11108647.32167802</c:v>
                </c:pt>
                <c:pt idx="3534">
                  <c:v>11111294.660291573</c:v>
                </c:pt>
                <c:pt idx="3535">
                  <c:v>11113941.998905124</c:v>
                </c:pt>
                <c:pt idx="3536">
                  <c:v>11116589.337518675</c:v>
                </c:pt>
                <c:pt idx="3537">
                  <c:v>11119236.676132226</c:v>
                </c:pt>
                <c:pt idx="3538">
                  <c:v>11121884.014745779</c:v>
                </c:pt>
                <c:pt idx="3539">
                  <c:v>11124531.35335933</c:v>
                </c:pt>
                <c:pt idx="3540">
                  <c:v>11127178.691972882</c:v>
                </c:pt>
                <c:pt idx="3541">
                  <c:v>11129826.030586435</c:v>
                </c:pt>
                <c:pt idx="3542">
                  <c:v>11132473.369199986</c:v>
                </c:pt>
                <c:pt idx="3543">
                  <c:v>11135120.707813537</c:v>
                </c:pt>
                <c:pt idx="3544">
                  <c:v>11137768.04642709</c:v>
                </c:pt>
                <c:pt idx="3545">
                  <c:v>11140415.385040641</c:v>
                </c:pt>
                <c:pt idx="3546">
                  <c:v>11143062.723654192</c:v>
                </c:pt>
                <c:pt idx="3547">
                  <c:v>11145710.062267743</c:v>
                </c:pt>
                <c:pt idx="3548">
                  <c:v>11148357.400881296</c:v>
                </c:pt>
                <c:pt idx="3549">
                  <c:v>11151004.739494847</c:v>
                </c:pt>
                <c:pt idx="3550">
                  <c:v>11153652.078108398</c:v>
                </c:pt>
                <c:pt idx="3551">
                  <c:v>11156299.416721951</c:v>
                </c:pt>
                <c:pt idx="3552">
                  <c:v>11158946.755335502</c:v>
                </c:pt>
                <c:pt idx="3553">
                  <c:v>11161594.093949053</c:v>
                </c:pt>
                <c:pt idx="3554">
                  <c:v>11164241.432562605</c:v>
                </c:pt>
                <c:pt idx="3555">
                  <c:v>11166888.771176158</c:v>
                </c:pt>
                <c:pt idx="3556">
                  <c:v>11169536.109789709</c:v>
                </c:pt>
                <c:pt idx="3557">
                  <c:v>11172183.44840326</c:v>
                </c:pt>
                <c:pt idx="3558">
                  <c:v>11174830.787016813</c:v>
                </c:pt>
                <c:pt idx="3559">
                  <c:v>11177478.125630364</c:v>
                </c:pt>
                <c:pt idx="3560">
                  <c:v>11180125.464243915</c:v>
                </c:pt>
                <c:pt idx="3561">
                  <c:v>11182772.802857468</c:v>
                </c:pt>
                <c:pt idx="3562">
                  <c:v>11185420.141471019</c:v>
                </c:pt>
                <c:pt idx="3563">
                  <c:v>11188067.48008457</c:v>
                </c:pt>
                <c:pt idx="3564">
                  <c:v>11190714.818698121</c:v>
                </c:pt>
                <c:pt idx="3565">
                  <c:v>11193362.157311674</c:v>
                </c:pt>
                <c:pt idx="3566">
                  <c:v>11196009.495925225</c:v>
                </c:pt>
                <c:pt idx="3567">
                  <c:v>11198656.834538776</c:v>
                </c:pt>
                <c:pt idx="3568">
                  <c:v>11201304.173152329</c:v>
                </c:pt>
                <c:pt idx="3569">
                  <c:v>11203951.511765881</c:v>
                </c:pt>
                <c:pt idx="3570">
                  <c:v>11206598.850379432</c:v>
                </c:pt>
                <c:pt idx="3571">
                  <c:v>11209246.188992985</c:v>
                </c:pt>
                <c:pt idx="3572">
                  <c:v>11211893.527606536</c:v>
                </c:pt>
                <c:pt idx="3573">
                  <c:v>11214540.866220087</c:v>
                </c:pt>
                <c:pt idx="3574">
                  <c:v>11217188.204833638</c:v>
                </c:pt>
                <c:pt idx="3575">
                  <c:v>11219835.543447191</c:v>
                </c:pt>
                <c:pt idx="3576">
                  <c:v>11222482.882060742</c:v>
                </c:pt>
                <c:pt idx="3577">
                  <c:v>11225130.220674293</c:v>
                </c:pt>
                <c:pt idx="3578">
                  <c:v>11227777.559287846</c:v>
                </c:pt>
                <c:pt idx="3579">
                  <c:v>11230424.897901397</c:v>
                </c:pt>
                <c:pt idx="3580">
                  <c:v>11233072.236514948</c:v>
                </c:pt>
                <c:pt idx="3581">
                  <c:v>11235719.575128499</c:v>
                </c:pt>
                <c:pt idx="3582">
                  <c:v>11238366.913742052</c:v>
                </c:pt>
                <c:pt idx="3583">
                  <c:v>11241014.252355604</c:v>
                </c:pt>
                <c:pt idx="3584">
                  <c:v>11243661.590969155</c:v>
                </c:pt>
                <c:pt idx="3585">
                  <c:v>11246308.929582708</c:v>
                </c:pt>
                <c:pt idx="3586">
                  <c:v>11248956.268196259</c:v>
                </c:pt>
                <c:pt idx="3587">
                  <c:v>11251603.60680981</c:v>
                </c:pt>
                <c:pt idx="3588">
                  <c:v>11254250.945423363</c:v>
                </c:pt>
                <c:pt idx="3589">
                  <c:v>11256898.284036914</c:v>
                </c:pt>
                <c:pt idx="3590">
                  <c:v>11259545.622650465</c:v>
                </c:pt>
                <c:pt idx="3591">
                  <c:v>11262192.961264016</c:v>
                </c:pt>
                <c:pt idx="3592">
                  <c:v>11264840.299877569</c:v>
                </c:pt>
                <c:pt idx="3593">
                  <c:v>11267487.63849112</c:v>
                </c:pt>
                <c:pt idx="3594">
                  <c:v>11270134.977104671</c:v>
                </c:pt>
                <c:pt idx="3595">
                  <c:v>11272782.315718224</c:v>
                </c:pt>
                <c:pt idx="3596">
                  <c:v>11275429.654331775</c:v>
                </c:pt>
                <c:pt idx="3597">
                  <c:v>11278076.992945326</c:v>
                </c:pt>
                <c:pt idx="3598">
                  <c:v>11280724.331558879</c:v>
                </c:pt>
                <c:pt idx="3599">
                  <c:v>11283371.670172431</c:v>
                </c:pt>
                <c:pt idx="3600">
                  <c:v>11286019.008785982</c:v>
                </c:pt>
                <c:pt idx="3601">
                  <c:v>11288666.347399533</c:v>
                </c:pt>
                <c:pt idx="3602">
                  <c:v>11291313.686013086</c:v>
                </c:pt>
                <c:pt idx="3603">
                  <c:v>11293961.024626637</c:v>
                </c:pt>
                <c:pt idx="3604">
                  <c:v>11296608.363240188</c:v>
                </c:pt>
                <c:pt idx="3605">
                  <c:v>11299255.701853741</c:v>
                </c:pt>
                <c:pt idx="3606">
                  <c:v>11301903.040467292</c:v>
                </c:pt>
                <c:pt idx="3607">
                  <c:v>11304550.379080843</c:v>
                </c:pt>
                <c:pt idx="3608">
                  <c:v>11307197.717694394</c:v>
                </c:pt>
                <c:pt idx="3609">
                  <c:v>11309845.056307947</c:v>
                </c:pt>
                <c:pt idx="3610">
                  <c:v>11312492.394921498</c:v>
                </c:pt>
                <c:pt idx="3611">
                  <c:v>11315139.733535049</c:v>
                </c:pt>
                <c:pt idx="3612">
                  <c:v>11317787.072148602</c:v>
                </c:pt>
                <c:pt idx="3613">
                  <c:v>11320434.410762154</c:v>
                </c:pt>
                <c:pt idx="3614">
                  <c:v>11323081.749375705</c:v>
                </c:pt>
                <c:pt idx="3615">
                  <c:v>11325729.087989258</c:v>
                </c:pt>
                <c:pt idx="3616">
                  <c:v>11328376.426602809</c:v>
                </c:pt>
                <c:pt idx="3617">
                  <c:v>11331023.76521636</c:v>
                </c:pt>
                <c:pt idx="3618">
                  <c:v>11333671.103829911</c:v>
                </c:pt>
                <c:pt idx="3619">
                  <c:v>11336318.442443464</c:v>
                </c:pt>
                <c:pt idx="3620">
                  <c:v>11338965.781057015</c:v>
                </c:pt>
                <c:pt idx="3621">
                  <c:v>11341613.119670566</c:v>
                </c:pt>
                <c:pt idx="3622">
                  <c:v>11344260.458284119</c:v>
                </c:pt>
                <c:pt idx="3623">
                  <c:v>11346907.79689767</c:v>
                </c:pt>
                <c:pt idx="3624">
                  <c:v>11349555.135511221</c:v>
                </c:pt>
                <c:pt idx="3625">
                  <c:v>11352202.474124774</c:v>
                </c:pt>
                <c:pt idx="3626">
                  <c:v>11354849.812738325</c:v>
                </c:pt>
                <c:pt idx="3627">
                  <c:v>11357497.151351877</c:v>
                </c:pt>
                <c:pt idx="3628">
                  <c:v>11360144.489965428</c:v>
                </c:pt>
                <c:pt idx="3629">
                  <c:v>11362791.828578981</c:v>
                </c:pt>
                <c:pt idx="3630">
                  <c:v>11365439.167192532</c:v>
                </c:pt>
                <c:pt idx="3631">
                  <c:v>11368086.505806083</c:v>
                </c:pt>
                <c:pt idx="3632">
                  <c:v>11370733.844419636</c:v>
                </c:pt>
                <c:pt idx="3633">
                  <c:v>11373381.183033187</c:v>
                </c:pt>
                <c:pt idx="3634">
                  <c:v>11376028.521646738</c:v>
                </c:pt>
                <c:pt idx="3635">
                  <c:v>11378675.860260289</c:v>
                </c:pt>
                <c:pt idx="3636">
                  <c:v>11381323.198873842</c:v>
                </c:pt>
                <c:pt idx="3637">
                  <c:v>11383970.537487393</c:v>
                </c:pt>
                <c:pt idx="3638">
                  <c:v>11386617.876100944</c:v>
                </c:pt>
                <c:pt idx="3639">
                  <c:v>11389265.214714497</c:v>
                </c:pt>
                <c:pt idx="3640">
                  <c:v>11391912.553328048</c:v>
                </c:pt>
                <c:pt idx="3641">
                  <c:v>11394559.8919416</c:v>
                </c:pt>
                <c:pt idx="3642">
                  <c:v>11397207.230555153</c:v>
                </c:pt>
                <c:pt idx="3643">
                  <c:v>11399854.569168704</c:v>
                </c:pt>
                <c:pt idx="3644">
                  <c:v>11402501.907782255</c:v>
                </c:pt>
                <c:pt idx="3645">
                  <c:v>11405149.246395806</c:v>
                </c:pt>
                <c:pt idx="3646">
                  <c:v>11407796.585009359</c:v>
                </c:pt>
                <c:pt idx="3647">
                  <c:v>11410443.92362291</c:v>
                </c:pt>
                <c:pt idx="3648">
                  <c:v>11413091.262236461</c:v>
                </c:pt>
                <c:pt idx="3649">
                  <c:v>11415738.600850014</c:v>
                </c:pt>
                <c:pt idx="3650">
                  <c:v>11418385.939463565</c:v>
                </c:pt>
                <c:pt idx="3651">
                  <c:v>11421033.278077116</c:v>
                </c:pt>
                <c:pt idx="3652">
                  <c:v>11423680.616690669</c:v>
                </c:pt>
                <c:pt idx="3653">
                  <c:v>11426327.95530422</c:v>
                </c:pt>
                <c:pt idx="3654">
                  <c:v>11428975.293917771</c:v>
                </c:pt>
                <c:pt idx="3655">
                  <c:v>11431622.632531323</c:v>
                </c:pt>
                <c:pt idx="3656">
                  <c:v>11434269.971144876</c:v>
                </c:pt>
                <c:pt idx="3657">
                  <c:v>11436917.309758427</c:v>
                </c:pt>
                <c:pt idx="3658">
                  <c:v>11439564.648371978</c:v>
                </c:pt>
                <c:pt idx="3659">
                  <c:v>11442211.986985531</c:v>
                </c:pt>
                <c:pt idx="3660">
                  <c:v>11444859.325599082</c:v>
                </c:pt>
                <c:pt idx="3661">
                  <c:v>11447506.664212633</c:v>
                </c:pt>
                <c:pt idx="3662">
                  <c:v>11450154.002826184</c:v>
                </c:pt>
                <c:pt idx="3663">
                  <c:v>11452801.341439737</c:v>
                </c:pt>
                <c:pt idx="3664">
                  <c:v>11455448.680053288</c:v>
                </c:pt>
                <c:pt idx="3665">
                  <c:v>11458096.018666839</c:v>
                </c:pt>
                <c:pt idx="3666">
                  <c:v>11460743.357280392</c:v>
                </c:pt>
                <c:pt idx="3667">
                  <c:v>11463390.695893943</c:v>
                </c:pt>
                <c:pt idx="3668">
                  <c:v>11466038.034507494</c:v>
                </c:pt>
                <c:pt idx="3669">
                  <c:v>11468685.373121047</c:v>
                </c:pt>
                <c:pt idx="3670">
                  <c:v>11471332.711734599</c:v>
                </c:pt>
                <c:pt idx="3671">
                  <c:v>11473980.05034815</c:v>
                </c:pt>
                <c:pt idx="3672">
                  <c:v>11476627.388961701</c:v>
                </c:pt>
                <c:pt idx="3673">
                  <c:v>11479274.727575254</c:v>
                </c:pt>
                <c:pt idx="3674">
                  <c:v>11481922.066188805</c:v>
                </c:pt>
                <c:pt idx="3675">
                  <c:v>11484569.404802356</c:v>
                </c:pt>
                <c:pt idx="3676">
                  <c:v>11487216.743415909</c:v>
                </c:pt>
                <c:pt idx="3677">
                  <c:v>11489864.08202946</c:v>
                </c:pt>
                <c:pt idx="3678">
                  <c:v>11492511.420643011</c:v>
                </c:pt>
                <c:pt idx="3679">
                  <c:v>11495158.759256564</c:v>
                </c:pt>
                <c:pt idx="3680">
                  <c:v>11497806.097870115</c:v>
                </c:pt>
                <c:pt idx="3681">
                  <c:v>11500453.436483666</c:v>
                </c:pt>
                <c:pt idx="3682">
                  <c:v>11503100.775097217</c:v>
                </c:pt>
                <c:pt idx="3683">
                  <c:v>11505748.11371077</c:v>
                </c:pt>
                <c:pt idx="3684">
                  <c:v>11508395.452324321</c:v>
                </c:pt>
                <c:pt idx="3685">
                  <c:v>11511042.790937873</c:v>
                </c:pt>
                <c:pt idx="3686">
                  <c:v>11513690.129551426</c:v>
                </c:pt>
                <c:pt idx="3687">
                  <c:v>11516337.468164977</c:v>
                </c:pt>
                <c:pt idx="3688">
                  <c:v>11518984.806778528</c:v>
                </c:pt>
                <c:pt idx="3689">
                  <c:v>11521632.145392079</c:v>
                </c:pt>
                <c:pt idx="3690">
                  <c:v>11524279.484005632</c:v>
                </c:pt>
                <c:pt idx="3691">
                  <c:v>11526926.822619183</c:v>
                </c:pt>
                <c:pt idx="3692">
                  <c:v>11529574.161232734</c:v>
                </c:pt>
                <c:pt idx="3693">
                  <c:v>11532221.499846287</c:v>
                </c:pt>
                <c:pt idx="3694">
                  <c:v>11534868.838459838</c:v>
                </c:pt>
                <c:pt idx="3695">
                  <c:v>11537516.177073389</c:v>
                </c:pt>
                <c:pt idx="3696">
                  <c:v>11540163.515686942</c:v>
                </c:pt>
                <c:pt idx="3697">
                  <c:v>11542810.854300493</c:v>
                </c:pt>
                <c:pt idx="3698">
                  <c:v>11545458.192914044</c:v>
                </c:pt>
                <c:pt idx="3699">
                  <c:v>11548105.531527596</c:v>
                </c:pt>
                <c:pt idx="3700">
                  <c:v>11550752.870141149</c:v>
                </c:pt>
                <c:pt idx="3701">
                  <c:v>11553400.2087547</c:v>
                </c:pt>
                <c:pt idx="3702">
                  <c:v>11556047.547368251</c:v>
                </c:pt>
                <c:pt idx="3703">
                  <c:v>11558694.885981804</c:v>
                </c:pt>
                <c:pt idx="3704">
                  <c:v>11561342.224595355</c:v>
                </c:pt>
                <c:pt idx="3705">
                  <c:v>11563989.563208906</c:v>
                </c:pt>
                <c:pt idx="3706">
                  <c:v>11566636.901822459</c:v>
                </c:pt>
                <c:pt idx="3707">
                  <c:v>11569284.24043601</c:v>
                </c:pt>
                <c:pt idx="3708">
                  <c:v>11571931.579049561</c:v>
                </c:pt>
                <c:pt idx="3709">
                  <c:v>11574578.917663112</c:v>
                </c:pt>
                <c:pt idx="3710">
                  <c:v>11577226.256276665</c:v>
                </c:pt>
                <c:pt idx="3711">
                  <c:v>11579873.594890216</c:v>
                </c:pt>
                <c:pt idx="3712">
                  <c:v>11582520.933503767</c:v>
                </c:pt>
                <c:pt idx="3713">
                  <c:v>11585168.27211732</c:v>
                </c:pt>
                <c:pt idx="3714">
                  <c:v>11587815.610730872</c:v>
                </c:pt>
                <c:pt idx="3715">
                  <c:v>11590462.949344423</c:v>
                </c:pt>
                <c:pt idx="3716">
                  <c:v>11593110.287957974</c:v>
                </c:pt>
                <c:pt idx="3717">
                  <c:v>11595757.626571527</c:v>
                </c:pt>
                <c:pt idx="3718">
                  <c:v>11598404.965185078</c:v>
                </c:pt>
                <c:pt idx="3719">
                  <c:v>11601052.303798629</c:v>
                </c:pt>
                <c:pt idx="3720">
                  <c:v>11603699.642412182</c:v>
                </c:pt>
                <c:pt idx="3721">
                  <c:v>11606346.981025733</c:v>
                </c:pt>
                <c:pt idx="3722">
                  <c:v>11608994.319639284</c:v>
                </c:pt>
                <c:pt idx="3723">
                  <c:v>11611641.658252837</c:v>
                </c:pt>
                <c:pt idx="3724">
                  <c:v>11614288.996866388</c:v>
                </c:pt>
                <c:pt idx="3725">
                  <c:v>11616936.335479939</c:v>
                </c:pt>
                <c:pt idx="3726">
                  <c:v>11619583.67409349</c:v>
                </c:pt>
                <c:pt idx="3727">
                  <c:v>11622231.012707043</c:v>
                </c:pt>
                <c:pt idx="3728">
                  <c:v>11624878.351320595</c:v>
                </c:pt>
                <c:pt idx="3729">
                  <c:v>11627525.689934146</c:v>
                </c:pt>
                <c:pt idx="3730">
                  <c:v>11630173.028547699</c:v>
                </c:pt>
                <c:pt idx="3731">
                  <c:v>11632820.36716125</c:v>
                </c:pt>
                <c:pt idx="3732">
                  <c:v>11635467.705774801</c:v>
                </c:pt>
                <c:pt idx="3733">
                  <c:v>11638115.044388354</c:v>
                </c:pt>
                <c:pt idx="3734">
                  <c:v>11640762.383001905</c:v>
                </c:pt>
                <c:pt idx="3735">
                  <c:v>11643409.721615456</c:v>
                </c:pt>
                <c:pt idx="3736">
                  <c:v>11646057.060229007</c:v>
                </c:pt>
                <c:pt idx="3737">
                  <c:v>11648704.39884256</c:v>
                </c:pt>
                <c:pt idx="3738">
                  <c:v>11651351.737456111</c:v>
                </c:pt>
                <c:pt idx="3739">
                  <c:v>11653999.076069662</c:v>
                </c:pt>
                <c:pt idx="3740">
                  <c:v>11656646.414683215</c:v>
                </c:pt>
                <c:pt idx="3741">
                  <c:v>11659293.753296766</c:v>
                </c:pt>
                <c:pt idx="3742">
                  <c:v>11661941.091910318</c:v>
                </c:pt>
                <c:pt idx="3743">
                  <c:v>11664588.430523869</c:v>
                </c:pt>
                <c:pt idx="3744">
                  <c:v>11667235.769137422</c:v>
                </c:pt>
                <c:pt idx="3745">
                  <c:v>11669883.107750973</c:v>
                </c:pt>
                <c:pt idx="3746">
                  <c:v>11672530.446364524</c:v>
                </c:pt>
                <c:pt idx="3747">
                  <c:v>11675177.784978077</c:v>
                </c:pt>
                <c:pt idx="3748">
                  <c:v>11677825.123591628</c:v>
                </c:pt>
                <c:pt idx="3749">
                  <c:v>11680472.462205179</c:v>
                </c:pt>
                <c:pt idx="3750">
                  <c:v>11683119.800818732</c:v>
                </c:pt>
                <c:pt idx="3751">
                  <c:v>11685767.139432283</c:v>
                </c:pt>
                <c:pt idx="3752">
                  <c:v>11688414.478045834</c:v>
                </c:pt>
                <c:pt idx="3753">
                  <c:v>11691061.816659385</c:v>
                </c:pt>
                <c:pt idx="3754">
                  <c:v>11693709.155272938</c:v>
                </c:pt>
                <c:pt idx="3755">
                  <c:v>11696356.493886489</c:v>
                </c:pt>
                <c:pt idx="3756">
                  <c:v>11699003.832500041</c:v>
                </c:pt>
                <c:pt idx="3757">
                  <c:v>11701651.171113594</c:v>
                </c:pt>
                <c:pt idx="3758">
                  <c:v>11704298.509727145</c:v>
                </c:pt>
                <c:pt idx="3759">
                  <c:v>11706945.848340696</c:v>
                </c:pt>
                <c:pt idx="3760">
                  <c:v>11709593.186954247</c:v>
                </c:pt>
                <c:pt idx="3761">
                  <c:v>11712240.5255678</c:v>
                </c:pt>
                <c:pt idx="3762">
                  <c:v>11714887.864181351</c:v>
                </c:pt>
                <c:pt idx="3763">
                  <c:v>11717535.202794902</c:v>
                </c:pt>
                <c:pt idx="3764">
                  <c:v>11720182.541408455</c:v>
                </c:pt>
                <c:pt idx="3765">
                  <c:v>11722829.880022006</c:v>
                </c:pt>
                <c:pt idx="3766">
                  <c:v>11725477.218635557</c:v>
                </c:pt>
                <c:pt idx="3767">
                  <c:v>11728124.55724911</c:v>
                </c:pt>
                <c:pt idx="3768">
                  <c:v>11730771.895862661</c:v>
                </c:pt>
                <c:pt idx="3769">
                  <c:v>11733419.234476212</c:v>
                </c:pt>
                <c:pt idx="3770">
                  <c:v>11736066.573089764</c:v>
                </c:pt>
                <c:pt idx="3771">
                  <c:v>11738713.911703316</c:v>
                </c:pt>
                <c:pt idx="3772">
                  <c:v>11741361.250316868</c:v>
                </c:pt>
                <c:pt idx="3773">
                  <c:v>11744008.588930419</c:v>
                </c:pt>
                <c:pt idx="3774">
                  <c:v>11746655.927543972</c:v>
                </c:pt>
                <c:pt idx="3775">
                  <c:v>11749303.266157523</c:v>
                </c:pt>
                <c:pt idx="3776">
                  <c:v>11751950.604771074</c:v>
                </c:pt>
                <c:pt idx="3777">
                  <c:v>11754597.943384627</c:v>
                </c:pt>
                <c:pt idx="3778">
                  <c:v>11757245.281998178</c:v>
                </c:pt>
                <c:pt idx="3779">
                  <c:v>11759892.620611729</c:v>
                </c:pt>
                <c:pt idx="3780">
                  <c:v>11762539.95922528</c:v>
                </c:pt>
                <c:pt idx="3781">
                  <c:v>11765187.297838833</c:v>
                </c:pt>
                <c:pt idx="3782">
                  <c:v>11767834.636452384</c:v>
                </c:pt>
                <c:pt idx="3783">
                  <c:v>11770481.975065935</c:v>
                </c:pt>
                <c:pt idx="3784">
                  <c:v>11773129.313679488</c:v>
                </c:pt>
                <c:pt idx="3785">
                  <c:v>11775776.652293039</c:v>
                </c:pt>
                <c:pt idx="3786">
                  <c:v>11778423.990906591</c:v>
                </c:pt>
                <c:pt idx="3787">
                  <c:v>11781071.329520142</c:v>
                </c:pt>
                <c:pt idx="3788">
                  <c:v>11783718.668133695</c:v>
                </c:pt>
                <c:pt idx="3789">
                  <c:v>11786366.006747246</c:v>
                </c:pt>
                <c:pt idx="3790">
                  <c:v>11789013.345360797</c:v>
                </c:pt>
                <c:pt idx="3791">
                  <c:v>11791660.68397435</c:v>
                </c:pt>
                <c:pt idx="3792">
                  <c:v>11794308.022587901</c:v>
                </c:pt>
                <c:pt idx="3793">
                  <c:v>11796955.361201452</c:v>
                </c:pt>
                <c:pt idx="3794">
                  <c:v>11799602.699815005</c:v>
                </c:pt>
                <c:pt idx="3795">
                  <c:v>11802250.038428556</c:v>
                </c:pt>
                <c:pt idx="3796">
                  <c:v>11804897.377042107</c:v>
                </c:pt>
                <c:pt idx="3797">
                  <c:v>11807544.715655658</c:v>
                </c:pt>
                <c:pt idx="3798">
                  <c:v>11810192.054269211</c:v>
                </c:pt>
                <c:pt idx="3799">
                  <c:v>11812839.392882762</c:v>
                </c:pt>
                <c:pt idx="3800">
                  <c:v>11815486.731496314</c:v>
                </c:pt>
                <c:pt idx="3801">
                  <c:v>11818134.070109867</c:v>
                </c:pt>
                <c:pt idx="3802">
                  <c:v>11820781.408723418</c:v>
                </c:pt>
                <c:pt idx="3803">
                  <c:v>11823428.747336969</c:v>
                </c:pt>
                <c:pt idx="3804">
                  <c:v>11826076.085950522</c:v>
                </c:pt>
                <c:pt idx="3805">
                  <c:v>11828723.424564073</c:v>
                </c:pt>
                <c:pt idx="3806">
                  <c:v>11831370.763177624</c:v>
                </c:pt>
                <c:pt idx="3807">
                  <c:v>11834018.101791175</c:v>
                </c:pt>
                <c:pt idx="3808">
                  <c:v>11836665.440404728</c:v>
                </c:pt>
                <c:pt idx="3809">
                  <c:v>11839312.779018279</c:v>
                </c:pt>
                <c:pt idx="3810">
                  <c:v>11841960.11763183</c:v>
                </c:pt>
                <c:pt idx="3811">
                  <c:v>11844607.456245383</c:v>
                </c:pt>
                <c:pt idx="3812">
                  <c:v>11847254.794858934</c:v>
                </c:pt>
                <c:pt idx="3813">
                  <c:v>11849902.133472485</c:v>
                </c:pt>
                <c:pt idx="3814">
                  <c:v>11852549.472086037</c:v>
                </c:pt>
                <c:pt idx="3815">
                  <c:v>11855196.81069959</c:v>
                </c:pt>
                <c:pt idx="3816">
                  <c:v>11857844.149313141</c:v>
                </c:pt>
                <c:pt idx="3817">
                  <c:v>11860491.487926692</c:v>
                </c:pt>
                <c:pt idx="3818">
                  <c:v>11863138.826540245</c:v>
                </c:pt>
                <c:pt idx="3819">
                  <c:v>11865786.165153796</c:v>
                </c:pt>
                <c:pt idx="3820">
                  <c:v>11868433.503767347</c:v>
                </c:pt>
                <c:pt idx="3821">
                  <c:v>11871080.8423809</c:v>
                </c:pt>
                <c:pt idx="3822">
                  <c:v>11873728.180994451</c:v>
                </c:pt>
                <c:pt idx="3823">
                  <c:v>11876375.519608002</c:v>
                </c:pt>
                <c:pt idx="3824">
                  <c:v>11879022.858221553</c:v>
                </c:pt>
                <c:pt idx="3825">
                  <c:v>11881670.196835106</c:v>
                </c:pt>
                <c:pt idx="3826">
                  <c:v>11884317.535448657</c:v>
                </c:pt>
                <c:pt idx="3827">
                  <c:v>11886964.874062208</c:v>
                </c:pt>
                <c:pt idx="3828">
                  <c:v>11889612.212675761</c:v>
                </c:pt>
                <c:pt idx="3829">
                  <c:v>11892259.551289313</c:v>
                </c:pt>
                <c:pt idx="3830">
                  <c:v>11894906.889902864</c:v>
                </c:pt>
                <c:pt idx="3831">
                  <c:v>11897554.228516417</c:v>
                </c:pt>
                <c:pt idx="3832">
                  <c:v>11900201.567129968</c:v>
                </c:pt>
                <c:pt idx="3833">
                  <c:v>11902848.905743519</c:v>
                </c:pt>
                <c:pt idx="3834">
                  <c:v>11905496.24435707</c:v>
                </c:pt>
                <c:pt idx="3835">
                  <c:v>11908143.582970623</c:v>
                </c:pt>
                <c:pt idx="3836">
                  <c:v>11910790.921584174</c:v>
                </c:pt>
                <c:pt idx="3837">
                  <c:v>11913438.260197725</c:v>
                </c:pt>
                <c:pt idx="3838">
                  <c:v>11916085.598811278</c:v>
                </c:pt>
                <c:pt idx="3839">
                  <c:v>11918732.937424829</c:v>
                </c:pt>
                <c:pt idx="3840">
                  <c:v>11921380.27603838</c:v>
                </c:pt>
                <c:pt idx="3841">
                  <c:v>11924027.614651931</c:v>
                </c:pt>
                <c:pt idx="3842">
                  <c:v>11926674.953265484</c:v>
                </c:pt>
                <c:pt idx="3843">
                  <c:v>11929322.291879036</c:v>
                </c:pt>
                <c:pt idx="3844">
                  <c:v>11931969.630492587</c:v>
                </c:pt>
                <c:pt idx="3845">
                  <c:v>11934616.96910614</c:v>
                </c:pt>
                <c:pt idx="3846">
                  <c:v>11937264.307719691</c:v>
                </c:pt>
                <c:pt idx="3847">
                  <c:v>11939911.646333242</c:v>
                </c:pt>
                <c:pt idx="3848">
                  <c:v>11942558.984946795</c:v>
                </c:pt>
                <c:pt idx="3849">
                  <c:v>11945206.323560346</c:v>
                </c:pt>
                <c:pt idx="3850">
                  <c:v>11947853.662173897</c:v>
                </c:pt>
                <c:pt idx="3851">
                  <c:v>11950501.000787448</c:v>
                </c:pt>
                <c:pt idx="3852">
                  <c:v>11953148.339401001</c:v>
                </c:pt>
                <c:pt idx="3853">
                  <c:v>11955795.678014552</c:v>
                </c:pt>
                <c:pt idx="3854">
                  <c:v>11958443.016628103</c:v>
                </c:pt>
                <c:pt idx="3855">
                  <c:v>11961090.355241656</c:v>
                </c:pt>
                <c:pt idx="3856">
                  <c:v>11963737.693855207</c:v>
                </c:pt>
                <c:pt idx="3857">
                  <c:v>11966385.032468759</c:v>
                </c:pt>
                <c:pt idx="3858">
                  <c:v>11969032.371082311</c:v>
                </c:pt>
                <c:pt idx="3859">
                  <c:v>11971679.709695863</c:v>
                </c:pt>
                <c:pt idx="3860">
                  <c:v>11974327.048309414</c:v>
                </c:pt>
                <c:pt idx="3861">
                  <c:v>11976974.386922965</c:v>
                </c:pt>
                <c:pt idx="3862">
                  <c:v>11979621.725536518</c:v>
                </c:pt>
                <c:pt idx="3863">
                  <c:v>11982269.064150069</c:v>
                </c:pt>
                <c:pt idx="3864">
                  <c:v>11984916.40276362</c:v>
                </c:pt>
                <c:pt idx="3865">
                  <c:v>11987563.741377173</c:v>
                </c:pt>
                <c:pt idx="3866">
                  <c:v>11990211.079990724</c:v>
                </c:pt>
                <c:pt idx="3867">
                  <c:v>11992858.418604275</c:v>
                </c:pt>
                <c:pt idx="3868">
                  <c:v>11995505.757217826</c:v>
                </c:pt>
                <c:pt idx="3869">
                  <c:v>11998153.095831379</c:v>
                </c:pt>
                <c:pt idx="3870">
                  <c:v>12000800.43444493</c:v>
                </c:pt>
                <c:pt idx="3871">
                  <c:v>12003447.773058482</c:v>
                </c:pt>
                <c:pt idx="3872">
                  <c:v>12006095.111672034</c:v>
                </c:pt>
                <c:pt idx="3873">
                  <c:v>12008742.450285586</c:v>
                </c:pt>
                <c:pt idx="3874">
                  <c:v>12011389.788899137</c:v>
                </c:pt>
                <c:pt idx="3875">
                  <c:v>12014037.12751269</c:v>
                </c:pt>
                <c:pt idx="3876">
                  <c:v>12016684.466126241</c:v>
                </c:pt>
                <c:pt idx="3877">
                  <c:v>12019331.804739792</c:v>
                </c:pt>
                <c:pt idx="3878">
                  <c:v>12021979.143353343</c:v>
                </c:pt>
                <c:pt idx="3879">
                  <c:v>12024626.481966896</c:v>
                </c:pt>
                <c:pt idx="3880">
                  <c:v>12027273.820580447</c:v>
                </c:pt>
                <c:pt idx="3881">
                  <c:v>12029921.159193998</c:v>
                </c:pt>
                <c:pt idx="3882">
                  <c:v>12032568.497807551</c:v>
                </c:pt>
                <c:pt idx="3883">
                  <c:v>12035215.836421102</c:v>
                </c:pt>
                <c:pt idx="3884">
                  <c:v>12037863.175034653</c:v>
                </c:pt>
                <c:pt idx="3885">
                  <c:v>12040510.513648206</c:v>
                </c:pt>
                <c:pt idx="3886">
                  <c:v>12043157.852261757</c:v>
                </c:pt>
                <c:pt idx="3887">
                  <c:v>12045805.190875309</c:v>
                </c:pt>
                <c:pt idx="3888">
                  <c:v>12048452.52948886</c:v>
                </c:pt>
                <c:pt idx="3889">
                  <c:v>12051099.868102413</c:v>
                </c:pt>
                <c:pt idx="3890">
                  <c:v>12053747.206715964</c:v>
                </c:pt>
                <c:pt idx="3891">
                  <c:v>12056394.545329515</c:v>
                </c:pt>
                <c:pt idx="3892">
                  <c:v>12059041.883943068</c:v>
                </c:pt>
                <c:pt idx="3893">
                  <c:v>12061689.222556619</c:v>
                </c:pt>
                <c:pt idx="3894">
                  <c:v>12064336.56117017</c:v>
                </c:pt>
                <c:pt idx="3895">
                  <c:v>12066983.899783721</c:v>
                </c:pt>
                <c:pt idx="3896">
                  <c:v>12069631.238397274</c:v>
                </c:pt>
                <c:pt idx="3897">
                  <c:v>12072278.577010825</c:v>
                </c:pt>
                <c:pt idx="3898">
                  <c:v>12074925.915624376</c:v>
                </c:pt>
                <c:pt idx="3899">
                  <c:v>12077573.254237929</c:v>
                </c:pt>
                <c:pt idx="3900">
                  <c:v>12080220.59285148</c:v>
                </c:pt>
                <c:pt idx="3901">
                  <c:v>12082867.931465032</c:v>
                </c:pt>
                <c:pt idx="3902">
                  <c:v>12085515.270078585</c:v>
                </c:pt>
                <c:pt idx="3903">
                  <c:v>12088162.608692136</c:v>
                </c:pt>
                <c:pt idx="3904">
                  <c:v>12090809.947305687</c:v>
                </c:pt>
                <c:pt idx="3905">
                  <c:v>12093457.285919238</c:v>
                </c:pt>
                <c:pt idx="3906">
                  <c:v>12096104.624532791</c:v>
                </c:pt>
                <c:pt idx="3907">
                  <c:v>12098751.963146342</c:v>
                </c:pt>
                <c:pt idx="3908">
                  <c:v>12101399.301759893</c:v>
                </c:pt>
                <c:pt idx="3909">
                  <c:v>12104046.640373446</c:v>
                </c:pt>
                <c:pt idx="3910">
                  <c:v>12106693.978986997</c:v>
                </c:pt>
                <c:pt idx="3911">
                  <c:v>12109341.317600548</c:v>
                </c:pt>
                <c:pt idx="3912">
                  <c:v>12111988.656214101</c:v>
                </c:pt>
                <c:pt idx="3913">
                  <c:v>12114635.994827652</c:v>
                </c:pt>
                <c:pt idx="3914">
                  <c:v>12117283.333441203</c:v>
                </c:pt>
                <c:pt idx="3915">
                  <c:v>12119930.672054755</c:v>
                </c:pt>
                <c:pt idx="3916">
                  <c:v>12122578.010668308</c:v>
                </c:pt>
                <c:pt idx="3917">
                  <c:v>12125225.349281859</c:v>
                </c:pt>
                <c:pt idx="3918">
                  <c:v>12127872.68789541</c:v>
                </c:pt>
                <c:pt idx="3919">
                  <c:v>12130520.026508963</c:v>
                </c:pt>
                <c:pt idx="3920">
                  <c:v>12133167.365122514</c:v>
                </c:pt>
                <c:pt idx="3921">
                  <c:v>12135814.703736065</c:v>
                </c:pt>
                <c:pt idx="3922">
                  <c:v>12138462.042349616</c:v>
                </c:pt>
                <c:pt idx="3923">
                  <c:v>12141109.380963169</c:v>
                </c:pt>
                <c:pt idx="3924">
                  <c:v>12143756.71957672</c:v>
                </c:pt>
                <c:pt idx="3925">
                  <c:v>12146404.058190271</c:v>
                </c:pt>
                <c:pt idx="3926">
                  <c:v>12149051.396803824</c:v>
                </c:pt>
                <c:pt idx="3927">
                  <c:v>12151698.735417375</c:v>
                </c:pt>
                <c:pt idx="3928">
                  <c:v>12154346.074030926</c:v>
                </c:pt>
                <c:pt idx="3929">
                  <c:v>12156993.412644479</c:v>
                </c:pt>
                <c:pt idx="3930">
                  <c:v>12159640.751258031</c:v>
                </c:pt>
                <c:pt idx="3931">
                  <c:v>12162288.089871582</c:v>
                </c:pt>
                <c:pt idx="3932">
                  <c:v>12164935.428485133</c:v>
                </c:pt>
                <c:pt idx="3933">
                  <c:v>12167582.767098686</c:v>
                </c:pt>
                <c:pt idx="3934">
                  <c:v>12170230.105712237</c:v>
                </c:pt>
                <c:pt idx="3935">
                  <c:v>12172877.444325788</c:v>
                </c:pt>
                <c:pt idx="3936">
                  <c:v>12175524.782939341</c:v>
                </c:pt>
                <c:pt idx="3937">
                  <c:v>12178172.121552892</c:v>
                </c:pt>
                <c:pt idx="3938">
                  <c:v>12180819.460166443</c:v>
                </c:pt>
                <c:pt idx="3939">
                  <c:v>12183466.798779996</c:v>
                </c:pt>
                <c:pt idx="3940">
                  <c:v>12186114.137393547</c:v>
                </c:pt>
                <c:pt idx="3941">
                  <c:v>12188761.476007098</c:v>
                </c:pt>
                <c:pt idx="3942">
                  <c:v>12191408.814620649</c:v>
                </c:pt>
                <c:pt idx="3943">
                  <c:v>12194056.153234202</c:v>
                </c:pt>
                <c:pt idx="3944">
                  <c:v>12196703.491847754</c:v>
                </c:pt>
                <c:pt idx="3945">
                  <c:v>12199350.830461305</c:v>
                </c:pt>
                <c:pt idx="3946">
                  <c:v>12201998.169074858</c:v>
                </c:pt>
                <c:pt idx="3947">
                  <c:v>12204645.507688409</c:v>
                </c:pt>
                <c:pt idx="3948">
                  <c:v>12207292.84630196</c:v>
                </c:pt>
                <c:pt idx="3949">
                  <c:v>12209940.184915511</c:v>
                </c:pt>
                <c:pt idx="3950">
                  <c:v>12212587.523529064</c:v>
                </c:pt>
                <c:pt idx="3951">
                  <c:v>12215234.862142615</c:v>
                </c:pt>
                <c:pt idx="3952">
                  <c:v>12217882.200756166</c:v>
                </c:pt>
                <c:pt idx="3953">
                  <c:v>12220529.539369719</c:v>
                </c:pt>
                <c:pt idx="3954">
                  <c:v>12223176.87798327</c:v>
                </c:pt>
                <c:pt idx="3955">
                  <c:v>12225824.216596821</c:v>
                </c:pt>
                <c:pt idx="3956">
                  <c:v>12228471.555210374</c:v>
                </c:pt>
                <c:pt idx="3957">
                  <c:v>12231118.893823925</c:v>
                </c:pt>
                <c:pt idx="3958">
                  <c:v>12233766.232437477</c:v>
                </c:pt>
                <c:pt idx="3959">
                  <c:v>12236413.571051028</c:v>
                </c:pt>
                <c:pt idx="3960">
                  <c:v>12239060.909664581</c:v>
                </c:pt>
                <c:pt idx="3961">
                  <c:v>12241708.248278132</c:v>
                </c:pt>
                <c:pt idx="3962">
                  <c:v>12244355.586891683</c:v>
                </c:pt>
                <c:pt idx="3963">
                  <c:v>12247002.925505236</c:v>
                </c:pt>
                <c:pt idx="3964">
                  <c:v>12249650.264118787</c:v>
                </c:pt>
                <c:pt idx="3965">
                  <c:v>12252297.602732338</c:v>
                </c:pt>
                <c:pt idx="3966">
                  <c:v>12254944.941345891</c:v>
                </c:pt>
                <c:pt idx="3967">
                  <c:v>12257592.279959442</c:v>
                </c:pt>
                <c:pt idx="3968">
                  <c:v>12260239.618572993</c:v>
                </c:pt>
                <c:pt idx="3969">
                  <c:v>12262886.957186544</c:v>
                </c:pt>
                <c:pt idx="3970">
                  <c:v>12265534.295800097</c:v>
                </c:pt>
                <c:pt idx="3971">
                  <c:v>12268181.634413648</c:v>
                </c:pt>
                <c:pt idx="3972">
                  <c:v>12270828.9730272</c:v>
                </c:pt>
                <c:pt idx="3973">
                  <c:v>12273476.311640752</c:v>
                </c:pt>
                <c:pt idx="3974">
                  <c:v>12276123.650254304</c:v>
                </c:pt>
                <c:pt idx="3975">
                  <c:v>12278770.988867855</c:v>
                </c:pt>
                <c:pt idx="3976">
                  <c:v>12281418.327481406</c:v>
                </c:pt>
                <c:pt idx="3977">
                  <c:v>12284065.666094959</c:v>
                </c:pt>
                <c:pt idx="3978">
                  <c:v>12286713.00470851</c:v>
                </c:pt>
                <c:pt idx="3979">
                  <c:v>12289360.343322061</c:v>
                </c:pt>
                <c:pt idx="3980">
                  <c:v>12292007.681935614</c:v>
                </c:pt>
                <c:pt idx="3981">
                  <c:v>12294655.020549165</c:v>
                </c:pt>
                <c:pt idx="3982">
                  <c:v>12297302.359162716</c:v>
                </c:pt>
                <c:pt idx="3983">
                  <c:v>12299949.697776269</c:v>
                </c:pt>
                <c:pt idx="3984">
                  <c:v>12302597.03638982</c:v>
                </c:pt>
                <c:pt idx="3985">
                  <c:v>12305244.375003371</c:v>
                </c:pt>
                <c:pt idx="3986">
                  <c:v>12307891.713616922</c:v>
                </c:pt>
                <c:pt idx="3987">
                  <c:v>12310539.052230475</c:v>
                </c:pt>
                <c:pt idx="3988">
                  <c:v>12313186.390844027</c:v>
                </c:pt>
                <c:pt idx="3989">
                  <c:v>12315833.729457578</c:v>
                </c:pt>
                <c:pt idx="3990">
                  <c:v>12318481.068071131</c:v>
                </c:pt>
                <c:pt idx="3991">
                  <c:v>12321128.406684682</c:v>
                </c:pt>
                <c:pt idx="3992">
                  <c:v>12323775.745298233</c:v>
                </c:pt>
                <c:pt idx="3993">
                  <c:v>12326423.083911784</c:v>
                </c:pt>
                <c:pt idx="3994">
                  <c:v>12329070.422525337</c:v>
                </c:pt>
                <c:pt idx="3995">
                  <c:v>12331717.761138888</c:v>
                </c:pt>
                <c:pt idx="3996">
                  <c:v>12334365.099752439</c:v>
                </c:pt>
                <c:pt idx="3997">
                  <c:v>12337012.438365992</c:v>
                </c:pt>
                <c:pt idx="3998">
                  <c:v>12339659.776979543</c:v>
                </c:pt>
                <c:pt idx="3999">
                  <c:v>12342307.115593094</c:v>
                </c:pt>
                <c:pt idx="4000">
                  <c:v>12344954.454206647</c:v>
                </c:pt>
                <c:pt idx="4001">
                  <c:v>12347601.792820198</c:v>
                </c:pt>
                <c:pt idx="4002">
                  <c:v>12350249.13143375</c:v>
                </c:pt>
                <c:pt idx="4003">
                  <c:v>12352896.470047301</c:v>
                </c:pt>
                <c:pt idx="4004">
                  <c:v>12355543.808660854</c:v>
                </c:pt>
                <c:pt idx="4005">
                  <c:v>12358191.147274405</c:v>
                </c:pt>
                <c:pt idx="4006">
                  <c:v>12360838.485887956</c:v>
                </c:pt>
                <c:pt idx="4007">
                  <c:v>12363485.824501509</c:v>
                </c:pt>
                <c:pt idx="4008">
                  <c:v>12366133.16311506</c:v>
                </c:pt>
                <c:pt idx="4009">
                  <c:v>12368780.501728611</c:v>
                </c:pt>
                <c:pt idx="4010">
                  <c:v>12371427.840342164</c:v>
                </c:pt>
                <c:pt idx="4011">
                  <c:v>12374075.178955715</c:v>
                </c:pt>
                <c:pt idx="4012">
                  <c:v>12376722.517569266</c:v>
                </c:pt>
                <c:pt idx="4013">
                  <c:v>12379369.856182817</c:v>
                </c:pt>
                <c:pt idx="4014">
                  <c:v>12382017.19479637</c:v>
                </c:pt>
                <c:pt idx="4015">
                  <c:v>12384664.533409921</c:v>
                </c:pt>
                <c:pt idx="4016">
                  <c:v>12387311.872023473</c:v>
                </c:pt>
                <c:pt idx="4017">
                  <c:v>12389959.210637026</c:v>
                </c:pt>
                <c:pt idx="4018">
                  <c:v>12392606.549250577</c:v>
                </c:pt>
                <c:pt idx="4019">
                  <c:v>12395253.887864128</c:v>
                </c:pt>
                <c:pt idx="4020">
                  <c:v>12397901.226477679</c:v>
                </c:pt>
                <c:pt idx="4021">
                  <c:v>12400548.565091232</c:v>
                </c:pt>
                <c:pt idx="4022">
                  <c:v>12403195.903704783</c:v>
                </c:pt>
                <c:pt idx="4023">
                  <c:v>12405843.242318334</c:v>
                </c:pt>
                <c:pt idx="4024">
                  <c:v>12408490.580931887</c:v>
                </c:pt>
                <c:pt idx="4025">
                  <c:v>12411137.919545438</c:v>
                </c:pt>
                <c:pt idx="4026">
                  <c:v>12413785.258158989</c:v>
                </c:pt>
                <c:pt idx="4027">
                  <c:v>12416432.596772542</c:v>
                </c:pt>
                <c:pt idx="4028">
                  <c:v>12419079.935386093</c:v>
                </c:pt>
                <c:pt idx="4029">
                  <c:v>12421727.273999644</c:v>
                </c:pt>
                <c:pt idx="4030">
                  <c:v>12424374.612613196</c:v>
                </c:pt>
                <c:pt idx="4031">
                  <c:v>12427021.951226749</c:v>
                </c:pt>
                <c:pt idx="4032">
                  <c:v>12429669.2898403</c:v>
                </c:pt>
                <c:pt idx="4033">
                  <c:v>12432316.628453851</c:v>
                </c:pt>
                <c:pt idx="4034">
                  <c:v>12434963.967067404</c:v>
                </c:pt>
                <c:pt idx="4035">
                  <c:v>12437611.305680955</c:v>
                </c:pt>
                <c:pt idx="4036">
                  <c:v>12440258.644294506</c:v>
                </c:pt>
                <c:pt idx="4037">
                  <c:v>12442905.982908059</c:v>
                </c:pt>
                <c:pt idx="4038">
                  <c:v>12445553.32152161</c:v>
                </c:pt>
                <c:pt idx="4039">
                  <c:v>12448200.660135161</c:v>
                </c:pt>
                <c:pt idx="4040">
                  <c:v>12450847.998748712</c:v>
                </c:pt>
                <c:pt idx="4041">
                  <c:v>12453495.337362265</c:v>
                </c:pt>
                <c:pt idx="4042">
                  <c:v>12456142.675975816</c:v>
                </c:pt>
                <c:pt idx="4043">
                  <c:v>12458790.014589367</c:v>
                </c:pt>
                <c:pt idx="4044">
                  <c:v>12461437.35320292</c:v>
                </c:pt>
                <c:pt idx="4045">
                  <c:v>12464084.691816472</c:v>
                </c:pt>
                <c:pt idx="4046">
                  <c:v>12466732.030430023</c:v>
                </c:pt>
                <c:pt idx="4047">
                  <c:v>12469379.369043574</c:v>
                </c:pt>
                <c:pt idx="4048">
                  <c:v>12472026.707657127</c:v>
                </c:pt>
                <c:pt idx="4049">
                  <c:v>12474674.046270678</c:v>
                </c:pt>
                <c:pt idx="4050">
                  <c:v>12477321.384884229</c:v>
                </c:pt>
                <c:pt idx="4051">
                  <c:v>12479968.723497782</c:v>
                </c:pt>
                <c:pt idx="4052">
                  <c:v>12482616.062111333</c:v>
                </c:pt>
                <c:pt idx="4053">
                  <c:v>12485263.400724884</c:v>
                </c:pt>
                <c:pt idx="4054">
                  <c:v>12487910.739338437</c:v>
                </c:pt>
                <c:pt idx="4055">
                  <c:v>12490558.077951988</c:v>
                </c:pt>
                <c:pt idx="4056">
                  <c:v>12493205.416565539</c:v>
                </c:pt>
                <c:pt idx="4057">
                  <c:v>12495852.75517909</c:v>
                </c:pt>
                <c:pt idx="4058">
                  <c:v>12498500.093792643</c:v>
                </c:pt>
                <c:pt idx="4059">
                  <c:v>12501147.432406195</c:v>
                </c:pt>
                <c:pt idx="4060">
                  <c:v>12503794.771019746</c:v>
                </c:pt>
                <c:pt idx="4061">
                  <c:v>12506442.109633299</c:v>
                </c:pt>
                <c:pt idx="4062">
                  <c:v>12509089.44824685</c:v>
                </c:pt>
                <c:pt idx="4063">
                  <c:v>12511736.786860401</c:v>
                </c:pt>
                <c:pt idx="4064">
                  <c:v>12514384.125473954</c:v>
                </c:pt>
                <c:pt idx="4065">
                  <c:v>12517031.464087505</c:v>
                </c:pt>
                <c:pt idx="4066">
                  <c:v>12519678.802701056</c:v>
                </c:pt>
                <c:pt idx="4067">
                  <c:v>12522326.141314607</c:v>
                </c:pt>
                <c:pt idx="4068">
                  <c:v>12524973.47992816</c:v>
                </c:pt>
                <c:pt idx="4069">
                  <c:v>12527620.818541711</c:v>
                </c:pt>
                <c:pt idx="4070">
                  <c:v>12530268.157155262</c:v>
                </c:pt>
                <c:pt idx="4071">
                  <c:v>12532915.495768815</c:v>
                </c:pt>
                <c:pt idx="4072">
                  <c:v>12535562.834382366</c:v>
                </c:pt>
                <c:pt idx="4073">
                  <c:v>12538210.172995917</c:v>
                </c:pt>
                <c:pt idx="4074">
                  <c:v>12540857.511609469</c:v>
                </c:pt>
                <c:pt idx="4075">
                  <c:v>12543504.850223022</c:v>
                </c:pt>
                <c:pt idx="4076">
                  <c:v>12546152.188836573</c:v>
                </c:pt>
                <c:pt idx="4077">
                  <c:v>12548799.527450124</c:v>
                </c:pt>
                <c:pt idx="4078">
                  <c:v>12551446.866063677</c:v>
                </c:pt>
                <c:pt idx="4079">
                  <c:v>12554094.204677228</c:v>
                </c:pt>
                <c:pt idx="4080">
                  <c:v>12556741.543290779</c:v>
                </c:pt>
                <c:pt idx="4081">
                  <c:v>12559388.881904332</c:v>
                </c:pt>
                <c:pt idx="4082">
                  <c:v>12562036.220517883</c:v>
                </c:pt>
                <c:pt idx="4083">
                  <c:v>12564683.559131434</c:v>
                </c:pt>
                <c:pt idx="4084">
                  <c:v>12567330.897744985</c:v>
                </c:pt>
                <c:pt idx="4085">
                  <c:v>12569978.236358538</c:v>
                </c:pt>
                <c:pt idx="4086">
                  <c:v>12572625.574972089</c:v>
                </c:pt>
                <c:pt idx="4087">
                  <c:v>12575272.91358564</c:v>
                </c:pt>
                <c:pt idx="4088">
                  <c:v>12577920.252199193</c:v>
                </c:pt>
                <c:pt idx="4089">
                  <c:v>12580567.590812745</c:v>
                </c:pt>
                <c:pt idx="4090">
                  <c:v>12583214.929426296</c:v>
                </c:pt>
                <c:pt idx="4091">
                  <c:v>12585862.268039849</c:v>
                </c:pt>
                <c:pt idx="4092">
                  <c:v>12588509.6066534</c:v>
                </c:pt>
                <c:pt idx="4093">
                  <c:v>12591156.945266951</c:v>
                </c:pt>
                <c:pt idx="4094">
                  <c:v>12593804.283880502</c:v>
                </c:pt>
                <c:pt idx="4095">
                  <c:v>12596451.622494055</c:v>
                </c:pt>
                <c:pt idx="4096">
                  <c:v>12599098.961107606</c:v>
                </c:pt>
                <c:pt idx="4097">
                  <c:v>12601746.299721157</c:v>
                </c:pt>
                <c:pt idx="4098">
                  <c:v>12604393.63833471</c:v>
                </c:pt>
                <c:pt idx="4099">
                  <c:v>12607040.976948261</c:v>
                </c:pt>
                <c:pt idx="4100">
                  <c:v>12609688.315561812</c:v>
                </c:pt>
                <c:pt idx="4101">
                  <c:v>12612335.654175363</c:v>
                </c:pt>
                <c:pt idx="4102">
                  <c:v>12614982.992788916</c:v>
                </c:pt>
                <c:pt idx="4103">
                  <c:v>12617630.331402468</c:v>
                </c:pt>
                <c:pt idx="4104">
                  <c:v>12620277.670016019</c:v>
                </c:pt>
                <c:pt idx="4105">
                  <c:v>12622925.008629572</c:v>
                </c:pt>
                <c:pt idx="4106">
                  <c:v>12625572.347243123</c:v>
                </c:pt>
                <c:pt idx="4107">
                  <c:v>12628219.685856674</c:v>
                </c:pt>
                <c:pt idx="4108">
                  <c:v>12630867.024470227</c:v>
                </c:pt>
                <c:pt idx="4109">
                  <c:v>12633514.363083778</c:v>
                </c:pt>
                <c:pt idx="4110">
                  <c:v>12636161.701697329</c:v>
                </c:pt>
                <c:pt idx="4111">
                  <c:v>12638809.04031088</c:v>
                </c:pt>
                <c:pt idx="4112">
                  <c:v>12641456.378924433</c:v>
                </c:pt>
                <c:pt idx="4113">
                  <c:v>12644103.717537984</c:v>
                </c:pt>
                <c:pt idx="4114">
                  <c:v>12646751.056151535</c:v>
                </c:pt>
                <c:pt idx="4115">
                  <c:v>12649398.394765088</c:v>
                </c:pt>
                <c:pt idx="4116">
                  <c:v>12652045.733378639</c:v>
                </c:pt>
                <c:pt idx="4117">
                  <c:v>12654693.071992191</c:v>
                </c:pt>
                <c:pt idx="4118">
                  <c:v>12657340.410605744</c:v>
                </c:pt>
                <c:pt idx="4119">
                  <c:v>12659987.749219295</c:v>
                </c:pt>
                <c:pt idx="4120">
                  <c:v>12662635.087832846</c:v>
                </c:pt>
                <c:pt idx="4121">
                  <c:v>12665282.426446397</c:v>
                </c:pt>
                <c:pt idx="4122">
                  <c:v>12667929.76505995</c:v>
                </c:pt>
                <c:pt idx="4123">
                  <c:v>12670577.103673501</c:v>
                </c:pt>
                <c:pt idx="4124">
                  <c:v>12673224.442287052</c:v>
                </c:pt>
                <c:pt idx="4125">
                  <c:v>12675871.780900605</c:v>
                </c:pt>
                <c:pt idx="4126">
                  <c:v>12678519.119514156</c:v>
                </c:pt>
                <c:pt idx="4127">
                  <c:v>12681166.458127707</c:v>
                </c:pt>
                <c:pt idx="4128">
                  <c:v>12683813.796741258</c:v>
                </c:pt>
                <c:pt idx="4129">
                  <c:v>12686461.135354811</c:v>
                </c:pt>
                <c:pt idx="4130">
                  <c:v>12689108.473968362</c:v>
                </c:pt>
                <c:pt idx="4131">
                  <c:v>12691755.812581914</c:v>
                </c:pt>
                <c:pt idx="4132">
                  <c:v>12694403.151195467</c:v>
                </c:pt>
                <c:pt idx="4133">
                  <c:v>12697050.489809018</c:v>
                </c:pt>
                <c:pt idx="4134">
                  <c:v>12699697.828422569</c:v>
                </c:pt>
                <c:pt idx="4135">
                  <c:v>12702345.167036122</c:v>
                </c:pt>
                <c:pt idx="4136">
                  <c:v>12704992.505649673</c:v>
                </c:pt>
                <c:pt idx="4137">
                  <c:v>12707639.844263224</c:v>
                </c:pt>
                <c:pt idx="4138">
                  <c:v>12710287.182876775</c:v>
                </c:pt>
                <c:pt idx="4139">
                  <c:v>12712934.521490328</c:v>
                </c:pt>
                <c:pt idx="4140">
                  <c:v>12715581.860103879</c:v>
                </c:pt>
                <c:pt idx="4141">
                  <c:v>12718229.19871743</c:v>
                </c:pt>
                <c:pt idx="4142">
                  <c:v>12720876.537330983</c:v>
                </c:pt>
                <c:pt idx="4143">
                  <c:v>12723523.875944534</c:v>
                </c:pt>
                <c:pt idx="4144">
                  <c:v>12726171.214558085</c:v>
                </c:pt>
                <c:pt idx="4145">
                  <c:v>12728818.553171638</c:v>
                </c:pt>
                <c:pt idx="4146">
                  <c:v>12731465.89178519</c:v>
                </c:pt>
                <c:pt idx="4147">
                  <c:v>12734113.230398741</c:v>
                </c:pt>
                <c:pt idx="4148">
                  <c:v>12736760.569012292</c:v>
                </c:pt>
                <c:pt idx="4149">
                  <c:v>12739407.907625845</c:v>
                </c:pt>
                <c:pt idx="4150">
                  <c:v>12742055.246239396</c:v>
                </c:pt>
                <c:pt idx="4151">
                  <c:v>12744702.584852947</c:v>
                </c:pt>
                <c:pt idx="4152">
                  <c:v>12747349.9234665</c:v>
                </c:pt>
                <c:pt idx="4153">
                  <c:v>12749997.262080051</c:v>
                </c:pt>
                <c:pt idx="4154">
                  <c:v>12752644.600693602</c:v>
                </c:pt>
                <c:pt idx="4155">
                  <c:v>12755291.939307153</c:v>
                </c:pt>
                <c:pt idx="4156">
                  <c:v>12757939.277920706</c:v>
                </c:pt>
                <c:pt idx="4157">
                  <c:v>12760586.616534257</c:v>
                </c:pt>
                <c:pt idx="4158">
                  <c:v>12763233.955147808</c:v>
                </c:pt>
                <c:pt idx="4159">
                  <c:v>12765881.293761361</c:v>
                </c:pt>
                <c:pt idx="4160">
                  <c:v>12768528.632374913</c:v>
                </c:pt>
                <c:pt idx="4161">
                  <c:v>12771175.970988464</c:v>
                </c:pt>
                <c:pt idx="4162">
                  <c:v>12773823.309602017</c:v>
                </c:pt>
                <c:pt idx="4163">
                  <c:v>12776470.648215568</c:v>
                </c:pt>
                <c:pt idx="4164">
                  <c:v>12779117.986829119</c:v>
                </c:pt>
                <c:pt idx="4165">
                  <c:v>12781765.32544267</c:v>
                </c:pt>
                <c:pt idx="4166">
                  <c:v>12784412.664056223</c:v>
                </c:pt>
                <c:pt idx="4167">
                  <c:v>12787060.002669774</c:v>
                </c:pt>
                <c:pt idx="4168">
                  <c:v>12789707.341283325</c:v>
                </c:pt>
                <c:pt idx="4169">
                  <c:v>12792354.679896878</c:v>
                </c:pt>
                <c:pt idx="4170">
                  <c:v>12795002.018510429</c:v>
                </c:pt>
                <c:pt idx="4171">
                  <c:v>12797649.35712398</c:v>
                </c:pt>
                <c:pt idx="4172">
                  <c:v>12800296.695737533</c:v>
                </c:pt>
                <c:pt idx="4173">
                  <c:v>12802944.034351084</c:v>
                </c:pt>
                <c:pt idx="4174">
                  <c:v>12805591.372964635</c:v>
                </c:pt>
                <c:pt idx="4175">
                  <c:v>12808238.711578187</c:v>
                </c:pt>
                <c:pt idx="4176">
                  <c:v>12810886.05019174</c:v>
                </c:pt>
                <c:pt idx="4177">
                  <c:v>12813533.388805291</c:v>
                </c:pt>
                <c:pt idx="4178">
                  <c:v>12816180.727418842</c:v>
                </c:pt>
                <c:pt idx="4179">
                  <c:v>12818828.066032395</c:v>
                </c:pt>
                <c:pt idx="4180">
                  <c:v>12821475.404645946</c:v>
                </c:pt>
                <c:pt idx="4181">
                  <c:v>12824122.743259497</c:v>
                </c:pt>
                <c:pt idx="4182">
                  <c:v>12826770.081873048</c:v>
                </c:pt>
                <c:pt idx="4183">
                  <c:v>12829417.420486601</c:v>
                </c:pt>
                <c:pt idx="4184">
                  <c:v>12832064.759100152</c:v>
                </c:pt>
                <c:pt idx="4185">
                  <c:v>12834712.097713703</c:v>
                </c:pt>
                <c:pt idx="4186">
                  <c:v>12837359.436327256</c:v>
                </c:pt>
                <c:pt idx="4187">
                  <c:v>12840006.774940807</c:v>
                </c:pt>
                <c:pt idx="4188">
                  <c:v>12842654.113554358</c:v>
                </c:pt>
                <c:pt idx="4189">
                  <c:v>12845301.452167911</c:v>
                </c:pt>
                <c:pt idx="4190">
                  <c:v>12847948.790781463</c:v>
                </c:pt>
                <c:pt idx="4191">
                  <c:v>12850596.129395014</c:v>
                </c:pt>
                <c:pt idx="4192">
                  <c:v>12853243.468008565</c:v>
                </c:pt>
                <c:pt idx="4193">
                  <c:v>12855890.806622118</c:v>
                </c:pt>
                <c:pt idx="4194">
                  <c:v>12858538.145235669</c:v>
                </c:pt>
                <c:pt idx="4195">
                  <c:v>12861185.48384922</c:v>
                </c:pt>
                <c:pt idx="4196">
                  <c:v>12863832.822462773</c:v>
                </c:pt>
                <c:pt idx="4197">
                  <c:v>12866480.161076324</c:v>
                </c:pt>
                <c:pt idx="4198">
                  <c:v>12869127.499689875</c:v>
                </c:pt>
                <c:pt idx="4199">
                  <c:v>12871774.838303428</c:v>
                </c:pt>
                <c:pt idx="4200">
                  <c:v>12874422.176916979</c:v>
                </c:pt>
                <c:pt idx="4201">
                  <c:v>12877069.51553053</c:v>
                </c:pt>
                <c:pt idx="4202">
                  <c:v>12879716.854144081</c:v>
                </c:pt>
                <c:pt idx="4203">
                  <c:v>12882364.192757634</c:v>
                </c:pt>
                <c:pt idx="4204">
                  <c:v>12885011.531371186</c:v>
                </c:pt>
                <c:pt idx="4205">
                  <c:v>12887658.869984737</c:v>
                </c:pt>
                <c:pt idx="4206">
                  <c:v>12890306.20859829</c:v>
                </c:pt>
                <c:pt idx="4207">
                  <c:v>12892953.547211841</c:v>
                </c:pt>
                <c:pt idx="4208">
                  <c:v>12895600.885825392</c:v>
                </c:pt>
                <c:pt idx="4209">
                  <c:v>12898248.224438943</c:v>
                </c:pt>
                <c:pt idx="4210">
                  <c:v>12900895.563052496</c:v>
                </c:pt>
                <c:pt idx="4211">
                  <c:v>12903542.901666047</c:v>
                </c:pt>
                <c:pt idx="4212">
                  <c:v>12906190.240279598</c:v>
                </c:pt>
                <c:pt idx="4213">
                  <c:v>12908837.578893151</c:v>
                </c:pt>
                <c:pt idx="4214">
                  <c:v>12911484.917506702</c:v>
                </c:pt>
                <c:pt idx="4215">
                  <c:v>12914132.256120253</c:v>
                </c:pt>
                <c:pt idx="4216">
                  <c:v>12916779.594733806</c:v>
                </c:pt>
                <c:pt idx="4217">
                  <c:v>12919426.933347357</c:v>
                </c:pt>
                <c:pt idx="4218">
                  <c:v>12922074.271960909</c:v>
                </c:pt>
                <c:pt idx="4219">
                  <c:v>12924721.61057446</c:v>
                </c:pt>
                <c:pt idx="4220">
                  <c:v>12927368.949188013</c:v>
                </c:pt>
                <c:pt idx="4221">
                  <c:v>12930016.287801564</c:v>
                </c:pt>
                <c:pt idx="4222">
                  <c:v>12932663.626415115</c:v>
                </c:pt>
                <c:pt idx="4223">
                  <c:v>12935310.965028668</c:v>
                </c:pt>
                <c:pt idx="4224">
                  <c:v>12937958.303642219</c:v>
                </c:pt>
                <c:pt idx="4225">
                  <c:v>12940605.64225577</c:v>
                </c:pt>
                <c:pt idx="4226">
                  <c:v>12943252.980869321</c:v>
                </c:pt>
                <c:pt idx="4227">
                  <c:v>12945900.319482874</c:v>
                </c:pt>
                <c:pt idx="4228">
                  <c:v>12948547.658096425</c:v>
                </c:pt>
                <c:pt idx="4229">
                  <c:v>12951194.996709976</c:v>
                </c:pt>
                <c:pt idx="4230">
                  <c:v>12953842.335323529</c:v>
                </c:pt>
                <c:pt idx="4231">
                  <c:v>12956489.67393708</c:v>
                </c:pt>
                <c:pt idx="4232">
                  <c:v>12959137.012550632</c:v>
                </c:pt>
                <c:pt idx="4233">
                  <c:v>12961784.351164185</c:v>
                </c:pt>
                <c:pt idx="4234">
                  <c:v>12964431.689777736</c:v>
                </c:pt>
                <c:pt idx="4235">
                  <c:v>12967079.028391287</c:v>
                </c:pt>
                <c:pt idx="4236">
                  <c:v>12969726.367004838</c:v>
                </c:pt>
                <c:pt idx="4237">
                  <c:v>12972373.705618391</c:v>
                </c:pt>
                <c:pt idx="4238">
                  <c:v>12975021.044231942</c:v>
                </c:pt>
                <c:pt idx="4239">
                  <c:v>12977668.382845493</c:v>
                </c:pt>
                <c:pt idx="4240">
                  <c:v>12980315.721459046</c:v>
                </c:pt>
                <c:pt idx="4241">
                  <c:v>12982963.060072597</c:v>
                </c:pt>
                <c:pt idx="4242">
                  <c:v>12985610.398686148</c:v>
                </c:pt>
                <c:pt idx="4243">
                  <c:v>12988257.737299701</c:v>
                </c:pt>
                <c:pt idx="4244">
                  <c:v>12990905.075913252</c:v>
                </c:pt>
                <c:pt idx="4245">
                  <c:v>12993552.414526803</c:v>
                </c:pt>
                <c:pt idx="4246">
                  <c:v>12996199.753140355</c:v>
                </c:pt>
                <c:pt idx="4247">
                  <c:v>12998847.091753908</c:v>
                </c:pt>
                <c:pt idx="4248">
                  <c:v>13001494.430367459</c:v>
                </c:pt>
                <c:pt idx="4249">
                  <c:v>13004141.76898101</c:v>
                </c:pt>
                <c:pt idx="4250">
                  <c:v>13006789.107594563</c:v>
                </c:pt>
                <c:pt idx="4251">
                  <c:v>13009436.446208114</c:v>
                </c:pt>
                <c:pt idx="4252">
                  <c:v>13012083.784821665</c:v>
                </c:pt>
                <c:pt idx="4253">
                  <c:v>13014731.123435216</c:v>
                </c:pt>
                <c:pt idx="4254">
                  <c:v>13017378.462048769</c:v>
                </c:pt>
                <c:pt idx="4255">
                  <c:v>13020025.80066232</c:v>
                </c:pt>
                <c:pt idx="4256">
                  <c:v>13022673.139275871</c:v>
                </c:pt>
                <c:pt idx="4257">
                  <c:v>13025320.477889424</c:v>
                </c:pt>
                <c:pt idx="4258">
                  <c:v>13027967.816502975</c:v>
                </c:pt>
                <c:pt idx="4259">
                  <c:v>13030615.155116526</c:v>
                </c:pt>
                <c:pt idx="4260">
                  <c:v>13033262.493730079</c:v>
                </c:pt>
                <c:pt idx="4261">
                  <c:v>13035909.83234363</c:v>
                </c:pt>
                <c:pt idx="4262">
                  <c:v>13038557.170957182</c:v>
                </c:pt>
                <c:pt idx="4263">
                  <c:v>13041204.509570733</c:v>
                </c:pt>
                <c:pt idx="4264">
                  <c:v>13043851.848184286</c:v>
                </c:pt>
                <c:pt idx="4265">
                  <c:v>13046499.186797837</c:v>
                </c:pt>
                <c:pt idx="4266">
                  <c:v>13049146.525411388</c:v>
                </c:pt>
                <c:pt idx="4267">
                  <c:v>13051793.864024941</c:v>
                </c:pt>
                <c:pt idx="4268">
                  <c:v>13054441.202638492</c:v>
                </c:pt>
                <c:pt idx="4269">
                  <c:v>13057088.541252043</c:v>
                </c:pt>
                <c:pt idx="4270">
                  <c:v>13059735.879865596</c:v>
                </c:pt>
                <c:pt idx="4271">
                  <c:v>13062383.218479147</c:v>
                </c:pt>
                <c:pt idx="4272">
                  <c:v>13065030.557092698</c:v>
                </c:pt>
                <c:pt idx="4273">
                  <c:v>13067677.895706249</c:v>
                </c:pt>
                <c:pt idx="4274">
                  <c:v>13070325.234319802</c:v>
                </c:pt>
                <c:pt idx="4275">
                  <c:v>13072972.572933353</c:v>
                </c:pt>
                <c:pt idx="4276">
                  <c:v>13075619.911546905</c:v>
                </c:pt>
                <c:pt idx="4277">
                  <c:v>13078267.250160458</c:v>
                </c:pt>
                <c:pt idx="4278">
                  <c:v>13080914.588774009</c:v>
                </c:pt>
                <c:pt idx="4279">
                  <c:v>13083561.92738756</c:v>
                </c:pt>
                <c:pt idx="4280">
                  <c:v>13086209.266001111</c:v>
                </c:pt>
                <c:pt idx="4281">
                  <c:v>13088856.604614664</c:v>
                </c:pt>
                <c:pt idx="4282">
                  <c:v>13091503.943228215</c:v>
                </c:pt>
                <c:pt idx="4283">
                  <c:v>13094151.281841766</c:v>
                </c:pt>
                <c:pt idx="4284">
                  <c:v>13096798.620455319</c:v>
                </c:pt>
                <c:pt idx="4285">
                  <c:v>13099445.95906887</c:v>
                </c:pt>
                <c:pt idx="4286">
                  <c:v>13102093.297682421</c:v>
                </c:pt>
                <c:pt idx="4287">
                  <c:v>13104740.636295974</c:v>
                </c:pt>
                <c:pt idx="4288">
                  <c:v>13107387.974909525</c:v>
                </c:pt>
                <c:pt idx="4289">
                  <c:v>13110035.313523076</c:v>
                </c:pt>
                <c:pt idx="4290">
                  <c:v>13112682.652136628</c:v>
                </c:pt>
                <c:pt idx="4291">
                  <c:v>13115329.990750181</c:v>
                </c:pt>
                <c:pt idx="4292">
                  <c:v>13117977.329363732</c:v>
                </c:pt>
                <c:pt idx="4293">
                  <c:v>13120624.667977283</c:v>
                </c:pt>
                <c:pt idx="4294">
                  <c:v>13123272.006590836</c:v>
                </c:pt>
                <c:pt idx="4295">
                  <c:v>13125919.345204387</c:v>
                </c:pt>
                <c:pt idx="4296">
                  <c:v>13128566.683817938</c:v>
                </c:pt>
                <c:pt idx="4297">
                  <c:v>13131214.022431491</c:v>
                </c:pt>
                <c:pt idx="4298">
                  <c:v>13133861.361045042</c:v>
                </c:pt>
                <c:pt idx="4299">
                  <c:v>13136508.699658593</c:v>
                </c:pt>
                <c:pt idx="4300">
                  <c:v>13139156.038272144</c:v>
                </c:pt>
                <c:pt idx="4301">
                  <c:v>13141803.376885697</c:v>
                </c:pt>
                <c:pt idx="4302">
                  <c:v>13144450.715499248</c:v>
                </c:pt>
                <c:pt idx="4303">
                  <c:v>13147098.054112799</c:v>
                </c:pt>
                <c:pt idx="4304">
                  <c:v>13149745.392726352</c:v>
                </c:pt>
                <c:pt idx="4305">
                  <c:v>13152392.731339904</c:v>
                </c:pt>
                <c:pt idx="4306">
                  <c:v>13155040.069953455</c:v>
                </c:pt>
                <c:pt idx="4307">
                  <c:v>13157687.408567006</c:v>
                </c:pt>
                <c:pt idx="4308">
                  <c:v>13160334.747180559</c:v>
                </c:pt>
                <c:pt idx="4309">
                  <c:v>13162982.08579411</c:v>
                </c:pt>
                <c:pt idx="4310">
                  <c:v>13165629.424407661</c:v>
                </c:pt>
                <c:pt idx="4311">
                  <c:v>13168276.763021214</c:v>
                </c:pt>
                <c:pt idx="4312">
                  <c:v>13170924.101634765</c:v>
                </c:pt>
                <c:pt idx="4313">
                  <c:v>13173571.440248316</c:v>
                </c:pt>
                <c:pt idx="4314">
                  <c:v>13176218.778861869</c:v>
                </c:pt>
                <c:pt idx="4315">
                  <c:v>13178866.11747542</c:v>
                </c:pt>
                <c:pt idx="4316">
                  <c:v>13181513.456088971</c:v>
                </c:pt>
                <c:pt idx="4317">
                  <c:v>13184160.794702522</c:v>
                </c:pt>
                <c:pt idx="4318">
                  <c:v>13186808.133316075</c:v>
                </c:pt>
                <c:pt idx="4319">
                  <c:v>13189455.471929627</c:v>
                </c:pt>
                <c:pt idx="4320">
                  <c:v>13192102.810543178</c:v>
                </c:pt>
                <c:pt idx="4321">
                  <c:v>13194750.149156731</c:v>
                </c:pt>
                <c:pt idx="4322">
                  <c:v>13197397.487770282</c:v>
                </c:pt>
                <c:pt idx="4323">
                  <c:v>13200044.826383833</c:v>
                </c:pt>
                <c:pt idx="4324">
                  <c:v>13202692.164997386</c:v>
                </c:pt>
                <c:pt idx="4325">
                  <c:v>13205339.503610937</c:v>
                </c:pt>
                <c:pt idx="4326">
                  <c:v>13207986.842224488</c:v>
                </c:pt>
                <c:pt idx="4327">
                  <c:v>13210634.180838039</c:v>
                </c:pt>
                <c:pt idx="4328">
                  <c:v>13213281.519451592</c:v>
                </c:pt>
                <c:pt idx="4329">
                  <c:v>13215928.858065143</c:v>
                </c:pt>
                <c:pt idx="4330">
                  <c:v>13218576.196678694</c:v>
                </c:pt>
                <c:pt idx="4331">
                  <c:v>13221223.535292247</c:v>
                </c:pt>
                <c:pt idx="4332">
                  <c:v>13223870.873905798</c:v>
                </c:pt>
                <c:pt idx="4333">
                  <c:v>13226518.21251935</c:v>
                </c:pt>
                <c:pt idx="4334">
                  <c:v>13229165.551132901</c:v>
                </c:pt>
                <c:pt idx="4335">
                  <c:v>13231812.889746454</c:v>
                </c:pt>
                <c:pt idx="4336">
                  <c:v>13234460.228360005</c:v>
                </c:pt>
                <c:pt idx="4337">
                  <c:v>13237107.566973556</c:v>
                </c:pt>
                <c:pt idx="4338">
                  <c:v>13239754.905587109</c:v>
                </c:pt>
                <c:pt idx="4339">
                  <c:v>13242402.24420066</c:v>
                </c:pt>
                <c:pt idx="4340">
                  <c:v>13245049.582814211</c:v>
                </c:pt>
                <c:pt idx="4341">
                  <c:v>13247696.921427764</c:v>
                </c:pt>
                <c:pt idx="4342">
                  <c:v>13250344.260041315</c:v>
                </c:pt>
                <c:pt idx="4343">
                  <c:v>13252991.598654866</c:v>
                </c:pt>
                <c:pt idx="4344">
                  <c:v>13255638.937268417</c:v>
                </c:pt>
                <c:pt idx="4345">
                  <c:v>13258286.27588197</c:v>
                </c:pt>
                <c:pt idx="4346">
                  <c:v>13260933.614495521</c:v>
                </c:pt>
                <c:pt idx="4347">
                  <c:v>13263580.953109073</c:v>
                </c:pt>
                <c:pt idx="4348">
                  <c:v>13266228.291722625</c:v>
                </c:pt>
                <c:pt idx="4349">
                  <c:v>13268875.630336177</c:v>
                </c:pt>
                <c:pt idx="4350">
                  <c:v>13271522.968949728</c:v>
                </c:pt>
                <c:pt idx="4351">
                  <c:v>13274170.307563281</c:v>
                </c:pt>
                <c:pt idx="4352">
                  <c:v>13276817.646176832</c:v>
                </c:pt>
                <c:pt idx="4353">
                  <c:v>13279464.984790383</c:v>
                </c:pt>
                <c:pt idx="4354">
                  <c:v>13282112.323403934</c:v>
                </c:pt>
                <c:pt idx="4355">
                  <c:v>13284759.662017487</c:v>
                </c:pt>
                <c:pt idx="4356">
                  <c:v>13287407.000631038</c:v>
                </c:pt>
                <c:pt idx="4357">
                  <c:v>13290054.339244589</c:v>
                </c:pt>
                <c:pt idx="4358">
                  <c:v>13292701.677858142</c:v>
                </c:pt>
                <c:pt idx="4359">
                  <c:v>13295349.016471693</c:v>
                </c:pt>
                <c:pt idx="4360">
                  <c:v>13297996.355085244</c:v>
                </c:pt>
                <c:pt idx="4361">
                  <c:v>13300643.693698796</c:v>
                </c:pt>
                <c:pt idx="4362">
                  <c:v>13303291.032312348</c:v>
                </c:pt>
                <c:pt idx="4363">
                  <c:v>13305938.3709259</c:v>
                </c:pt>
                <c:pt idx="4364">
                  <c:v>13308585.709539451</c:v>
                </c:pt>
                <c:pt idx="4365">
                  <c:v>13311233.048153004</c:v>
                </c:pt>
                <c:pt idx="4366">
                  <c:v>13313880.386766555</c:v>
                </c:pt>
                <c:pt idx="4367">
                  <c:v>13316527.725380106</c:v>
                </c:pt>
                <c:pt idx="4368">
                  <c:v>13319175.063993659</c:v>
                </c:pt>
                <c:pt idx="4369">
                  <c:v>13321822.40260721</c:v>
                </c:pt>
                <c:pt idx="4370">
                  <c:v>13324469.741220761</c:v>
                </c:pt>
                <c:pt idx="4371">
                  <c:v>13327117.079834312</c:v>
                </c:pt>
                <c:pt idx="4372">
                  <c:v>13329764.418447865</c:v>
                </c:pt>
                <c:pt idx="4373">
                  <c:v>13332411.757061416</c:v>
                </c:pt>
                <c:pt idx="4374">
                  <c:v>13335059.095674967</c:v>
                </c:pt>
                <c:pt idx="4375">
                  <c:v>13337706.43428852</c:v>
                </c:pt>
                <c:pt idx="4376">
                  <c:v>13340353.772902071</c:v>
                </c:pt>
                <c:pt idx="4377">
                  <c:v>13343001.111515623</c:v>
                </c:pt>
                <c:pt idx="4378">
                  <c:v>13345648.450129176</c:v>
                </c:pt>
                <c:pt idx="4379">
                  <c:v>13348295.788742727</c:v>
                </c:pt>
                <c:pt idx="4380">
                  <c:v>13350943.127356278</c:v>
                </c:pt>
                <c:pt idx="4381">
                  <c:v>13353590.465969829</c:v>
                </c:pt>
                <c:pt idx="4382">
                  <c:v>13356237.804583382</c:v>
                </c:pt>
                <c:pt idx="4383">
                  <c:v>13358885.143196933</c:v>
                </c:pt>
                <c:pt idx="4384">
                  <c:v>13361532.481810484</c:v>
                </c:pt>
                <c:pt idx="4385">
                  <c:v>13364179.820424037</c:v>
                </c:pt>
                <c:pt idx="4386">
                  <c:v>13366827.159037588</c:v>
                </c:pt>
                <c:pt idx="4387">
                  <c:v>13369474.497651139</c:v>
                </c:pt>
                <c:pt idx="4388">
                  <c:v>13372121.83626469</c:v>
                </c:pt>
                <c:pt idx="4389">
                  <c:v>13374769.174878243</c:v>
                </c:pt>
                <c:pt idx="4390">
                  <c:v>13377416.513491794</c:v>
                </c:pt>
                <c:pt idx="4391">
                  <c:v>13380063.852105346</c:v>
                </c:pt>
                <c:pt idx="4392">
                  <c:v>13382711.190718899</c:v>
                </c:pt>
                <c:pt idx="4393">
                  <c:v>13385358.52933245</c:v>
                </c:pt>
                <c:pt idx="4394">
                  <c:v>13388005.867946001</c:v>
                </c:pt>
                <c:pt idx="4395">
                  <c:v>13390653.206559554</c:v>
                </c:pt>
                <c:pt idx="4396">
                  <c:v>13393300.545173105</c:v>
                </c:pt>
                <c:pt idx="4397">
                  <c:v>13395947.883786656</c:v>
                </c:pt>
                <c:pt idx="4398">
                  <c:v>13398595.222400207</c:v>
                </c:pt>
                <c:pt idx="4399">
                  <c:v>13401242.56101376</c:v>
                </c:pt>
                <c:pt idx="4400">
                  <c:v>13403889.899627311</c:v>
                </c:pt>
                <c:pt idx="4401">
                  <c:v>13406537.238240862</c:v>
                </c:pt>
                <c:pt idx="4402">
                  <c:v>13409184.576854415</c:v>
                </c:pt>
                <c:pt idx="4403">
                  <c:v>13411831.915467966</c:v>
                </c:pt>
                <c:pt idx="4404">
                  <c:v>13414479.254081517</c:v>
                </c:pt>
                <c:pt idx="4405">
                  <c:v>13417126.59269507</c:v>
                </c:pt>
                <c:pt idx="4406">
                  <c:v>13419773.931308622</c:v>
                </c:pt>
                <c:pt idx="4407">
                  <c:v>13422421.269922173</c:v>
                </c:pt>
                <c:pt idx="4408">
                  <c:v>13425068.608535724</c:v>
                </c:pt>
                <c:pt idx="4409">
                  <c:v>13427715.947149277</c:v>
                </c:pt>
                <c:pt idx="4410">
                  <c:v>13430363.285762828</c:v>
                </c:pt>
                <c:pt idx="4411">
                  <c:v>13433010.624376379</c:v>
                </c:pt>
                <c:pt idx="4412">
                  <c:v>13435657.962989932</c:v>
                </c:pt>
                <c:pt idx="4413">
                  <c:v>13438305.301603483</c:v>
                </c:pt>
                <c:pt idx="4414">
                  <c:v>13440952.640217034</c:v>
                </c:pt>
                <c:pt idx="4415">
                  <c:v>13443599.978830585</c:v>
                </c:pt>
                <c:pt idx="4416">
                  <c:v>13446247.317444138</c:v>
                </c:pt>
                <c:pt idx="4417">
                  <c:v>13448894.656057689</c:v>
                </c:pt>
                <c:pt idx="4418">
                  <c:v>13451541.99467124</c:v>
                </c:pt>
                <c:pt idx="4419">
                  <c:v>13454189.333284793</c:v>
                </c:pt>
                <c:pt idx="4420">
                  <c:v>13456836.671898345</c:v>
                </c:pt>
                <c:pt idx="4421">
                  <c:v>13459484.010511896</c:v>
                </c:pt>
                <c:pt idx="4422">
                  <c:v>13462131.349125449</c:v>
                </c:pt>
                <c:pt idx="4423">
                  <c:v>13464778.687739</c:v>
                </c:pt>
                <c:pt idx="4424">
                  <c:v>13467426.026352551</c:v>
                </c:pt>
                <c:pt idx="4425">
                  <c:v>13470073.364966102</c:v>
                </c:pt>
                <c:pt idx="4426">
                  <c:v>13472720.703579655</c:v>
                </c:pt>
                <c:pt idx="4427">
                  <c:v>13475368.042193206</c:v>
                </c:pt>
                <c:pt idx="4428">
                  <c:v>13478015.380806757</c:v>
                </c:pt>
                <c:pt idx="4429">
                  <c:v>13480662.71942031</c:v>
                </c:pt>
                <c:pt idx="4430">
                  <c:v>13483310.058033861</c:v>
                </c:pt>
                <c:pt idx="4431">
                  <c:v>13485957.396647412</c:v>
                </c:pt>
                <c:pt idx="4432">
                  <c:v>13488604.735260965</c:v>
                </c:pt>
                <c:pt idx="4433">
                  <c:v>13491252.073874516</c:v>
                </c:pt>
                <c:pt idx="4434">
                  <c:v>13493899.412488068</c:v>
                </c:pt>
                <c:pt idx="4435">
                  <c:v>13496546.751101619</c:v>
                </c:pt>
                <c:pt idx="4436">
                  <c:v>13499194.089715172</c:v>
                </c:pt>
                <c:pt idx="4437">
                  <c:v>13501841.428328723</c:v>
                </c:pt>
                <c:pt idx="4438">
                  <c:v>13504488.766942274</c:v>
                </c:pt>
                <c:pt idx="4439">
                  <c:v>13507136.105555827</c:v>
                </c:pt>
                <c:pt idx="4440">
                  <c:v>13509783.444169378</c:v>
                </c:pt>
                <c:pt idx="4441">
                  <c:v>13512430.782782929</c:v>
                </c:pt>
                <c:pt idx="4442">
                  <c:v>13515078.12139648</c:v>
                </c:pt>
                <c:pt idx="4443">
                  <c:v>13517725.460010033</c:v>
                </c:pt>
                <c:pt idx="4444">
                  <c:v>13520372.798623584</c:v>
                </c:pt>
                <c:pt idx="4445">
                  <c:v>13523020.137237135</c:v>
                </c:pt>
                <c:pt idx="4446">
                  <c:v>13525667.475850688</c:v>
                </c:pt>
                <c:pt idx="4447">
                  <c:v>13528314.814464239</c:v>
                </c:pt>
                <c:pt idx="4448">
                  <c:v>13530962.153077791</c:v>
                </c:pt>
                <c:pt idx="4449">
                  <c:v>13533609.491691343</c:v>
                </c:pt>
                <c:pt idx="4450">
                  <c:v>13536256.830304895</c:v>
                </c:pt>
                <c:pt idx="4451">
                  <c:v>13538904.168918446</c:v>
                </c:pt>
                <c:pt idx="4452">
                  <c:v>13541551.507531997</c:v>
                </c:pt>
                <c:pt idx="4453">
                  <c:v>13544198.84614555</c:v>
                </c:pt>
                <c:pt idx="4454">
                  <c:v>13546846.184759101</c:v>
                </c:pt>
                <c:pt idx="4455">
                  <c:v>13549493.523372652</c:v>
                </c:pt>
                <c:pt idx="4456">
                  <c:v>13552140.861986205</c:v>
                </c:pt>
                <c:pt idx="4457">
                  <c:v>13554788.200599756</c:v>
                </c:pt>
                <c:pt idx="4458">
                  <c:v>13557435.539213307</c:v>
                </c:pt>
                <c:pt idx="4459">
                  <c:v>13560082.877826858</c:v>
                </c:pt>
                <c:pt idx="4460">
                  <c:v>13562730.216440411</c:v>
                </c:pt>
                <c:pt idx="4461">
                  <c:v>13565377.555053962</c:v>
                </c:pt>
                <c:pt idx="4462">
                  <c:v>13568024.893667514</c:v>
                </c:pt>
                <c:pt idx="4463">
                  <c:v>13570672.232281066</c:v>
                </c:pt>
                <c:pt idx="4464">
                  <c:v>13573319.570894618</c:v>
                </c:pt>
                <c:pt idx="4465">
                  <c:v>13575966.909508169</c:v>
                </c:pt>
                <c:pt idx="4466">
                  <c:v>13578614.248121722</c:v>
                </c:pt>
                <c:pt idx="4467">
                  <c:v>13581261.586735273</c:v>
                </c:pt>
                <c:pt idx="4468">
                  <c:v>13583908.925348824</c:v>
                </c:pt>
                <c:pt idx="4469">
                  <c:v>13586556.263962375</c:v>
                </c:pt>
                <c:pt idx="4470">
                  <c:v>13589203.602575928</c:v>
                </c:pt>
                <c:pt idx="4471">
                  <c:v>13591850.941189479</c:v>
                </c:pt>
                <c:pt idx="4472">
                  <c:v>13594498.27980303</c:v>
                </c:pt>
                <c:pt idx="4473">
                  <c:v>13597145.618416583</c:v>
                </c:pt>
                <c:pt idx="4474">
                  <c:v>13599792.957030134</c:v>
                </c:pt>
                <c:pt idx="4475">
                  <c:v>13602440.295643685</c:v>
                </c:pt>
                <c:pt idx="4476">
                  <c:v>13605087.634257238</c:v>
                </c:pt>
                <c:pt idx="4477">
                  <c:v>13607734.972870789</c:v>
                </c:pt>
                <c:pt idx="4478">
                  <c:v>13610382.311484341</c:v>
                </c:pt>
                <c:pt idx="4479">
                  <c:v>13613029.650097892</c:v>
                </c:pt>
                <c:pt idx="4480">
                  <c:v>13615676.988711445</c:v>
                </c:pt>
                <c:pt idx="4481">
                  <c:v>13618324.327324996</c:v>
                </c:pt>
                <c:pt idx="4482">
                  <c:v>13620971.665938547</c:v>
                </c:pt>
                <c:pt idx="4483">
                  <c:v>13623619.0045521</c:v>
                </c:pt>
                <c:pt idx="4484">
                  <c:v>13626266.343165651</c:v>
                </c:pt>
                <c:pt idx="4485">
                  <c:v>13628913.681779202</c:v>
                </c:pt>
                <c:pt idx="4486">
                  <c:v>13631561.020392753</c:v>
                </c:pt>
                <c:pt idx="4487">
                  <c:v>13634208.359006306</c:v>
                </c:pt>
                <c:pt idx="4488">
                  <c:v>13636855.697619857</c:v>
                </c:pt>
                <c:pt idx="4489">
                  <c:v>13639503.036233408</c:v>
                </c:pt>
                <c:pt idx="4490">
                  <c:v>13642150.374846961</c:v>
                </c:pt>
                <c:pt idx="4491">
                  <c:v>13644797.713460512</c:v>
                </c:pt>
                <c:pt idx="4492">
                  <c:v>13647445.052074064</c:v>
                </c:pt>
                <c:pt idx="4493">
                  <c:v>13650092.390687617</c:v>
                </c:pt>
                <c:pt idx="4494">
                  <c:v>13652739.729301168</c:v>
                </c:pt>
                <c:pt idx="4495">
                  <c:v>13655387.067914719</c:v>
                </c:pt>
                <c:pt idx="4496">
                  <c:v>13658034.40652827</c:v>
                </c:pt>
                <c:pt idx="4497">
                  <c:v>13660681.745141823</c:v>
                </c:pt>
                <c:pt idx="4498">
                  <c:v>13663329.083755374</c:v>
                </c:pt>
                <c:pt idx="4499">
                  <c:v>13665976.422368925</c:v>
                </c:pt>
                <c:pt idx="4500">
                  <c:v>13668623.760982478</c:v>
                </c:pt>
                <c:pt idx="4501">
                  <c:v>13671271.099596029</c:v>
                </c:pt>
                <c:pt idx="4502">
                  <c:v>13673918.43820958</c:v>
                </c:pt>
                <c:pt idx="4503">
                  <c:v>13676565.776823133</c:v>
                </c:pt>
                <c:pt idx="4504">
                  <c:v>13679213.115436684</c:v>
                </c:pt>
                <c:pt idx="4505">
                  <c:v>13681860.454050235</c:v>
                </c:pt>
                <c:pt idx="4506">
                  <c:v>13684507.792663787</c:v>
                </c:pt>
                <c:pt idx="4507">
                  <c:v>13687155.13127734</c:v>
                </c:pt>
                <c:pt idx="4508">
                  <c:v>13689802.469890891</c:v>
                </c:pt>
                <c:pt idx="4509">
                  <c:v>13692449.808504442</c:v>
                </c:pt>
                <c:pt idx="4510">
                  <c:v>13695097.147117995</c:v>
                </c:pt>
                <c:pt idx="4511">
                  <c:v>13697744.485731546</c:v>
                </c:pt>
                <c:pt idx="4512">
                  <c:v>13700391.824345097</c:v>
                </c:pt>
                <c:pt idx="4513">
                  <c:v>13703039.162958648</c:v>
                </c:pt>
                <c:pt idx="4514">
                  <c:v>13705686.501572201</c:v>
                </c:pt>
                <c:pt idx="4515">
                  <c:v>13708333.840185752</c:v>
                </c:pt>
                <c:pt idx="4516">
                  <c:v>13710981.178799303</c:v>
                </c:pt>
                <c:pt idx="4517">
                  <c:v>13713628.517412856</c:v>
                </c:pt>
                <c:pt idx="4518">
                  <c:v>13716275.856026407</c:v>
                </c:pt>
                <c:pt idx="4519">
                  <c:v>13718923.194639958</c:v>
                </c:pt>
                <c:pt idx="4520">
                  <c:v>13721570.533253511</c:v>
                </c:pt>
                <c:pt idx="4521">
                  <c:v>13724217.871867063</c:v>
                </c:pt>
                <c:pt idx="4522">
                  <c:v>13726865.210480614</c:v>
                </c:pt>
                <c:pt idx="4523">
                  <c:v>13729512.549094165</c:v>
                </c:pt>
                <c:pt idx="4524">
                  <c:v>13732159.887707718</c:v>
                </c:pt>
                <c:pt idx="4525">
                  <c:v>13734807.226321269</c:v>
                </c:pt>
                <c:pt idx="4526">
                  <c:v>13737454.56493482</c:v>
                </c:pt>
                <c:pt idx="4527">
                  <c:v>13740101.903548373</c:v>
                </c:pt>
                <c:pt idx="4528">
                  <c:v>13742749.242161924</c:v>
                </c:pt>
                <c:pt idx="4529">
                  <c:v>13745396.580775475</c:v>
                </c:pt>
                <c:pt idx="4530">
                  <c:v>13748043.919389028</c:v>
                </c:pt>
                <c:pt idx="4531">
                  <c:v>13750691.258002579</c:v>
                </c:pt>
                <c:pt idx="4532">
                  <c:v>13753338.59661613</c:v>
                </c:pt>
                <c:pt idx="4533">
                  <c:v>13755985.935229681</c:v>
                </c:pt>
                <c:pt idx="4534">
                  <c:v>13758633.273843234</c:v>
                </c:pt>
                <c:pt idx="4535">
                  <c:v>13761280.612456786</c:v>
                </c:pt>
                <c:pt idx="4536">
                  <c:v>13763927.951070337</c:v>
                </c:pt>
                <c:pt idx="4537">
                  <c:v>13766575.28968389</c:v>
                </c:pt>
                <c:pt idx="4538">
                  <c:v>13769222.628297441</c:v>
                </c:pt>
                <c:pt idx="4539">
                  <c:v>13771869.966910992</c:v>
                </c:pt>
                <c:pt idx="4540">
                  <c:v>13774517.305524543</c:v>
                </c:pt>
                <c:pt idx="4541">
                  <c:v>13777164.644138096</c:v>
                </c:pt>
                <c:pt idx="4542">
                  <c:v>13779811.982751647</c:v>
                </c:pt>
                <c:pt idx="4543">
                  <c:v>13782459.321365198</c:v>
                </c:pt>
                <c:pt idx="4544">
                  <c:v>13785106.659978751</c:v>
                </c:pt>
                <c:pt idx="4545">
                  <c:v>13787753.998592302</c:v>
                </c:pt>
                <c:pt idx="4546">
                  <c:v>13790401.337205853</c:v>
                </c:pt>
                <c:pt idx="4547">
                  <c:v>13793048.675819406</c:v>
                </c:pt>
                <c:pt idx="4548">
                  <c:v>13795696.014432957</c:v>
                </c:pt>
                <c:pt idx="4549">
                  <c:v>13798343.353046509</c:v>
                </c:pt>
                <c:pt idx="4550">
                  <c:v>13800990.69166006</c:v>
                </c:pt>
                <c:pt idx="4551">
                  <c:v>13803638.030273613</c:v>
                </c:pt>
                <c:pt idx="4552">
                  <c:v>13806285.368887164</c:v>
                </c:pt>
                <c:pt idx="4553">
                  <c:v>13808932.707500715</c:v>
                </c:pt>
                <c:pt idx="4554">
                  <c:v>13811580.046114268</c:v>
                </c:pt>
                <c:pt idx="4555">
                  <c:v>13814227.384727819</c:v>
                </c:pt>
                <c:pt idx="4556">
                  <c:v>13816874.72334137</c:v>
                </c:pt>
                <c:pt idx="4557">
                  <c:v>13819522.061954923</c:v>
                </c:pt>
                <c:pt idx="4558">
                  <c:v>13822169.400568474</c:v>
                </c:pt>
                <c:pt idx="4559">
                  <c:v>13824816.739182025</c:v>
                </c:pt>
                <c:pt idx="4560">
                  <c:v>13827464.077795576</c:v>
                </c:pt>
                <c:pt idx="4561">
                  <c:v>13830111.416409129</c:v>
                </c:pt>
                <c:pt idx="4562">
                  <c:v>13832758.75502268</c:v>
                </c:pt>
                <c:pt idx="4563">
                  <c:v>13835406.093636231</c:v>
                </c:pt>
                <c:pt idx="4564">
                  <c:v>13838053.432249784</c:v>
                </c:pt>
                <c:pt idx="4565">
                  <c:v>13840700.770863336</c:v>
                </c:pt>
                <c:pt idx="4566">
                  <c:v>13843348.109476887</c:v>
                </c:pt>
                <c:pt idx="4567">
                  <c:v>13845995.448090438</c:v>
                </c:pt>
                <c:pt idx="4568">
                  <c:v>13848642.786703991</c:v>
                </c:pt>
                <c:pt idx="4569">
                  <c:v>13851290.125317542</c:v>
                </c:pt>
                <c:pt idx="4570">
                  <c:v>13853937.463931093</c:v>
                </c:pt>
                <c:pt idx="4571">
                  <c:v>13856584.802544646</c:v>
                </c:pt>
                <c:pt idx="4572">
                  <c:v>13859232.141158197</c:v>
                </c:pt>
                <c:pt idx="4573">
                  <c:v>13861879.479771748</c:v>
                </c:pt>
                <c:pt idx="4574">
                  <c:v>13864526.818385301</c:v>
                </c:pt>
                <c:pt idx="4575">
                  <c:v>13867174.156998852</c:v>
                </c:pt>
                <c:pt idx="4576">
                  <c:v>13869821.495612403</c:v>
                </c:pt>
                <c:pt idx="4577">
                  <c:v>13872468.834225954</c:v>
                </c:pt>
                <c:pt idx="4578">
                  <c:v>13875116.172839507</c:v>
                </c:pt>
                <c:pt idx="4579">
                  <c:v>13877763.511453059</c:v>
                </c:pt>
                <c:pt idx="4580">
                  <c:v>13880410.85006661</c:v>
                </c:pt>
                <c:pt idx="4581">
                  <c:v>13883058.188680163</c:v>
                </c:pt>
                <c:pt idx="4582">
                  <c:v>13885705.527293714</c:v>
                </c:pt>
                <c:pt idx="4583">
                  <c:v>13888352.865907265</c:v>
                </c:pt>
                <c:pt idx="4584">
                  <c:v>13891000.204520818</c:v>
                </c:pt>
                <c:pt idx="4585">
                  <c:v>13893647.543134369</c:v>
                </c:pt>
                <c:pt idx="4586">
                  <c:v>13896294.88174792</c:v>
                </c:pt>
                <c:pt idx="4587">
                  <c:v>13898942.220361471</c:v>
                </c:pt>
                <c:pt idx="4588">
                  <c:v>13901589.558975024</c:v>
                </c:pt>
                <c:pt idx="4589">
                  <c:v>13904236.897588575</c:v>
                </c:pt>
                <c:pt idx="4590">
                  <c:v>13906884.236202126</c:v>
                </c:pt>
                <c:pt idx="4591">
                  <c:v>13909531.574815679</c:v>
                </c:pt>
                <c:pt idx="4592">
                  <c:v>13912178.91342923</c:v>
                </c:pt>
                <c:pt idx="4593">
                  <c:v>13914826.252042782</c:v>
                </c:pt>
                <c:pt idx="4594">
                  <c:v>13917473.590656333</c:v>
                </c:pt>
                <c:pt idx="4595">
                  <c:v>13920120.929269886</c:v>
                </c:pt>
                <c:pt idx="4596">
                  <c:v>13922768.267883437</c:v>
                </c:pt>
                <c:pt idx="4597">
                  <c:v>13925415.606496988</c:v>
                </c:pt>
                <c:pt idx="4598">
                  <c:v>13928062.945110541</c:v>
                </c:pt>
                <c:pt idx="4599">
                  <c:v>13930710.283724092</c:v>
                </c:pt>
                <c:pt idx="4600">
                  <c:v>13933357.622337643</c:v>
                </c:pt>
                <c:pt idx="4601">
                  <c:v>13936004.960951196</c:v>
                </c:pt>
                <c:pt idx="4602">
                  <c:v>13938652.299564747</c:v>
                </c:pt>
                <c:pt idx="4603">
                  <c:v>13941299.638178298</c:v>
                </c:pt>
                <c:pt idx="4604">
                  <c:v>13943946.976791849</c:v>
                </c:pt>
                <c:pt idx="4605">
                  <c:v>13946594.315405402</c:v>
                </c:pt>
                <c:pt idx="4606">
                  <c:v>13949241.654018953</c:v>
                </c:pt>
                <c:pt idx="4607">
                  <c:v>13951888.992632505</c:v>
                </c:pt>
                <c:pt idx="4608">
                  <c:v>13954536.331246058</c:v>
                </c:pt>
                <c:pt idx="4609">
                  <c:v>13957183.669859609</c:v>
                </c:pt>
                <c:pt idx="4610">
                  <c:v>13959831.00847316</c:v>
                </c:pt>
                <c:pt idx="4611">
                  <c:v>13962478.347086713</c:v>
                </c:pt>
                <c:pt idx="4612">
                  <c:v>13965125.685700264</c:v>
                </c:pt>
                <c:pt idx="4613">
                  <c:v>13967773.024313815</c:v>
                </c:pt>
                <c:pt idx="4614">
                  <c:v>13970420.362927366</c:v>
                </c:pt>
                <c:pt idx="4615">
                  <c:v>13973067.701540919</c:v>
                </c:pt>
                <c:pt idx="4616">
                  <c:v>13975715.04015447</c:v>
                </c:pt>
                <c:pt idx="4617">
                  <c:v>13978362.378768021</c:v>
                </c:pt>
                <c:pt idx="4618">
                  <c:v>13981009.717381574</c:v>
                </c:pt>
                <c:pt idx="4619">
                  <c:v>13983657.055995125</c:v>
                </c:pt>
                <c:pt idx="4620">
                  <c:v>13986304.394608676</c:v>
                </c:pt>
                <c:pt idx="4621">
                  <c:v>13988951.733222228</c:v>
                </c:pt>
                <c:pt idx="4622">
                  <c:v>13991599.071835781</c:v>
                </c:pt>
                <c:pt idx="4623">
                  <c:v>13994246.410449332</c:v>
                </c:pt>
                <c:pt idx="4624">
                  <c:v>13996893.749062883</c:v>
                </c:pt>
                <c:pt idx="4625">
                  <c:v>13999541.087676436</c:v>
                </c:pt>
                <c:pt idx="4626">
                  <c:v>14002188.426289987</c:v>
                </c:pt>
                <c:pt idx="4627">
                  <c:v>14004835.764903538</c:v>
                </c:pt>
                <c:pt idx="4628">
                  <c:v>14007483.103517091</c:v>
                </c:pt>
                <c:pt idx="4629">
                  <c:v>14010130.442130642</c:v>
                </c:pt>
                <c:pt idx="4630">
                  <c:v>14012777.780744193</c:v>
                </c:pt>
                <c:pt idx="4631">
                  <c:v>14015425.119357744</c:v>
                </c:pt>
                <c:pt idx="4632">
                  <c:v>14018072.457971297</c:v>
                </c:pt>
                <c:pt idx="4633">
                  <c:v>14020719.796584848</c:v>
                </c:pt>
                <c:pt idx="4634">
                  <c:v>14023367.135198399</c:v>
                </c:pt>
                <c:pt idx="4635">
                  <c:v>14026014.473811952</c:v>
                </c:pt>
                <c:pt idx="4636">
                  <c:v>14028661.812425504</c:v>
                </c:pt>
                <c:pt idx="4637">
                  <c:v>14031309.151039055</c:v>
                </c:pt>
                <c:pt idx="4638">
                  <c:v>14033956.489652608</c:v>
                </c:pt>
                <c:pt idx="4639">
                  <c:v>14036603.828266159</c:v>
                </c:pt>
                <c:pt idx="4640">
                  <c:v>14039251.16687971</c:v>
                </c:pt>
                <c:pt idx="4641">
                  <c:v>14041898.505493261</c:v>
                </c:pt>
                <c:pt idx="4642">
                  <c:v>14044545.844106814</c:v>
                </c:pt>
                <c:pt idx="4643">
                  <c:v>14047193.182720365</c:v>
                </c:pt>
                <c:pt idx="4644">
                  <c:v>14049840.521333916</c:v>
                </c:pt>
                <c:pt idx="4645">
                  <c:v>14052487.859947469</c:v>
                </c:pt>
                <c:pt idx="4646">
                  <c:v>14055135.19856102</c:v>
                </c:pt>
                <c:pt idx="4647">
                  <c:v>14057782.537174571</c:v>
                </c:pt>
                <c:pt idx="4648">
                  <c:v>14060429.875788122</c:v>
                </c:pt>
                <c:pt idx="4649">
                  <c:v>14063077.214401675</c:v>
                </c:pt>
                <c:pt idx="4650">
                  <c:v>14065724.553015226</c:v>
                </c:pt>
                <c:pt idx="4651">
                  <c:v>14068371.891628778</c:v>
                </c:pt>
                <c:pt idx="4652">
                  <c:v>14071019.230242331</c:v>
                </c:pt>
                <c:pt idx="4653">
                  <c:v>14073666.568855882</c:v>
                </c:pt>
                <c:pt idx="4654">
                  <c:v>14076313.907469433</c:v>
                </c:pt>
                <c:pt idx="4655">
                  <c:v>14078961.246082986</c:v>
                </c:pt>
                <c:pt idx="4656">
                  <c:v>14081608.584696537</c:v>
                </c:pt>
                <c:pt idx="4657">
                  <c:v>14084255.923310088</c:v>
                </c:pt>
                <c:pt idx="4658">
                  <c:v>14086903.261923639</c:v>
                </c:pt>
                <c:pt idx="4659">
                  <c:v>14089550.600537192</c:v>
                </c:pt>
                <c:pt idx="4660">
                  <c:v>14092197.939150743</c:v>
                </c:pt>
                <c:pt idx="4661">
                  <c:v>14094845.277764294</c:v>
                </c:pt>
                <c:pt idx="4662">
                  <c:v>14097492.616377847</c:v>
                </c:pt>
                <c:pt idx="4663">
                  <c:v>14100139.954991398</c:v>
                </c:pt>
                <c:pt idx="4664">
                  <c:v>14102787.293604949</c:v>
                </c:pt>
                <c:pt idx="4665">
                  <c:v>14105434.632218502</c:v>
                </c:pt>
                <c:pt idx="4666">
                  <c:v>14108081.970832054</c:v>
                </c:pt>
                <c:pt idx="4667">
                  <c:v>14110729.309445605</c:v>
                </c:pt>
                <c:pt idx="4668">
                  <c:v>14113376.648059156</c:v>
                </c:pt>
                <c:pt idx="4669">
                  <c:v>14116023.986672709</c:v>
                </c:pt>
                <c:pt idx="4670">
                  <c:v>14118671.32528626</c:v>
                </c:pt>
                <c:pt idx="4671">
                  <c:v>14121318.663899811</c:v>
                </c:pt>
                <c:pt idx="4672">
                  <c:v>14123966.002513364</c:v>
                </c:pt>
                <c:pt idx="4673">
                  <c:v>14126613.341126915</c:v>
                </c:pt>
                <c:pt idx="4674">
                  <c:v>14129260.679740466</c:v>
                </c:pt>
                <c:pt idx="4675">
                  <c:v>14131908.018354017</c:v>
                </c:pt>
                <c:pt idx="4676">
                  <c:v>14134555.35696757</c:v>
                </c:pt>
                <c:pt idx="4677">
                  <c:v>14137202.695581121</c:v>
                </c:pt>
                <c:pt idx="4678">
                  <c:v>14139850.034194672</c:v>
                </c:pt>
                <c:pt idx="4679">
                  <c:v>14142497.372808225</c:v>
                </c:pt>
                <c:pt idx="4680">
                  <c:v>14145144.711421777</c:v>
                </c:pt>
                <c:pt idx="4681">
                  <c:v>14147792.050035328</c:v>
                </c:pt>
                <c:pt idx="4682">
                  <c:v>14150439.388648881</c:v>
                </c:pt>
                <c:pt idx="4683">
                  <c:v>14153086.727262432</c:v>
                </c:pt>
                <c:pt idx="4684">
                  <c:v>14155734.065875983</c:v>
                </c:pt>
                <c:pt idx="4685">
                  <c:v>14158381.404489534</c:v>
                </c:pt>
                <c:pt idx="4686">
                  <c:v>14161028.743103087</c:v>
                </c:pt>
                <c:pt idx="4687">
                  <c:v>14163676.081716638</c:v>
                </c:pt>
                <c:pt idx="4688">
                  <c:v>14166323.420330189</c:v>
                </c:pt>
                <c:pt idx="4689">
                  <c:v>14168970.758943742</c:v>
                </c:pt>
                <c:pt idx="4690">
                  <c:v>14171618.097557293</c:v>
                </c:pt>
                <c:pt idx="4691">
                  <c:v>14174265.436170844</c:v>
                </c:pt>
                <c:pt idx="4692">
                  <c:v>14176912.774784397</c:v>
                </c:pt>
                <c:pt idx="4693">
                  <c:v>14179560.113397948</c:v>
                </c:pt>
                <c:pt idx="4694">
                  <c:v>14182207.4520115</c:v>
                </c:pt>
                <c:pt idx="4695">
                  <c:v>14184854.790625051</c:v>
                </c:pt>
                <c:pt idx="4696">
                  <c:v>14187502.129238604</c:v>
                </c:pt>
                <c:pt idx="4697">
                  <c:v>14190149.467852155</c:v>
                </c:pt>
                <c:pt idx="4698">
                  <c:v>14192796.806465706</c:v>
                </c:pt>
                <c:pt idx="4699">
                  <c:v>14195444.145079259</c:v>
                </c:pt>
                <c:pt idx="4700">
                  <c:v>14198091.48369281</c:v>
                </c:pt>
                <c:pt idx="4701">
                  <c:v>14200738.822306361</c:v>
                </c:pt>
                <c:pt idx="4702">
                  <c:v>14203386.160919912</c:v>
                </c:pt>
                <c:pt idx="4703">
                  <c:v>14206033.499533465</c:v>
                </c:pt>
                <c:pt idx="4704">
                  <c:v>14208680.838147016</c:v>
                </c:pt>
                <c:pt idx="4705">
                  <c:v>14211328.176760567</c:v>
                </c:pt>
                <c:pt idx="4706">
                  <c:v>14213975.51537412</c:v>
                </c:pt>
                <c:pt idx="4707">
                  <c:v>14216622.853987671</c:v>
                </c:pt>
                <c:pt idx="4708">
                  <c:v>14219270.192601223</c:v>
                </c:pt>
                <c:pt idx="4709">
                  <c:v>14221917.531214776</c:v>
                </c:pt>
                <c:pt idx="4710">
                  <c:v>14224564.869828327</c:v>
                </c:pt>
                <c:pt idx="4711">
                  <c:v>14227212.208441878</c:v>
                </c:pt>
                <c:pt idx="4712">
                  <c:v>14229859.547055429</c:v>
                </c:pt>
                <c:pt idx="4713">
                  <c:v>14232506.885668982</c:v>
                </c:pt>
                <c:pt idx="4714">
                  <c:v>14235154.224282533</c:v>
                </c:pt>
                <c:pt idx="4715">
                  <c:v>14237801.562896084</c:v>
                </c:pt>
                <c:pt idx="4716">
                  <c:v>14240448.901509637</c:v>
                </c:pt>
                <c:pt idx="4717">
                  <c:v>14243096.240123188</c:v>
                </c:pt>
                <c:pt idx="4718">
                  <c:v>14245743.578736739</c:v>
                </c:pt>
                <c:pt idx="4719">
                  <c:v>14248390.91735029</c:v>
                </c:pt>
                <c:pt idx="4720">
                  <c:v>14251038.255963843</c:v>
                </c:pt>
                <c:pt idx="4721">
                  <c:v>14253685.594577394</c:v>
                </c:pt>
                <c:pt idx="4722">
                  <c:v>14256332.933190946</c:v>
                </c:pt>
                <c:pt idx="4723">
                  <c:v>14258980.271804499</c:v>
                </c:pt>
                <c:pt idx="4724">
                  <c:v>14261627.61041805</c:v>
                </c:pt>
                <c:pt idx="4725">
                  <c:v>14264274.949031601</c:v>
                </c:pt>
                <c:pt idx="4726">
                  <c:v>14266922.287645154</c:v>
                </c:pt>
                <c:pt idx="4727">
                  <c:v>14269569.626258705</c:v>
                </c:pt>
                <c:pt idx="4728">
                  <c:v>14272216.964872256</c:v>
                </c:pt>
                <c:pt idx="4729">
                  <c:v>14274864.303485807</c:v>
                </c:pt>
                <c:pt idx="4730">
                  <c:v>14277511.64209936</c:v>
                </c:pt>
                <c:pt idx="4731">
                  <c:v>14280158.980712911</c:v>
                </c:pt>
                <c:pt idx="4732">
                  <c:v>14282806.319326462</c:v>
                </c:pt>
                <c:pt idx="4733">
                  <c:v>14285453.657940015</c:v>
                </c:pt>
                <c:pt idx="4734">
                  <c:v>14288100.996553566</c:v>
                </c:pt>
                <c:pt idx="4735">
                  <c:v>14290748.335167117</c:v>
                </c:pt>
                <c:pt idx="4736">
                  <c:v>14293395.67378067</c:v>
                </c:pt>
                <c:pt idx="4737">
                  <c:v>14296043.012394221</c:v>
                </c:pt>
                <c:pt idx="4738">
                  <c:v>14298690.351007773</c:v>
                </c:pt>
                <c:pt idx="4739">
                  <c:v>14301337.689621324</c:v>
                </c:pt>
                <c:pt idx="4740">
                  <c:v>14303985.028234877</c:v>
                </c:pt>
                <c:pt idx="4741">
                  <c:v>14306632.366848428</c:v>
                </c:pt>
                <c:pt idx="4742">
                  <c:v>14309279.705461979</c:v>
                </c:pt>
                <c:pt idx="4743">
                  <c:v>14311927.044075532</c:v>
                </c:pt>
                <c:pt idx="4744">
                  <c:v>14314574.382689083</c:v>
                </c:pt>
                <c:pt idx="4745">
                  <c:v>14317221.721302634</c:v>
                </c:pt>
                <c:pt idx="4746">
                  <c:v>14319869.059916185</c:v>
                </c:pt>
                <c:pt idx="4747">
                  <c:v>14322516.398529738</c:v>
                </c:pt>
                <c:pt idx="4748">
                  <c:v>14325163.737143289</c:v>
                </c:pt>
                <c:pt idx="4749">
                  <c:v>14327811.07575684</c:v>
                </c:pt>
                <c:pt idx="4750">
                  <c:v>14330458.414370393</c:v>
                </c:pt>
                <c:pt idx="4751">
                  <c:v>14333105.752983944</c:v>
                </c:pt>
                <c:pt idx="4752">
                  <c:v>14335753.091597496</c:v>
                </c:pt>
                <c:pt idx="4753">
                  <c:v>14338400.430211049</c:v>
                </c:pt>
                <c:pt idx="4754">
                  <c:v>14341047.7688246</c:v>
                </c:pt>
                <c:pt idx="4755">
                  <c:v>14343695.107438151</c:v>
                </c:pt>
                <c:pt idx="4756">
                  <c:v>14346342.446051702</c:v>
                </c:pt>
                <c:pt idx="4757">
                  <c:v>14348989.784665255</c:v>
                </c:pt>
                <c:pt idx="4758">
                  <c:v>14351637.123278806</c:v>
                </c:pt>
                <c:pt idx="4759">
                  <c:v>14354284.461892357</c:v>
                </c:pt>
                <c:pt idx="4760">
                  <c:v>14356931.80050591</c:v>
                </c:pt>
                <c:pt idx="4761">
                  <c:v>14359579.139119461</c:v>
                </c:pt>
                <c:pt idx="4762">
                  <c:v>14362226.477733012</c:v>
                </c:pt>
                <c:pt idx="4763">
                  <c:v>14364873.816346565</c:v>
                </c:pt>
                <c:pt idx="4764">
                  <c:v>14367521.154960116</c:v>
                </c:pt>
                <c:pt idx="4765">
                  <c:v>14370168.493573667</c:v>
                </c:pt>
                <c:pt idx="4766">
                  <c:v>14372815.832187219</c:v>
                </c:pt>
                <c:pt idx="4767">
                  <c:v>14375463.170800772</c:v>
                </c:pt>
                <c:pt idx="4768">
                  <c:v>14378110.509414323</c:v>
                </c:pt>
                <c:pt idx="4769">
                  <c:v>14380757.848027874</c:v>
                </c:pt>
                <c:pt idx="4770">
                  <c:v>14383405.186641427</c:v>
                </c:pt>
                <c:pt idx="4771">
                  <c:v>14386052.525254978</c:v>
                </c:pt>
                <c:pt idx="4772">
                  <c:v>14388699.863868529</c:v>
                </c:pt>
                <c:pt idx="4773">
                  <c:v>14391347.20248208</c:v>
                </c:pt>
                <c:pt idx="4774">
                  <c:v>14393994.541095633</c:v>
                </c:pt>
                <c:pt idx="4775">
                  <c:v>14396641.879709184</c:v>
                </c:pt>
                <c:pt idx="4776">
                  <c:v>14399289.218322735</c:v>
                </c:pt>
                <c:pt idx="4777">
                  <c:v>14401936.556936288</c:v>
                </c:pt>
                <c:pt idx="4778">
                  <c:v>14404583.895549839</c:v>
                </c:pt>
                <c:pt idx="4779">
                  <c:v>14407231.23416339</c:v>
                </c:pt>
                <c:pt idx="4780">
                  <c:v>14409878.572776943</c:v>
                </c:pt>
                <c:pt idx="4781">
                  <c:v>14412525.911390495</c:v>
                </c:pt>
                <c:pt idx="4782">
                  <c:v>14415173.250004046</c:v>
                </c:pt>
                <c:pt idx="4783">
                  <c:v>14417820.588617597</c:v>
                </c:pt>
                <c:pt idx="4784">
                  <c:v>14420467.92723115</c:v>
                </c:pt>
                <c:pt idx="4785">
                  <c:v>14423115.265844701</c:v>
                </c:pt>
                <c:pt idx="4786">
                  <c:v>14425762.604458252</c:v>
                </c:pt>
                <c:pt idx="4787">
                  <c:v>14428409.943071805</c:v>
                </c:pt>
                <c:pt idx="4788">
                  <c:v>14431057.281685356</c:v>
                </c:pt>
                <c:pt idx="4789">
                  <c:v>14433704.620298907</c:v>
                </c:pt>
                <c:pt idx="4790">
                  <c:v>14436351.95891246</c:v>
                </c:pt>
                <c:pt idx="4791">
                  <c:v>14438999.297526011</c:v>
                </c:pt>
                <c:pt idx="4792">
                  <c:v>14441646.636139562</c:v>
                </c:pt>
                <c:pt idx="4793">
                  <c:v>14444293.974753113</c:v>
                </c:pt>
                <c:pt idx="4794">
                  <c:v>14446941.313366666</c:v>
                </c:pt>
                <c:pt idx="4795">
                  <c:v>14449588.651980218</c:v>
                </c:pt>
                <c:pt idx="4796">
                  <c:v>14452235.990593769</c:v>
                </c:pt>
                <c:pt idx="4797">
                  <c:v>14454883.329207322</c:v>
                </c:pt>
                <c:pt idx="4798">
                  <c:v>14457530.667820873</c:v>
                </c:pt>
                <c:pt idx="4799">
                  <c:v>14460178.006434424</c:v>
                </c:pt>
                <c:pt idx="4800">
                  <c:v>14462825.345047975</c:v>
                </c:pt>
                <c:pt idx="4801">
                  <c:v>14465472.683661528</c:v>
                </c:pt>
                <c:pt idx="4802">
                  <c:v>14468120.022275079</c:v>
                </c:pt>
                <c:pt idx="4803">
                  <c:v>14470767.36088863</c:v>
                </c:pt>
                <c:pt idx="4804">
                  <c:v>14473414.699502183</c:v>
                </c:pt>
                <c:pt idx="4805">
                  <c:v>14476062.038115734</c:v>
                </c:pt>
                <c:pt idx="4806">
                  <c:v>14478709.376729285</c:v>
                </c:pt>
                <c:pt idx="4807">
                  <c:v>14481356.715342838</c:v>
                </c:pt>
                <c:pt idx="4808">
                  <c:v>14484004.053956389</c:v>
                </c:pt>
                <c:pt idx="4809">
                  <c:v>14486651.392569941</c:v>
                </c:pt>
                <c:pt idx="4810">
                  <c:v>14489298.731183492</c:v>
                </c:pt>
                <c:pt idx="4811">
                  <c:v>14491946.069797045</c:v>
                </c:pt>
                <c:pt idx="4812">
                  <c:v>14494593.408410596</c:v>
                </c:pt>
                <c:pt idx="4813">
                  <c:v>14497240.747024147</c:v>
                </c:pt>
                <c:pt idx="4814">
                  <c:v>14499888.0856377</c:v>
                </c:pt>
                <c:pt idx="4815">
                  <c:v>14502535.424251251</c:v>
                </c:pt>
                <c:pt idx="4816">
                  <c:v>14505182.762864802</c:v>
                </c:pt>
                <c:pt idx="4817">
                  <c:v>14507830.101478355</c:v>
                </c:pt>
                <c:pt idx="4818">
                  <c:v>14510477.440091906</c:v>
                </c:pt>
                <c:pt idx="4819">
                  <c:v>14513124.778705457</c:v>
                </c:pt>
                <c:pt idx="4820">
                  <c:v>14515772.117319008</c:v>
                </c:pt>
                <c:pt idx="4821">
                  <c:v>14518419.455932561</c:v>
                </c:pt>
                <c:pt idx="4822">
                  <c:v>14521066.794546112</c:v>
                </c:pt>
                <c:pt idx="4823">
                  <c:v>14523714.133159664</c:v>
                </c:pt>
                <c:pt idx="4824">
                  <c:v>14526361.471773217</c:v>
                </c:pt>
                <c:pt idx="4825">
                  <c:v>14529008.810386768</c:v>
                </c:pt>
                <c:pt idx="4826">
                  <c:v>14531656.149000319</c:v>
                </c:pt>
                <c:pt idx="4827">
                  <c:v>14534303.48761387</c:v>
                </c:pt>
                <c:pt idx="4828">
                  <c:v>14536950.826227423</c:v>
                </c:pt>
                <c:pt idx="4829">
                  <c:v>14539598.164840974</c:v>
                </c:pt>
                <c:pt idx="4830">
                  <c:v>14542245.503454525</c:v>
                </c:pt>
                <c:pt idx="4831">
                  <c:v>14544892.842068078</c:v>
                </c:pt>
                <c:pt idx="4832">
                  <c:v>14547540.180681629</c:v>
                </c:pt>
                <c:pt idx="4833">
                  <c:v>14550187.51929518</c:v>
                </c:pt>
                <c:pt idx="4834">
                  <c:v>14552834.857908733</c:v>
                </c:pt>
                <c:pt idx="4835">
                  <c:v>14555482.196522284</c:v>
                </c:pt>
                <c:pt idx="4836">
                  <c:v>14558129.535135835</c:v>
                </c:pt>
                <c:pt idx="4837">
                  <c:v>14560776.873749387</c:v>
                </c:pt>
                <c:pt idx="4838">
                  <c:v>14563424.212362939</c:v>
                </c:pt>
                <c:pt idx="4839">
                  <c:v>14566071.550976491</c:v>
                </c:pt>
                <c:pt idx="4840">
                  <c:v>14568718.889590042</c:v>
                </c:pt>
                <c:pt idx="4841">
                  <c:v>14571366.228203595</c:v>
                </c:pt>
                <c:pt idx="4842">
                  <c:v>14574013.566817146</c:v>
                </c:pt>
                <c:pt idx="4843">
                  <c:v>14576660.905430697</c:v>
                </c:pt>
                <c:pt idx="4844">
                  <c:v>14579308.24404425</c:v>
                </c:pt>
                <c:pt idx="4845">
                  <c:v>14581955.582657801</c:v>
                </c:pt>
                <c:pt idx="4846">
                  <c:v>14584602.921271352</c:v>
                </c:pt>
                <c:pt idx="4847">
                  <c:v>14587250.259884903</c:v>
                </c:pt>
                <c:pt idx="4848">
                  <c:v>14589897.598498456</c:v>
                </c:pt>
                <c:pt idx="4849">
                  <c:v>14592544.937112007</c:v>
                </c:pt>
                <c:pt idx="4850">
                  <c:v>14595192.275725558</c:v>
                </c:pt>
                <c:pt idx="4851">
                  <c:v>14597839.614339111</c:v>
                </c:pt>
                <c:pt idx="4852">
                  <c:v>14600486.952952662</c:v>
                </c:pt>
                <c:pt idx="4853">
                  <c:v>14603134.291566214</c:v>
                </c:pt>
                <c:pt idx="4854">
                  <c:v>14605781.630179765</c:v>
                </c:pt>
                <c:pt idx="4855">
                  <c:v>14608428.968793318</c:v>
                </c:pt>
                <c:pt idx="4856">
                  <c:v>14611076.307406869</c:v>
                </c:pt>
                <c:pt idx="4857">
                  <c:v>14613723.64602042</c:v>
                </c:pt>
                <c:pt idx="4858">
                  <c:v>14616370.984633973</c:v>
                </c:pt>
                <c:pt idx="4859">
                  <c:v>14619018.323247524</c:v>
                </c:pt>
                <c:pt idx="4860">
                  <c:v>14621665.661861075</c:v>
                </c:pt>
                <c:pt idx="4861">
                  <c:v>14624313.000474628</c:v>
                </c:pt>
                <c:pt idx="4862">
                  <c:v>14626960.339088179</c:v>
                </c:pt>
                <c:pt idx="4863">
                  <c:v>14629607.67770173</c:v>
                </c:pt>
                <c:pt idx="4864">
                  <c:v>14632255.016315281</c:v>
                </c:pt>
                <c:pt idx="4865">
                  <c:v>14634902.354928834</c:v>
                </c:pt>
                <c:pt idx="4866">
                  <c:v>14637549.693542385</c:v>
                </c:pt>
                <c:pt idx="4867">
                  <c:v>14640197.032155937</c:v>
                </c:pt>
                <c:pt idx="4868">
                  <c:v>14642844.37076949</c:v>
                </c:pt>
                <c:pt idx="4869">
                  <c:v>14645491.709383041</c:v>
                </c:pt>
                <c:pt idx="4870">
                  <c:v>14648139.047996592</c:v>
                </c:pt>
                <c:pt idx="4871">
                  <c:v>14650786.386610145</c:v>
                </c:pt>
                <c:pt idx="4872">
                  <c:v>14653433.725223696</c:v>
                </c:pt>
                <c:pt idx="4873">
                  <c:v>14656081.063837247</c:v>
                </c:pt>
                <c:pt idx="4874">
                  <c:v>14658728.402450798</c:v>
                </c:pt>
                <c:pt idx="4875">
                  <c:v>14661375.741064351</c:v>
                </c:pt>
                <c:pt idx="4876">
                  <c:v>14664023.079677902</c:v>
                </c:pt>
                <c:pt idx="4877">
                  <c:v>14666670.418291453</c:v>
                </c:pt>
                <c:pt idx="4878">
                  <c:v>14669317.756905006</c:v>
                </c:pt>
                <c:pt idx="4879">
                  <c:v>14671965.095518557</c:v>
                </c:pt>
                <c:pt idx="4880">
                  <c:v>14674612.434132108</c:v>
                </c:pt>
                <c:pt idx="4881">
                  <c:v>14677259.77274566</c:v>
                </c:pt>
                <c:pt idx="4882">
                  <c:v>14679907.111359213</c:v>
                </c:pt>
                <c:pt idx="4883">
                  <c:v>14682554.449972764</c:v>
                </c:pt>
                <c:pt idx="4884">
                  <c:v>14685201.788586315</c:v>
                </c:pt>
                <c:pt idx="4885">
                  <c:v>14687849.127199868</c:v>
                </c:pt>
                <c:pt idx="4886">
                  <c:v>14690496.465813419</c:v>
                </c:pt>
                <c:pt idx="4887">
                  <c:v>14693143.80442697</c:v>
                </c:pt>
                <c:pt idx="4888">
                  <c:v>14695791.143040523</c:v>
                </c:pt>
                <c:pt idx="4889">
                  <c:v>14698438.481654074</c:v>
                </c:pt>
                <c:pt idx="4890">
                  <c:v>14701085.820267625</c:v>
                </c:pt>
                <c:pt idx="4891">
                  <c:v>14703733.158881176</c:v>
                </c:pt>
                <c:pt idx="4892">
                  <c:v>14706380.497494729</c:v>
                </c:pt>
                <c:pt idx="4893">
                  <c:v>14709027.83610828</c:v>
                </c:pt>
                <c:pt idx="4894">
                  <c:v>14711675.174721831</c:v>
                </c:pt>
                <c:pt idx="4895">
                  <c:v>14714322.513335384</c:v>
                </c:pt>
                <c:pt idx="4896">
                  <c:v>14716969.851948936</c:v>
                </c:pt>
                <c:pt idx="4897">
                  <c:v>14719617.190562487</c:v>
                </c:pt>
                <c:pt idx="4898">
                  <c:v>14722264.52917604</c:v>
                </c:pt>
                <c:pt idx="4899">
                  <c:v>14724911.867789591</c:v>
                </c:pt>
                <c:pt idx="4900">
                  <c:v>14727559.206403142</c:v>
                </c:pt>
                <c:pt idx="4901">
                  <c:v>14730206.545016693</c:v>
                </c:pt>
                <c:pt idx="4902">
                  <c:v>14732853.883630246</c:v>
                </c:pt>
                <c:pt idx="4903">
                  <c:v>14735501.222243797</c:v>
                </c:pt>
                <c:pt idx="4904">
                  <c:v>14738148.560857348</c:v>
                </c:pt>
                <c:pt idx="4905">
                  <c:v>14740795.899470901</c:v>
                </c:pt>
                <c:pt idx="4906">
                  <c:v>14743443.238084452</c:v>
                </c:pt>
                <c:pt idx="4907">
                  <c:v>14746090.576698003</c:v>
                </c:pt>
                <c:pt idx="4908">
                  <c:v>14748737.915311554</c:v>
                </c:pt>
                <c:pt idx="4909">
                  <c:v>14751385.253925107</c:v>
                </c:pt>
                <c:pt idx="4910">
                  <c:v>14754032.592538659</c:v>
                </c:pt>
                <c:pt idx="4911">
                  <c:v>14756679.93115221</c:v>
                </c:pt>
                <c:pt idx="4912">
                  <c:v>14759327.269765763</c:v>
                </c:pt>
                <c:pt idx="4913">
                  <c:v>14761974.608379314</c:v>
                </c:pt>
                <c:pt idx="4914">
                  <c:v>14764621.946992865</c:v>
                </c:pt>
                <c:pt idx="4915">
                  <c:v>14767269.285606418</c:v>
                </c:pt>
                <c:pt idx="4916">
                  <c:v>14769916.624219969</c:v>
                </c:pt>
                <c:pt idx="4917">
                  <c:v>14772563.96283352</c:v>
                </c:pt>
                <c:pt idx="4918">
                  <c:v>14775211.301447071</c:v>
                </c:pt>
                <c:pt idx="4919">
                  <c:v>14777858.640060624</c:v>
                </c:pt>
                <c:pt idx="4920">
                  <c:v>14780505.978674175</c:v>
                </c:pt>
                <c:pt idx="4921">
                  <c:v>14783153.317287726</c:v>
                </c:pt>
                <c:pt idx="4922">
                  <c:v>14785800.655901279</c:v>
                </c:pt>
                <c:pt idx="4923">
                  <c:v>14788447.99451483</c:v>
                </c:pt>
                <c:pt idx="4924">
                  <c:v>14791095.333128382</c:v>
                </c:pt>
                <c:pt idx="4925">
                  <c:v>14793742.671741934</c:v>
                </c:pt>
                <c:pt idx="4926">
                  <c:v>14796390.010355486</c:v>
                </c:pt>
                <c:pt idx="4927">
                  <c:v>14799037.348969037</c:v>
                </c:pt>
                <c:pt idx="4928">
                  <c:v>14801684.687582588</c:v>
                </c:pt>
                <c:pt idx="4929">
                  <c:v>14804332.026196141</c:v>
                </c:pt>
                <c:pt idx="4930">
                  <c:v>14806979.364809692</c:v>
                </c:pt>
                <c:pt idx="4931">
                  <c:v>14809626.703423243</c:v>
                </c:pt>
                <c:pt idx="4932">
                  <c:v>14812274.042036796</c:v>
                </c:pt>
                <c:pt idx="4933">
                  <c:v>14814921.380650347</c:v>
                </c:pt>
                <c:pt idx="4934">
                  <c:v>14817568.719263898</c:v>
                </c:pt>
                <c:pt idx="4935">
                  <c:v>14820216.057877449</c:v>
                </c:pt>
                <c:pt idx="4936">
                  <c:v>14822863.396491002</c:v>
                </c:pt>
                <c:pt idx="4937">
                  <c:v>14825510.735104553</c:v>
                </c:pt>
                <c:pt idx="4938">
                  <c:v>14828158.073718105</c:v>
                </c:pt>
                <c:pt idx="4939">
                  <c:v>14830805.412331657</c:v>
                </c:pt>
                <c:pt idx="4940">
                  <c:v>14833452.750945209</c:v>
                </c:pt>
                <c:pt idx="4941">
                  <c:v>14836100.08955876</c:v>
                </c:pt>
                <c:pt idx="4942">
                  <c:v>14838747.428172313</c:v>
                </c:pt>
                <c:pt idx="4943">
                  <c:v>14841394.766785864</c:v>
                </c:pt>
                <c:pt idx="4944">
                  <c:v>14844042.105399415</c:v>
                </c:pt>
                <c:pt idx="4945">
                  <c:v>14846689.444012966</c:v>
                </c:pt>
                <c:pt idx="4946">
                  <c:v>14849336.782626519</c:v>
                </c:pt>
                <c:pt idx="4947">
                  <c:v>14851984.12124007</c:v>
                </c:pt>
                <c:pt idx="4948">
                  <c:v>14854631.459853621</c:v>
                </c:pt>
                <c:pt idx="4949">
                  <c:v>14857278.798467174</c:v>
                </c:pt>
                <c:pt idx="4950">
                  <c:v>14859926.137080725</c:v>
                </c:pt>
                <c:pt idx="4951">
                  <c:v>14862573.475694276</c:v>
                </c:pt>
                <c:pt idx="4952">
                  <c:v>14865220.814307828</c:v>
                </c:pt>
                <c:pt idx="4953">
                  <c:v>14867868.15292138</c:v>
                </c:pt>
                <c:pt idx="4954">
                  <c:v>14870515.491534932</c:v>
                </c:pt>
                <c:pt idx="4955">
                  <c:v>14873162.830148483</c:v>
                </c:pt>
                <c:pt idx="4956">
                  <c:v>14875810.168762036</c:v>
                </c:pt>
                <c:pt idx="4957">
                  <c:v>14878457.507375587</c:v>
                </c:pt>
                <c:pt idx="4958">
                  <c:v>14881104.845989138</c:v>
                </c:pt>
                <c:pt idx="4959">
                  <c:v>14883752.184602691</c:v>
                </c:pt>
                <c:pt idx="4960">
                  <c:v>14886399.523216242</c:v>
                </c:pt>
                <c:pt idx="4961">
                  <c:v>14889046.861829793</c:v>
                </c:pt>
                <c:pt idx="4962">
                  <c:v>14891694.200443344</c:v>
                </c:pt>
                <c:pt idx="4963">
                  <c:v>14894341.539056897</c:v>
                </c:pt>
                <c:pt idx="4964">
                  <c:v>14896988.877670448</c:v>
                </c:pt>
                <c:pt idx="4965">
                  <c:v>14899636.216283999</c:v>
                </c:pt>
                <c:pt idx="4966">
                  <c:v>14902283.554897552</c:v>
                </c:pt>
                <c:pt idx="4967">
                  <c:v>14904930.893511103</c:v>
                </c:pt>
                <c:pt idx="4968">
                  <c:v>14907578.232124655</c:v>
                </c:pt>
                <c:pt idx="4969">
                  <c:v>14910225.570738208</c:v>
                </c:pt>
                <c:pt idx="4970">
                  <c:v>14912872.909351759</c:v>
                </c:pt>
                <c:pt idx="4971">
                  <c:v>14915520.24796531</c:v>
                </c:pt>
                <c:pt idx="4972">
                  <c:v>14918167.586578861</c:v>
                </c:pt>
                <c:pt idx="4973">
                  <c:v>14920814.925192414</c:v>
                </c:pt>
                <c:pt idx="4974">
                  <c:v>14923462.263805965</c:v>
                </c:pt>
                <c:pt idx="4975">
                  <c:v>14926109.602419516</c:v>
                </c:pt>
                <c:pt idx="4976">
                  <c:v>14928756.941033069</c:v>
                </c:pt>
                <c:pt idx="4977">
                  <c:v>14931404.27964662</c:v>
                </c:pt>
                <c:pt idx="4978">
                  <c:v>14934051.618260171</c:v>
                </c:pt>
                <c:pt idx="4979">
                  <c:v>14936698.956873722</c:v>
                </c:pt>
                <c:pt idx="4980">
                  <c:v>14939346.295487275</c:v>
                </c:pt>
                <c:pt idx="4981">
                  <c:v>14941993.634100826</c:v>
                </c:pt>
                <c:pt idx="4982">
                  <c:v>14944640.972714378</c:v>
                </c:pt>
                <c:pt idx="4983">
                  <c:v>14947288.311327931</c:v>
                </c:pt>
                <c:pt idx="4984">
                  <c:v>14949935.649941482</c:v>
                </c:pt>
                <c:pt idx="4985">
                  <c:v>14952582.988555033</c:v>
                </c:pt>
                <c:pt idx="4986">
                  <c:v>14955230.327168586</c:v>
                </c:pt>
                <c:pt idx="4987">
                  <c:v>14957877.665782137</c:v>
                </c:pt>
                <c:pt idx="4988">
                  <c:v>14960525.004395688</c:v>
                </c:pt>
                <c:pt idx="4989">
                  <c:v>14963172.343009239</c:v>
                </c:pt>
                <c:pt idx="4990">
                  <c:v>14965819.681622792</c:v>
                </c:pt>
                <c:pt idx="4991">
                  <c:v>14968467.020236343</c:v>
                </c:pt>
                <c:pt idx="4992">
                  <c:v>14971114.358849894</c:v>
                </c:pt>
                <c:pt idx="4993">
                  <c:v>14973761.697463447</c:v>
                </c:pt>
                <c:pt idx="4994">
                  <c:v>14976409.036076998</c:v>
                </c:pt>
                <c:pt idx="4995">
                  <c:v>14979056.374690549</c:v>
                </c:pt>
                <c:pt idx="4996">
                  <c:v>14981703.713304102</c:v>
                </c:pt>
                <c:pt idx="4997">
                  <c:v>14984351.051917654</c:v>
                </c:pt>
                <c:pt idx="4998">
                  <c:v>14986998.390531205</c:v>
                </c:pt>
                <c:pt idx="4999">
                  <c:v>14989645.729144756</c:v>
                </c:pt>
                <c:pt idx="5000">
                  <c:v>14992293.067758309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44-4687-9EDB-FCBBF60482D5}"/>
            </c:ext>
          </c:extLst>
        </c:ser>
        <c:ser>
          <c:idx val="1"/>
          <c:order val="1"/>
          <c:tx>
            <c:strRef>
              <c:f>'Grafica Punto de Equilibrio'!$D$3</c:f>
              <c:strCache>
                <c:ptCount val="1"/>
                <c:pt idx="0">
                  <c:v>Ventas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'Grafica Punto de Equilibrio'!$B$4:$B$5004</c:f>
              <c:numCache>
                <c:formatCode>General</c:formatCode>
                <c:ptCount val="5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4803</c:v>
                </c:pt>
                <c:pt idx="4804">
                  <c:v>4804</c:v>
                </c:pt>
                <c:pt idx="4805">
                  <c:v>4805</c:v>
                </c:pt>
                <c:pt idx="4806">
                  <c:v>4806</c:v>
                </c:pt>
                <c:pt idx="4807">
                  <c:v>4807</c:v>
                </c:pt>
                <c:pt idx="4808">
                  <c:v>4808</c:v>
                </c:pt>
                <c:pt idx="4809">
                  <c:v>4809</c:v>
                </c:pt>
                <c:pt idx="4810">
                  <c:v>4810</c:v>
                </c:pt>
                <c:pt idx="4811">
                  <c:v>4811</c:v>
                </c:pt>
                <c:pt idx="4812">
                  <c:v>4812</c:v>
                </c:pt>
                <c:pt idx="4813">
                  <c:v>4813</c:v>
                </c:pt>
                <c:pt idx="4814">
                  <c:v>4814</c:v>
                </c:pt>
                <c:pt idx="4815">
                  <c:v>4815</c:v>
                </c:pt>
                <c:pt idx="4816">
                  <c:v>4816</c:v>
                </c:pt>
                <c:pt idx="4817">
                  <c:v>4817</c:v>
                </c:pt>
                <c:pt idx="4818">
                  <c:v>4818</c:v>
                </c:pt>
                <c:pt idx="4819">
                  <c:v>4819</c:v>
                </c:pt>
                <c:pt idx="4820">
                  <c:v>4820</c:v>
                </c:pt>
                <c:pt idx="4821">
                  <c:v>4821</c:v>
                </c:pt>
                <c:pt idx="4822">
                  <c:v>4822</c:v>
                </c:pt>
                <c:pt idx="4823">
                  <c:v>4823</c:v>
                </c:pt>
                <c:pt idx="4824">
                  <c:v>4824</c:v>
                </c:pt>
                <c:pt idx="4825">
                  <c:v>4825</c:v>
                </c:pt>
                <c:pt idx="4826">
                  <c:v>4826</c:v>
                </c:pt>
                <c:pt idx="4827">
                  <c:v>4827</c:v>
                </c:pt>
                <c:pt idx="4828">
                  <c:v>4828</c:v>
                </c:pt>
                <c:pt idx="4829">
                  <c:v>4829</c:v>
                </c:pt>
                <c:pt idx="4830">
                  <c:v>4830</c:v>
                </c:pt>
                <c:pt idx="4831">
                  <c:v>4831</c:v>
                </c:pt>
                <c:pt idx="4832">
                  <c:v>4832</c:v>
                </c:pt>
                <c:pt idx="4833">
                  <c:v>4833</c:v>
                </c:pt>
                <c:pt idx="4834">
                  <c:v>4834</c:v>
                </c:pt>
                <c:pt idx="4835">
                  <c:v>4835</c:v>
                </c:pt>
                <c:pt idx="4836">
                  <c:v>4836</c:v>
                </c:pt>
                <c:pt idx="4837">
                  <c:v>4837</c:v>
                </c:pt>
                <c:pt idx="4838">
                  <c:v>4838</c:v>
                </c:pt>
                <c:pt idx="4839">
                  <c:v>4839</c:v>
                </c:pt>
                <c:pt idx="4840">
                  <c:v>4840</c:v>
                </c:pt>
                <c:pt idx="4841">
                  <c:v>4841</c:v>
                </c:pt>
                <c:pt idx="4842">
                  <c:v>4842</c:v>
                </c:pt>
                <c:pt idx="4843">
                  <c:v>4843</c:v>
                </c:pt>
                <c:pt idx="4844">
                  <c:v>4844</c:v>
                </c:pt>
                <c:pt idx="4845">
                  <c:v>4845</c:v>
                </c:pt>
                <c:pt idx="4846">
                  <c:v>4846</c:v>
                </c:pt>
                <c:pt idx="4847">
                  <c:v>4847</c:v>
                </c:pt>
                <c:pt idx="4848">
                  <c:v>4848</c:v>
                </c:pt>
                <c:pt idx="4849">
                  <c:v>4849</c:v>
                </c:pt>
                <c:pt idx="4850">
                  <c:v>4850</c:v>
                </c:pt>
                <c:pt idx="4851">
                  <c:v>4851</c:v>
                </c:pt>
                <c:pt idx="4852">
                  <c:v>4852</c:v>
                </c:pt>
                <c:pt idx="4853">
                  <c:v>4853</c:v>
                </c:pt>
                <c:pt idx="4854">
                  <c:v>4854</c:v>
                </c:pt>
                <c:pt idx="4855">
                  <c:v>4855</c:v>
                </c:pt>
                <c:pt idx="4856">
                  <c:v>4856</c:v>
                </c:pt>
                <c:pt idx="4857">
                  <c:v>4857</c:v>
                </c:pt>
                <c:pt idx="4858">
                  <c:v>4858</c:v>
                </c:pt>
                <c:pt idx="4859">
                  <c:v>4859</c:v>
                </c:pt>
                <c:pt idx="4860">
                  <c:v>4860</c:v>
                </c:pt>
                <c:pt idx="4861">
                  <c:v>4861</c:v>
                </c:pt>
                <c:pt idx="4862">
                  <c:v>4862</c:v>
                </c:pt>
                <c:pt idx="4863">
                  <c:v>4863</c:v>
                </c:pt>
                <c:pt idx="4864">
                  <c:v>4864</c:v>
                </c:pt>
                <c:pt idx="4865">
                  <c:v>4865</c:v>
                </c:pt>
                <c:pt idx="4866">
                  <c:v>4866</c:v>
                </c:pt>
                <c:pt idx="4867">
                  <c:v>4867</c:v>
                </c:pt>
                <c:pt idx="4868">
                  <c:v>4868</c:v>
                </c:pt>
                <c:pt idx="4869">
                  <c:v>4869</c:v>
                </c:pt>
                <c:pt idx="4870">
                  <c:v>4870</c:v>
                </c:pt>
                <c:pt idx="4871">
                  <c:v>4871</c:v>
                </c:pt>
                <c:pt idx="4872">
                  <c:v>4872</c:v>
                </c:pt>
                <c:pt idx="4873">
                  <c:v>4873</c:v>
                </c:pt>
                <c:pt idx="4874">
                  <c:v>4874</c:v>
                </c:pt>
                <c:pt idx="4875">
                  <c:v>4875</c:v>
                </c:pt>
                <c:pt idx="4876">
                  <c:v>4876</c:v>
                </c:pt>
                <c:pt idx="4877">
                  <c:v>4877</c:v>
                </c:pt>
                <c:pt idx="4878">
                  <c:v>4878</c:v>
                </c:pt>
                <c:pt idx="4879">
                  <c:v>4879</c:v>
                </c:pt>
                <c:pt idx="4880">
                  <c:v>4880</c:v>
                </c:pt>
                <c:pt idx="4881">
                  <c:v>4881</c:v>
                </c:pt>
                <c:pt idx="4882">
                  <c:v>4882</c:v>
                </c:pt>
                <c:pt idx="4883">
                  <c:v>4883</c:v>
                </c:pt>
                <c:pt idx="4884">
                  <c:v>4884</c:v>
                </c:pt>
                <c:pt idx="4885">
                  <c:v>4885</c:v>
                </c:pt>
                <c:pt idx="4886">
                  <c:v>4886</c:v>
                </c:pt>
                <c:pt idx="4887">
                  <c:v>4887</c:v>
                </c:pt>
                <c:pt idx="4888">
                  <c:v>4888</c:v>
                </c:pt>
                <c:pt idx="4889">
                  <c:v>4889</c:v>
                </c:pt>
                <c:pt idx="4890">
                  <c:v>4890</c:v>
                </c:pt>
                <c:pt idx="4891">
                  <c:v>4891</c:v>
                </c:pt>
                <c:pt idx="4892">
                  <c:v>4892</c:v>
                </c:pt>
                <c:pt idx="4893">
                  <c:v>4893</c:v>
                </c:pt>
                <c:pt idx="4894">
                  <c:v>4894</c:v>
                </c:pt>
                <c:pt idx="4895">
                  <c:v>4895</c:v>
                </c:pt>
                <c:pt idx="4896">
                  <c:v>4896</c:v>
                </c:pt>
                <c:pt idx="4897">
                  <c:v>4897</c:v>
                </c:pt>
                <c:pt idx="4898">
                  <c:v>4898</c:v>
                </c:pt>
                <c:pt idx="4899">
                  <c:v>4899</c:v>
                </c:pt>
                <c:pt idx="4900">
                  <c:v>4900</c:v>
                </c:pt>
                <c:pt idx="4901">
                  <c:v>4901</c:v>
                </c:pt>
                <c:pt idx="4902">
                  <c:v>4902</c:v>
                </c:pt>
                <c:pt idx="4903">
                  <c:v>4903</c:v>
                </c:pt>
                <c:pt idx="4904">
                  <c:v>4904</c:v>
                </c:pt>
                <c:pt idx="4905">
                  <c:v>4905</c:v>
                </c:pt>
                <c:pt idx="4906">
                  <c:v>4906</c:v>
                </c:pt>
                <c:pt idx="4907">
                  <c:v>4907</c:v>
                </c:pt>
                <c:pt idx="4908">
                  <c:v>4908</c:v>
                </c:pt>
                <c:pt idx="4909">
                  <c:v>4909</c:v>
                </c:pt>
                <c:pt idx="4910">
                  <c:v>4910</c:v>
                </c:pt>
                <c:pt idx="4911">
                  <c:v>4911</c:v>
                </c:pt>
                <c:pt idx="4912">
                  <c:v>4912</c:v>
                </c:pt>
                <c:pt idx="4913">
                  <c:v>4913</c:v>
                </c:pt>
                <c:pt idx="4914">
                  <c:v>4914</c:v>
                </c:pt>
                <c:pt idx="4915">
                  <c:v>4915</c:v>
                </c:pt>
                <c:pt idx="4916">
                  <c:v>4916</c:v>
                </c:pt>
                <c:pt idx="4917">
                  <c:v>4917</c:v>
                </c:pt>
                <c:pt idx="4918">
                  <c:v>4918</c:v>
                </c:pt>
                <c:pt idx="4919">
                  <c:v>4919</c:v>
                </c:pt>
                <c:pt idx="4920">
                  <c:v>4920</c:v>
                </c:pt>
                <c:pt idx="4921">
                  <c:v>4921</c:v>
                </c:pt>
                <c:pt idx="4922">
                  <c:v>4922</c:v>
                </c:pt>
                <c:pt idx="4923">
                  <c:v>4923</c:v>
                </c:pt>
                <c:pt idx="4924">
                  <c:v>4924</c:v>
                </c:pt>
                <c:pt idx="4925">
                  <c:v>4925</c:v>
                </c:pt>
                <c:pt idx="4926">
                  <c:v>4926</c:v>
                </c:pt>
                <c:pt idx="4927">
                  <c:v>4927</c:v>
                </c:pt>
                <c:pt idx="4928">
                  <c:v>4928</c:v>
                </c:pt>
                <c:pt idx="4929">
                  <c:v>4929</c:v>
                </c:pt>
                <c:pt idx="4930">
                  <c:v>4930</c:v>
                </c:pt>
                <c:pt idx="4931">
                  <c:v>4931</c:v>
                </c:pt>
                <c:pt idx="4932">
                  <c:v>4932</c:v>
                </c:pt>
                <c:pt idx="4933">
                  <c:v>4933</c:v>
                </c:pt>
                <c:pt idx="4934">
                  <c:v>4934</c:v>
                </c:pt>
                <c:pt idx="4935">
                  <c:v>4935</c:v>
                </c:pt>
                <c:pt idx="4936">
                  <c:v>4936</c:v>
                </c:pt>
                <c:pt idx="4937">
                  <c:v>4937</c:v>
                </c:pt>
                <c:pt idx="4938">
                  <c:v>4938</c:v>
                </c:pt>
                <c:pt idx="4939">
                  <c:v>4939</c:v>
                </c:pt>
                <c:pt idx="4940">
                  <c:v>4940</c:v>
                </c:pt>
                <c:pt idx="4941">
                  <c:v>4941</c:v>
                </c:pt>
                <c:pt idx="4942">
                  <c:v>4942</c:v>
                </c:pt>
                <c:pt idx="4943">
                  <c:v>4943</c:v>
                </c:pt>
                <c:pt idx="4944">
                  <c:v>4944</c:v>
                </c:pt>
                <c:pt idx="4945">
                  <c:v>4945</c:v>
                </c:pt>
                <c:pt idx="4946">
                  <c:v>4946</c:v>
                </c:pt>
                <c:pt idx="4947">
                  <c:v>4947</c:v>
                </c:pt>
                <c:pt idx="4948">
                  <c:v>4948</c:v>
                </c:pt>
                <c:pt idx="4949">
                  <c:v>4949</c:v>
                </c:pt>
                <c:pt idx="4950">
                  <c:v>4950</c:v>
                </c:pt>
                <c:pt idx="4951">
                  <c:v>4951</c:v>
                </c:pt>
                <c:pt idx="4952">
                  <c:v>4952</c:v>
                </c:pt>
                <c:pt idx="4953">
                  <c:v>4953</c:v>
                </c:pt>
                <c:pt idx="4954">
                  <c:v>4954</c:v>
                </c:pt>
                <c:pt idx="4955">
                  <c:v>4955</c:v>
                </c:pt>
                <c:pt idx="4956">
                  <c:v>4956</c:v>
                </c:pt>
                <c:pt idx="4957">
                  <c:v>4957</c:v>
                </c:pt>
                <c:pt idx="4958">
                  <c:v>4958</c:v>
                </c:pt>
                <c:pt idx="4959">
                  <c:v>4959</c:v>
                </c:pt>
                <c:pt idx="4960">
                  <c:v>4960</c:v>
                </c:pt>
                <c:pt idx="4961">
                  <c:v>4961</c:v>
                </c:pt>
                <c:pt idx="4962">
                  <c:v>4962</c:v>
                </c:pt>
                <c:pt idx="4963">
                  <c:v>4963</c:v>
                </c:pt>
                <c:pt idx="4964">
                  <c:v>4964</c:v>
                </c:pt>
                <c:pt idx="4965">
                  <c:v>4965</c:v>
                </c:pt>
                <c:pt idx="4966">
                  <c:v>4966</c:v>
                </c:pt>
                <c:pt idx="4967">
                  <c:v>4967</c:v>
                </c:pt>
                <c:pt idx="4968">
                  <c:v>4968</c:v>
                </c:pt>
                <c:pt idx="4969">
                  <c:v>4969</c:v>
                </c:pt>
                <c:pt idx="4970">
                  <c:v>4970</c:v>
                </c:pt>
                <c:pt idx="4971">
                  <c:v>4971</c:v>
                </c:pt>
                <c:pt idx="4972">
                  <c:v>4972</c:v>
                </c:pt>
                <c:pt idx="4973">
                  <c:v>4973</c:v>
                </c:pt>
                <c:pt idx="4974">
                  <c:v>4974</c:v>
                </c:pt>
                <c:pt idx="4975">
                  <c:v>4975</c:v>
                </c:pt>
                <c:pt idx="4976">
                  <c:v>4976</c:v>
                </c:pt>
                <c:pt idx="4977">
                  <c:v>4977</c:v>
                </c:pt>
                <c:pt idx="4978">
                  <c:v>4978</c:v>
                </c:pt>
                <c:pt idx="4979">
                  <c:v>4979</c:v>
                </c:pt>
                <c:pt idx="4980">
                  <c:v>4980</c:v>
                </c:pt>
                <c:pt idx="4981">
                  <c:v>4981</c:v>
                </c:pt>
                <c:pt idx="4982">
                  <c:v>4982</c:v>
                </c:pt>
                <c:pt idx="4983">
                  <c:v>4983</c:v>
                </c:pt>
                <c:pt idx="4984">
                  <c:v>4984</c:v>
                </c:pt>
                <c:pt idx="4985">
                  <c:v>4985</c:v>
                </c:pt>
                <c:pt idx="4986">
                  <c:v>4986</c:v>
                </c:pt>
                <c:pt idx="4987">
                  <c:v>4987</c:v>
                </c:pt>
                <c:pt idx="4988">
                  <c:v>4988</c:v>
                </c:pt>
                <c:pt idx="4989">
                  <c:v>4989</c:v>
                </c:pt>
                <c:pt idx="4990">
                  <c:v>4990</c:v>
                </c:pt>
                <c:pt idx="4991">
                  <c:v>4991</c:v>
                </c:pt>
                <c:pt idx="4992">
                  <c:v>4992</c:v>
                </c:pt>
                <c:pt idx="4993">
                  <c:v>4993</c:v>
                </c:pt>
                <c:pt idx="4994">
                  <c:v>4994</c:v>
                </c:pt>
                <c:pt idx="4995">
                  <c:v>4995</c:v>
                </c:pt>
                <c:pt idx="4996">
                  <c:v>4996</c:v>
                </c:pt>
                <c:pt idx="4997">
                  <c:v>4997</c:v>
                </c:pt>
                <c:pt idx="4998">
                  <c:v>4998</c:v>
                </c:pt>
                <c:pt idx="4999">
                  <c:v>4999</c:v>
                </c:pt>
                <c:pt idx="5000">
                  <c:v>5000</c:v>
                </c:pt>
              </c:numCache>
            </c:numRef>
          </c:cat>
          <c:val>
            <c:numRef>
              <c:f>'Grafica Punto de Equilibrio'!$D$4:$D$5004</c:f>
              <c:numCache>
                <c:formatCode>"$"\ #,##0</c:formatCode>
                <c:ptCount val="5001"/>
                <c:pt idx="0">
                  <c:v>0</c:v>
                </c:pt>
                <c:pt idx="1">
                  <c:v>3150.3329501264775</c:v>
                </c:pt>
                <c:pt idx="2">
                  <c:v>6300.665900252955</c:v>
                </c:pt>
                <c:pt idx="3">
                  <c:v>9450.998850379432</c:v>
                </c:pt>
                <c:pt idx="4">
                  <c:v>12601.33180050591</c:v>
                </c:pt>
                <c:pt idx="5">
                  <c:v>15751.664750632388</c:v>
                </c:pt>
                <c:pt idx="6">
                  <c:v>18901.997700758864</c:v>
                </c:pt>
                <c:pt idx="7">
                  <c:v>22052.330650885342</c:v>
                </c:pt>
                <c:pt idx="8">
                  <c:v>25202.66360101182</c:v>
                </c:pt>
                <c:pt idx="9">
                  <c:v>28352.996551138298</c:v>
                </c:pt>
                <c:pt idx="10">
                  <c:v>31503.329501264776</c:v>
                </c:pt>
                <c:pt idx="11">
                  <c:v>34653.662451391254</c:v>
                </c:pt>
                <c:pt idx="12">
                  <c:v>37803.995401517728</c:v>
                </c:pt>
                <c:pt idx="13">
                  <c:v>40954.32835164421</c:v>
                </c:pt>
                <c:pt idx="14">
                  <c:v>44104.661301770684</c:v>
                </c:pt>
                <c:pt idx="15">
                  <c:v>47254.994251897166</c:v>
                </c:pt>
                <c:pt idx="16">
                  <c:v>50405.32720202364</c:v>
                </c:pt>
                <c:pt idx="17">
                  <c:v>53555.660152150114</c:v>
                </c:pt>
                <c:pt idx="18">
                  <c:v>56705.993102276596</c:v>
                </c:pt>
                <c:pt idx="19">
                  <c:v>59856.32605240307</c:v>
                </c:pt>
                <c:pt idx="20">
                  <c:v>63006.659002529552</c:v>
                </c:pt>
                <c:pt idx="21">
                  <c:v>66156.991952656026</c:v>
                </c:pt>
                <c:pt idx="22">
                  <c:v>69307.324902782508</c:v>
                </c:pt>
                <c:pt idx="23">
                  <c:v>72457.657852908989</c:v>
                </c:pt>
                <c:pt idx="24">
                  <c:v>75607.990803035456</c:v>
                </c:pt>
                <c:pt idx="25">
                  <c:v>78758.323753161938</c:v>
                </c:pt>
                <c:pt idx="26">
                  <c:v>81908.65670328842</c:v>
                </c:pt>
                <c:pt idx="27">
                  <c:v>85058.989653414887</c:v>
                </c:pt>
                <c:pt idx="28">
                  <c:v>88209.322603541368</c:v>
                </c:pt>
                <c:pt idx="29">
                  <c:v>91359.65555366785</c:v>
                </c:pt>
                <c:pt idx="30">
                  <c:v>94509.988503794331</c:v>
                </c:pt>
                <c:pt idx="31">
                  <c:v>97660.321453920798</c:v>
                </c:pt>
                <c:pt idx="32">
                  <c:v>100810.65440404728</c:v>
                </c:pt>
                <c:pt idx="33">
                  <c:v>103960.98735417376</c:v>
                </c:pt>
                <c:pt idx="34">
                  <c:v>107111.32030430023</c:v>
                </c:pt>
                <c:pt idx="35">
                  <c:v>110261.65325442671</c:v>
                </c:pt>
                <c:pt idx="36">
                  <c:v>113411.98620455319</c:v>
                </c:pt>
                <c:pt idx="37">
                  <c:v>116562.31915467967</c:v>
                </c:pt>
                <c:pt idx="38">
                  <c:v>119712.65210480614</c:v>
                </c:pt>
                <c:pt idx="39">
                  <c:v>122862.98505493262</c:v>
                </c:pt>
                <c:pt idx="40">
                  <c:v>126013.3180050591</c:v>
                </c:pt>
                <c:pt idx="41">
                  <c:v>129163.65095518557</c:v>
                </c:pt>
                <c:pt idx="42">
                  <c:v>132313.98390531205</c:v>
                </c:pt>
                <c:pt idx="43">
                  <c:v>135464.31685543852</c:v>
                </c:pt>
                <c:pt idx="44">
                  <c:v>138614.64980556502</c:v>
                </c:pt>
                <c:pt idx="45">
                  <c:v>141764.98275569148</c:v>
                </c:pt>
                <c:pt idx="46">
                  <c:v>144915.31570581798</c:v>
                </c:pt>
                <c:pt idx="47">
                  <c:v>148065.64865594445</c:v>
                </c:pt>
                <c:pt idx="48">
                  <c:v>151215.98160607091</c:v>
                </c:pt>
                <c:pt idx="49">
                  <c:v>154366.31455619741</c:v>
                </c:pt>
                <c:pt idx="50">
                  <c:v>157516.64750632388</c:v>
                </c:pt>
                <c:pt idx="51">
                  <c:v>160666.98045645034</c:v>
                </c:pt>
                <c:pt idx="52">
                  <c:v>163817.31340657684</c:v>
                </c:pt>
                <c:pt idx="53">
                  <c:v>166967.64635670331</c:v>
                </c:pt>
                <c:pt idx="54">
                  <c:v>170117.97930682977</c:v>
                </c:pt>
                <c:pt idx="55">
                  <c:v>173268.31225695627</c:v>
                </c:pt>
                <c:pt idx="56">
                  <c:v>176418.64520708274</c:v>
                </c:pt>
                <c:pt idx="57">
                  <c:v>179568.9781572092</c:v>
                </c:pt>
                <c:pt idx="58">
                  <c:v>182719.3111073357</c:v>
                </c:pt>
                <c:pt idx="59">
                  <c:v>185869.64405746217</c:v>
                </c:pt>
                <c:pt idx="60">
                  <c:v>189019.97700758866</c:v>
                </c:pt>
                <c:pt idx="61">
                  <c:v>192170.30995771513</c:v>
                </c:pt>
                <c:pt idx="62">
                  <c:v>195320.6429078416</c:v>
                </c:pt>
                <c:pt idx="63">
                  <c:v>198470.97585796809</c:v>
                </c:pt>
                <c:pt idx="64">
                  <c:v>201621.30880809456</c:v>
                </c:pt>
                <c:pt idx="65">
                  <c:v>204771.64175822103</c:v>
                </c:pt>
                <c:pt idx="66">
                  <c:v>207921.97470834752</c:v>
                </c:pt>
                <c:pt idx="67">
                  <c:v>211072.30765847399</c:v>
                </c:pt>
                <c:pt idx="68">
                  <c:v>214222.64060860046</c:v>
                </c:pt>
                <c:pt idx="69">
                  <c:v>217372.97355872695</c:v>
                </c:pt>
                <c:pt idx="70">
                  <c:v>220523.30650885342</c:v>
                </c:pt>
                <c:pt idx="71">
                  <c:v>223673.63945897992</c:v>
                </c:pt>
                <c:pt idx="72">
                  <c:v>226823.97240910638</c:v>
                </c:pt>
                <c:pt idx="73">
                  <c:v>229974.30535923285</c:v>
                </c:pt>
                <c:pt idx="74">
                  <c:v>233124.63830935935</c:v>
                </c:pt>
                <c:pt idx="75">
                  <c:v>236274.97125948581</c:v>
                </c:pt>
                <c:pt idx="76">
                  <c:v>239425.30420961228</c:v>
                </c:pt>
                <c:pt idx="77">
                  <c:v>242575.63715973878</c:v>
                </c:pt>
                <c:pt idx="78">
                  <c:v>245725.97010986524</c:v>
                </c:pt>
                <c:pt idx="79">
                  <c:v>248876.30305999171</c:v>
                </c:pt>
                <c:pt idx="80">
                  <c:v>252026.63601011821</c:v>
                </c:pt>
                <c:pt idx="81">
                  <c:v>255176.96896024467</c:v>
                </c:pt>
                <c:pt idx="82">
                  <c:v>258327.30191037114</c:v>
                </c:pt>
                <c:pt idx="83">
                  <c:v>261477.63486049764</c:v>
                </c:pt>
                <c:pt idx="84">
                  <c:v>264627.9678106241</c:v>
                </c:pt>
                <c:pt idx="85">
                  <c:v>267778.3007607506</c:v>
                </c:pt>
                <c:pt idx="86">
                  <c:v>270928.63371087704</c:v>
                </c:pt>
                <c:pt idx="87">
                  <c:v>274078.96666100353</c:v>
                </c:pt>
                <c:pt idx="88">
                  <c:v>277229.29961113003</c:v>
                </c:pt>
                <c:pt idx="89">
                  <c:v>280379.63256125647</c:v>
                </c:pt>
                <c:pt idx="90">
                  <c:v>283529.96551138296</c:v>
                </c:pt>
                <c:pt idx="91">
                  <c:v>286680.29846150946</c:v>
                </c:pt>
                <c:pt idx="92">
                  <c:v>289830.63141163596</c:v>
                </c:pt>
                <c:pt idx="93">
                  <c:v>292980.9643617624</c:v>
                </c:pt>
                <c:pt idx="94">
                  <c:v>296131.29731188889</c:v>
                </c:pt>
                <c:pt idx="95">
                  <c:v>299281.63026201539</c:v>
                </c:pt>
                <c:pt idx="96">
                  <c:v>302431.96321214183</c:v>
                </c:pt>
                <c:pt idx="97">
                  <c:v>305582.29616226832</c:v>
                </c:pt>
                <c:pt idx="98">
                  <c:v>308732.62911239482</c:v>
                </c:pt>
                <c:pt idx="99">
                  <c:v>311882.96206252126</c:v>
                </c:pt>
                <c:pt idx="100">
                  <c:v>315033.29501264775</c:v>
                </c:pt>
                <c:pt idx="101">
                  <c:v>318183.62796277425</c:v>
                </c:pt>
                <c:pt idx="102">
                  <c:v>321333.96091290069</c:v>
                </c:pt>
                <c:pt idx="103">
                  <c:v>324484.29386302718</c:v>
                </c:pt>
                <c:pt idx="104">
                  <c:v>327634.62681315368</c:v>
                </c:pt>
                <c:pt idx="105">
                  <c:v>330784.95976328012</c:v>
                </c:pt>
                <c:pt idx="106">
                  <c:v>333935.29271340661</c:v>
                </c:pt>
                <c:pt idx="107">
                  <c:v>337085.62566353311</c:v>
                </c:pt>
                <c:pt idx="108">
                  <c:v>340235.95861365955</c:v>
                </c:pt>
                <c:pt idx="109">
                  <c:v>343386.29156378604</c:v>
                </c:pt>
                <c:pt idx="110">
                  <c:v>346536.62451391254</c:v>
                </c:pt>
                <c:pt idx="111">
                  <c:v>349686.95746403898</c:v>
                </c:pt>
                <c:pt idx="112">
                  <c:v>352837.29041416547</c:v>
                </c:pt>
                <c:pt idx="113">
                  <c:v>355987.62336429197</c:v>
                </c:pt>
                <c:pt idx="114">
                  <c:v>359137.95631441841</c:v>
                </c:pt>
                <c:pt idx="115">
                  <c:v>362288.2892645449</c:v>
                </c:pt>
                <c:pt idx="116">
                  <c:v>365438.6222146714</c:v>
                </c:pt>
                <c:pt idx="117">
                  <c:v>368588.9551647979</c:v>
                </c:pt>
                <c:pt idx="118">
                  <c:v>371739.28811492433</c:v>
                </c:pt>
                <c:pt idx="119">
                  <c:v>374889.62106505083</c:v>
                </c:pt>
                <c:pt idx="120">
                  <c:v>378039.95401517733</c:v>
                </c:pt>
                <c:pt idx="121">
                  <c:v>381190.28696530376</c:v>
                </c:pt>
                <c:pt idx="122">
                  <c:v>384340.61991543026</c:v>
                </c:pt>
                <c:pt idx="123">
                  <c:v>387490.95286555676</c:v>
                </c:pt>
                <c:pt idx="124">
                  <c:v>390641.28581568319</c:v>
                </c:pt>
                <c:pt idx="125">
                  <c:v>393791.61876580969</c:v>
                </c:pt>
                <c:pt idx="126">
                  <c:v>396941.95171593619</c:v>
                </c:pt>
                <c:pt idx="127">
                  <c:v>400092.28466606262</c:v>
                </c:pt>
                <c:pt idx="128">
                  <c:v>403242.61761618912</c:v>
                </c:pt>
                <c:pt idx="129">
                  <c:v>406392.95056631562</c:v>
                </c:pt>
                <c:pt idx="130">
                  <c:v>409543.28351644205</c:v>
                </c:pt>
                <c:pt idx="131">
                  <c:v>412693.61646656855</c:v>
                </c:pt>
                <c:pt idx="132">
                  <c:v>415843.94941669505</c:v>
                </c:pt>
                <c:pt idx="133">
                  <c:v>418994.28236682148</c:v>
                </c:pt>
                <c:pt idx="134">
                  <c:v>422144.61531694798</c:v>
                </c:pt>
                <c:pt idx="135">
                  <c:v>425294.94826707448</c:v>
                </c:pt>
                <c:pt idx="136">
                  <c:v>428445.28121720091</c:v>
                </c:pt>
                <c:pt idx="137">
                  <c:v>431595.61416732741</c:v>
                </c:pt>
                <c:pt idx="138">
                  <c:v>434745.94711745391</c:v>
                </c:pt>
                <c:pt idx="139">
                  <c:v>437896.28006758034</c:v>
                </c:pt>
                <c:pt idx="140">
                  <c:v>441046.61301770684</c:v>
                </c:pt>
                <c:pt idx="141">
                  <c:v>444196.94596783334</c:v>
                </c:pt>
                <c:pt idx="142">
                  <c:v>447347.27891795983</c:v>
                </c:pt>
                <c:pt idx="143">
                  <c:v>450497.61186808627</c:v>
                </c:pt>
                <c:pt idx="144">
                  <c:v>453647.94481821277</c:v>
                </c:pt>
                <c:pt idx="145">
                  <c:v>456798.27776833926</c:v>
                </c:pt>
                <c:pt idx="146">
                  <c:v>459948.6107184657</c:v>
                </c:pt>
                <c:pt idx="147">
                  <c:v>463098.9436685922</c:v>
                </c:pt>
                <c:pt idx="148">
                  <c:v>466249.27661871869</c:v>
                </c:pt>
                <c:pt idx="149">
                  <c:v>469399.60956884513</c:v>
                </c:pt>
                <c:pt idx="150">
                  <c:v>472549.94251897163</c:v>
                </c:pt>
                <c:pt idx="151">
                  <c:v>475700.27546909812</c:v>
                </c:pt>
                <c:pt idx="152">
                  <c:v>478850.60841922456</c:v>
                </c:pt>
                <c:pt idx="153">
                  <c:v>482000.94136935106</c:v>
                </c:pt>
                <c:pt idx="154">
                  <c:v>485151.27431947755</c:v>
                </c:pt>
                <c:pt idx="155">
                  <c:v>488301.60726960399</c:v>
                </c:pt>
                <c:pt idx="156">
                  <c:v>491451.94021973049</c:v>
                </c:pt>
                <c:pt idx="157">
                  <c:v>494602.27316985698</c:v>
                </c:pt>
                <c:pt idx="158">
                  <c:v>497752.60611998342</c:v>
                </c:pt>
                <c:pt idx="159">
                  <c:v>500902.93907010992</c:v>
                </c:pt>
                <c:pt idx="160">
                  <c:v>504053.27202023641</c:v>
                </c:pt>
                <c:pt idx="161">
                  <c:v>507203.60497036285</c:v>
                </c:pt>
                <c:pt idx="162">
                  <c:v>510353.93792048935</c:v>
                </c:pt>
                <c:pt idx="163">
                  <c:v>513504.27087061584</c:v>
                </c:pt>
                <c:pt idx="164">
                  <c:v>516654.60382074228</c:v>
                </c:pt>
                <c:pt idx="165">
                  <c:v>519804.93677086878</c:v>
                </c:pt>
                <c:pt idx="166">
                  <c:v>522955.26972099527</c:v>
                </c:pt>
                <c:pt idx="167">
                  <c:v>526105.60267112171</c:v>
                </c:pt>
                <c:pt idx="168">
                  <c:v>529255.93562124821</c:v>
                </c:pt>
                <c:pt idx="169">
                  <c:v>532406.26857137471</c:v>
                </c:pt>
                <c:pt idx="170">
                  <c:v>535556.6015215012</c:v>
                </c:pt>
                <c:pt idx="171">
                  <c:v>538706.9344716277</c:v>
                </c:pt>
                <c:pt idx="172">
                  <c:v>541857.26742175408</c:v>
                </c:pt>
                <c:pt idx="173">
                  <c:v>545007.60037188057</c:v>
                </c:pt>
                <c:pt idx="174">
                  <c:v>548157.93332200707</c:v>
                </c:pt>
                <c:pt idx="175">
                  <c:v>551308.26627213357</c:v>
                </c:pt>
                <c:pt idx="176">
                  <c:v>554458.59922226006</c:v>
                </c:pt>
                <c:pt idx="177">
                  <c:v>557608.93217238656</c:v>
                </c:pt>
                <c:pt idx="178">
                  <c:v>560759.26512251294</c:v>
                </c:pt>
                <c:pt idx="179">
                  <c:v>563909.59807263943</c:v>
                </c:pt>
                <c:pt idx="180">
                  <c:v>567059.93102276593</c:v>
                </c:pt>
                <c:pt idx="181">
                  <c:v>570210.26397289243</c:v>
                </c:pt>
                <c:pt idx="182">
                  <c:v>573360.59692301892</c:v>
                </c:pt>
                <c:pt idx="183">
                  <c:v>576510.92987314542</c:v>
                </c:pt>
                <c:pt idx="184">
                  <c:v>579661.26282327191</c:v>
                </c:pt>
                <c:pt idx="185">
                  <c:v>582811.59577339829</c:v>
                </c:pt>
                <c:pt idx="186">
                  <c:v>585961.92872352479</c:v>
                </c:pt>
                <c:pt idx="187">
                  <c:v>589112.26167365129</c:v>
                </c:pt>
                <c:pt idx="188">
                  <c:v>592262.59462377778</c:v>
                </c:pt>
                <c:pt idx="189">
                  <c:v>595412.92757390428</c:v>
                </c:pt>
                <c:pt idx="190">
                  <c:v>598563.26052403077</c:v>
                </c:pt>
                <c:pt idx="191">
                  <c:v>601713.59347415715</c:v>
                </c:pt>
                <c:pt idx="192">
                  <c:v>604863.92642428365</c:v>
                </c:pt>
                <c:pt idx="193">
                  <c:v>608014.25937441015</c:v>
                </c:pt>
                <c:pt idx="194">
                  <c:v>611164.59232453664</c:v>
                </c:pt>
                <c:pt idx="195">
                  <c:v>614314.92527466314</c:v>
                </c:pt>
                <c:pt idx="196">
                  <c:v>617465.25822478964</c:v>
                </c:pt>
                <c:pt idx="197">
                  <c:v>620615.59117491602</c:v>
                </c:pt>
                <c:pt idx="198">
                  <c:v>623765.92412504251</c:v>
                </c:pt>
                <c:pt idx="199">
                  <c:v>626916.25707516901</c:v>
                </c:pt>
                <c:pt idx="200">
                  <c:v>630066.5900252955</c:v>
                </c:pt>
                <c:pt idx="201">
                  <c:v>633216.922975422</c:v>
                </c:pt>
                <c:pt idx="202">
                  <c:v>636367.2559255485</c:v>
                </c:pt>
                <c:pt idx="203">
                  <c:v>639517.58887567488</c:v>
                </c:pt>
                <c:pt idx="204">
                  <c:v>642667.92182580137</c:v>
                </c:pt>
                <c:pt idx="205">
                  <c:v>645818.25477592787</c:v>
                </c:pt>
                <c:pt idx="206">
                  <c:v>648968.58772605436</c:v>
                </c:pt>
                <c:pt idx="207">
                  <c:v>652118.92067618086</c:v>
                </c:pt>
                <c:pt idx="208">
                  <c:v>655269.25362630736</c:v>
                </c:pt>
                <c:pt idx="209">
                  <c:v>658419.58657643385</c:v>
                </c:pt>
                <c:pt idx="210">
                  <c:v>661569.91952656023</c:v>
                </c:pt>
                <c:pt idx="211">
                  <c:v>664720.25247668673</c:v>
                </c:pt>
                <c:pt idx="212">
                  <c:v>667870.58542681322</c:v>
                </c:pt>
                <c:pt idx="213">
                  <c:v>671020.91837693972</c:v>
                </c:pt>
                <c:pt idx="214">
                  <c:v>674171.25132706622</c:v>
                </c:pt>
                <c:pt idx="215">
                  <c:v>677321.58427719271</c:v>
                </c:pt>
                <c:pt idx="216">
                  <c:v>680471.91722731909</c:v>
                </c:pt>
                <c:pt idx="217">
                  <c:v>683622.25017744559</c:v>
                </c:pt>
                <c:pt idx="218">
                  <c:v>686772.58312757208</c:v>
                </c:pt>
                <c:pt idx="219">
                  <c:v>689922.91607769858</c:v>
                </c:pt>
                <c:pt idx="220">
                  <c:v>693073.24902782508</c:v>
                </c:pt>
                <c:pt idx="221">
                  <c:v>696223.58197795157</c:v>
                </c:pt>
                <c:pt idx="222">
                  <c:v>699373.91492807795</c:v>
                </c:pt>
                <c:pt idx="223">
                  <c:v>702524.24787820445</c:v>
                </c:pt>
                <c:pt idx="224">
                  <c:v>705674.58082833095</c:v>
                </c:pt>
                <c:pt idx="225">
                  <c:v>708824.91377845744</c:v>
                </c:pt>
                <c:pt idx="226">
                  <c:v>711975.24672858394</c:v>
                </c:pt>
                <c:pt idx="227">
                  <c:v>715125.57967871043</c:v>
                </c:pt>
                <c:pt idx="228">
                  <c:v>718275.91262883681</c:v>
                </c:pt>
                <c:pt idx="229">
                  <c:v>721426.24557896331</c:v>
                </c:pt>
                <c:pt idx="230">
                  <c:v>724576.57852908981</c:v>
                </c:pt>
                <c:pt idx="231">
                  <c:v>727726.9114792163</c:v>
                </c:pt>
                <c:pt idx="232">
                  <c:v>730877.2444293428</c:v>
                </c:pt>
                <c:pt idx="233">
                  <c:v>734027.57737946929</c:v>
                </c:pt>
                <c:pt idx="234">
                  <c:v>737177.91032959579</c:v>
                </c:pt>
                <c:pt idx="235">
                  <c:v>740328.24327972217</c:v>
                </c:pt>
                <c:pt idx="236">
                  <c:v>743478.57622984867</c:v>
                </c:pt>
                <c:pt idx="237">
                  <c:v>746628.90917997516</c:v>
                </c:pt>
                <c:pt idx="238">
                  <c:v>749779.24213010166</c:v>
                </c:pt>
                <c:pt idx="239">
                  <c:v>752929.57508022815</c:v>
                </c:pt>
                <c:pt idx="240">
                  <c:v>756079.90803035465</c:v>
                </c:pt>
                <c:pt idx="241">
                  <c:v>759230.24098048103</c:v>
                </c:pt>
                <c:pt idx="242">
                  <c:v>762380.57393060753</c:v>
                </c:pt>
                <c:pt idx="243">
                  <c:v>765530.90688073402</c:v>
                </c:pt>
                <c:pt idx="244">
                  <c:v>768681.23983086052</c:v>
                </c:pt>
                <c:pt idx="245">
                  <c:v>771831.57278098701</c:v>
                </c:pt>
                <c:pt idx="246">
                  <c:v>774981.90573111351</c:v>
                </c:pt>
                <c:pt idx="247">
                  <c:v>778132.23868123989</c:v>
                </c:pt>
                <c:pt idx="248">
                  <c:v>781282.57163136639</c:v>
                </c:pt>
                <c:pt idx="249">
                  <c:v>784432.90458149288</c:v>
                </c:pt>
                <c:pt idx="250">
                  <c:v>787583.23753161938</c:v>
                </c:pt>
                <c:pt idx="251">
                  <c:v>790733.57048174588</c:v>
                </c:pt>
                <c:pt idx="252">
                  <c:v>793883.90343187237</c:v>
                </c:pt>
                <c:pt idx="253">
                  <c:v>797034.23638199875</c:v>
                </c:pt>
                <c:pt idx="254">
                  <c:v>800184.56933212525</c:v>
                </c:pt>
                <c:pt idx="255">
                  <c:v>803334.90228225174</c:v>
                </c:pt>
                <c:pt idx="256">
                  <c:v>806485.23523237824</c:v>
                </c:pt>
                <c:pt idx="257">
                  <c:v>809635.56818250474</c:v>
                </c:pt>
                <c:pt idx="258">
                  <c:v>812785.90113263123</c:v>
                </c:pt>
                <c:pt idx="259">
                  <c:v>815936.23408275773</c:v>
                </c:pt>
                <c:pt idx="260">
                  <c:v>819086.56703288411</c:v>
                </c:pt>
                <c:pt idx="261">
                  <c:v>822236.8999830106</c:v>
                </c:pt>
                <c:pt idx="262">
                  <c:v>825387.2329331371</c:v>
                </c:pt>
                <c:pt idx="263">
                  <c:v>828537.5658832636</c:v>
                </c:pt>
                <c:pt idx="264">
                  <c:v>831687.89883339009</c:v>
                </c:pt>
                <c:pt idx="265">
                  <c:v>834838.23178351659</c:v>
                </c:pt>
                <c:pt idx="266">
                  <c:v>837988.56473364297</c:v>
                </c:pt>
                <c:pt idx="267">
                  <c:v>841138.89768376946</c:v>
                </c:pt>
                <c:pt idx="268">
                  <c:v>844289.23063389596</c:v>
                </c:pt>
                <c:pt idx="269">
                  <c:v>847439.56358402246</c:v>
                </c:pt>
                <c:pt idx="270">
                  <c:v>850589.89653414895</c:v>
                </c:pt>
                <c:pt idx="271">
                  <c:v>853740.22948427545</c:v>
                </c:pt>
                <c:pt idx="272">
                  <c:v>856890.56243440183</c:v>
                </c:pt>
                <c:pt idx="273">
                  <c:v>860040.89538452832</c:v>
                </c:pt>
                <c:pt idx="274">
                  <c:v>863191.22833465482</c:v>
                </c:pt>
                <c:pt idx="275">
                  <c:v>866341.56128478132</c:v>
                </c:pt>
                <c:pt idx="276">
                  <c:v>869491.89423490781</c:v>
                </c:pt>
                <c:pt idx="277">
                  <c:v>872642.22718503431</c:v>
                </c:pt>
                <c:pt idx="278">
                  <c:v>875792.56013516069</c:v>
                </c:pt>
                <c:pt idx="279">
                  <c:v>878942.89308528719</c:v>
                </c:pt>
                <c:pt idx="280">
                  <c:v>882093.22603541368</c:v>
                </c:pt>
                <c:pt idx="281">
                  <c:v>885243.55898554018</c:v>
                </c:pt>
                <c:pt idx="282">
                  <c:v>888393.89193566667</c:v>
                </c:pt>
                <c:pt idx="283">
                  <c:v>891544.22488579317</c:v>
                </c:pt>
                <c:pt idx="284">
                  <c:v>894694.55783591967</c:v>
                </c:pt>
                <c:pt idx="285">
                  <c:v>897844.89078604605</c:v>
                </c:pt>
                <c:pt idx="286">
                  <c:v>900995.22373617254</c:v>
                </c:pt>
                <c:pt idx="287">
                  <c:v>904145.55668629904</c:v>
                </c:pt>
                <c:pt idx="288">
                  <c:v>907295.88963642553</c:v>
                </c:pt>
                <c:pt idx="289">
                  <c:v>910446.22258655203</c:v>
                </c:pt>
                <c:pt idx="290">
                  <c:v>913596.55553667853</c:v>
                </c:pt>
                <c:pt idx="291">
                  <c:v>916746.88848680491</c:v>
                </c:pt>
                <c:pt idx="292">
                  <c:v>919897.2214369314</c:v>
                </c:pt>
                <c:pt idx="293">
                  <c:v>923047.5543870579</c:v>
                </c:pt>
                <c:pt idx="294">
                  <c:v>926197.88733718439</c:v>
                </c:pt>
                <c:pt idx="295">
                  <c:v>929348.22028731089</c:v>
                </c:pt>
                <c:pt idx="296">
                  <c:v>932498.55323743739</c:v>
                </c:pt>
                <c:pt idx="297">
                  <c:v>935648.88618756377</c:v>
                </c:pt>
                <c:pt idx="298">
                  <c:v>938799.21913769026</c:v>
                </c:pt>
                <c:pt idx="299">
                  <c:v>941949.55208781676</c:v>
                </c:pt>
                <c:pt idx="300">
                  <c:v>945099.88503794326</c:v>
                </c:pt>
                <c:pt idx="301">
                  <c:v>948250.21798806975</c:v>
                </c:pt>
                <c:pt idx="302">
                  <c:v>951400.55093819625</c:v>
                </c:pt>
                <c:pt idx="303">
                  <c:v>954550.88388832263</c:v>
                </c:pt>
                <c:pt idx="304">
                  <c:v>957701.21683844912</c:v>
                </c:pt>
                <c:pt idx="305">
                  <c:v>960851.54978857562</c:v>
                </c:pt>
                <c:pt idx="306">
                  <c:v>964001.88273870212</c:v>
                </c:pt>
                <c:pt idx="307">
                  <c:v>967152.21568882861</c:v>
                </c:pt>
                <c:pt idx="308">
                  <c:v>970302.54863895511</c:v>
                </c:pt>
                <c:pt idx="309">
                  <c:v>973452.8815890816</c:v>
                </c:pt>
                <c:pt idx="310">
                  <c:v>976603.21453920798</c:v>
                </c:pt>
                <c:pt idx="311">
                  <c:v>979753.54748933448</c:v>
                </c:pt>
                <c:pt idx="312">
                  <c:v>982903.88043946098</c:v>
                </c:pt>
                <c:pt idx="313">
                  <c:v>986054.21338958747</c:v>
                </c:pt>
                <c:pt idx="314">
                  <c:v>989204.54633971397</c:v>
                </c:pt>
                <c:pt idx="315">
                  <c:v>992354.87928984046</c:v>
                </c:pt>
                <c:pt idx="316">
                  <c:v>995505.21223996684</c:v>
                </c:pt>
                <c:pt idx="317">
                  <c:v>998655.54519009334</c:v>
                </c:pt>
                <c:pt idx="318">
                  <c:v>1001805.8781402198</c:v>
                </c:pt>
                <c:pt idx="319">
                  <c:v>1004956.2110903463</c:v>
                </c:pt>
                <c:pt idx="320">
                  <c:v>1008106.5440404728</c:v>
                </c:pt>
                <c:pt idx="321">
                  <c:v>1011256.8769905993</c:v>
                </c:pt>
                <c:pt idx="322">
                  <c:v>1014407.2099407257</c:v>
                </c:pt>
                <c:pt idx="323">
                  <c:v>1017557.5428908522</c:v>
                </c:pt>
                <c:pt idx="324">
                  <c:v>1020707.8758409787</c:v>
                </c:pt>
                <c:pt idx="325">
                  <c:v>1023858.2087911052</c:v>
                </c:pt>
                <c:pt idx="326">
                  <c:v>1027008.5417412317</c:v>
                </c:pt>
                <c:pt idx="327">
                  <c:v>1030158.8746913582</c:v>
                </c:pt>
                <c:pt idx="328">
                  <c:v>1033309.2076414846</c:v>
                </c:pt>
                <c:pt idx="329">
                  <c:v>1036459.5405916111</c:v>
                </c:pt>
                <c:pt idx="330">
                  <c:v>1039609.8735417376</c:v>
                </c:pt>
                <c:pt idx="331">
                  <c:v>1042760.2064918641</c:v>
                </c:pt>
                <c:pt idx="332">
                  <c:v>1045910.5394419905</c:v>
                </c:pt>
                <c:pt idx="333">
                  <c:v>1049060.872392117</c:v>
                </c:pt>
                <c:pt idx="334">
                  <c:v>1052211.2053422434</c:v>
                </c:pt>
                <c:pt idx="335">
                  <c:v>1055361.53829237</c:v>
                </c:pt>
                <c:pt idx="336">
                  <c:v>1058511.8712424964</c:v>
                </c:pt>
                <c:pt idx="337">
                  <c:v>1061662.204192623</c:v>
                </c:pt>
                <c:pt idx="338">
                  <c:v>1064812.5371427494</c:v>
                </c:pt>
                <c:pt idx="339">
                  <c:v>1067962.8700928758</c:v>
                </c:pt>
                <c:pt idx="340">
                  <c:v>1071113.2030430024</c:v>
                </c:pt>
                <c:pt idx="341">
                  <c:v>1074263.5359931288</c:v>
                </c:pt>
                <c:pt idx="342">
                  <c:v>1077413.8689432554</c:v>
                </c:pt>
                <c:pt idx="343">
                  <c:v>1080564.2018933818</c:v>
                </c:pt>
                <c:pt idx="344">
                  <c:v>1083714.5348435082</c:v>
                </c:pt>
                <c:pt idx="345">
                  <c:v>1086864.8677936348</c:v>
                </c:pt>
                <c:pt idx="346">
                  <c:v>1090015.2007437611</c:v>
                </c:pt>
                <c:pt idx="347">
                  <c:v>1093165.5336938878</c:v>
                </c:pt>
                <c:pt idx="348">
                  <c:v>1096315.8666440141</c:v>
                </c:pt>
                <c:pt idx="349">
                  <c:v>1099466.1995941408</c:v>
                </c:pt>
                <c:pt idx="350">
                  <c:v>1102616.5325442671</c:v>
                </c:pt>
                <c:pt idx="351">
                  <c:v>1105766.8654943935</c:v>
                </c:pt>
                <c:pt idx="352">
                  <c:v>1108917.1984445201</c:v>
                </c:pt>
                <c:pt idx="353">
                  <c:v>1112067.5313946465</c:v>
                </c:pt>
                <c:pt idx="354">
                  <c:v>1115217.8643447731</c:v>
                </c:pt>
                <c:pt idx="355">
                  <c:v>1118368.1972948995</c:v>
                </c:pt>
                <c:pt idx="356">
                  <c:v>1121518.5302450259</c:v>
                </c:pt>
                <c:pt idx="357">
                  <c:v>1124668.8631951525</c:v>
                </c:pt>
                <c:pt idx="358">
                  <c:v>1127819.1961452789</c:v>
                </c:pt>
                <c:pt idx="359">
                  <c:v>1130969.5290954055</c:v>
                </c:pt>
                <c:pt idx="360">
                  <c:v>1134119.8620455319</c:v>
                </c:pt>
                <c:pt idx="361">
                  <c:v>1137270.1949956585</c:v>
                </c:pt>
                <c:pt idx="362">
                  <c:v>1140420.5279457849</c:v>
                </c:pt>
                <c:pt idx="363">
                  <c:v>1143570.8608959112</c:v>
                </c:pt>
                <c:pt idx="364">
                  <c:v>1146721.1938460378</c:v>
                </c:pt>
                <c:pt idx="365">
                  <c:v>1149871.5267961642</c:v>
                </c:pt>
                <c:pt idx="366">
                  <c:v>1153021.8597462908</c:v>
                </c:pt>
                <c:pt idx="367">
                  <c:v>1156172.1926964172</c:v>
                </c:pt>
                <c:pt idx="368">
                  <c:v>1159322.5256465438</c:v>
                </c:pt>
                <c:pt idx="369">
                  <c:v>1162472.8585966702</c:v>
                </c:pt>
                <c:pt idx="370">
                  <c:v>1165623.1915467966</c:v>
                </c:pt>
                <c:pt idx="371">
                  <c:v>1168773.5244969232</c:v>
                </c:pt>
                <c:pt idx="372">
                  <c:v>1171923.8574470496</c:v>
                </c:pt>
                <c:pt idx="373">
                  <c:v>1175074.1903971762</c:v>
                </c:pt>
                <c:pt idx="374">
                  <c:v>1178224.5233473026</c:v>
                </c:pt>
                <c:pt idx="375">
                  <c:v>1181374.856297429</c:v>
                </c:pt>
                <c:pt idx="376">
                  <c:v>1184525.1892475556</c:v>
                </c:pt>
                <c:pt idx="377">
                  <c:v>1187675.5221976819</c:v>
                </c:pt>
                <c:pt idx="378">
                  <c:v>1190825.8551478086</c:v>
                </c:pt>
                <c:pt idx="379">
                  <c:v>1193976.1880979349</c:v>
                </c:pt>
                <c:pt idx="380">
                  <c:v>1197126.5210480615</c:v>
                </c:pt>
                <c:pt idx="381">
                  <c:v>1200276.8539981879</c:v>
                </c:pt>
                <c:pt idx="382">
                  <c:v>1203427.1869483143</c:v>
                </c:pt>
                <c:pt idx="383">
                  <c:v>1206577.5198984409</c:v>
                </c:pt>
                <c:pt idx="384">
                  <c:v>1209727.8528485673</c:v>
                </c:pt>
                <c:pt idx="385">
                  <c:v>1212878.1857986939</c:v>
                </c:pt>
                <c:pt idx="386">
                  <c:v>1216028.5187488203</c:v>
                </c:pt>
                <c:pt idx="387">
                  <c:v>1219178.8516989469</c:v>
                </c:pt>
                <c:pt idx="388">
                  <c:v>1222329.1846490733</c:v>
                </c:pt>
                <c:pt idx="389">
                  <c:v>1225479.5175991997</c:v>
                </c:pt>
                <c:pt idx="390">
                  <c:v>1228629.8505493263</c:v>
                </c:pt>
                <c:pt idx="391">
                  <c:v>1231780.1834994527</c:v>
                </c:pt>
                <c:pt idx="392">
                  <c:v>1234930.5164495793</c:v>
                </c:pt>
                <c:pt idx="393">
                  <c:v>1238080.8493997057</c:v>
                </c:pt>
                <c:pt idx="394">
                  <c:v>1241231.182349832</c:v>
                </c:pt>
                <c:pt idx="395">
                  <c:v>1244381.5152999586</c:v>
                </c:pt>
                <c:pt idx="396">
                  <c:v>1247531.848250085</c:v>
                </c:pt>
                <c:pt idx="397">
                  <c:v>1250682.1812002116</c:v>
                </c:pt>
                <c:pt idx="398">
                  <c:v>1253832.514150338</c:v>
                </c:pt>
                <c:pt idx="399">
                  <c:v>1256982.8471004646</c:v>
                </c:pt>
                <c:pt idx="400">
                  <c:v>1260133.180050591</c:v>
                </c:pt>
                <c:pt idx="401">
                  <c:v>1263283.5130007174</c:v>
                </c:pt>
                <c:pt idx="402">
                  <c:v>1266433.845950844</c:v>
                </c:pt>
                <c:pt idx="403">
                  <c:v>1269584.1789009704</c:v>
                </c:pt>
                <c:pt idx="404">
                  <c:v>1272734.511851097</c:v>
                </c:pt>
                <c:pt idx="405">
                  <c:v>1275884.8448012234</c:v>
                </c:pt>
                <c:pt idx="406">
                  <c:v>1279035.1777513498</c:v>
                </c:pt>
                <c:pt idx="407">
                  <c:v>1282185.5107014764</c:v>
                </c:pt>
                <c:pt idx="408">
                  <c:v>1285335.8436516027</c:v>
                </c:pt>
                <c:pt idx="409">
                  <c:v>1288486.1766017294</c:v>
                </c:pt>
                <c:pt idx="410">
                  <c:v>1291636.5095518557</c:v>
                </c:pt>
                <c:pt idx="411">
                  <c:v>1294786.8425019823</c:v>
                </c:pt>
                <c:pt idx="412">
                  <c:v>1297937.1754521087</c:v>
                </c:pt>
                <c:pt idx="413">
                  <c:v>1301087.5084022351</c:v>
                </c:pt>
                <c:pt idx="414">
                  <c:v>1304237.8413523617</c:v>
                </c:pt>
                <c:pt idx="415">
                  <c:v>1307388.1743024881</c:v>
                </c:pt>
                <c:pt idx="416">
                  <c:v>1310538.5072526147</c:v>
                </c:pt>
                <c:pt idx="417">
                  <c:v>1313688.8402027411</c:v>
                </c:pt>
                <c:pt idx="418">
                  <c:v>1316839.1731528677</c:v>
                </c:pt>
                <c:pt idx="419">
                  <c:v>1319989.5061029941</c:v>
                </c:pt>
                <c:pt idx="420">
                  <c:v>1323139.8390531205</c:v>
                </c:pt>
                <c:pt idx="421">
                  <c:v>1326290.1720032471</c:v>
                </c:pt>
                <c:pt idx="422">
                  <c:v>1329440.5049533735</c:v>
                </c:pt>
                <c:pt idx="423">
                  <c:v>1332590.8379035001</c:v>
                </c:pt>
                <c:pt idx="424">
                  <c:v>1335741.1708536264</c:v>
                </c:pt>
                <c:pt idx="425">
                  <c:v>1338891.5038037528</c:v>
                </c:pt>
                <c:pt idx="426">
                  <c:v>1342041.8367538794</c:v>
                </c:pt>
                <c:pt idx="427">
                  <c:v>1345192.1697040058</c:v>
                </c:pt>
                <c:pt idx="428">
                  <c:v>1348342.5026541324</c:v>
                </c:pt>
                <c:pt idx="429">
                  <c:v>1351492.8356042588</c:v>
                </c:pt>
                <c:pt idx="430">
                  <c:v>1354643.1685543854</c:v>
                </c:pt>
                <c:pt idx="431">
                  <c:v>1357793.5015045118</c:v>
                </c:pt>
                <c:pt idx="432">
                  <c:v>1360943.8344546382</c:v>
                </c:pt>
                <c:pt idx="433">
                  <c:v>1364094.1674047648</c:v>
                </c:pt>
                <c:pt idx="434">
                  <c:v>1367244.5003548912</c:v>
                </c:pt>
                <c:pt idx="435">
                  <c:v>1370394.8333050178</c:v>
                </c:pt>
                <c:pt idx="436">
                  <c:v>1373545.1662551442</c:v>
                </c:pt>
                <c:pt idx="437">
                  <c:v>1376695.4992052708</c:v>
                </c:pt>
                <c:pt idx="438">
                  <c:v>1379845.8321553972</c:v>
                </c:pt>
                <c:pt idx="439">
                  <c:v>1382996.1651055235</c:v>
                </c:pt>
                <c:pt idx="440">
                  <c:v>1386146.4980556502</c:v>
                </c:pt>
                <c:pt idx="441">
                  <c:v>1389296.8310057765</c:v>
                </c:pt>
                <c:pt idx="442">
                  <c:v>1392447.1639559031</c:v>
                </c:pt>
                <c:pt idx="443">
                  <c:v>1395597.4969060295</c:v>
                </c:pt>
                <c:pt idx="444">
                  <c:v>1398747.8298561559</c:v>
                </c:pt>
                <c:pt idx="445">
                  <c:v>1401898.1628062825</c:v>
                </c:pt>
                <c:pt idx="446">
                  <c:v>1405048.4957564089</c:v>
                </c:pt>
                <c:pt idx="447">
                  <c:v>1408198.8287065355</c:v>
                </c:pt>
                <c:pt idx="448">
                  <c:v>1411349.1616566619</c:v>
                </c:pt>
                <c:pt idx="449">
                  <c:v>1414499.4946067885</c:v>
                </c:pt>
                <c:pt idx="450">
                  <c:v>1417649.8275569149</c:v>
                </c:pt>
                <c:pt idx="451">
                  <c:v>1420800.1605070413</c:v>
                </c:pt>
                <c:pt idx="452">
                  <c:v>1423950.4934571679</c:v>
                </c:pt>
                <c:pt idx="453">
                  <c:v>1427100.8264072943</c:v>
                </c:pt>
                <c:pt idx="454">
                  <c:v>1430251.1593574209</c:v>
                </c:pt>
                <c:pt idx="455">
                  <c:v>1433401.4923075472</c:v>
                </c:pt>
                <c:pt idx="456">
                  <c:v>1436551.8252576736</c:v>
                </c:pt>
                <c:pt idx="457">
                  <c:v>1439702.1582078002</c:v>
                </c:pt>
                <c:pt idx="458">
                  <c:v>1442852.4911579266</c:v>
                </c:pt>
                <c:pt idx="459">
                  <c:v>1446002.8241080532</c:v>
                </c:pt>
                <c:pt idx="460">
                  <c:v>1449153.1570581796</c:v>
                </c:pt>
                <c:pt idx="461">
                  <c:v>1452303.4900083062</c:v>
                </c:pt>
                <c:pt idx="462">
                  <c:v>1455453.8229584326</c:v>
                </c:pt>
                <c:pt idx="463">
                  <c:v>1458604.155908559</c:v>
                </c:pt>
                <c:pt idx="464">
                  <c:v>1461754.4888586856</c:v>
                </c:pt>
                <c:pt idx="465">
                  <c:v>1464904.821808812</c:v>
                </c:pt>
                <c:pt idx="466">
                  <c:v>1468055.1547589386</c:v>
                </c:pt>
                <c:pt idx="467">
                  <c:v>1471205.487709065</c:v>
                </c:pt>
                <c:pt idx="468">
                  <c:v>1474355.8206591916</c:v>
                </c:pt>
                <c:pt idx="469">
                  <c:v>1477506.153609318</c:v>
                </c:pt>
                <c:pt idx="470">
                  <c:v>1480656.4865594443</c:v>
                </c:pt>
                <c:pt idx="471">
                  <c:v>1483806.819509571</c:v>
                </c:pt>
                <c:pt idx="472">
                  <c:v>1486957.1524596973</c:v>
                </c:pt>
                <c:pt idx="473">
                  <c:v>1490107.4854098239</c:v>
                </c:pt>
                <c:pt idx="474">
                  <c:v>1493257.8183599503</c:v>
                </c:pt>
                <c:pt idx="475">
                  <c:v>1496408.1513100767</c:v>
                </c:pt>
                <c:pt idx="476">
                  <c:v>1499558.4842602033</c:v>
                </c:pt>
                <c:pt idx="477">
                  <c:v>1502708.8172103297</c:v>
                </c:pt>
                <c:pt idx="478">
                  <c:v>1505859.1501604563</c:v>
                </c:pt>
                <c:pt idx="479">
                  <c:v>1509009.4831105827</c:v>
                </c:pt>
                <c:pt idx="480">
                  <c:v>1512159.8160607093</c:v>
                </c:pt>
                <c:pt idx="481">
                  <c:v>1515310.1490108357</c:v>
                </c:pt>
                <c:pt idx="482">
                  <c:v>1518460.4819609621</c:v>
                </c:pt>
                <c:pt idx="483">
                  <c:v>1521610.8149110887</c:v>
                </c:pt>
                <c:pt idx="484">
                  <c:v>1524761.1478612151</c:v>
                </c:pt>
                <c:pt idx="485">
                  <c:v>1527911.4808113417</c:v>
                </c:pt>
                <c:pt idx="486">
                  <c:v>1531061.813761468</c:v>
                </c:pt>
                <c:pt idx="487">
                  <c:v>1534212.1467115947</c:v>
                </c:pt>
                <c:pt idx="488">
                  <c:v>1537362.479661721</c:v>
                </c:pt>
                <c:pt idx="489">
                  <c:v>1540512.8126118474</c:v>
                </c:pt>
                <c:pt idx="490">
                  <c:v>1543663.145561974</c:v>
                </c:pt>
                <c:pt idx="491">
                  <c:v>1546813.4785121004</c:v>
                </c:pt>
                <c:pt idx="492">
                  <c:v>1549963.811462227</c:v>
                </c:pt>
                <c:pt idx="493">
                  <c:v>1553114.1444123534</c:v>
                </c:pt>
                <c:pt idx="494">
                  <c:v>1556264.4773624798</c:v>
                </c:pt>
                <c:pt idx="495">
                  <c:v>1559414.8103126064</c:v>
                </c:pt>
                <c:pt idx="496">
                  <c:v>1562565.1432627328</c:v>
                </c:pt>
                <c:pt idx="497">
                  <c:v>1565715.4762128594</c:v>
                </c:pt>
                <c:pt idx="498">
                  <c:v>1568865.8091629858</c:v>
                </c:pt>
                <c:pt idx="499">
                  <c:v>1572016.1421131124</c:v>
                </c:pt>
                <c:pt idx="500">
                  <c:v>1575166.4750632388</c:v>
                </c:pt>
                <c:pt idx="501">
                  <c:v>1578316.8080133651</c:v>
                </c:pt>
                <c:pt idx="502">
                  <c:v>1581467.1409634918</c:v>
                </c:pt>
                <c:pt idx="503">
                  <c:v>1584617.4739136181</c:v>
                </c:pt>
                <c:pt idx="504">
                  <c:v>1587767.8068637447</c:v>
                </c:pt>
                <c:pt idx="505">
                  <c:v>1590918.1398138711</c:v>
                </c:pt>
                <c:pt idx="506">
                  <c:v>1594068.4727639975</c:v>
                </c:pt>
                <c:pt idx="507">
                  <c:v>1597218.8057141241</c:v>
                </c:pt>
                <c:pt idx="508">
                  <c:v>1600369.1386642505</c:v>
                </c:pt>
                <c:pt idx="509">
                  <c:v>1603519.4716143771</c:v>
                </c:pt>
                <c:pt idx="510">
                  <c:v>1606669.8045645035</c:v>
                </c:pt>
                <c:pt idx="511">
                  <c:v>1609820.1375146301</c:v>
                </c:pt>
                <c:pt idx="512">
                  <c:v>1612970.4704647565</c:v>
                </c:pt>
                <c:pt idx="513">
                  <c:v>1616120.8034148829</c:v>
                </c:pt>
                <c:pt idx="514">
                  <c:v>1619271.1363650095</c:v>
                </c:pt>
                <c:pt idx="515">
                  <c:v>1622421.4693151359</c:v>
                </c:pt>
                <c:pt idx="516">
                  <c:v>1625571.8022652625</c:v>
                </c:pt>
                <c:pt idx="517">
                  <c:v>1628722.1352153888</c:v>
                </c:pt>
                <c:pt idx="518">
                  <c:v>1631872.4681655155</c:v>
                </c:pt>
                <c:pt idx="519">
                  <c:v>1635022.8011156418</c:v>
                </c:pt>
                <c:pt idx="520">
                  <c:v>1638173.1340657682</c:v>
                </c:pt>
                <c:pt idx="521">
                  <c:v>1641323.4670158948</c:v>
                </c:pt>
                <c:pt idx="522">
                  <c:v>1644473.7999660212</c:v>
                </c:pt>
                <c:pt idx="523">
                  <c:v>1647624.1329161478</c:v>
                </c:pt>
                <c:pt idx="524">
                  <c:v>1650774.4658662742</c:v>
                </c:pt>
                <c:pt idx="525">
                  <c:v>1653924.7988164006</c:v>
                </c:pt>
                <c:pt idx="526">
                  <c:v>1657075.1317665272</c:v>
                </c:pt>
                <c:pt idx="527">
                  <c:v>1660225.4647166536</c:v>
                </c:pt>
                <c:pt idx="528">
                  <c:v>1663375.7976667802</c:v>
                </c:pt>
                <c:pt idx="529">
                  <c:v>1666526.1306169066</c:v>
                </c:pt>
                <c:pt idx="530">
                  <c:v>1669676.4635670332</c:v>
                </c:pt>
                <c:pt idx="531">
                  <c:v>1672826.7965171596</c:v>
                </c:pt>
                <c:pt idx="532">
                  <c:v>1675977.1294672859</c:v>
                </c:pt>
                <c:pt idx="533">
                  <c:v>1679127.4624174125</c:v>
                </c:pt>
                <c:pt idx="534">
                  <c:v>1682277.7953675389</c:v>
                </c:pt>
                <c:pt idx="535">
                  <c:v>1685428.1283176655</c:v>
                </c:pt>
                <c:pt idx="536">
                  <c:v>1688578.4612677919</c:v>
                </c:pt>
                <c:pt idx="537">
                  <c:v>1691728.7942179183</c:v>
                </c:pt>
                <c:pt idx="538">
                  <c:v>1694879.1271680449</c:v>
                </c:pt>
                <c:pt idx="539">
                  <c:v>1698029.4601181713</c:v>
                </c:pt>
                <c:pt idx="540">
                  <c:v>1701179.7930682979</c:v>
                </c:pt>
                <c:pt idx="541">
                  <c:v>1704330.1260184243</c:v>
                </c:pt>
                <c:pt idx="542">
                  <c:v>1707480.4589685509</c:v>
                </c:pt>
                <c:pt idx="543">
                  <c:v>1710630.7919186773</c:v>
                </c:pt>
                <c:pt idx="544">
                  <c:v>1713781.1248688037</c:v>
                </c:pt>
                <c:pt idx="545">
                  <c:v>1716931.4578189303</c:v>
                </c:pt>
                <c:pt idx="546">
                  <c:v>1720081.7907690566</c:v>
                </c:pt>
                <c:pt idx="547">
                  <c:v>1723232.1237191833</c:v>
                </c:pt>
                <c:pt idx="548">
                  <c:v>1726382.4566693096</c:v>
                </c:pt>
                <c:pt idx="549">
                  <c:v>1729532.7896194363</c:v>
                </c:pt>
                <c:pt idx="550">
                  <c:v>1732683.1225695626</c:v>
                </c:pt>
                <c:pt idx="551">
                  <c:v>1735833.455519689</c:v>
                </c:pt>
                <c:pt idx="552">
                  <c:v>1738983.7884698156</c:v>
                </c:pt>
                <c:pt idx="553">
                  <c:v>1742134.121419942</c:v>
                </c:pt>
                <c:pt idx="554">
                  <c:v>1745284.4543700686</c:v>
                </c:pt>
                <c:pt idx="555">
                  <c:v>1748434.787320195</c:v>
                </c:pt>
                <c:pt idx="556">
                  <c:v>1751585.1202703214</c:v>
                </c:pt>
                <c:pt idx="557">
                  <c:v>1754735.453220448</c:v>
                </c:pt>
                <c:pt idx="558">
                  <c:v>1757885.7861705744</c:v>
                </c:pt>
                <c:pt idx="559">
                  <c:v>1761036.119120701</c:v>
                </c:pt>
                <c:pt idx="560">
                  <c:v>1764186.4520708274</c:v>
                </c:pt>
                <c:pt idx="561">
                  <c:v>1767336.785020954</c:v>
                </c:pt>
                <c:pt idx="562">
                  <c:v>1770487.1179710804</c:v>
                </c:pt>
                <c:pt idx="563">
                  <c:v>1773637.4509212067</c:v>
                </c:pt>
                <c:pt idx="564">
                  <c:v>1776787.7838713333</c:v>
                </c:pt>
                <c:pt idx="565">
                  <c:v>1779938.1168214597</c:v>
                </c:pt>
                <c:pt idx="566">
                  <c:v>1783088.4497715863</c:v>
                </c:pt>
                <c:pt idx="567">
                  <c:v>1786238.7827217127</c:v>
                </c:pt>
                <c:pt idx="568">
                  <c:v>1789389.1156718393</c:v>
                </c:pt>
                <c:pt idx="569">
                  <c:v>1792539.4486219657</c:v>
                </c:pt>
                <c:pt idx="570">
                  <c:v>1795689.7815720921</c:v>
                </c:pt>
                <c:pt idx="571">
                  <c:v>1798840.1145222187</c:v>
                </c:pt>
                <c:pt idx="572">
                  <c:v>1801990.4474723451</c:v>
                </c:pt>
                <c:pt idx="573">
                  <c:v>1805140.7804224717</c:v>
                </c:pt>
                <c:pt idx="574">
                  <c:v>1808291.1133725981</c:v>
                </c:pt>
                <c:pt idx="575">
                  <c:v>1811441.4463227245</c:v>
                </c:pt>
                <c:pt idx="576">
                  <c:v>1814591.7792728511</c:v>
                </c:pt>
                <c:pt idx="577">
                  <c:v>1817742.1122229774</c:v>
                </c:pt>
                <c:pt idx="578">
                  <c:v>1820892.4451731041</c:v>
                </c:pt>
                <c:pt idx="579">
                  <c:v>1824042.7781232304</c:v>
                </c:pt>
                <c:pt idx="580">
                  <c:v>1827193.1110733571</c:v>
                </c:pt>
                <c:pt idx="581">
                  <c:v>1830343.4440234834</c:v>
                </c:pt>
                <c:pt idx="582">
                  <c:v>1833493.7769736098</c:v>
                </c:pt>
                <c:pt idx="583">
                  <c:v>1836644.1099237364</c:v>
                </c:pt>
                <c:pt idx="584">
                  <c:v>1839794.4428738628</c:v>
                </c:pt>
                <c:pt idx="585">
                  <c:v>1842944.7758239894</c:v>
                </c:pt>
                <c:pt idx="586">
                  <c:v>1846095.1087741158</c:v>
                </c:pt>
                <c:pt idx="587">
                  <c:v>1849245.4417242422</c:v>
                </c:pt>
                <c:pt idx="588">
                  <c:v>1852395.7746743688</c:v>
                </c:pt>
                <c:pt idx="589">
                  <c:v>1855546.1076244952</c:v>
                </c:pt>
                <c:pt idx="590">
                  <c:v>1858696.4405746218</c:v>
                </c:pt>
                <c:pt idx="591">
                  <c:v>1861846.7735247482</c:v>
                </c:pt>
                <c:pt idx="592">
                  <c:v>1864997.1064748748</c:v>
                </c:pt>
                <c:pt idx="593">
                  <c:v>1868147.4394250012</c:v>
                </c:pt>
                <c:pt idx="594">
                  <c:v>1871297.7723751275</c:v>
                </c:pt>
                <c:pt idx="595">
                  <c:v>1874448.1053252541</c:v>
                </c:pt>
                <c:pt idx="596">
                  <c:v>1877598.4382753805</c:v>
                </c:pt>
                <c:pt idx="597">
                  <c:v>1880748.7712255071</c:v>
                </c:pt>
                <c:pt idx="598">
                  <c:v>1883899.1041756335</c:v>
                </c:pt>
                <c:pt idx="599">
                  <c:v>1887049.4371257601</c:v>
                </c:pt>
                <c:pt idx="600">
                  <c:v>1890199.7700758865</c:v>
                </c:pt>
                <c:pt idx="601">
                  <c:v>1893350.1030260129</c:v>
                </c:pt>
                <c:pt idx="602">
                  <c:v>1896500.4359761395</c:v>
                </c:pt>
                <c:pt idx="603">
                  <c:v>1899650.7689262659</c:v>
                </c:pt>
                <c:pt idx="604">
                  <c:v>1902801.1018763925</c:v>
                </c:pt>
                <c:pt idx="605">
                  <c:v>1905951.4348265189</c:v>
                </c:pt>
                <c:pt idx="606">
                  <c:v>1909101.7677766453</c:v>
                </c:pt>
                <c:pt idx="607">
                  <c:v>1912252.1007267719</c:v>
                </c:pt>
                <c:pt idx="608">
                  <c:v>1915402.4336768982</c:v>
                </c:pt>
                <c:pt idx="609">
                  <c:v>1918552.7666270249</c:v>
                </c:pt>
                <c:pt idx="610">
                  <c:v>1921703.0995771512</c:v>
                </c:pt>
                <c:pt idx="611">
                  <c:v>1924853.4325272779</c:v>
                </c:pt>
                <c:pt idx="612">
                  <c:v>1928003.7654774042</c:v>
                </c:pt>
                <c:pt idx="613">
                  <c:v>1931154.0984275306</c:v>
                </c:pt>
                <c:pt idx="614">
                  <c:v>1934304.4313776572</c:v>
                </c:pt>
                <c:pt idx="615">
                  <c:v>1937454.7643277836</c:v>
                </c:pt>
                <c:pt idx="616">
                  <c:v>1940605.0972779102</c:v>
                </c:pt>
                <c:pt idx="617">
                  <c:v>1943755.4302280366</c:v>
                </c:pt>
                <c:pt idx="618">
                  <c:v>1946905.7631781632</c:v>
                </c:pt>
                <c:pt idx="619">
                  <c:v>1950056.0961282896</c:v>
                </c:pt>
                <c:pt idx="620">
                  <c:v>1953206.429078416</c:v>
                </c:pt>
                <c:pt idx="621">
                  <c:v>1956356.7620285426</c:v>
                </c:pt>
                <c:pt idx="622">
                  <c:v>1959507.094978669</c:v>
                </c:pt>
                <c:pt idx="623">
                  <c:v>1962657.4279287956</c:v>
                </c:pt>
                <c:pt idx="624">
                  <c:v>1965807.760878922</c:v>
                </c:pt>
                <c:pt idx="625">
                  <c:v>1968958.0938290483</c:v>
                </c:pt>
                <c:pt idx="626">
                  <c:v>1972108.4267791749</c:v>
                </c:pt>
                <c:pt idx="627">
                  <c:v>1975258.7597293013</c:v>
                </c:pt>
                <c:pt idx="628">
                  <c:v>1978409.0926794279</c:v>
                </c:pt>
                <c:pt idx="629">
                  <c:v>1981559.4256295543</c:v>
                </c:pt>
                <c:pt idx="630">
                  <c:v>1984709.7585796809</c:v>
                </c:pt>
                <c:pt idx="631">
                  <c:v>1987860.0915298073</c:v>
                </c:pt>
                <c:pt idx="632">
                  <c:v>1991010.4244799337</c:v>
                </c:pt>
                <c:pt idx="633">
                  <c:v>1994160.7574300603</c:v>
                </c:pt>
                <c:pt idx="634">
                  <c:v>1997311.0903801867</c:v>
                </c:pt>
                <c:pt idx="635">
                  <c:v>2000461.4233303133</c:v>
                </c:pt>
                <c:pt idx="636">
                  <c:v>2003611.7562804397</c:v>
                </c:pt>
                <c:pt idx="637">
                  <c:v>2006762.0892305661</c:v>
                </c:pt>
                <c:pt idx="638">
                  <c:v>2009912.4221806927</c:v>
                </c:pt>
                <c:pt idx="639">
                  <c:v>2013062.755130819</c:v>
                </c:pt>
                <c:pt idx="640">
                  <c:v>2016213.0880809457</c:v>
                </c:pt>
                <c:pt idx="641">
                  <c:v>2019363.421031072</c:v>
                </c:pt>
                <c:pt idx="642">
                  <c:v>2022513.7539811986</c:v>
                </c:pt>
                <c:pt idx="643">
                  <c:v>2025664.086931325</c:v>
                </c:pt>
                <c:pt idx="644">
                  <c:v>2028814.4198814514</c:v>
                </c:pt>
                <c:pt idx="645">
                  <c:v>2031964.752831578</c:v>
                </c:pt>
                <c:pt idx="646">
                  <c:v>2035115.0857817044</c:v>
                </c:pt>
                <c:pt idx="647">
                  <c:v>2038265.418731831</c:v>
                </c:pt>
                <c:pt idx="648">
                  <c:v>2041415.7516819574</c:v>
                </c:pt>
                <c:pt idx="649">
                  <c:v>2044566.084632084</c:v>
                </c:pt>
                <c:pt idx="650">
                  <c:v>2047716.4175822104</c:v>
                </c:pt>
                <c:pt idx="651">
                  <c:v>2050866.7505323368</c:v>
                </c:pt>
                <c:pt idx="652">
                  <c:v>2054017.0834824634</c:v>
                </c:pt>
                <c:pt idx="653">
                  <c:v>2057167.4164325898</c:v>
                </c:pt>
                <c:pt idx="654">
                  <c:v>2060317.7493827164</c:v>
                </c:pt>
                <c:pt idx="655">
                  <c:v>2063468.0823328428</c:v>
                </c:pt>
                <c:pt idx="656">
                  <c:v>2066618.4152829691</c:v>
                </c:pt>
                <c:pt idx="657">
                  <c:v>2069768.7482330957</c:v>
                </c:pt>
                <c:pt idx="658">
                  <c:v>2072919.0811832221</c:v>
                </c:pt>
                <c:pt idx="659">
                  <c:v>2076069.4141333487</c:v>
                </c:pt>
                <c:pt idx="660">
                  <c:v>2079219.7470834751</c:v>
                </c:pt>
                <c:pt idx="661">
                  <c:v>2082370.0800336017</c:v>
                </c:pt>
                <c:pt idx="662">
                  <c:v>2085520.4129837281</c:v>
                </c:pt>
                <c:pt idx="663">
                  <c:v>2088670.7459338545</c:v>
                </c:pt>
                <c:pt idx="664">
                  <c:v>2091821.0788839811</c:v>
                </c:pt>
                <c:pt idx="665">
                  <c:v>2094971.4118341075</c:v>
                </c:pt>
                <c:pt idx="666">
                  <c:v>2098121.7447842341</c:v>
                </c:pt>
                <c:pt idx="667">
                  <c:v>2101272.0777343605</c:v>
                </c:pt>
                <c:pt idx="668">
                  <c:v>2104422.4106844869</c:v>
                </c:pt>
                <c:pt idx="669">
                  <c:v>2107572.7436346132</c:v>
                </c:pt>
                <c:pt idx="670">
                  <c:v>2110723.0765847401</c:v>
                </c:pt>
                <c:pt idx="671">
                  <c:v>2113873.4095348665</c:v>
                </c:pt>
                <c:pt idx="672">
                  <c:v>2117023.7424849928</c:v>
                </c:pt>
                <c:pt idx="673">
                  <c:v>2120174.0754351192</c:v>
                </c:pt>
                <c:pt idx="674">
                  <c:v>2123324.4083852461</c:v>
                </c:pt>
                <c:pt idx="675">
                  <c:v>2126474.7413353724</c:v>
                </c:pt>
                <c:pt idx="676">
                  <c:v>2129625.0742854988</c:v>
                </c:pt>
                <c:pt idx="677">
                  <c:v>2132775.4072356252</c:v>
                </c:pt>
                <c:pt idx="678">
                  <c:v>2135925.7401857516</c:v>
                </c:pt>
                <c:pt idx="679">
                  <c:v>2139076.0731358784</c:v>
                </c:pt>
                <c:pt idx="680">
                  <c:v>2142226.4060860048</c:v>
                </c:pt>
                <c:pt idx="681">
                  <c:v>2145376.7390361312</c:v>
                </c:pt>
                <c:pt idx="682">
                  <c:v>2148527.0719862576</c:v>
                </c:pt>
                <c:pt idx="683">
                  <c:v>2151677.4049363839</c:v>
                </c:pt>
                <c:pt idx="684">
                  <c:v>2154827.7378865108</c:v>
                </c:pt>
                <c:pt idx="685">
                  <c:v>2157978.0708366372</c:v>
                </c:pt>
                <c:pt idx="686">
                  <c:v>2161128.4037867635</c:v>
                </c:pt>
                <c:pt idx="687">
                  <c:v>2164278.7367368899</c:v>
                </c:pt>
                <c:pt idx="688">
                  <c:v>2167429.0696870163</c:v>
                </c:pt>
                <c:pt idx="689">
                  <c:v>2170579.4026371432</c:v>
                </c:pt>
                <c:pt idx="690">
                  <c:v>2173729.7355872695</c:v>
                </c:pt>
                <c:pt idx="691">
                  <c:v>2176880.0685373959</c:v>
                </c:pt>
                <c:pt idx="692">
                  <c:v>2180030.4014875223</c:v>
                </c:pt>
                <c:pt idx="693">
                  <c:v>2183180.7344376491</c:v>
                </c:pt>
                <c:pt idx="694">
                  <c:v>2186331.0673877755</c:v>
                </c:pt>
                <c:pt idx="695">
                  <c:v>2189481.4003379019</c:v>
                </c:pt>
                <c:pt idx="696">
                  <c:v>2192631.7332880283</c:v>
                </c:pt>
                <c:pt idx="697">
                  <c:v>2195782.0662381547</c:v>
                </c:pt>
                <c:pt idx="698">
                  <c:v>2198932.3991882815</c:v>
                </c:pt>
                <c:pt idx="699">
                  <c:v>2202082.7321384079</c:v>
                </c:pt>
                <c:pt idx="700">
                  <c:v>2205233.0650885343</c:v>
                </c:pt>
                <c:pt idx="701">
                  <c:v>2208383.3980386606</c:v>
                </c:pt>
                <c:pt idx="702">
                  <c:v>2211533.730988787</c:v>
                </c:pt>
                <c:pt idx="703">
                  <c:v>2214684.0639389139</c:v>
                </c:pt>
                <c:pt idx="704">
                  <c:v>2217834.3968890402</c:v>
                </c:pt>
                <c:pt idx="705">
                  <c:v>2220984.7298391666</c:v>
                </c:pt>
                <c:pt idx="706">
                  <c:v>2224135.062789293</c:v>
                </c:pt>
                <c:pt idx="707">
                  <c:v>2227285.3957394194</c:v>
                </c:pt>
                <c:pt idx="708">
                  <c:v>2230435.7286895462</c:v>
                </c:pt>
                <c:pt idx="709">
                  <c:v>2233586.0616396726</c:v>
                </c:pt>
                <c:pt idx="710">
                  <c:v>2236736.394589799</c:v>
                </c:pt>
                <c:pt idx="711">
                  <c:v>2239886.7275399254</c:v>
                </c:pt>
                <c:pt idx="712">
                  <c:v>2243037.0604900518</c:v>
                </c:pt>
                <c:pt idx="713">
                  <c:v>2246187.3934401786</c:v>
                </c:pt>
                <c:pt idx="714">
                  <c:v>2249337.726390305</c:v>
                </c:pt>
                <c:pt idx="715">
                  <c:v>2252488.0593404314</c:v>
                </c:pt>
                <c:pt idx="716">
                  <c:v>2255638.3922905577</c:v>
                </c:pt>
                <c:pt idx="717">
                  <c:v>2258788.7252406846</c:v>
                </c:pt>
                <c:pt idx="718">
                  <c:v>2261939.058190811</c:v>
                </c:pt>
                <c:pt idx="719">
                  <c:v>2265089.3911409373</c:v>
                </c:pt>
                <c:pt idx="720">
                  <c:v>2268239.7240910637</c:v>
                </c:pt>
                <c:pt idx="721">
                  <c:v>2271390.0570411901</c:v>
                </c:pt>
                <c:pt idx="722">
                  <c:v>2274540.3899913169</c:v>
                </c:pt>
                <c:pt idx="723">
                  <c:v>2277690.7229414433</c:v>
                </c:pt>
                <c:pt idx="724">
                  <c:v>2280841.0558915697</c:v>
                </c:pt>
                <c:pt idx="725">
                  <c:v>2283991.3888416961</c:v>
                </c:pt>
                <c:pt idx="726">
                  <c:v>2287141.7217918225</c:v>
                </c:pt>
                <c:pt idx="727">
                  <c:v>2290292.0547419493</c:v>
                </c:pt>
                <c:pt idx="728">
                  <c:v>2293442.3876920757</c:v>
                </c:pt>
                <c:pt idx="729">
                  <c:v>2296592.7206422021</c:v>
                </c:pt>
                <c:pt idx="730">
                  <c:v>2299743.0535923284</c:v>
                </c:pt>
                <c:pt idx="731">
                  <c:v>2302893.3865424548</c:v>
                </c:pt>
                <c:pt idx="732">
                  <c:v>2306043.7194925817</c:v>
                </c:pt>
                <c:pt idx="733">
                  <c:v>2309194.0524427081</c:v>
                </c:pt>
                <c:pt idx="734">
                  <c:v>2312344.3853928344</c:v>
                </c:pt>
                <c:pt idx="735">
                  <c:v>2315494.7183429608</c:v>
                </c:pt>
                <c:pt idx="736">
                  <c:v>2318645.0512930877</c:v>
                </c:pt>
                <c:pt idx="737">
                  <c:v>2321795.384243214</c:v>
                </c:pt>
                <c:pt idx="738">
                  <c:v>2324945.7171933404</c:v>
                </c:pt>
                <c:pt idx="739">
                  <c:v>2328096.0501434668</c:v>
                </c:pt>
                <c:pt idx="740">
                  <c:v>2331246.3830935932</c:v>
                </c:pt>
                <c:pt idx="741">
                  <c:v>2334396.71604372</c:v>
                </c:pt>
                <c:pt idx="742">
                  <c:v>2337547.0489938464</c:v>
                </c:pt>
                <c:pt idx="743">
                  <c:v>2340697.3819439728</c:v>
                </c:pt>
                <c:pt idx="744">
                  <c:v>2343847.7148940992</c:v>
                </c:pt>
                <c:pt idx="745">
                  <c:v>2346998.0478442255</c:v>
                </c:pt>
                <c:pt idx="746">
                  <c:v>2350148.3807943524</c:v>
                </c:pt>
                <c:pt idx="747">
                  <c:v>2353298.7137444788</c:v>
                </c:pt>
                <c:pt idx="748">
                  <c:v>2356449.0466946051</c:v>
                </c:pt>
                <c:pt idx="749">
                  <c:v>2359599.3796447315</c:v>
                </c:pt>
                <c:pt idx="750">
                  <c:v>2362749.7125948579</c:v>
                </c:pt>
                <c:pt idx="751">
                  <c:v>2365900.0455449848</c:v>
                </c:pt>
                <c:pt idx="752">
                  <c:v>2369050.3784951111</c:v>
                </c:pt>
                <c:pt idx="753">
                  <c:v>2372200.7114452375</c:v>
                </c:pt>
                <c:pt idx="754">
                  <c:v>2375351.0443953639</c:v>
                </c:pt>
                <c:pt idx="755">
                  <c:v>2378501.3773454907</c:v>
                </c:pt>
                <c:pt idx="756">
                  <c:v>2381651.7102956171</c:v>
                </c:pt>
                <c:pt idx="757">
                  <c:v>2384802.0432457435</c:v>
                </c:pt>
                <c:pt idx="758">
                  <c:v>2387952.3761958699</c:v>
                </c:pt>
                <c:pt idx="759">
                  <c:v>2391102.7091459963</c:v>
                </c:pt>
                <c:pt idx="760">
                  <c:v>2394253.0420961231</c:v>
                </c:pt>
                <c:pt idx="761">
                  <c:v>2397403.3750462495</c:v>
                </c:pt>
                <c:pt idx="762">
                  <c:v>2400553.7079963759</c:v>
                </c:pt>
                <c:pt idx="763">
                  <c:v>2403704.0409465022</c:v>
                </c:pt>
                <c:pt idx="764">
                  <c:v>2406854.3738966286</c:v>
                </c:pt>
                <c:pt idx="765">
                  <c:v>2410004.7068467555</c:v>
                </c:pt>
                <c:pt idx="766">
                  <c:v>2413155.0397968818</c:v>
                </c:pt>
                <c:pt idx="767">
                  <c:v>2416305.3727470082</c:v>
                </c:pt>
                <c:pt idx="768">
                  <c:v>2419455.7056971346</c:v>
                </c:pt>
                <c:pt idx="769">
                  <c:v>2422606.038647261</c:v>
                </c:pt>
                <c:pt idx="770">
                  <c:v>2425756.3715973878</c:v>
                </c:pt>
                <c:pt idx="771">
                  <c:v>2428906.7045475142</c:v>
                </c:pt>
                <c:pt idx="772">
                  <c:v>2432057.0374976406</c:v>
                </c:pt>
                <c:pt idx="773">
                  <c:v>2435207.370447767</c:v>
                </c:pt>
                <c:pt idx="774">
                  <c:v>2438357.7033978938</c:v>
                </c:pt>
                <c:pt idx="775">
                  <c:v>2441508.0363480202</c:v>
                </c:pt>
                <c:pt idx="776">
                  <c:v>2444658.3692981466</c:v>
                </c:pt>
                <c:pt idx="777">
                  <c:v>2447808.702248273</c:v>
                </c:pt>
                <c:pt idx="778">
                  <c:v>2450959.0351983993</c:v>
                </c:pt>
                <c:pt idx="779">
                  <c:v>2454109.3681485262</c:v>
                </c:pt>
                <c:pt idx="780">
                  <c:v>2457259.7010986526</c:v>
                </c:pt>
                <c:pt idx="781">
                  <c:v>2460410.0340487789</c:v>
                </c:pt>
                <c:pt idx="782">
                  <c:v>2463560.3669989053</c:v>
                </c:pt>
                <c:pt idx="783">
                  <c:v>2466710.6999490317</c:v>
                </c:pt>
                <c:pt idx="784">
                  <c:v>2469861.0328991585</c:v>
                </c:pt>
                <c:pt idx="785">
                  <c:v>2473011.3658492849</c:v>
                </c:pt>
                <c:pt idx="786">
                  <c:v>2476161.6987994113</c:v>
                </c:pt>
                <c:pt idx="787">
                  <c:v>2479312.0317495377</c:v>
                </c:pt>
                <c:pt idx="788">
                  <c:v>2482462.3646996641</c:v>
                </c:pt>
                <c:pt idx="789">
                  <c:v>2485612.6976497909</c:v>
                </c:pt>
                <c:pt idx="790">
                  <c:v>2488763.0305999173</c:v>
                </c:pt>
                <c:pt idx="791">
                  <c:v>2491913.3635500437</c:v>
                </c:pt>
                <c:pt idx="792">
                  <c:v>2495063.69650017</c:v>
                </c:pt>
                <c:pt idx="793">
                  <c:v>2498214.0294502964</c:v>
                </c:pt>
                <c:pt idx="794">
                  <c:v>2501364.3624004233</c:v>
                </c:pt>
                <c:pt idx="795">
                  <c:v>2504514.6953505496</c:v>
                </c:pt>
                <c:pt idx="796">
                  <c:v>2507665.028300676</c:v>
                </c:pt>
                <c:pt idx="797">
                  <c:v>2510815.3612508024</c:v>
                </c:pt>
                <c:pt idx="798">
                  <c:v>2513965.6942009293</c:v>
                </c:pt>
                <c:pt idx="799">
                  <c:v>2517116.0271510556</c:v>
                </c:pt>
                <c:pt idx="800">
                  <c:v>2520266.360101182</c:v>
                </c:pt>
                <c:pt idx="801">
                  <c:v>2523416.6930513084</c:v>
                </c:pt>
                <c:pt idx="802">
                  <c:v>2526567.0260014348</c:v>
                </c:pt>
                <c:pt idx="803">
                  <c:v>2529717.3589515616</c:v>
                </c:pt>
                <c:pt idx="804">
                  <c:v>2532867.691901688</c:v>
                </c:pt>
                <c:pt idx="805">
                  <c:v>2536018.0248518144</c:v>
                </c:pt>
                <c:pt idx="806">
                  <c:v>2539168.3578019408</c:v>
                </c:pt>
                <c:pt idx="807">
                  <c:v>2542318.6907520671</c:v>
                </c:pt>
                <c:pt idx="808">
                  <c:v>2545469.023702194</c:v>
                </c:pt>
                <c:pt idx="809">
                  <c:v>2548619.3566523204</c:v>
                </c:pt>
                <c:pt idx="810">
                  <c:v>2551769.6896024467</c:v>
                </c:pt>
                <c:pt idx="811">
                  <c:v>2554920.0225525731</c:v>
                </c:pt>
                <c:pt idx="812">
                  <c:v>2558070.3555026995</c:v>
                </c:pt>
                <c:pt idx="813">
                  <c:v>2561220.6884528263</c:v>
                </c:pt>
                <c:pt idx="814">
                  <c:v>2564371.0214029527</c:v>
                </c:pt>
                <c:pt idx="815">
                  <c:v>2567521.3543530791</c:v>
                </c:pt>
                <c:pt idx="816">
                  <c:v>2570671.6873032055</c:v>
                </c:pt>
                <c:pt idx="817">
                  <c:v>2573822.0202533323</c:v>
                </c:pt>
                <c:pt idx="818">
                  <c:v>2576972.3532034587</c:v>
                </c:pt>
                <c:pt idx="819">
                  <c:v>2580122.6861535851</c:v>
                </c:pt>
                <c:pt idx="820">
                  <c:v>2583273.0191037115</c:v>
                </c:pt>
                <c:pt idx="821">
                  <c:v>2586423.3520538379</c:v>
                </c:pt>
                <c:pt idx="822">
                  <c:v>2589573.6850039647</c:v>
                </c:pt>
                <c:pt idx="823">
                  <c:v>2592724.0179540911</c:v>
                </c:pt>
                <c:pt idx="824">
                  <c:v>2595874.3509042175</c:v>
                </c:pt>
                <c:pt idx="825">
                  <c:v>2599024.6838543438</c:v>
                </c:pt>
                <c:pt idx="826">
                  <c:v>2602175.0168044702</c:v>
                </c:pt>
                <c:pt idx="827">
                  <c:v>2605325.3497545971</c:v>
                </c:pt>
                <c:pt idx="828">
                  <c:v>2608475.6827047234</c:v>
                </c:pt>
                <c:pt idx="829">
                  <c:v>2611626.0156548498</c:v>
                </c:pt>
                <c:pt idx="830">
                  <c:v>2614776.3486049762</c:v>
                </c:pt>
                <c:pt idx="831">
                  <c:v>2617926.6815551026</c:v>
                </c:pt>
                <c:pt idx="832">
                  <c:v>2621077.0145052294</c:v>
                </c:pt>
                <c:pt idx="833">
                  <c:v>2624227.3474553558</c:v>
                </c:pt>
                <c:pt idx="834">
                  <c:v>2627377.6804054822</c:v>
                </c:pt>
                <c:pt idx="835">
                  <c:v>2630528.0133556086</c:v>
                </c:pt>
                <c:pt idx="836">
                  <c:v>2633678.3463057354</c:v>
                </c:pt>
                <c:pt idx="837">
                  <c:v>2636828.6792558618</c:v>
                </c:pt>
                <c:pt idx="838">
                  <c:v>2639979.0122059882</c:v>
                </c:pt>
                <c:pt idx="839">
                  <c:v>2643129.3451561145</c:v>
                </c:pt>
                <c:pt idx="840">
                  <c:v>2646279.6781062409</c:v>
                </c:pt>
                <c:pt idx="841">
                  <c:v>2649430.0110563678</c:v>
                </c:pt>
                <c:pt idx="842">
                  <c:v>2652580.3440064942</c:v>
                </c:pt>
                <c:pt idx="843">
                  <c:v>2655730.6769566205</c:v>
                </c:pt>
                <c:pt idx="844">
                  <c:v>2658881.0099067469</c:v>
                </c:pt>
                <c:pt idx="845">
                  <c:v>2662031.3428568733</c:v>
                </c:pt>
                <c:pt idx="846">
                  <c:v>2665181.6758070001</c:v>
                </c:pt>
                <c:pt idx="847">
                  <c:v>2668332.0087571265</c:v>
                </c:pt>
                <c:pt idx="848">
                  <c:v>2671482.3417072529</c:v>
                </c:pt>
                <c:pt idx="849">
                  <c:v>2674632.6746573793</c:v>
                </c:pt>
                <c:pt idx="850">
                  <c:v>2677783.0076075057</c:v>
                </c:pt>
                <c:pt idx="851">
                  <c:v>2680933.3405576325</c:v>
                </c:pt>
                <c:pt idx="852">
                  <c:v>2684083.6735077589</c:v>
                </c:pt>
                <c:pt idx="853">
                  <c:v>2687234.0064578853</c:v>
                </c:pt>
                <c:pt idx="854">
                  <c:v>2690384.3394080116</c:v>
                </c:pt>
                <c:pt idx="855">
                  <c:v>2693534.6723581385</c:v>
                </c:pt>
                <c:pt idx="856">
                  <c:v>2696685.0053082649</c:v>
                </c:pt>
                <c:pt idx="857">
                  <c:v>2699835.3382583912</c:v>
                </c:pt>
                <c:pt idx="858">
                  <c:v>2702985.6712085176</c:v>
                </c:pt>
                <c:pt idx="859">
                  <c:v>2706136.004158644</c:v>
                </c:pt>
                <c:pt idx="860">
                  <c:v>2709286.3371087709</c:v>
                </c:pt>
                <c:pt idx="861">
                  <c:v>2712436.6700588972</c:v>
                </c:pt>
                <c:pt idx="862">
                  <c:v>2715587.0030090236</c:v>
                </c:pt>
                <c:pt idx="863">
                  <c:v>2718737.33595915</c:v>
                </c:pt>
                <c:pt idx="864">
                  <c:v>2721887.6689092764</c:v>
                </c:pt>
                <c:pt idx="865">
                  <c:v>2725038.0018594032</c:v>
                </c:pt>
                <c:pt idx="866">
                  <c:v>2728188.3348095296</c:v>
                </c:pt>
                <c:pt idx="867">
                  <c:v>2731338.667759656</c:v>
                </c:pt>
                <c:pt idx="868">
                  <c:v>2734489.0007097824</c:v>
                </c:pt>
                <c:pt idx="869">
                  <c:v>2737639.3336599087</c:v>
                </c:pt>
                <c:pt idx="870">
                  <c:v>2740789.6666100356</c:v>
                </c:pt>
                <c:pt idx="871">
                  <c:v>2743939.999560162</c:v>
                </c:pt>
                <c:pt idx="872">
                  <c:v>2747090.3325102883</c:v>
                </c:pt>
                <c:pt idx="873">
                  <c:v>2750240.6654604147</c:v>
                </c:pt>
                <c:pt idx="874">
                  <c:v>2753390.9984105416</c:v>
                </c:pt>
                <c:pt idx="875">
                  <c:v>2756541.3313606679</c:v>
                </c:pt>
                <c:pt idx="876">
                  <c:v>2759691.6643107943</c:v>
                </c:pt>
                <c:pt idx="877">
                  <c:v>2762841.9972609207</c:v>
                </c:pt>
                <c:pt idx="878">
                  <c:v>2765992.3302110471</c:v>
                </c:pt>
                <c:pt idx="879">
                  <c:v>2769142.6631611739</c:v>
                </c:pt>
                <c:pt idx="880">
                  <c:v>2772292.9961113003</c:v>
                </c:pt>
                <c:pt idx="881">
                  <c:v>2775443.3290614267</c:v>
                </c:pt>
                <c:pt idx="882">
                  <c:v>2778593.6620115531</c:v>
                </c:pt>
                <c:pt idx="883">
                  <c:v>2781743.9949616794</c:v>
                </c:pt>
                <c:pt idx="884">
                  <c:v>2784894.3279118063</c:v>
                </c:pt>
                <c:pt idx="885">
                  <c:v>2788044.6608619327</c:v>
                </c:pt>
                <c:pt idx="886">
                  <c:v>2791194.9938120591</c:v>
                </c:pt>
                <c:pt idx="887">
                  <c:v>2794345.3267621854</c:v>
                </c:pt>
                <c:pt idx="888">
                  <c:v>2797495.6597123118</c:v>
                </c:pt>
                <c:pt idx="889">
                  <c:v>2800645.9926624387</c:v>
                </c:pt>
                <c:pt idx="890">
                  <c:v>2803796.325612565</c:v>
                </c:pt>
                <c:pt idx="891">
                  <c:v>2806946.6585626914</c:v>
                </c:pt>
                <c:pt idx="892">
                  <c:v>2810096.9915128178</c:v>
                </c:pt>
                <c:pt idx="893">
                  <c:v>2813247.3244629442</c:v>
                </c:pt>
                <c:pt idx="894">
                  <c:v>2816397.657413071</c:v>
                </c:pt>
                <c:pt idx="895">
                  <c:v>2819547.9903631974</c:v>
                </c:pt>
                <c:pt idx="896">
                  <c:v>2822698.3233133238</c:v>
                </c:pt>
                <c:pt idx="897">
                  <c:v>2825848.6562634502</c:v>
                </c:pt>
                <c:pt idx="898">
                  <c:v>2828998.989213577</c:v>
                </c:pt>
                <c:pt idx="899">
                  <c:v>2832149.3221637034</c:v>
                </c:pt>
                <c:pt idx="900">
                  <c:v>2835299.6551138298</c:v>
                </c:pt>
                <c:pt idx="901">
                  <c:v>2838449.9880639561</c:v>
                </c:pt>
                <c:pt idx="902">
                  <c:v>2841600.3210140825</c:v>
                </c:pt>
                <c:pt idx="903">
                  <c:v>2844750.6539642094</c:v>
                </c:pt>
                <c:pt idx="904">
                  <c:v>2847900.9869143358</c:v>
                </c:pt>
                <c:pt idx="905">
                  <c:v>2851051.3198644621</c:v>
                </c:pt>
                <c:pt idx="906">
                  <c:v>2854201.6528145885</c:v>
                </c:pt>
                <c:pt idx="907">
                  <c:v>2857351.9857647149</c:v>
                </c:pt>
                <c:pt idx="908">
                  <c:v>2860502.3187148417</c:v>
                </c:pt>
                <c:pt idx="909">
                  <c:v>2863652.6516649681</c:v>
                </c:pt>
                <c:pt idx="910">
                  <c:v>2866802.9846150945</c:v>
                </c:pt>
                <c:pt idx="911">
                  <c:v>2869953.3175652209</c:v>
                </c:pt>
                <c:pt idx="912">
                  <c:v>2873103.6505153473</c:v>
                </c:pt>
                <c:pt idx="913">
                  <c:v>2876253.9834654741</c:v>
                </c:pt>
                <c:pt idx="914">
                  <c:v>2879404.3164156005</c:v>
                </c:pt>
                <c:pt idx="915">
                  <c:v>2882554.6493657269</c:v>
                </c:pt>
                <c:pt idx="916">
                  <c:v>2885704.9823158532</c:v>
                </c:pt>
                <c:pt idx="917">
                  <c:v>2888855.3152659801</c:v>
                </c:pt>
                <c:pt idx="918">
                  <c:v>2892005.6482161065</c:v>
                </c:pt>
                <c:pt idx="919">
                  <c:v>2895155.9811662328</c:v>
                </c:pt>
                <c:pt idx="920">
                  <c:v>2898306.3141163592</c:v>
                </c:pt>
                <c:pt idx="921">
                  <c:v>2901456.6470664856</c:v>
                </c:pt>
                <c:pt idx="922">
                  <c:v>2904606.9800166124</c:v>
                </c:pt>
                <c:pt idx="923">
                  <c:v>2907757.3129667388</c:v>
                </c:pt>
                <c:pt idx="924">
                  <c:v>2910907.6459168652</c:v>
                </c:pt>
                <c:pt idx="925">
                  <c:v>2914057.9788669916</c:v>
                </c:pt>
                <c:pt idx="926">
                  <c:v>2917208.311817118</c:v>
                </c:pt>
                <c:pt idx="927">
                  <c:v>2920358.6447672448</c:v>
                </c:pt>
                <c:pt idx="928">
                  <c:v>2923508.9777173712</c:v>
                </c:pt>
                <c:pt idx="929">
                  <c:v>2926659.3106674976</c:v>
                </c:pt>
                <c:pt idx="930">
                  <c:v>2929809.643617624</c:v>
                </c:pt>
                <c:pt idx="931">
                  <c:v>2932959.9765677503</c:v>
                </c:pt>
                <c:pt idx="932">
                  <c:v>2936110.3095178772</c:v>
                </c:pt>
                <c:pt idx="933">
                  <c:v>2939260.6424680036</c:v>
                </c:pt>
                <c:pt idx="934">
                  <c:v>2942410.9754181299</c:v>
                </c:pt>
                <c:pt idx="935">
                  <c:v>2945561.3083682563</c:v>
                </c:pt>
                <c:pt idx="936">
                  <c:v>2948711.6413183832</c:v>
                </c:pt>
                <c:pt idx="937">
                  <c:v>2951861.9742685095</c:v>
                </c:pt>
                <c:pt idx="938">
                  <c:v>2955012.3072186359</c:v>
                </c:pt>
                <c:pt idx="939">
                  <c:v>2958162.6401687623</c:v>
                </c:pt>
                <c:pt idx="940">
                  <c:v>2961312.9731188887</c:v>
                </c:pt>
                <c:pt idx="941">
                  <c:v>2964463.3060690155</c:v>
                </c:pt>
                <c:pt idx="942">
                  <c:v>2967613.6390191419</c:v>
                </c:pt>
                <c:pt idx="943">
                  <c:v>2970763.9719692683</c:v>
                </c:pt>
                <c:pt idx="944">
                  <c:v>2973914.3049193947</c:v>
                </c:pt>
                <c:pt idx="945">
                  <c:v>2977064.637869521</c:v>
                </c:pt>
                <c:pt idx="946">
                  <c:v>2980214.9708196479</c:v>
                </c:pt>
                <c:pt idx="947">
                  <c:v>2983365.3037697743</c:v>
                </c:pt>
                <c:pt idx="948">
                  <c:v>2986515.6367199006</c:v>
                </c:pt>
                <c:pt idx="949">
                  <c:v>2989665.969670027</c:v>
                </c:pt>
                <c:pt idx="950">
                  <c:v>2992816.3026201534</c:v>
                </c:pt>
                <c:pt idx="951">
                  <c:v>2995966.6355702803</c:v>
                </c:pt>
                <c:pt idx="952">
                  <c:v>2999116.9685204066</c:v>
                </c:pt>
                <c:pt idx="953">
                  <c:v>3002267.301470533</c:v>
                </c:pt>
                <c:pt idx="954">
                  <c:v>3005417.6344206594</c:v>
                </c:pt>
                <c:pt idx="955">
                  <c:v>3008567.9673707862</c:v>
                </c:pt>
                <c:pt idx="956">
                  <c:v>3011718.3003209126</c:v>
                </c:pt>
                <c:pt idx="957">
                  <c:v>3014868.633271039</c:v>
                </c:pt>
                <c:pt idx="958">
                  <c:v>3018018.9662211654</c:v>
                </c:pt>
                <c:pt idx="959">
                  <c:v>3021169.2991712918</c:v>
                </c:pt>
                <c:pt idx="960">
                  <c:v>3024319.6321214186</c:v>
                </c:pt>
                <c:pt idx="961">
                  <c:v>3027469.965071545</c:v>
                </c:pt>
                <c:pt idx="962">
                  <c:v>3030620.2980216714</c:v>
                </c:pt>
                <c:pt idx="963">
                  <c:v>3033770.6309717977</c:v>
                </c:pt>
                <c:pt idx="964">
                  <c:v>3036920.9639219241</c:v>
                </c:pt>
                <c:pt idx="965">
                  <c:v>3040071.296872051</c:v>
                </c:pt>
                <c:pt idx="966">
                  <c:v>3043221.6298221773</c:v>
                </c:pt>
                <c:pt idx="967">
                  <c:v>3046371.9627723037</c:v>
                </c:pt>
                <c:pt idx="968">
                  <c:v>3049522.2957224301</c:v>
                </c:pt>
                <c:pt idx="969">
                  <c:v>3052672.6286725565</c:v>
                </c:pt>
                <c:pt idx="970">
                  <c:v>3055822.9616226833</c:v>
                </c:pt>
                <c:pt idx="971">
                  <c:v>3058973.2945728097</c:v>
                </c:pt>
                <c:pt idx="972">
                  <c:v>3062123.6275229361</c:v>
                </c:pt>
                <c:pt idx="973">
                  <c:v>3065273.9604730625</c:v>
                </c:pt>
                <c:pt idx="974">
                  <c:v>3068424.2934231893</c:v>
                </c:pt>
                <c:pt idx="975">
                  <c:v>3071574.6263733157</c:v>
                </c:pt>
                <c:pt idx="976">
                  <c:v>3074724.9593234421</c:v>
                </c:pt>
                <c:pt idx="977">
                  <c:v>3077875.2922735685</c:v>
                </c:pt>
                <c:pt idx="978">
                  <c:v>3081025.6252236948</c:v>
                </c:pt>
                <c:pt idx="979">
                  <c:v>3084175.9581738217</c:v>
                </c:pt>
                <c:pt idx="980">
                  <c:v>3087326.2911239481</c:v>
                </c:pt>
                <c:pt idx="981">
                  <c:v>3090476.6240740744</c:v>
                </c:pt>
                <c:pt idx="982">
                  <c:v>3093626.9570242008</c:v>
                </c:pt>
                <c:pt idx="983">
                  <c:v>3096777.2899743272</c:v>
                </c:pt>
                <c:pt idx="984">
                  <c:v>3099927.622924454</c:v>
                </c:pt>
                <c:pt idx="985">
                  <c:v>3103077.9558745804</c:v>
                </c:pt>
                <c:pt idx="986">
                  <c:v>3106228.2888247068</c:v>
                </c:pt>
                <c:pt idx="987">
                  <c:v>3109378.6217748332</c:v>
                </c:pt>
                <c:pt idx="988">
                  <c:v>3112528.9547249596</c:v>
                </c:pt>
                <c:pt idx="989">
                  <c:v>3115679.2876750864</c:v>
                </c:pt>
                <c:pt idx="990">
                  <c:v>3118829.6206252128</c:v>
                </c:pt>
                <c:pt idx="991">
                  <c:v>3121979.9535753392</c:v>
                </c:pt>
                <c:pt idx="992">
                  <c:v>3125130.2865254655</c:v>
                </c:pt>
                <c:pt idx="993">
                  <c:v>3128280.6194755919</c:v>
                </c:pt>
                <c:pt idx="994">
                  <c:v>3131430.9524257188</c:v>
                </c:pt>
                <c:pt idx="995">
                  <c:v>3134581.2853758452</c:v>
                </c:pt>
                <c:pt idx="996">
                  <c:v>3137731.6183259715</c:v>
                </c:pt>
                <c:pt idx="997">
                  <c:v>3140881.9512760979</c:v>
                </c:pt>
                <c:pt idx="998">
                  <c:v>3144032.2842262248</c:v>
                </c:pt>
                <c:pt idx="999">
                  <c:v>3147182.6171763511</c:v>
                </c:pt>
                <c:pt idx="1000">
                  <c:v>3150332.9501264775</c:v>
                </c:pt>
                <c:pt idx="1001">
                  <c:v>3153483.2830766039</c:v>
                </c:pt>
                <c:pt idx="1002">
                  <c:v>3156633.6160267303</c:v>
                </c:pt>
                <c:pt idx="1003">
                  <c:v>3159783.9489768571</c:v>
                </c:pt>
                <c:pt idx="1004">
                  <c:v>3162934.2819269835</c:v>
                </c:pt>
                <c:pt idx="1005">
                  <c:v>3166084.6148771099</c:v>
                </c:pt>
                <c:pt idx="1006">
                  <c:v>3169234.9478272363</c:v>
                </c:pt>
                <c:pt idx="1007">
                  <c:v>3172385.2807773626</c:v>
                </c:pt>
                <c:pt idx="1008">
                  <c:v>3175535.6137274895</c:v>
                </c:pt>
                <c:pt idx="1009">
                  <c:v>3178685.9466776159</c:v>
                </c:pt>
                <c:pt idx="1010">
                  <c:v>3181836.2796277422</c:v>
                </c:pt>
                <c:pt idx="1011">
                  <c:v>3184986.6125778686</c:v>
                </c:pt>
                <c:pt idx="1012">
                  <c:v>3188136.945527995</c:v>
                </c:pt>
                <c:pt idx="1013">
                  <c:v>3191287.2784781219</c:v>
                </c:pt>
                <c:pt idx="1014">
                  <c:v>3194437.6114282482</c:v>
                </c:pt>
                <c:pt idx="1015">
                  <c:v>3197587.9443783746</c:v>
                </c:pt>
                <c:pt idx="1016">
                  <c:v>3200738.277328501</c:v>
                </c:pt>
                <c:pt idx="1017">
                  <c:v>3203888.6102786278</c:v>
                </c:pt>
                <c:pt idx="1018">
                  <c:v>3207038.9432287542</c:v>
                </c:pt>
                <c:pt idx="1019">
                  <c:v>3210189.2761788806</c:v>
                </c:pt>
                <c:pt idx="1020">
                  <c:v>3213339.609129007</c:v>
                </c:pt>
                <c:pt idx="1021">
                  <c:v>3216489.9420791334</c:v>
                </c:pt>
                <c:pt idx="1022">
                  <c:v>3219640.2750292602</c:v>
                </c:pt>
                <c:pt idx="1023">
                  <c:v>3222790.6079793866</c:v>
                </c:pt>
                <c:pt idx="1024">
                  <c:v>3225940.940929513</c:v>
                </c:pt>
                <c:pt idx="1025">
                  <c:v>3229091.2738796393</c:v>
                </c:pt>
                <c:pt idx="1026">
                  <c:v>3232241.6068297657</c:v>
                </c:pt>
                <c:pt idx="1027">
                  <c:v>3235391.9397798926</c:v>
                </c:pt>
                <c:pt idx="1028">
                  <c:v>3238542.2727300189</c:v>
                </c:pt>
                <c:pt idx="1029">
                  <c:v>3241692.6056801453</c:v>
                </c:pt>
                <c:pt idx="1030">
                  <c:v>3244842.9386302717</c:v>
                </c:pt>
                <c:pt idx="1031">
                  <c:v>3247993.2715803981</c:v>
                </c:pt>
                <c:pt idx="1032">
                  <c:v>3251143.6045305249</c:v>
                </c:pt>
                <c:pt idx="1033">
                  <c:v>3254293.9374806513</c:v>
                </c:pt>
                <c:pt idx="1034">
                  <c:v>3257444.2704307777</c:v>
                </c:pt>
                <c:pt idx="1035">
                  <c:v>3260594.6033809041</c:v>
                </c:pt>
                <c:pt idx="1036">
                  <c:v>3263744.9363310309</c:v>
                </c:pt>
                <c:pt idx="1037">
                  <c:v>3266895.2692811573</c:v>
                </c:pt>
                <c:pt idx="1038">
                  <c:v>3270045.6022312837</c:v>
                </c:pt>
                <c:pt idx="1039">
                  <c:v>3273195.9351814101</c:v>
                </c:pt>
                <c:pt idx="1040">
                  <c:v>3276346.2681315364</c:v>
                </c:pt>
                <c:pt idx="1041">
                  <c:v>3279496.6010816633</c:v>
                </c:pt>
                <c:pt idx="1042">
                  <c:v>3282646.9340317897</c:v>
                </c:pt>
                <c:pt idx="1043">
                  <c:v>3285797.266981916</c:v>
                </c:pt>
                <c:pt idx="1044">
                  <c:v>3288947.5999320424</c:v>
                </c:pt>
                <c:pt idx="1045">
                  <c:v>3292097.9328821688</c:v>
                </c:pt>
                <c:pt idx="1046">
                  <c:v>3295248.2658322956</c:v>
                </c:pt>
                <c:pt idx="1047">
                  <c:v>3298398.598782422</c:v>
                </c:pt>
                <c:pt idx="1048">
                  <c:v>3301548.9317325484</c:v>
                </c:pt>
                <c:pt idx="1049">
                  <c:v>3304699.2646826748</c:v>
                </c:pt>
                <c:pt idx="1050">
                  <c:v>3307849.5976328012</c:v>
                </c:pt>
                <c:pt idx="1051">
                  <c:v>3310999.930582928</c:v>
                </c:pt>
                <c:pt idx="1052">
                  <c:v>3314150.2635330544</c:v>
                </c:pt>
                <c:pt idx="1053">
                  <c:v>3317300.5964831808</c:v>
                </c:pt>
                <c:pt idx="1054">
                  <c:v>3320450.9294333071</c:v>
                </c:pt>
                <c:pt idx="1055">
                  <c:v>3323601.262383434</c:v>
                </c:pt>
                <c:pt idx="1056">
                  <c:v>3326751.5953335604</c:v>
                </c:pt>
                <c:pt idx="1057">
                  <c:v>3329901.9282836867</c:v>
                </c:pt>
                <c:pt idx="1058">
                  <c:v>3333052.2612338131</c:v>
                </c:pt>
                <c:pt idx="1059">
                  <c:v>3336202.5941839395</c:v>
                </c:pt>
                <c:pt idx="1060">
                  <c:v>3339352.9271340664</c:v>
                </c:pt>
                <c:pt idx="1061">
                  <c:v>3342503.2600841927</c:v>
                </c:pt>
                <c:pt idx="1062">
                  <c:v>3345653.5930343191</c:v>
                </c:pt>
                <c:pt idx="1063">
                  <c:v>3348803.9259844455</c:v>
                </c:pt>
                <c:pt idx="1064">
                  <c:v>3351954.2589345719</c:v>
                </c:pt>
                <c:pt idx="1065">
                  <c:v>3355104.5918846987</c:v>
                </c:pt>
                <c:pt idx="1066">
                  <c:v>3358254.9248348251</c:v>
                </c:pt>
                <c:pt idx="1067">
                  <c:v>3361405.2577849515</c:v>
                </c:pt>
                <c:pt idx="1068">
                  <c:v>3364555.5907350779</c:v>
                </c:pt>
                <c:pt idx="1069">
                  <c:v>3367705.9236852042</c:v>
                </c:pt>
                <c:pt idx="1070">
                  <c:v>3370856.2566353311</c:v>
                </c:pt>
                <c:pt idx="1071">
                  <c:v>3374006.5895854575</c:v>
                </c:pt>
                <c:pt idx="1072">
                  <c:v>3377156.9225355838</c:v>
                </c:pt>
                <c:pt idx="1073">
                  <c:v>3380307.2554857102</c:v>
                </c:pt>
                <c:pt idx="1074">
                  <c:v>3383457.5884358366</c:v>
                </c:pt>
                <c:pt idx="1075">
                  <c:v>3386607.9213859634</c:v>
                </c:pt>
                <c:pt idx="1076">
                  <c:v>3389758.2543360898</c:v>
                </c:pt>
                <c:pt idx="1077">
                  <c:v>3392908.5872862162</c:v>
                </c:pt>
                <c:pt idx="1078">
                  <c:v>3396058.9202363426</c:v>
                </c:pt>
                <c:pt idx="1079">
                  <c:v>3399209.2531864694</c:v>
                </c:pt>
                <c:pt idx="1080">
                  <c:v>3402359.5861365958</c:v>
                </c:pt>
                <c:pt idx="1081">
                  <c:v>3405509.9190867222</c:v>
                </c:pt>
                <c:pt idx="1082">
                  <c:v>3408660.2520368486</c:v>
                </c:pt>
                <c:pt idx="1083">
                  <c:v>3411810.584986975</c:v>
                </c:pt>
                <c:pt idx="1084">
                  <c:v>3414960.9179371018</c:v>
                </c:pt>
                <c:pt idx="1085">
                  <c:v>3418111.2508872282</c:v>
                </c:pt>
                <c:pt idx="1086">
                  <c:v>3421261.5838373546</c:v>
                </c:pt>
                <c:pt idx="1087">
                  <c:v>3424411.9167874809</c:v>
                </c:pt>
                <c:pt idx="1088">
                  <c:v>3427562.2497376073</c:v>
                </c:pt>
                <c:pt idx="1089">
                  <c:v>3430712.5826877342</c:v>
                </c:pt>
                <c:pt idx="1090">
                  <c:v>3433862.9156378605</c:v>
                </c:pt>
                <c:pt idx="1091">
                  <c:v>3437013.2485879869</c:v>
                </c:pt>
                <c:pt idx="1092">
                  <c:v>3440163.5815381133</c:v>
                </c:pt>
                <c:pt idx="1093">
                  <c:v>3443313.9144882397</c:v>
                </c:pt>
                <c:pt idx="1094">
                  <c:v>3446464.2474383665</c:v>
                </c:pt>
                <c:pt idx="1095">
                  <c:v>3449614.5803884929</c:v>
                </c:pt>
                <c:pt idx="1096">
                  <c:v>3452764.9133386193</c:v>
                </c:pt>
                <c:pt idx="1097">
                  <c:v>3455915.2462887457</c:v>
                </c:pt>
                <c:pt idx="1098">
                  <c:v>3459065.5792388725</c:v>
                </c:pt>
                <c:pt idx="1099">
                  <c:v>3462215.9121889989</c:v>
                </c:pt>
                <c:pt idx="1100">
                  <c:v>3465366.2451391253</c:v>
                </c:pt>
                <c:pt idx="1101">
                  <c:v>3468516.5780892516</c:v>
                </c:pt>
                <c:pt idx="1102">
                  <c:v>3471666.911039378</c:v>
                </c:pt>
                <c:pt idx="1103">
                  <c:v>3474817.2439895049</c:v>
                </c:pt>
                <c:pt idx="1104">
                  <c:v>3477967.5769396313</c:v>
                </c:pt>
                <c:pt idx="1105">
                  <c:v>3481117.9098897576</c:v>
                </c:pt>
                <c:pt idx="1106">
                  <c:v>3484268.242839884</c:v>
                </c:pt>
                <c:pt idx="1107">
                  <c:v>3487418.5757900104</c:v>
                </c:pt>
                <c:pt idx="1108">
                  <c:v>3490568.9087401372</c:v>
                </c:pt>
                <c:pt idx="1109">
                  <c:v>3493719.2416902636</c:v>
                </c:pt>
                <c:pt idx="1110">
                  <c:v>3496869.57464039</c:v>
                </c:pt>
                <c:pt idx="1111">
                  <c:v>3500019.9075905164</c:v>
                </c:pt>
                <c:pt idx="1112">
                  <c:v>3503170.2405406428</c:v>
                </c:pt>
                <c:pt idx="1113">
                  <c:v>3506320.5734907696</c:v>
                </c:pt>
                <c:pt idx="1114">
                  <c:v>3509470.906440896</c:v>
                </c:pt>
                <c:pt idx="1115">
                  <c:v>3512621.2393910224</c:v>
                </c:pt>
                <c:pt idx="1116">
                  <c:v>3515771.5723411487</c:v>
                </c:pt>
                <c:pt idx="1117">
                  <c:v>3518921.9052912756</c:v>
                </c:pt>
                <c:pt idx="1118">
                  <c:v>3522072.238241402</c:v>
                </c:pt>
                <c:pt idx="1119">
                  <c:v>3525222.5711915283</c:v>
                </c:pt>
                <c:pt idx="1120">
                  <c:v>3528372.9041416547</c:v>
                </c:pt>
                <c:pt idx="1121">
                  <c:v>3531523.2370917811</c:v>
                </c:pt>
                <c:pt idx="1122">
                  <c:v>3534673.570041908</c:v>
                </c:pt>
                <c:pt idx="1123">
                  <c:v>3537823.9029920343</c:v>
                </c:pt>
                <c:pt idx="1124">
                  <c:v>3540974.2359421607</c:v>
                </c:pt>
                <c:pt idx="1125">
                  <c:v>3544124.5688922871</c:v>
                </c:pt>
                <c:pt idx="1126">
                  <c:v>3547274.9018424135</c:v>
                </c:pt>
                <c:pt idx="1127">
                  <c:v>3550425.2347925403</c:v>
                </c:pt>
                <c:pt idx="1128">
                  <c:v>3553575.5677426667</c:v>
                </c:pt>
                <c:pt idx="1129">
                  <c:v>3556725.9006927931</c:v>
                </c:pt>
                <c:pt idx="1130">
                  <c:v>3559876.2336429195</c:v>
                </c:pt>
                <c:pt idx="1131">
                  <c:v>3563026.5665930458</c:v>
                </c:pt>
                <c:pt idx="1132">
                  <c:v>3566176.8995431727</c:v>
                </c:pt>
                <c:pt idx="1133">
                  <c:v>3569327.2324932991</c:v>
                </c:pt>
                <c:pt idx="1134">
                  <c:v>3572477.5654434254</c:v>
                </c:pt>
                <c:pt idx="1135">
                  <c:v>3575627.8983935518</c:v>
                </c:pt>
                <c:pt idx="1136">
                  <c:v>3578778.2313436787</c:v>
                </c:pt>
                <c:pt idx="1137">
                  <c:v>3581928.564293805</c:v>
                </c:pt>
                <c:pt idx="1138">
                  <c:v>3585078.8972439314</c:v>
                </c:pt>
                <c:pt idx="1139">
                  <c:v>3588229.2301940578</c:v>
                </c:pt>
                <c:pt idx="1140">
                  <c:v>3591379.5631441842</c:v>
                </c:pt>
                <c:pt idx="1141">
                  <c:v>3594529.896094311</c:v>
                </c:pt>
                <c:pt idx="1142">
                  <c:v>3597680.2290444374</c:v>
                </c:pt>
                <c:pt idx="1143">
                  <c:v>3600830.5619945638</c:v>
                </c:pt>
                <c:pt idx="1144">
                  <c:v>3603980.8949446902</c:v>
                </c:pt>
                <c:pt idx="1145">
                  <c:v>3607131.2278948165</c:v>
                </c:pt>
                <c:pt idx="1146">
                  <c:v>3610281.5608449434</c:v>
                </c:pt>
                <c:pt idx="1147">
                  <c:v>3613431.8937950698</c:v>
                </c:pt>
                <c:pt idx="1148">
                  <c:v>3616582.2267451962</c:v>
                </c:pt>
                <c:pt idx="1149">
                  <c:v>3619732.5596953225</c:v>
                </c:pt>
                <c:pt idx="1150">
                  <c:v>3622882.8926454489</c:v>
                </c:pt>
                <c:pt idx="1151">
                  <c:v>3626033.2255955758</c:v>
                </c:pt>
                <c:pt idx="1152">
                  <c:v>3629183.5585457021</c:v>
                </c:pt>
                <c:pt idx="1153">
                  <c:v>3632333.8914958285</c:v>
                </c:pt>
                <c:pt idx="1154">
                  <c:v>3635484.2244459549</c:v>
                </c:pt>
                <c:pt idx="1155">
                  <c:v>3638634.5573960817</c:v>
                </c:pt>
                <c:pt idx="1156">
                  <c:v>3641784.8903462081</c:v>
                </c:pt>
                <c:pt idx="1157">
                  <c:v>3644935.2232963345</c:v>
                </c:pt>
                <c:pt idx="1158">
                  <c:v>3648085.5562464609</c:v>
                </c:pt>
                <c:pt idx="1159">
                  <c:v>3651235.8891965873</c:v>
                </c:pt>
                <c:pt idx="1160">
                  <c:v>3654386.2221467141</c:v>
                </c:pt>
                <c:pt idx="1161">
                  <c:v>3657536.5550968405</c:v>
                </c:pt>
                <c:pt idx="1162">
                  <c:v>3660686.8880469669</c:v>
                </c:pt>
                <c:pt idx="1163">
                  <c:v>3663837.2209970932</c:v>
                </c:pt>
                <c:pt idx="1164">
                  <c:v>3666987.5539472196</c:v>
                </c:pt>
                <c:pt idx="1165">
                  <c:v>3670137.8868973465</c:v>
                </c:pt>
                <c:pt idx="1166">
                  <c:v>3673288.2198474729</c:v>
                </c:pt>
                <c:pt idx="1167">
                  <c:v>3676438.5527975992</c:v>
                </c:pt>
                <c:pt idx="1168">
                  <c:v>3679588.8857477256</c:v>
                </c:pt>
                <c:pt idx="1169">
                  <c:v>3682739.218697852</c:v>
                </c:pt>
                <c:pt idx="1170">
                  <c:v>3685889.5516479788</c:v>
                </c:pt>
                <c:pt idx="1171">
                  <c:v>3689039.8845981052</c:v>
                </c:pt>
                <c:pt idx="1172">
                  <c:v>3692190.2175482316</c:v>
                </c:pt>
                <c:pt idx="1173">
                  <c:v>3695340.550498358</c:v>
                </c:pt>
                <c:pt idx="1174">
                  <c:v>3698490.8834484844</c:v>
                </c:pt>
                <c:pt idx="1175">
                  <c:v>3701641.2163986112</c:v>
                </c:pt>
                <c:pt idx="1176">
                  <c:v>3704791.5493487376</c:v>
                </c:pt>
                <c:pt idx="1177">
                  <c:v>3707941.882298864</c:v>
                </c:pt>
                <c:pt idx="1178">
                  <c:v>3711092.2152489903</c:v>
                </c:pt>
                <c:pt idx="1179">
                  <c:v>3714242.5481991172</c:v>
                </c:pt>
                <c:pt idx="1180">
                  <c:v>3717392.8811492436</c:v>
                </c:pt>
                <c:pt idx="1181">
                  <c:v>3720543.2140993699</c:v>
                </c:pt>
                <c:pt idx="1182">
                  <c:v>3723693.5470494963</c:v>
                </c:pt>
                <c:pt idx="1183">
                  <c:v>3726843.8799996227</c:v>
                </c:pt>
                <c:pt idx="1184">
                  <c:v>3729994.2129497495</c:v>
                </c:pt>
                <c:pt idx="1185">
                  <c:v>3733144.5458998759</c:v>
                </c:pt>
                <c:pt idx="1186">
                  <c:v>3736294.8788500023</c:v>
                </c:pt>
                <c:pt idx="1187">
                  <c:v>3739445.2118001287</c:v>
                </c:pt>
                <c:pt idx="1188">
                  <c:v>3742595.5447502551</c:v>
                </c:pt>
                <c:pt idx="1189">
                  <c:v>3745745.8777003819</c:v>
                </c:pt>
                <c:pt idx="1190">
                  <c:v>3748896.2106505083</c:v>
                </c:pt>
                <c:pt idx="1191">
                  <c:v>3752046.5436006347</c:v>
                </c:pt>
                <c:pt idx="1192">
                  <c:v>3755196.8765507611</c:v>
                </c:pt>
                <c:pt idx="1193">
                  <c:v>3758347.2095008874</c:v>
                </c:pt>
                <c:pt idx="1194">
                  <c:v>3761497.5424510143</c:v>
                </c:pt>
                <c:pt idx="1195">
                  <c:v>3764647.8754011407</c:v>
                </c:pt>
                <c:pt idx="1196">
                  <c:v>3767798.208351267</c:v>
                </c:pt>
                <c:pt idx="1197">
                  <c:v>3770948.5413013934</c:v>
                </c:pt>
                <c:pt idx="1198">
                  <c:v>3774098.8742515203</c:v>
                </c:pt>
                <c:pt idx="1199">
                  <c:v>3777249.2072016466</c:v>
                </c:pt>
                <c:pt idx="1200">
                  <c:v>3780399.540151773</c:v>
                </c:pt>
                <c:pt idx="1201">
                  <c:v>3783549.8731018994</c:v>
                </c:pt>
                <c:pt idx="1202">
                  <c:v>3786700.2060520258</c:v>
                </c:pt>
                <c:pt idx="1203">
                  <c:v>3789850.5390021526</c:v>
                </c:pt>
                <c:pt idx="1204">
                  <c:v>3793000.871952279</c:v>
                </c:pt>
                <c:pt idx="1205">
                  <c:v>3796151.2049024054</c:v>
                </c:pt>
                <c:pt idx="1206">
                  <c:v>3799301.5378525318</c:v>
                </c:pt>
                <c:pt idx="1207">
                  <c:v>3802451.8708026581</c:v>
                </c:pt>
                <c:pt idx="1208">
                  <c:v>3805602.203752785</c:v>
                </c:pt>
                <c:pt idx="1209">
                  <c:v>3808752.5367029114</c:v>
                </c:pt>
                <c:pt idx="1210">
                  <c:v>3811902.8696530377</c:v>
                </c:pt>
                <c:pt idx="1211">
                  <c:v>3815053.2026031641</c:v>
                </c:pt>
                <c:pt idx="1212">
                  <c:v>3818203.5355532905</c:v>
                </c:pt>
                <c:pt idx="1213">
                  <c:v>3821353.8685034174</c:v>
                </c:pt>
                <c:pt idx="1214">
                  <c:v>3824504.2014535437</c:v>
                </c:pt>
                <c:pt idx="1215">
                  <c:v>3827654.5344036701</c:v>
                </c:pt>
                <c:pt idx="1216">
                  <c:v>3830804.8673537965</c:v>
                </c:pt>
                <c:pt idx="1217">
                  <c:v>3833955.2003039233</c:v>
                </c:pt>
                <c:pt idx="1218">
                  <c:v>3837105.5332540497</c:v>
                </c:pt>
                <c:pt idx="1219">
                  <c:v>3840255.8662041761</c:v>
                </c:pt>
                <c:pt idx="1220">
                  <c:v>3843406.1991543025</c:v>
                </c:pt>
                <c:pt idx="1221">
                  <c:v>3846556.5321044289</c:v>
                </c:pt>
                <c:pt idx="1222">
                  <c:v>3849706.8650545557</c:v>
                </c:pt>
                <c:pt idx="1223">
                  <c:v>3852857.1980046821</c:v>
                </c:pt>
                <c:pt idx="1224">
                  <c:v>3856007.5309548085</c:v>
                </c:pt>
                <c:pt idx="1225">
                  <c:v>3859157.8639049348</c:v>
                </c:pt>
                <c:pt idx="1226">
                  <c:v>3862308.1968550612</c:v>
                </c:pt>
                <c:pt idx="1227">
                  <c:v>3865458.5298051881</c:v>
                </c:pt>
                <c:pt idx="1228">
                  <c:v>3868608.8627553144</c:v>
                </c:pt>
                <c:pt idx="1229">
                  <c:v>3871759.1957054408</c:v>
                </c:pt>
                <c:pt idx="1230">
                  <c:v>3874909.5286555672</c:v>
                </c:pt>
                <c:pt idx="1231">
                  <c:v>3878059.8616056936</c:v>
                </c:pt>
                <c:pt idx="1232">
                  <c:v>3881210.1945558204</c:v>
                </c:pt>
                <c:pt idx="1233">
                  <c:v>3884360.5275059468</c:v>
                </c:pt>
                <c:pt idx="1234">
                  <c:v>3887510.8604560732</c:v>
                </c:pt>
                <c:pt idx="1235">
                  <c:v>3890661.1934061996</c:v>
                </c:pt>
                <c:pt idx="1236">
                  <c:v>3893811.5263563264</c:v>
                </c:pt>
                <c:pt idx="1237">
                  <c:v>3896961.8593064528</c:v>
                </c:pt>
                <c:pt idx="1238">
                  <c:v>3900112.1922565792</c:v>
                </c:pt>
                <c:pt idx="1239">
                  <c:v>3903262.5252067056</c:v>
                </c:pt>
                <c:pt idx="1240">
                  <c:v>3906412.8581568319</c:v>
                </c:pt>
                <c:pt idx="1241">
                  <c:v>3909563.1911069588</c:v>
                </c:pt>
                <c:pt idx="1242">
                  <c:v>3912713.5240570852</c:v>
                </c:pt>
                <c:pt idx="1243">
                  <c:v>3915863.8570072115</c:v>
                </c:pt>
                <c:pt idx="1244">
                  <c:v>3919014.1899573379</c:v>
                </c:pt>
                <c:pt idx="1245">
                  <c:v>3922164.5229074643</c:v>
                </c:pt>
                <c:pt idx="1246">
                  <c:v>3925314.8558575911</c:v>
                </c:pt>
                <c:pt idx="1247">
                  <c:v>3928465.1888077175</c:v>
                </c:pt>
                <c:pt idx="1248">
                  <c:v>3931615.5217578439</c:v>
                </c:pt>
                <c:pt idx="1249">
                  <c:v>3934765.8547079703</c:v>
                </c:pt>
                <c:pt idx="1250">
                  <c:v>3937916.1876580967</c:v>
                </c:pt>
                <c:pt idx="1251">
                  <c:v>3941066.5206082235</c:v>
                </c:pt>
                <c:pt idx="1252">
                  <c:v>3944216.8535583499</c:v>
                </c:pt>
                <c:pt idx="1253">
                  <c:v>3947367.1865084763</c:v>
                </c:pt>
                <c:pt idx="1254">
                  <c:v>3950517.5194586026</c:v>
                </c:pt>
                <c:pt idx="1255">
                  <c:v>3953667.8524087295</c:v>
                </c:pt>
                <c:pt idx="1256">
                  <c:v>3956818.1853588559</c:v>
                </c:pt>
                <c:pt idx="1257">
                  <c:v>3959968.5183089823</c:v>
                </c:pt>
                <c:pt idx="1258">
                  <c:v>3963118.8512591086</c:v>
                </c:pt>
                <c:pt idx="1259">
                  <c:v>3966269.184209235</c:v>
                </c:pt>
                <c:pt idx="1260">
                  <c:v>3969419.5171593619</c:v>
                </c:pt>
                <c:pt idx="1261">
                  <c:v>3972569.8501094882</c:v>
                </c:pt>
                <c:pt idx="1262">
                  <c:v>3975720.1830596146</c:v>
                </c:pt>
                <c:pt idx="1263">
                  <c:v>3978870.516009741</c:v>
                </c:pt>
                <c:pt idx="1264">
                  <c:v>3982020.8489598674</c:v>
                </c:pt>
                <c:pt idx="1265">
                  <c:v>3985171.1819099942</c:v>
                </c:pt>
                <c:pt idx="1266">
                  <c:v>3988321.5148601206</c:v>
                </c:pt>
                <c:pt idx="1267">
                  <c:v>3991471.847810247</c:v>
                </c:pt>
                <c:pt idx="1268">
                  <c:v>3994622.1807603734</c:v>
                </c:pt>
                <c:pt idx="1269">
                  <c:v>3997772.5137104997</c:v>
                </c:pt>
                <c:pt idx="1270">
                  <c:v>4000922.8466606266</c:v>
                </c:pt>
                <c:pt idx="1271">
                  <c:v>4004073.179610753</c:v>
                </c:pt>
                <c:pt idx="1272">
                  <c:v>4007223.5125608793</c:v>
                </c:pt>
                <c:pt idx="1273">
                  <c:v>4010373.8455110057</c:v>
                </c:pt>
                <c:pt idx="1274">
                  <c:v>4013524.1784611321</c:v>
                </c:pt>
                <c:pt idx="1275">
                  <c:v>4016674.511411259</c:v>
                </c:pt>
                <c:pt idx="1276">
                  <c:v>4019824.8443613853</c:v>
                </c:pt>
                <c:pt idx="1277">
                  <c:v>4022975.1773115117</c:v>
                </c:pt>
                <c:pt idx="1278">
                  <c:v>4026125.5102616381</c:v>
                </c:pt>
                <c:pt idx="1279">
                  <c:v>4029275.8432117649</c:v>
                </c:pt>
                <c:pt idx="1280">
                  <c:v>4032426.1761618913</c:v>
                </c:pt>
                <c:pt idx="1281">
                  <c:v>4035576.5091120177</c:v>
                </c:pt>
                <c:pt idx="1282">
                  <c:v>4038726.8420621441</c:v>
                </c:pt>
                <c:pt idx="1283">
                  <c:v>4041877.1750122705</c:v>
                </c:pt>
                <c:pt idx="1284">
                  <c:v>4045027.5079623973</c:v>
                </c:pt>
                <c:pt idx="1285">
                  <c:v>4048177.8409125237</c:v>
                </c:pt>
                <c:pt idx="1286">
                  <c:v>4051328.1738626501</c:v>
                </c:pt>
                <c:pt idx="1287">
                  <c:v>4054478.5068127764</c:v>
                </c:pt>
                <c:pt idx="1288">
                  <c:v>4057628.8397629028</c:v>
                </c:pt>
                <c:pt idx="1289">
                  <c:v>4060779.1727130297</c:v>
                </c:pt>
                <c:pt idx="1290">
                  <c:v>4063929.505663156</c:v>
                </c:pt>
                <c:pt idx="1291">
                  <c:v>4067079.8386132824</c:v>
                </c:pt>
                <c:pt idx="1292">
                  <c:v>4070230.1715634088</c:v>
                </c:pt>
                <c:pt idx="1293">
                  <c:v>4073380.5045135352</c:v>
                </c:pt>
                <c:pt idx="1294">
                  <c:v>4076530.837463662</c:v>
                </c:pt>
                <c:pt idx="1295">
                  <c:v>4079681.1704137884</c:v>
                </c:pt>
                <c:pt idx="1296">
                  <c:v>4082831.5033639148</c:v>
                </c:pt>
                <c:pt idx="1297">
                  <c:v>4085981.8363140412</c:v>
                </c:pt>
                <c:pt idx="1298">
                  <c:v>4089132.169264168</c:v>
                </c:pt>
                <c:pt idx="1299">
                  <c:v>4092282.5022142944</c:v>
                </c:pt>
                <c:pt idx="1300">
                  <c:v>4095432.8351644208</c:v>
                </c:pt>
                <c:pt idx="1301">
                  <c:v>4098583.1681145472</c:v>
                </c:pt>
                <c:pt idx="1302">
                  <c:v>4101733.5010646735</c:v>
                </c:pt>
                <c:pt idx="1303">
                  <c:v>4104883.8340148004</c:v>
                </c:pt>
                <c:pt idx="1304">
                  <c:v>4108034.1669649268</c:v>
                </c:pt>
                <c:pt idx="1305">
                  <c:v>4111184.4999150531</c:v>
                </c:pt>
                <c:pt idx="1306">
                  <c:v>4114334.8328651795</c:v>
                </c:pt>
                <c:pt idx="1307">
                  <c:v>4117485.1658153059</c:v>
                </c:pt>
                <c:pt idx="1308">
                  <c:v>4120635.4987654327</c:v>
                </c:pt>
                <c:pt idx="1309">
                  <c:v>4123785.8317155591</c:v>
                </c:pt>
                <c:pt idx="1310">
                  <c:v>4126936.1646656855</c:v>
                </c:pt>
                <c:pt idx="1311">
                  <c:v>4130086.4976158119</c:v>
                </c:pt>
                <c:pt idx="1312">
                  <c:v>4133236.8305659383</c:v>
                </c:pt>
                <c:pt idx="1313">
                  <c:v>4136387.1635160651</c:v>
                </c:pt>
                <c:pt idx="1314">
                  <c:v>4139537.4964661915</c:v>
                </c:pt>
                <c:pt idx="1315">
                  <c:v>4142687.8294163179</c:v>
                </c:pt>
                <c:pt idx="1316">
                  <c:v>4145838.1623664442</c:v>
                </c:pt>
                <c:pt idx="1317">
                  <c:v>4148988.4953165711</c:v>
                </c:pt>
                <c:pt idx="1318">
                  <c:v>4152138.8282666975</c:v>
                </c:pt>
                <c:pt idx="1319">
                  <c:v>4155289.1612168238</c:v>
                </c:pt>
                <c:pt idx="1320">
                  <c:v>4158439.4941669502</c:v>
                </c:pt>
                <c:pt idx="1321">
                  <c:v>4161589.8271170766</c:v>
                </c:pt>
                <c:pt idx="1322">
                  <c:v>4164740.1600672035</c:v>
                </c:pt>
                <c:pt idx="1323">
                  <c:v>4167890.4930173298</c:v>
                </c:pt>
                <c:pt idx="1324">
                  <c:v>4171040.8259674562</c:v>
                </c:pt>
                <c:pt idx="1325">
                  <c:v>4174191.1589175826</c:v>
                </c:pt>
                <c:pt idx="1326">
                  <c:v>4177341.491867709</c:v>
                </c:pt>
                <c:pt idx="1327">
                  <c:v>4180491.8248178358</c:v>
                </c:pt>
                <c:pt idx="1328">
                  <c:v>4183642.1577679622</c:v>
                </c:pt>
                <c:pt idx="1329">
                  <c:v>4186792.4907180886</c:v>
                </c:pt>
                <c:pt idx="1330">
                  <c:v>4189942.823668215</c:v>
                </c:pt>
                <c:pt idx="1331">
                  <c:v>4193093.1566183413</c:v>
                </c:pt>
                <c:pt idx="1332">
                  <c:v>4196243.4895684682</c:v>
                </c:pt>
                <c:pt idx="1333">
                  <c:v>4199393.8225185946</c:v>
                </c:pt>
                <c:pt idx="1334">
                  <c:v>4202544.1554687209</c:v>
                </c:pt>
                <c:pt idx="1335">
                  <c:v>4205694.4884188473</c:v>
                </c:pt>
                <c:pt idx="1336">
                  <c:v>4208844.8213689737</c:v>
                </c:pt>
                <c:pt idx="1337">
                  <c:v>4211995.1543191001</c:v>
                </c:pt>
                <c:pt idx="1338">
                  <c:v>4215145.4872692265</c:v>
                </c:pt>
                <c:pt idx="1339">
                  <c:v>4218295.8202193538</c:v>
                </c:pt>
                <c:pt idx="1340">
                  <c:v>4221446.1531694802</c:v>
                </c:pt>
                <c:pt idx="1341">
                  <c:v>4224596.4861196065</c:v>
                </c:pt>
                <c:pt idx="1342">
                  <c:v>4227746.8190697329</c:v>
                </c:pt>
                <c:pt idx="1343">
                  <c:v>4230897.1520198593</c:v>
                </c:pt>
                <c:pt idx="1344">
                  <c:v>4234047.4849699857</c:v>
                </c:pt>
                <c:pt idx="1345">
                  <c:v>4237197.8179201121</c:v>
                </c:pt>
                <c:pt idx="1346">
                  <c:v>4240348.1508702384</c:v>
                </c:pt>
                <c:pt idx="1347">
                  <c:v>4243498.4838203648</c:v>
                </c:pt>
                <c:pt idx="1348">
                  <c:v>4246648.8167704921</c:v>
                </c:pt>
                <c:pt idx="1349">
                  <c:v>4249799.1497206185</c:v>
                </c:pt>
                <c:pt idx="1350">
                  <c:v>4252949.4826707449</c:v>
                </c:pt>
                <c:pt idx="1351">
                  <c:v>4256099.8156208713</c:v>
                </c:pt>
                <c:pt idx="1352">
                  <c:v>4259250.1485709976</c:v>
                </c:pt>
                <c:pt idx="1353">
                  <c:v>4262400.481521124</c:v>
                </c:pt>
                <c:pt idx="1354">
                  <c:v>4265550.8144712504</c:v>
                </c:pt>
                <c:pt idx="1355">
                  <c:v>4268701.1474213768</c:v>
                </c:pt>
                <c:pt idx="1356">
                  <c:v>4271851.4803715032</c:v>
                </c:pt>
                <c:pt idx="1357">
                  <c:v>4275001.8133216295</c:v>
                </c:pt>
                <c:pt idx="1358">
                  <c:v>4278152.1462717569</c:v>
                </c:pt>
                <c:pt idx="1359">
                  <c:v>4281302.4792218832</c:v>
                </c:pt>
                <c:pt idx="1360">
                  <c:v>4284452.8121720096</c:v>
                </c:pt>
                <c:pt idx="1361">
                  <c:v>4287603.145122136</c:v>
                </c:pt>
                <c:pt idx="1362">
                  <c:v>4290753.4780722624</c:v>
                </c:pt>
                <c:pt idx="1363">
                  <c:v>4293903.8110223887</c:v>
                </c:pt>
                <c:pt idx="1364">
                  <c:v>4297054.1439725151</c:v>
                </c:pt>
                <c:pt idx="1365">
                  <c:v>4300204.4769226415</c:v>
                </c:pt>
                <c:pt idx="1366">
                  <c:v>4303354.8098727679</c:v>
                </c:pt>
                <c:pt idx="1367">
                  <c:v>4306505.1428228952</c:v>
                </c:pt>
                <c:pt idx="1368">
                  <c:v>4309655.4757730216</c:v>
                </c:pt>
                <c:pt idx="1369">
                  <c:v>4312805.808723148</c:v>
                </c:pt>
                <c:pt idx="1370">
                  <c:v>4315956.1416732743</c:v>
                </c:pt>
                <c:pt idx="1371">
                  <c:v>4319106.4746234007</c:v>
                </c:pt>
                <c:pt idx="1372">
                  <c:v>4322256.8075735271</c:v>
                </c:pt>
                <c:pt idx="1373">
                  <c:v>4325407.1405236535</c:v>
                </c:pt>
                <c:pt idx="1374">
                  <c:v>4328557.4734737799</c:v>
                </c:pt>
                <c:pt idx="1375">
                  <c:v>4331707.8064239062</c:v>
                </c:pt>
                <c:pt idx="1376">
                  <c:v>4334858.1393740326</c:v>
                </c:pt>
                <c:pt idx="1377">
                  <c:v>4338008.4723241599</c:v>
                </c:pt>
                <c:pt idx="1378">
                  <c:v>4341158.8052742863</c:v>
                </c:pt>
                <c:pt idx="1379">
                  <c:v>4344309.1382244127</c:v>
                </c:pt>
                <c:pt idx="1380">
                  <c:v>4347459.4711745391</c:v>
                </c:pt>
                <c:pt idx="1381">
                  <c:v>4350609.8041246654</c:v>
                </c:pt>
                <c:pt idx="1382">
                  <c:v>4353760.1370747918</c:v>
                </c:pt>
                <c:pt idx="1383">
                  <c:v>4356910.4700249182</c:v>
                </c:pt>
                <c:pt idx="1384">
                  <c:v>4360060.8029750446</c:v>
                </c:pt>
                <c:pt idx="1385">
                  <c:v>4363211.135925171</c:v>
                </c:pt>
                <c:pt idx="1386">
                  <c:v>4366361.4688752983</c:v>
                </c:pt>
                <c:pt idx="1387">
                  <c:v>4369511.8018254247</c:v>
                </c:pt>
                <c:pt idx="1388">
                  <c:v>4372662.134775551</c:v>
                </c:pt>
                <c:pt idx="1389">
                  <c:v>4375812.4677256774</c:v>
                </c:pt>
                <c:pt idx="1390">
                  <c:v>4378962.8006758038</c:v>
                </c:pt>
                <c:pt idx="1391">
                  <c:v>4382113.1336259302</c:v>
                </c:pt>
                <c:pt idx="1392">
                  <c:v>4385263.4665760566</c:v>
                </c:pt>
                <c:pt idx="1393">
                  <c:v>4388413.7995261829</c:v>
                </c:pt>
                <c:pt idx="1394">
                  <c:v>4391564.1324763093</c:v>
                </c:pt>
                <c:pt idx="1395">
                  <c:v>4394714.4654264357</c:v>
                </c:pt>
                <c:pt idx="1396">
                  <c:v>4397864.798376563</c:v>
                </c:pt>
                <c:pt idx="1397">
                  <c:v>4401015.1313266894</c:v>
                </c:pt>
                <c:pt idx="1398">
                  <c:v>4404165.4642768158</c:v>
                </c:pt>
                <c:pt idx="1399">
                  <c:v>4407315.7972269421</c:v>
                </c:pt>
                <c:pt idx="1400">
                  <c:v>4410466.1301770685</c:v>
                </c:pt>
                <c:pt idx="1401">
                  <c:v>4413616.4631271949</c:v>
                </c:pt>
                <c:pt idx="1402">
                  <c:v>4416766.7960773213</c:v>
                </c:pt>
                <c:pt idx="1403">
                  <c:v>4419917.1290274477</c:v>
                </c:pt>
                <c:pt idx="1404">
                  <c:v>4423067.461977574</c:v>
                </c:pt>
                <c:pt idx="1405">
                  <c:v>4426217.7949277004</c:v>
                </c:pt>
                <c:pt idx="1406">
                  <c:v>4429368.1278778277</c:v>
                </c:pt>
                <c:pt idx="1407">
                  <c:v>4432518.4608279541</c:v>
                </c:pt>
                <c:pt idx="1408">
                  <c:v>4435668.7937780805</c:v>
                </c:pt>
                <c:pt idx="1409">
                  <c:v>4438819.1267282069</c:v>
                </c:pt>
                <c:pt idx="1410">
                  <c:v>4441969.4596783333</c:v>
                </c:pt>
                <c:pt idx="1411">
                  <c:v>4445119.7926284596</c:v>
                </c:pt>
                <c:pt idx="1412">
                  <c:v>4448270.125578586</c:v>
                </c:pt>
                <c:pt idx="1413">
                  <c:v>4451420.4585287124</c:v>
                </c:pt>
                <c:pt idx="1414">
                  <c:v>4454570.7914788388</c:v>
                </c:pt>
                <c:pt idx="1415">
                  <c:v>4457721.1244289661</c:v>
                </c:pt>
                <c:pt idx="1416">
                  <c:v>4460871.4573790925</c:v>
                </c:pt>
                <c:pt idx="1417">
                  <c:v>4464021.7903292188</c:v>
                </c:pt>
                <c:pt idx="1418">
                  <c:v>4467172.1232793452</c:v>
                </c:pt>
                <c:pt idx="1419">
                  <c:v>4470322.4562294716</c:v>
                </c:pt>
                <c:pt idx="1420">
                  <c:v>4473472.789179598</c:v>
                </c:pt>
                <c:pt idx="1421">
                  <c:v>4476623.1221297244</c:v>
                </c:pt>
                <c:pt idx="1422">
                  <c:v>4479773.4550798507</c:v>
                </c:pt>
                <c:pt idx="1423">
                  <c:v>4482923.7880299771</c:v>
                </c:pt>
                <c:pt idx="1424">
                  <c:v>4486074.1209801035</c:v>
                </c:pt>
                <c:pt idx="1425">
                  <c:v>4489224.4539302308</c:v>
                </c:pt>
                <c:pt idx="1426">
                  <c:v>4492374.7868803572</c:v>
                </c:pt>
                <c:pt idx="1427">
                  <c:v>4495525.1198304836</c:v>
                </c:pt>
                <c:pt idx="1428">
                  <c:v>4498675.45278061</c:v>
                </c:pt>
                <c:pt idx="1429">
                  <c:v>4501825.7857307363</c:v>
                </c:pt>
                <c:pt idx="1430">
                  <c:v>4504976.1186808627</c:v>
                </c:pt>
                <c:pt idx="1431">
                  <c:v>4508126.4516309891</c:v>
                </c:pt>
                <c:pt idx="1432">
                  <c:v>4511276.7845811155</c:v>
                </c:pt>
                <c:pt idx="1433">
                  <c:v>4514427.1175312418</c:v>
                </c:pt>
                <c:pt idx="1434">
                  <c:v>4517577.4504813692</c:v>
                </c:pt>
                <c:pt idx="1435">
                  <c:v>4520727.7834314955</c:v>
                </c:pt>
                <c:pt idx="1436">
                  <c:v>4523878.1163816219</c:v>
                </c:pt>
                <c:pt idx="1437">
                  <c:v>4527028.4493317483</c:v>
                </c:pt>
                <c:pt idx="1438">
                  <c:v>4530178.7822818747</c:v>
                </c:pt>
                <c:pt idx="1439">
                  <c:v>4533329.1152320011</c:v>
                </c:pt>
                <c:pt idx="1440">
                  <c:v>4536479.4481821274</c:v>
                </c:pt>
                <c:pt idx="1441">
                  <c:v>4539629.7811322538</c:v>
                </c:pt>
                <c:pt idx="1442">
                  <c:v>4542780.1140823802</c:v>
                </c:pt>
                <c:pt idx="1443">
                  <c:v>4545930.4470325066</c:v>
                </c:pt>
                <c:pt idx="1444">
                  <c:v>4549080.7799826339</c:v>
                </c:pt>
                <c:pt idx="1445">
                  <c:v>4552231.1129327603</c:v>
                </c:pt>
                <c:pt idx="1446">
                  <c:v>4555381.4458828866</c:v>
                </c:pt>
                <c:pt idx="1447">
                  <c:v>4558531.778833013</c:v>
                </c:pt>
                <c:pt idx="1448">
                  <c:v>4561682.1117831394</c:v>
                </c:pt>
                <c:pt idx="1449">
                  <c:v>4564832.4447332658</c:v>
                </c:pt>
                <c:pt idx="1450">
                  <c:v>4567982.7776833922</c:v>
                </c:pt>
                <c:pt idx="1451">
                  <c:v>4571133.1106335185</c:v>
                </c:pt>
                <c:pt idx="1452">
                  <c:v>4574283.4435836449</c:v>
                </c:pt>
                <c:pt idx="1453">
                  <c:v>4577433.7765337722</c:v>
                </c:pt>
                <c:pt idx="1454">
                  <c:v>4580584.1094838986</c:v>
                </c:pt>
                <c:pt idx="1455">
                  <c:v>4583734.442434025</c:v>
                </c:pt>
                <c:pt idx="1456">
                  <c:v>4586884.7753841514</c:v>
                </c:pt>
                <c:pt idx="1457">
                  <c:v>4590035.1083342778</c:v>
                </c:pt>
                <c:pt idx="1458">
                  <c:v>4593185.4412844041</c:v>
                </c:pt>
                <c:pt idx="1459">
                  <c:v>4596335.7742345305</c:v>
                </c:pt>
                <c:pt idx="1460">
                  <c:v>4599486.1071846569</c:v>
                </c:pt>
                <c:pt idx="1461">
                  <c:v>4602636.4401347833</c:v>
                </c:pt>
                <c:pt idx="1462">
                  <c:v>4605786.7730849097</c:v>
                </c:pt>
                <c:pt idx="1463">
                  <c:v>4608937.106035037</c:v>
                </c:pt>
                <c:pt idx="1464">
                  <c:v>4612087.4389851633</c:v>
                </c:pt>
                <c:pt idx="1465">
                  <c:v>4615237.7719352897</c:v>
                </c:pt>
                <c:pt idx="1466">
                  <c:v>4618388.1048854161</c:v>
                </c:pt>
                <c:pt idx="1467">
                  <c:v>4621538.4378355425</c:v>
                </c:pt>
                <c:pt idx="1468">
                  <c:v>4624688.7707856689</c:v>
                </c:pt>
                <c:pt idx="1469">
                  <c:v>4627839.1037357952</c:v>
                </c:pt>
                <c:pt idx="1470">
                  <c:v>4630989.4366859216</c:v>
                </c:pt>
                <c:pt idx="1471">
                  <c:v>4634139.769636048</c:v>
                </c:pt>
                <c:pt idx="1472">
                  <c:v>4637290.1025861753</c:v>
                </c:pt>
                <c:pt idx="1473">
                  <c:v>4640440.4355363017</c:v>
                </c:pt>
                <c:pt idx="1474">
                  <c:v>4643590.7684864281</c:v>
                </c:pt>
                <c:pt idx="1475">
                  <c:v>4646741.1014365545</c:v>
                </c:pt>
                <c:pt idx="1476">
                  <c:v>4649891.4343866808</c:v>
                </c:pt>
                <c:pt idx="1477">
                  <c:v>4653041.7673368072</c:v>
                </c:pt>
                <c:pt idx="1478">
                  <c:v>4656192.1002869336</c:v>
                </c:pt>
                <c:pt idx="1479">
                  <c:v>4659342.43323706</c:v>
                </c:pt>
                <c:pt idx="1480">
                  <c:v>4662492.7661871864</c:v>
                </c:pt>
                <c:pt idx="1481">
                  <c:v>4665643.0991373127</c:v>
                </c:pt>
                <c:pt idx="1482">
                  <c:v>4668793.43208744</c:v>
                </c:pt>
                <c:pt idx="1483">
                  <c:v>4671943.7650375664</c:v>
                </c:pt>
                <c:pt idx="1484">
                  <c:v>4675094.0979876928</c:v>
                </c:pt>
                <c:pt idx="1485">
                  <c:v>4678244.4309378192</c:v>
                </c:pt>
                <c:pt idx="1486">
                  <c:v>4681394.7638879456</c:v>
                </c:pt>
                <c:pt idx="1487">
                  <c:v>4684545.0968380719</c:v>
                </c:pt>
                <c:pt idx="1488">
                  <c:v>4687695.4297881983</c:v>
                </c:pt>
                <c:pt idx="1489">
                  <c:v>4690845.7627383247</c:v>
                </c:pt>
                <c:pt idx="1490">
                  <c:v>4693996.0956884511</c:v>
                </c:pt>
                <c:pt idx="1491">
                  <c:v>4697146.4286385784</c:v>
                </c:pt>
                <c:pt idx="1492">
                  <c:v>4700296.7615887048</c:v>
                </c:pt>
                <c:pt idx="1493">
                  <c:v>4703447.0945388312</c:v>
                </c:pt>
                <c:pt idx="1494">
                  <c:v>4706597.4274889575</c:v>
                </c:pt>
                <c:pt idx="1495">
                  <c:v>4709747.7604390839</c:v>
                </c:pt>
                <c:pt idx="1496">
                  <c:v>4712898.0933892103</c:v>
                </c:pt>
                <c:pt idx="1497">
                  <c:v>4716048.4263393367</c:v>
                </c:pt>
                <c:pt idx="1498">
                  <c:v>4719198.7592894631</c:v>
                </c:pt>
                <c:pt idx="1499">
                  <c:v>4722349.0922395894</c:v>
                </c:pt>
                <c:pt idx="1500">
                  <c:v>4725499.4251897158</c:v>
                </c:pt>
                <c:pt idx="1501">
                  <c:v>4728649.7581398431</c:v>
                </c:pt>
                <c:pt idx="1502">
                  <c:v>4731800.0910899695</c:v>
                </c:pt>
                <c:pt idx="1503">
                  <c:v>4734950.4240400959</c:v>
                </c:pt>
                <c:pt idx="1504">
                  <c:v>4738100.7569902223</c:v>
                </c:pt>
                <c:pt idx="1505">
                  <c:v>4741251.0899403486</c:v>
                </c:pt>
                <c:pt idx="1506">
                  <c:v>4744401.422890475</c:v>
                </c:pt>
                <c:pt idx="1507">
                  <c:v>4747551.7558406014</c:v>
                </c:pt>
                <c:pt idx="1508">
                  <c:v>4750702.0887907278</c:v>
                </c:pt>
                <c:pt idx="1509">
                  <c:v>4753852.4217408542</c:v>
                </c:pt>
                <c:pt idx="1510">
                  <c:v>4757002.7546909815</c:v>
                </c:pt>
                <c:pt idx="1511">
                  <c:v>4760153.0876411078</c:v>
                </c:pt>
                <c:pt idx="1512">
                  <c:v>4763303.4205912342</c:v>
                </c:pt>
                <c:pt idx="1513">
                  <c:v>4766453.7535413606</c:v>
                </c:pt>
                <c:pt idx="1514">
                  <c:v>4769604.086491487</c:v>
                </c:pt>
                <c:pt idx="1515">
                  <c:v>4772754.4194416134</c:v>
                </c:pt>
                <c:pt idx="1516">
                  <c:v>4775904.7523917397</c:v>
                </c:pt>
                <c:pt idx="1517">
                  <c:v>4779055.0853418661</c:v>
                </c:pt>
                <c:pt idx="1518">
                  <c:v>4782205.4182919925</c:v>
                </c:pt>
                <c:pt idx="1519">
                  <c:v>4785355.7512421189</c:v>
                </c:pt>
                <c:pt idx="1520">
                  <c:v>4788506.0841922462</c:v>
                </c:pt>
                <c:pt idx="1521">
                  <c:v>4791656.4171423726</c:v>
                </c:pt>
                <c:pt idx="1522">
                  <c:v>4794806.750092499</c:v>
                </c:pt>
                <c:pt idx="1523">
                  <c:v>4797957.0830426253</c:v>
                </c:pt>
                <c:pt idx="1524">
                  <c:v>4801107.4159927517</c:v>
                </c:pt>
                <c:pt idx="1525">
                  <c:v>4804257.7489428781</c:v>
                </c:pt>
                <c:pt idx="1526">
                  <c:v>4807408.0818930045</c:v>
                </c:pt>
                <c:pt idx="1527">
                  <c:v>4810558.4148431309</c:v>
                </c:pt>
                <c:pt idx="1528">
                  <c:v>4813708.7477932572</c:v>
                </c:pt>
                <c:pt idx="1529">
                  <c:v>4816859.0807433845</c:v>
                </c:pt>
                <c:pt idx="1530">
                  <c:v>4820009.4136935109</c:v>
                </c:pt>
                <c:pt idx="1531">
                  <c:v>4823159.7466436373</c:v>
                </c:pt>
                <c:pt idx="1532">
                  <c:v>4826310.0795937637</c:v>
                </c:pt>
                <c:pt idx="1533">
                  <c:v>4829460.4125438901</c:v>
                </c:pt>
                <c:pt idx="1534">
                  <c:v>4832610.7454940164</c:v>
                </c:pt>
                <c:pt idx="1535">
                  <c:v>4835761.0784441428</c:v>
                </c:pt>
                <c:pt idx="1536">
                  <c:v>4838911.4113942692</c:v>
                </c:pt>
                <c:pt idx="1537">
                  <c:v>4842061.7443443956</c:v>
                </c:pt>
                <c:pt idx="1538">
                  <c:v>4845212.077294522</c:v>
                </c:pt>
                <c:pt idx="1539">
                  <c:v>4848362.4102446493</c:v>
                </c:pt>
                <c:pt idx="1540">
                  <c:v>4851512.7431947757</c:v>
                </c:pt>
                <c:pt idx="1541">
                  <c:v>4854663.076144902</c:v>
                </c:pt>
                <c:pt idx="1542">
                  <c:v>4857813.4090950284</c:v>
                </c:pt>
                <c:pt idx="1543">
                  <c:v>4860963.7420451548</c:v>
                </c:pt>
                <c:pt idx="1544">
                  <c:v>4864114.0749952812</c:v>
                </c:pt>
                <c:pt idx="1545">
                  <c:v>4867264.4079454076</c:v>
                </c:pt>
                <c:pt idx="1546">
                  <c:v>4870414.7408955339</c:v>
                </c:pt>
                <c:pt idx="1547">
                  <c:v>4873565.0738456603</c:v>
                </c:pt>
                <c:pt idx="1548">
                  <c:v>4876715.4067957876</c:v>
                </c:pt>
                <c:pt idx="1549">
                  <c:v>4879865.739745914</c:v>
                </c:pt>
                <c:pt idx="1550">
                  <c:v>4883016.0726960404</c:v>
                </c:pt>
                <c:pt idx="1551">
                  <c:v>4886166.4056461668</c:v>
                </c:pt>
                <c:pt idx="1552">
                  <c:v>4889316.7385962931</c:v>
                </c:pt>
                <c:pt idx="1553">
                  <c:v>4892467.0715464195</c:v>
                </c:pt>
                <c:pt idx="1554">
                  <c:v>4895617.4044965459</c:v>
                </c:pt>
                <c:pt idx="1555">
                  <c:v>4898767.7374466723</c:v>
                </c:pt>
                <c:pt idx="1556">
                  <c:v>4901918.0703967987</c:v>
                </c:pt>
                <c:pt idx="1557">
                  <c:v>4905068.403346925</c:v>
                </c:pt>
                <c:pt idx="1558">
                  <c:v>4908218.7362970524</c:v>
                </c:pt>
                <c:pt idx="1559">
                  <c:v>4911369.0692471787</c:v>
                </c:pt>
                <c:pt idx="1560">
                  <c:v>4914519.4021973051</c:v>
                </c:pt>
                <c:pt idx="1561">
                  <c:v>4917669.7351474315</c:v>
                </c:pt>
                <c:pt idx="1562">
                  <c:v>4920820.0680975579</c:v>
                </c:pt>
                <c:pt idx="1563">
                  <c:v>4923970.4010476843</c:v>
                </c:pt>
                <c:pt idx="1564">
                  <c:v>4927120.7339978106</c:v>
                </c:pt>
                <c:pt idx="1565">
                  <c:v>4930271.066947937</c:v>
                </c:pt>
                <c:pt idx="1566">
                  <c:v>4933421.3998980634</c:v>
                </c:pt>
                <c:pt idx="1567">
                  <c:v>4936571.7328481907</c:v>
                </c:pt>
                <c:pt idx="1568">
                  <c:v>4939722.0657983171</c:v>
                </c:pt>
                <c:pt idx="1569">
                  <c:v>4942872.3987484435</c:v>
                </c:pt>
                <c:pt idx="1570">
                  <c:v>4946022.7316985698</c:v>
                </c:pt>
                <c:pt idx="1571">
                  <c:v>4949173.0646486962</c:v>
                </c:pt>
                <c:pt idx="1572">
                  <c:v>4952323.3975988226</c:v>
                </c:pt>
                <c:pt idx="1573">
                  <c:v>4955473.730548949</c:v>
                </c:pt>
                <c:pt idx="1574">
                  <c:v>4958624.0634990754</c:v>
                </c:pt>
                <c:pt idx="1575">
                  <c:v>4961774.3964492017</c:v>
                </c:pt>
                <c:pt idx="1576">
                  <c:v>4964924.7293993281</c:v>
                </c:pt>
                <c:pt idx="1577">
                  <c:v>4968075.0623494554</c:v>
                </c:pt>
                <c:pt idx="1578">
                  <c:v>4971225.3952995818</c:v>
                </c:pt>
                <c:pt idx="1579">
                  <c:v>4974375.7282497082</c:v>
                </c:pt>
                <c:pt idx="1580">
                  <c:v>4977526.0611998346</c:v>
                </c:pt>
                <c:pt idx="1581">
                  <c:v>4980676.394149961</c:v>
                </c:pt>
                <c:pt idx="1582">
                  <c:v>4983826.7271000873</c:v>
                </c:pt>
                <c:pt idx="1583">
                  <c:v>4986977.0600502137</c:v>
                </c:pt>
                <c:pt idx="1584">
                  <c:v>4990127.3930003401</c:v>
                </c:pt>
                <c:pt idx="1585">
                  <c:v>4993277.7259504665</c:v>
                </c:pt>
                <c:pt idx="1586">
                  <c:v>4996428.0589005928</c:v>
                </c:pt>
                <c:pt idx="1587">
                  <c:v>4999578.3918507202</c:v>
                </c:pt>
                <c:pt idx="1588">
                  <c:v>5002728.7248008465</c:v>
                </c:pt>
                <c:pt idx="1589">
                  <c:v>5005879.0577509729</c:v>
                </c:pt>
                <c:pt idx="1590">
                  <c:v>5009029.3907010993</c:v>
                </c:pt>
                <c:pt idx="1591">
                  <c:v>5012179.7236512257</c:v>
                </c:pt>
                <c:pt idx="1592">
                  <c:v>5015330.0566013521</c:v>
                </c:pt>
                <c:pt idx="1593">
                  <c:v>5018480.3895514784</c:v>
                </c:pt>
                <c:pt idx="1594">
                  <c:v>5021630.7225016048</c:v>
                </c:pt>
                <c:pt idx="1595">
                  <c:v>5024781.0554517312</c:v>
                </c:pt>
                <c:pt idx="1596">
                  <c:v>5027931.3884018585</c:v>
                </c:pt>
                <c:pt idx="1597">
                  <c:v>5031081.7213519849</c:v>
                </c:pt>
                <c:pt idx="1598">
                  <c:v>5034232.0543021113</c:v>
                </c:pt>
                <c:pt idx="1599">
                  <c:v>5037382.3872522376</c:v>
                </c:pt>
                <c:pt idx="1600">
                  <c:v>5040532.720202364</c:v>
                </c:pt>
                <c:pt idx="1601">
                  <c:v>5043683.0531524904</c:v>
                </c:pt>
                <c:pt idx="1602">
                  <c:v>5046833.3861026168</c:v>
                </c:pt>
                <c:pt idx="1603">
                  <c:v>5049983.7190527432</c:v>
                </c:pt>
                <c:pt idx="1604">
                  <c:v>5053134.0520028695</c:v>
                </c:pt>
                <c:pt idx="1605">
                  <c:v>5056284.3849529959</c:v>
                </c:pt>
                <c:pt idx="1606">
                  <c:v>5059434.7179031232</c:v>
                </c:pt>
                <c:pt idx="1607">
                  <c:v>5062585.0508532496</c:v>
                </c:pt>
                <c:pt idx="1608">
                  <c:v>5065735.383803376</c:v>
                </c:pt>
                <c:pt idx="1609">
                  <c:v>5068885.7167535024</c:v>
                </c:pt>
                <c:pt idx="1610">
                  <c:v>5072036.0497036288</c:v>
                </c:pt>
                <c:pt idx="1611">
                  <c:v>5075186.3826537551</c:v>
                </c:pt>
                <c:pt idx="1612">
                  <c:v>5078336.7156038815</c:v>
                </c:pt>
                <c:pt idx="1613">
                  <c:v>5081487.0485540079</c:v>
                </c:pt>
                <c:pt idx="1614">
                  <c:v>5084637.3815041343</c:v>
                </c:pt>
                <c:pt idx="1615">
                  <c:v>5087787.7144542616</c:v>
                </c:pt>
                <c:pt idx="1616">
                  <c:v>5090938.047404388</c:v>
                </c:pt>
                <c:pt idx="1617">
                  <c:v>5094088.3803545143</c:v>
                </c:pt>
                <c:pt idx="1618">
                  <c:v>5097238.7133046407</c:v>
                </c:pt>
                <c:pt idx="1619">
                  <c:v>5100389.0462547671</c:v>
                </c:pt>
                <c:pt idx="1620">
                  <c:v>5103539.3792048935</c:v>
                </c:pt>
                <c:pt idx="1621">
                  <c:v>5106689.7121550199</c:v>
                </c:pt>
                <c:pt idx="1622">
                  <c:v>5109840.0451051462</c:v>
                </c:pt>
                <c:pt idx="1623">
                  <c:v>5112990.3780552726</c:v>
                </c:pt>
                <c:pt idx="1624">
                  <c:v>5116140.711005399</c:v>
                </c:pt>
                <c:pt idx="1625">
                  <c:v>5119291.0439555263</c:v>
                </c:pt>
                <c:pt idx="1626">
                  <c:v>5122441.3769056527</c:v>
                </c:pt>
                <c:pt idx="1627">
                  <c:v>5125591.7098557791</c:v>
                </c:pt>
                <c:pt idx="1628">
                  <c:v>5128742.0428059055</c:v>
                </c:pt>
                <c:pt idx="1629">
                  <c:v>5131892.3757560318</c:v>
                </c:pt>
                <c:pt idx="1630">
                  <c:v>5135042.7087061582</c:v>
                </c:pt>
                <c:pt idx="1631">
                  <c:v>5138193.0416562846</c:v>
                </c:pt>
                <c:pt idx="1632">
                  <c:v>5141343.374606411</c:v>
                </c:pt>
                <c:pt idx="1633">
                  <c:v>5144493.7075565374</c:v>
                </c:pt>
                <c:pt idx="1634">
                  <c:v>5147644.0405066647</c:v>
                </c:pt>
                <c:pt idx="1635">
                  <c:v>5150794.373456791</c:v>
                </c:pt>
                <c:pt idx="1636">
                  <c:v>5153944.7064069174</c:v>
                </c:pt>
                <c:pt idx="1637">
                  <c:v>5157095.0393570438</c:v>
                </c:pt>
                <c:pt idx="1638">
                  <c:v>5160245.3723071702</c:v>
                </c:pt>
                <c:pt idx="1639">
                  <c:v>5163395.7052572966</c:v>
                </c:pt>
                <c:pt idx="1640">
                  <c:v>5166546.0382074229</c:v>
                </c:pt>
                <c:pt idx="1641">
                  <c:v>5169696.3711575493</c:v>
                </c:pt>
                <c:pt idx="1642">
                  <c:v>5172846.7041076757</c:v>
                </c:pt>
                <c:pt idx="1643">
                  <c:v>5175997.0370578021</c:v>
                </c:pt>
                <c:pt idx="1644">
                  <c:v>5179147.3700079294</c:v>
                </c:pt>
                <c:pt idx="1645">
                  <c:v>5182297.7029580558</c:v>
                </c:pt>
                <c:pt idx="1646">
                  <c:v>5185448.0359081822</c:v>
                </c:pt>
                <c:pt idx="1647">
                  <c:v>5188598.3688583085</c:v>
                </c:pt>
                <c:pt idx="1648">
                  <c:v>5191748.7018084349</c:v>
                </c:pt>
                <c:pt idx="1649">
                  <c:v>5194899.0347585613</c:v>
                </c:pt>
                <c:pt idx="1650">
                  <c:v>5198049.3677086877</c:v>
                </c:pt>
                <c:pt idx="1651">
                  <c:v>5201199.7006588141</c:v>
                </c:pt>
                <c:pt idx="1652">
                  <c:v>5204350.0336089404</c:v>
                </c:pt>
                <c:pt idx="1653">
                  <c:v>5207500.3665590677</c:v>
                </c:pt>
                <c:pt idx="1654">
                  <c:v>5210650.6995091941</c:v>
                </c:pt>
                <c:pt idx="1655">
                  <c:v>5213801.0324593205</c:v>
                </c:pt>
                <c:pt idx="1656">
                  <c:v>5216951.3654094469</c:v>
                </c:pt>
                <c:pt idx="1657">
                  <c:v>5220101.6983595733</c:v>
                </c:pt>
                <c:pt idx="1658">
                  <c:v>5223252.0313096996</c:v>
                </c:pt>
                <c:pt idx="1659">
                  <c:v>5226402.364259826</c:v>
                </c:pt>
                <c:pt idx="1660">
                  <c:v>5229552.6972099524</c:v>
                </c:pt>
                <c:pt idx="1661">
                  <c:v>5232703.0301600788</c:v>
                </c:pt>
                <c:pt idx="1662">
                  <c:v>5235853.3631102052</c:v>
                </c:pt>
                <c:pt idx="1663">
                  <c:v>5239003.6960603325</c:v>
                </c:pt>
                <c:pt idx="1664">
                  <c:v>5242154.0290104588</c:v>
                </c:pt>
                <c:pt idx="1665">
                  <c:v>5245304.3619605852</c:v>
                </c:pt>
                <c:pt idx="1666">
                  <c:v>5248454.6949107116</c:v>
                </c:pt>
                <c:pt idx="1667">
                  <c:v>5251605.027860838</c:v>
                </c:pt>
                <c:pt idx="1668">
                  <c:v>5254755.3608109644</c:v>
                </c:pt>
                <c:pt idx="1669">
                  <c:v>5257905.6937610907</c:v>
                </c:pt>
                <c:pt idx="1670">
                  <c:v>5261056.0267112171</c:v>
                </c:pt>
                <c:pt idx="1671">
                  <c:v>5264206.3596613435</c:v>
                </c:pt>
                <c:pt idx="1672">
                  <c:v>5267356.6926114708</c:v>
                </c:pt>
                <c:pt idx="1673">
                  <c:v>5270507.0255615972</c:v>
                </c:pt>
                <c:pt idx="1674">
                  <c:v>5273657.3585117236</c:v>
                </c:pt>
                <c:pt idx="1675">
                  <c:v>5276807.69146185</c:v>
                </c:pt>
                <c:pt idx="1676">
                  <c:v>5279958.0244119763</c:v>
                </c:pt>
                <c:pt idx="1677">
                  <c:v>5283108.3573621027</c:v>
                </c:pt>
                <c:pt idx="1678">
                  <c:v>5286258.6903122291</c:v>
                </c:pt>
                <c:pt idx="1679">
                  <c:v>5289409.0232623555</c:v>
                </c:pt>
                <c:pt idx="1680">
                  <c:v>5292559.3562124819</c:v>
                </c:pt>
                <c:pt idx="1681">
                  <c:v>5295709.6891626082</c:v>
                </c:pt>
                <c:pt idx="1682">
                  <c:v>5298860.0221127355</c:v>
                </c:pt>
                <c:pt idx="1683">
                  <c:v>5302010.3550628619</c:v>
                </c:pt>
                <c:pt idx="1684">
                  <c:v>5305160.6880129883</c:v>
                </c:pt>
                <c:pt idx="1685">
                  <c:v>5308311.0209631147</c:v>
                </c:pt>
                <c:pt idx="1686">
                  <c:v>5311461.3539132411</c:v>
                </c:pt>
                <c:pt idx="1687">
                  <c:v>5314611.6868633674</c:v>
                </c:pt>
                <c:pt idx="1688">
                  <c:v>5317762.0198134938</c:v>
                </c:pt>
                <c:pt idx="1689">
                  <c:v>5320912.3527636202</c:v>
                </c:pt>
                <c:pt idx="1690">
                  <c:v>5324062.6857137466</c:v>
                </c:pt>
                <c:pt idx="1691">
                  <c:v>5327213.0186638739</c:v>
                </c:pt>
                <c:pt idx="1692">
                  <c:v>5330363.3516140003</c:v>
                </c:pt>
                <c:pt idx="1693">
                  <c:v>5333513.6845641267</c:v>
                </c:pt>
                <c:pt idx="1694">
                  <c:v>5336664.017514253</c:v>
                </c:pt>
                <c:pt idx="1695">
                  <c:v>5339814.3504643794</c:v>
                </c:pt>
                <c:pt idx="1696">
                  <c:v>5342964.6834145058</c:v>
                </c:pt>
                <c:pt idx="1697">
                  <c:v>5346115.0163646322</c:v>
                </c:pt>
                <c:pt idx="1698">
                  <c:v>5349265.3493147586</c:v>
                </c:pt>
                <c:pt idx="1699">
                  <c:v>5352415.6822648849</c:v>
                </c:pt>
                <c:pt idx="1700">
                  <c:v>5355566.0152150113</c:v>
                </c:pt>
                <c:pt idx="1701">
                  <c:v>5358716.3481651386</c:v>
                </c:pt>
                <c:pt idx="1702">
                  <c:v>5361866.681115265</c:v>
                </c:pt>
                <c:pt idx="1703">
                  <c:v>5365017.0140653914</c:v>
                </c:pt>
                <c:pt idx="1704">
                  <c:v>5368167.3470155178</c:v>
                </c:pt>
                <c:pt idx="1705">
                  <c:v>5371317.6799656441</c:v>
                </c:pt>
                <c:pt idx="1706">
                  <c:v>5374468.0129157705</c:v>
                </c:pt>
                <c:pt idx="1707">
                  <c:v>5377618.3458658969</c:v>
                </c:pt>
                <c:pt idx="1708">
                  <c:v>5380768.6788160233</c:v>
                </c:pt>
                <c:pt idx="1709">
                  <c:v>5383919.0117661497</c:v>
                </c:pt>
                <c:pt idx="1710">
                  <c:v>5387069.344716277</c:v>
                </c:pt>
                <c:pt idx="1711">
                  <c:v>5390219.6776664034</c:v>
                </c:pt>
                <c:pt idx="1712">
                  <c:v>5393370.0106165297</c:v>
                </c:pt>
                <c:pt idx="1713">
                  <c:v>5396520.3435666561</c:v>
                </c:pt>
                <c:pt idx="1714">
                  <c:v>5399670.6765167825</c:v>
                </c:pt>
                <c:pt idx="1715">
                  <c:v>5402821.0094669089</c:v>
                </c:pt>
                <c:pt idx="1716">
                  <c:v>5405971.3424170353</c:v>
                </c:pt>
                <c:pt idx="1717">
                  <c:v>5409121.6753671616</c:v>
                </c:pt>
                <c:pt idx="1718">
                  <c:v>5412272.008317288</c:v>
                </c:pt>
                <c:pt idx="1719">
                  <c:v>5415422.3412674144</c:v>
                </c:pt>
                <c:pt idx="1720">
                  <c:v>5418572.6742175417</c:v>
                </c:pt>
                <c:pt idx="1721">
                  <c:v>5421723.0071676681</c:v>
                </c:pt>
                <c:pt idx="1722">
                  <c:v>5424873.3401177945</c:v>
                </c:pt>
                <c:pt idx="1723">
                  <c:v>5428023.6730679208</c:v>
                </c:pt>
                <c:pt idx="1724">
                  <c:v>5431174.0060180472</c:v>
                </c:pt>
                <c:pt idx="1725">
                  <c:v>5434324.3389681736</c:v>
                </c:pt>
                <c:pt idx="1726">
                  <c:v>5437474.6719183</c:v>
                </c:pt>
                <c:pt idx="1727">
                  <c:v>5440625.0048684264</c:v>
                </c:pt>
                <c:pt idx="1728">
                  <c:v>5443775.3378185527</c:v>
                </c:pt>
                <c:pt idx="1729">
                  <c:v>5446925.6707686801</c:v>
                </c:pt>
                <c:pt idx="1730">
                  <c:v>5450076.0037188064</c:v>
                </c:pt>
                <c:pt idx="1731">
                  <c:v>5453226.3366689328</c:v>
                </c:pt>
                <c:pt idx="1732">
                  <c:v>5456376.6696190592</c:v>
                </c:pt>
                <c:pt idx="1733">
                  <c:v>5459527.0025691856</c:v>
                </c:pt>
                <c:pt idx="1734">
                  <c:v>5462677.3355193119</c:v>
                </c:pt>
                <c:pt idx="1735">
                  <c:v>5465827.6684694383</c:v>
                </c:pt>
                <c:pt idx="1736">
                  <c:v>5468978.0014195647</c:v>
                </c:pt>
                <c:pt idx="1737">
                  <c:v>5472128.3343696911</c:v>
                </c:pt>
                <c:pt idx="1738">
                  <c:v>5475278.6673198175</c:v>
                </c:pt>
                <c:pt idx="1739">
                  <c:v>5478429.0002699448</c:v>
                </c:pt>
                <c:pt idx="1740">
                  <c:v>5481579.3332200712</c:v>
                </c:pt>
                <c:pt idx="1741">
                  <c:v>5484729.6661701975</c:v>
                </c:pt>
                <c:pt idx="1742">
                  <c:v>5487879.9991203239</c:v>
                </c:pt>
                <c:pt idx="1743">
                  <c:v>5491030.3320704503</c:v>
                </c:pt>
                <c:pt idx="1744">
                  <c:v>5494180.6650205767</c:v>
                </c:pt>
                <c:pt idx="1745">
                  <c:v>5497330.9979707031</c:v>
                </c:pt>
                <c:pt idx="1746">
                  <c:v>5500481.3309208294</c:v>
                </c:pt>
                <c:pt idx="1747">
                  <c:v>5503631.6638709558</c:v>
                </c:pt>
                <c:pt idx="1748">
                  <c:v>5506781.9968210831</c:v>
                </c:pt>
                <c:pt idx="1749">
                  <c:v>5509932.3297712095</c:v>
                </c:pt>
                <c:pt idx="1750">
                  <c:v>5513082.6627213359</c:v>
                </c:pt>
                <c:pt idx="1751">
                  <c:v>5516232.9956714623</c:v>
                </c:pt>
                <c:pt idx="1752">
                  <c:v>5519383.3286215886</c:v>
                </c:pt>
                <c:pt idx="1753">
                  <c:v>5522533.661571715</c:v>
                </c:pt>
                <c:pt idx="1754">
                  <c:v>5525683.9945218414</c:v>
                </c:pt>
                <c:pt idx="1755">
                  <c:v>5528834.3274719678</c:v>
                </c:pt>
                <c:pt idx="1756">
                  <c:v>5531984.6604220942</c:v>
                </c:pt>
                <c:pt idx="1757">
                  <c:v>5535134.9933722205</c:v>
                </c:pt>
                <c:pt idx="1758">
                  <c:v>5538285.3263223479</c:v>
                </c:pt>
                <c:pt idx="1759">
                  <c:v>5541435.6592724742</c:v>
                </c:pt>
                <c:pt idx="1760">
                  <c:v>5544585.9922226006</c:v>
                </c:pt>
                <c:pt idx="1761">
                  <c:v>5547736.325172727</c:v>
                </c:pt>
                <c:pt idx="1762">
                  <c:v>5550886.6581228534</c:v>
                </c:pt>
                <c:pt idx="1763">
                  <c:v>5554036.9910729798</c:v>
                </c:pt>
                <c:pt idx="1764">
                  <c:v>5557187.3240231061</c:v>
                </c:pt>
                <c:pt idx="1765">
                  <c:v>5560337.6569732325</c:v>
                </c:pt>
                <c:pt idx="1766">
                  <c:v>5563487.9899233589</c:v>
                </c:pt>
                <c:pt idx="1767">
                  <c:v>5566638.3228734862</c:v>
                </c:pt>
                <c:pt idx="1768">
                  <c:v>5569788.6558236126</c:v>
                </c:pt>
                <c:pt idx="1769">
                  <c:v>5572938.988773739</c:v>
                </c:pt>
                <c:pt idx="1770">
                  <c:v>5576089.3217238653</c:v>
                </c:pt>
                <c:pt idx="1771">
                  <c:v>5579239.6546739917</c:v>
                </c:pt>
                <c:pt idx="1772">
                  <c:v>5582389.9876241181</c:v>
                </c:pt>
                <c:pt idx="1773">
                  <c:v>5585540.3205742445</c:v>
                </c:pt>
                <c:pt idx="1774">
                  <c:v>5588690.6535243709</c:v>
                </c:pt>
                <c:pt idx="1775">
                  <c:v>5591840.9864744972</c:v>
                </c:pt>
                <c:pt idx="1776">
                  <c:v>5594991.3194246236</c:v>
                </c:pt>
                <c:pt idx="1777">
                  <c:v>5598141.6523747509</c:v>
                </c:pt>
                <c:pt idx="1778">
                  <c:v>5601291.9853248773</c:v>
                </c:pt>
                <c:pt idx="1779">
                  <c:v>5604442.3182750037</c:v>
                </c:pt>
                <c:pt idx="1780">
                  <c:v>5607592.6512251301</c:v>
                </c:pt>
                <c:pt idx="1781">
                  <c:v>5610742.9841752565</c:v>
                </c:pt>
                <c:pt idx="1782">
                  <c:v>5613893.3171253828</c:v>
                </c:pt>
                <c:pt idx="1783">
                  <c:v>5617043.6500755092</c:v>
                </c:pt>
                <c:pt idx="1784">
                  <c:v>5620193.9830256356</c:v>
                </c:pt>
                <c:pt idx="1785">
                  <c:v>5623344.315975762</c:v>
                </c:pt>
                <c:pt idx="1786">
                  <c:v>5626494.6489258884</c:v>
                </c:pt>
                <c:pt idx="1787">
                  <c:v>5629644.9818760157</c:v>
                </c:pt>
                <c:pt idx="1788">
                  <c:v>5632795.314826142</c:v>
                </c:pt>
                <c:pt idx="1789">
                  <c:v>5635945.6477762684</c:v>
                </c:pt>
                <c:pt idx="1790">
                  <c:v>5639095.9807263948</c:v>
                </c:pt>
                <c:pt idx="1791">
                  <c:v>5642246.3136765212</c:v>
                </c:pt>
                <c:pt idx="1792">
                  <c:v>5645396.6466266476</c:v>
                </c:pt>
                <c:pt idx="1793">
                  <c:v>5648546.9795767739</c:v>
                </c:pt>
                <c:pt idx="1794">
                  <c:v>5651697.3125269003</c:v>
                </c:pt>
                <c:pt idx="1795">
                  <c:v>5654847.6454770267</c:v>
                </c:pt>
                <c:pt idx="1796">
                  <c:v>5657997.978427154</c:v>
                </c:pt>
                <c:pt idx="1797">
                  <c:v>5661148.3113772804</c:v>
                </c:pt>
                <c:pt idx="1798">
                  <c:v>5664298.6443274068</c:v>
                </c:pt>
                <c:pt idx="1799">
                  <c:v>5667448.9772775332</c:v>
                </c:pt>
                <c:pt idx="1800">
                  <c:v>5670599.3102276595</c:v>
                </c:pt>
                <c:pt idx="1801">
                  <c:v>5673749.6431777859</c:v>
                </c:pt>
                <c:pt idx="1802">
                  <c:v>5676899.9761279123</c:v>
                </c:pt>
                <c:pt idx="1803">
                  <c:v>5680050.3090780387</c:v>
                </c:pt>
                <c:pt idx="1804">
                  <c:v>5683200.642028165</c:v>
                </c:pt>
                <c:pt idx="1805">
                  <c:v>5686350.9749782914</c:v>
                </c:pt>
                <c:pt idx="1806">
                  <c:v>5689501.3079284187</c:v>
                </c:pt>
                <c:pt idx="1807">
                  <c:v>5692651.6408785451</c:v>
                </c:pt>
                <c:pt idx="1808">
                  <c:v>5695801.9738286715</c:v>
                </c:pt>
                <c:pt idx="1809">
                  <c:v>5698952.3067787979</c:v>
                </c:pt>
                <c:pt idx="1810">
                  <c:v>5702102.6397289243</c:v>
                </c:pt>
                <c:pt idx="1811">
                  <c:v>5705252.9726790506</c:v>
                </c:pt>
                <c:pt idx="1812">
                  <c:v>5708403.305629177</c:v>
                </c:pt>
                <c:pt idx="1813">
                  <c:v>5711553.6385793034</c:v>
                </c:pt>
                <c:pt idx="1814">
                  <c:v>5714703.9715294298</c:v>
                </c:pt>
                <c:pt idx="1815">
                  <c:v>5717854.3044795571</c:v>
                </c:pt>
                <c:pt idx="1816">
                  <c:v>5721004.6374296835</c:v>
                </c:pt>
                <c:pt idx="1817">
                  <c:v>5724154.9703798098</c:v>
                </c:pt>
                <c:pt idx="1818">
                  <c:v>5727305.3033299362</c:v>
                </c:pt>
                <c:pt idx="1819">
                  <c:v>5730455.6362800626</c:v>
                </c:pt>
                <c:pt idx="1820">
                  <c:v>5733605.969230189</c:v>
                </c:pt>
                <c:pt idx="1821">
                  <c:v>5736756.3021803154</c:v>
                </c:pt>
                <c:pt idx="1822">
                  <c:v>5739906.6351304417</c:v>
                </c:pt>
                <c:pt idx="1823">
                  <c:v>5743056.9680805681</c:v>
                </c:pt>
                <c:pt idx="1824">
                  <c:v>5746207.3010306945</c:v>
                </c:pt>
                <c:pt idx="1825">
                  <c:v>5749357.6339808218</c:v>
                </c:pt>
                <c:pt idx="1826">
                  <c:v>5752507.9669309482</c:v>
                </c:pt>
                <c:pt idx="1827">
                  <c:v>5755658.2998810746</c:v>
                </c:pt>
                <c:pt idx="1828">
                  <c:v>5758808.632831201</c:v>
                </c:pt>
                <c:pt idx="1829">
                  <c:v>5761958.9657813273</c:v>
                </c:pt>
                <c:pt idx="1830">
                  <c:v>5765109.2987314537</c:v>
                </c:pt>
                <c:pt idx="1831">
                  <c:v>5768259.6316815801</c:v>
                </c:pt>
                <c:pt idx="1832">
                  <c:v>5771409.9646317065</c:v>
                </c:pt>
                <c:pt idx="1833">
                  <c:v>5774560.2975818329</c:v>
                </c:pt>
                <c:pt idx="1834">
                  <c:v>5777710.6305319602</c:v>
                </c:pt>
                <c:pt idx="1835">
                  <c:v>5780860.9634820865</c:v>
                </c:pt>
                <c:pt idx="1836">
                  <c:v>5784011.2964322129</c:v>
                </c:pt>
                <c:pt idx="1837">
                  <c:v>5787161.6293823393</c:v>
                </c:pt>
                <c:pt idx="1838">
                  <c:v>5790311.9623324657</c:v>
                </c:pt>
                <c:pt idx="1839">
                  <c:v>5793462.2952825921</c:v>
                </c:pt>
                <c:pt idx="1840">
                  <c:v>5796612.6282327184</c:v>
                </c:pt>
                <c:pt idx="1841">
                  <c:v>5799762.9611828448</c:v>
                </c:pt>
                <c:pt idx="1842">
                  <c:v>5802913.2941329712</c:v>
                </c:pt>
                <c:pt idx="1843">
                  <c:v>5806063.6270830976</c:v>
                </c:pt>
                <c:pt idx="1844">
                  <c:v>5809213.9600332249</c:v>
                </c:pt>
                <c:pt idx="1845">
                  <c:v>5812364.2929833513</c:v>
                </c:pt>
                <c:pt idx="1846">
                  <c:v>5815514.6259334777</c:v>
                </c:pt>
                <c:pt idx="1847">
                  <c:v>5818664.958883604</c:v>
                </c:pt>
                <c:pt idx="1848">
                  <c:v>5821815.2918337304</c:v>
                </c:pt>
                <c:pt idx="1849">
                  <c:v>5824965.6247838568</c:v>
                </c:pt>
                <c:pt idx="1850">
                  <c:v>5828115.9577339832</c:v>
                </c:pt>
                <c:pt idx="1851">
                  <c:v>5831266.2906841096</c:v>
                </c:pt>
                <c:pt idx="1852">
                  <c:v>5834416.6236342359</c:v>
                </c:pt>
                <c:pt idx="1853">
                  <c:v>5837566.9565843632</c:v>
                </c:pt>
                <c:pt idx="1854">
                  <c:v>5840717.2895344896</c:v>
                </c:pt>
                <c:pt idx="1855">
                  <c:v>5843867.622484616</c:v>
                </c:pt>
                <c:pt idx="1856">
                  <c:v>5847017.9554347424</c:v>
                </c:pt>
                <c:pt idx="1857">
                  <c:v>5850168.2883848688</c:v>
                </c:pt>
                <c:pt idx="1858">
                  <c:v>5853318.6213349951</c:v>
                </c:pt>
                <c:pt idx="1859">
                  <c:v>5856468.9542851215</c:v>
                </c:pt>
                <c:pt idx="1860">
                  <c:v>5859619.2872352479</c:v>
                </c:pt>
                <c:pt idx="1861">
                  <c:v>5862769.6201853743</c:v>
                </c:pt>
                <c:pt idx="1862">
                  <c:v>5865919.9531355007</c:v>
                </c:pt>
                <c:pt idx="1863">
                  <c:v>5869070.286085628</c:v>
                </c:pt>
                <c:pt idx="1864">
                  <c:v>5872220.6190357544</c:v>
                </c:pt>
                <c:pt idx="1865">
                  <c:v>5875370.9519858807</c:v>
                </c:pt>
                <c:pt idx="1866">
                  <c:v>5878521.2849360071</c:v>
                </c:pt>
                <c:pt idx="1867">
                  <c:v>5881671.6178861335</c:v>
                </c:pt>
                <c:pt idx="1868">
                  <c:v>5884821.9508362599</c:v>
                </c:pt>
                <c:pt idx="1869">
                  <c:v>5887972.2837863863</c:v>
                </c:pt>
                <c:pt idx="1870">
                  <c:v>5891122.6167365126</c:v>
                </c:pt>
                <c:pt idx="1871">
                  <c:v>5894272.949686639</c:v>
                </c:pt>
                <c:pt idx="1872">
                  <c:v>5897423.2826367663</c:v>
                </c:pt>
                <c:pt idx="1873">
                  <c:v>5900573.6155868927</c:v>
                </c:pt>
                <c:pt idx="1874">
                  <c:v>5903723.9485370191</c:v>
                </c:pt>
                <c:pt idx="1875">
                  <c:v>5906874.2814871455</c:v>
                </c:pt>
                <c:pt idx="1876">
                  <c:v>5910024.6144372718</c:v>
                </c:pt>
                <c:pt idx="1877">
                  <c:v>5913174.9473873982</c:v>
                </c:pt>
                <c:pt idx="1878">
                  <c:v>5916325.2803375246</c:v>
                </c:pt>
                <c:pt idx="1879">
                  <c:v>5919475.613287651</c:v>
                </c:pt>
                <c:pt idx="1880">
                  <c:v>5922625.9462377774</c:v>
                </c:pt>
                <c:pt idx="1881">
                  <c:v>5925776.2791879037</c:v>
                </c:pt>
                <c:pt idx="1882">
                  <c:v>5928926.6121380311</c:v>
                </c:pt>
                <c:pt idx="1883">
                  <c:v>5932076.9450881574</c:v>
                </c:pt>
                <c:pt idx="1884">
                  <c:v>5935227.2780382838</c:v>
                </c:pt>
                <c:pt idx="1885">
                  <c:v>5938377.6109884102</c:v>
                </c:pt>
                <c:pt idx="1886">
                  <c:v>5941527.9439385366</c:v>
                </c:pt>
                <c:pt idx="1887">
                  <c:v>5944678.2768886629</c:v>
                </c:pt>
                <c:pt idx="1888">
                  <c:v>5947828.6098387893</c:v>
                </c:pt>
                <c:pt idx="1889">
                  <c:v>5950978.9427889157</c:v>
                </c:pt>
                <c:pt idx="1890">
                  <c:v>5954129.2757390421</c:v>
                </c:pt>
                <c:pt idx="1891">
                  <c:v>5957279.6086891694</c:v>
                </c:pt>
                <c:pt idx="1892">
                  <c:v>5960429.9416392958</c:v>
                </c:pt>
                <c:pt idx="1893">
                  <c:v>5963580.2745894222</c:v>
                </c:pt>
                <c:pt idx="1894">
                  <c:v>5966730.6075395485</c:v>
                </c:pt>
                <c:pt idx="1895">
                  <c:v>5969880.9404896749</c:v>
                </c:pt>
                <c:pt idx="1896">
                  <c:v>5973031.2734398013</c:v>
                </c:pt>
                <c:pt idx="1897">
                  <c:v>5976181.6063899277</c:v>
                </c:pt>
                <c:pt idx="1898">
                  <c:v>5979331.9393400541</c:v>
                </c:pt>
                <c:pt idx="1899">
                  <c:v>5982482.2722901804</c:v>
                </c:pt>
                <c:pt idx="1900">
                  <c:v>5985632.6052403068</c:v>
                </c:pt>
                <c:pt idx="1901">
                  <c:v>5988782.9381904341</c:v>
                </c:pt>
                <c:pt idx="1902">
                  <c:v>5991933.2711405605</c:v>
                </c:pt>
                <c:pt idx="1903">
                  <c:v>5995083.6040906869</c:v>
                </c:pt>
                <c:pt idx="1904">
                  <c:v>5998233.9370408133</c:v>
                </c:pt>
                <c:pt idx="1905">
                  <c:v>6001384.2699909396</c:v>
                </c:pt>
                <c:pt idx="1906">
                  <c:v>6004534.602941066</c:v>
                </c:pt>
                <c:pt idx="1907">
                  <c:v>6007684.9358911924</c:v>
                </c:pt>
                <c:pt idx="1908">
                  <c:v>6010835.2688413188</c:v>
                </c:pt>
                <c:pt idx="1909">
                  <c:v>6013985.6017914452</c:v>
                </c:pt>
                <c:pt idx="1910">
                  <c:v>6017135.9347415725</c:v>
                </c:pt>
                <c:pt idx="1911">
                  <c:v>6020286.2676916989</c:v>
                </c:pt>
                <c:pt idx="1912">
                  <c:v>6023436.6006418252</c:v>
                </c:pt>
                <c:pt idx="1913">
                  <c:v>6026586.9335919516</c:v>
                </c:pt>
                <c:pt idx="1914">
                  <c:v>6029737.266542078</c:v>
                </c:pt>
                <c:pt idx="1915">
                  <c:v>6032887.5994922044</c:v>
                </c:pt>
                <c:pt idx="1916">
                  <c:v>6036037.9324423308</c:v>
                </c:pt>
                <c:pt idx="1917">
                  <c:v>6039188.2653924571</c:v>
                </c:pt>
                <c:pt idx="1918">
                  <c:v>6042338.5983425835</c:v>
                </c:pt>
                <c:pt idx="1919">
                  <c:v>6045488.9312927099</c:v>
                </c:pt>
                <c:pt idx="1920">
                  <c:v>6048639.2642428372</c:v>
                </c:pt>
                <c:pt idx="1921">
                  <c:v>6051789.5971929636</c:v>
                </c:pt>
                <c:pt idx="1922">
                  <c:v>6054939.93014309</c:v>
                </c:pt>
                <c:pt idx="1923">
                  <c:v>6058090.2630932163</c:v>
                </c:pt>
                <c:pt idx="1924">
                  <c:v>6061240.5960433427</c:v>
                </c:pt>
                <c:pt idx="1925">
                  <c:v>6064390.9289934691</c:v>
                </c:pt>
                <c:pt idx="1926">
                  <c:v>6067541.2619435955</c:v>
                </c:pt>
                <c:pt idx="1927">
                  <c:v>6070691.5948937219</c:v>
                </c:pt>
                <c:pt idx="1928">
                  <c:v>6073841.9278438482</c:v>
                </c:pt>
                <c:pt idx="1929">
                  <c:v>6076992.2607939756</c:v>
                </c:pt>
                <c:pt idx="1930">
                  <c:v>6080142.5937441019</c:v>
                </c:pt>
                <c:pt idx="1931">
                  <c:v>6083292.9266942283</c:v>
                </c:pt>
                <c:pt idx="1932">
                  <c:v>6086443.2596443547</c:v>
                </c:pt>
                <c:pt idx="1933">
                  <c:v>6089593.5925944811</c:v>
                </c:pt>
                <c:pt idx="1934">
                  <c:v>6092743.9255446075</c:v>
                </c:pt>
                <c:pt idx="1935">
                  <c:v>6095894.2584947338</c:v>
                </c:pt>
                <c:pt idx="1936">
                  <c:v>6099044.5914448602</c:v>
                </c:pt>
                <c:pt idx="1937">
                  <c:v>6102194.9243949866</c:v>
                </c:pt>
                <c:pt idx="1938">
                  <c:v>6105345.257345113</c:v>
                </c:pt>
                <c:pt idx="1939">
                  <c:v>6108495.5902952403</c:v>
                </c:pt>
                <c:pt idx="1940">
                  <c:v>6111645.9232453667</c:v>
                </c:pt>
                <c:pt idx="1941">
                  <c:v>6114796.256195493</c:v>
                </c:pt>
                <c:pt idx="1942">
                  <c:v>6117946.5891456194</c:v>
                </c:pt>
                <c:pt idx="1943">
                  <c:v>6121096.9220957458</c:v>
                </c:pt>
                <c:pt idx="1944">
                  <c:v>6124247.2550458722</c:v>
                </c:pt>
                <c:pt idx="1945">
                  <c:v>6127397.5879959986</c:v>
                </c:pt>
                <c:pt idx="1946">
                  <c:v>6130547.9209461249</c:v>
                </c:pt>
                <c:pt idx="1947">
                  <c:v>6133698.2538962513</c:v>
                </c:pt>
                <c:pt idx="1948">
                  <c:v>6136848.5868463786</c:v>
                </c:pt>
                <c:pt idx="1949">
                  <c:v>6139998.919796505</c:v>
                </c:pt>
                <c:pt idx="1950">
                  <c:v>6143149.2527466314</c:v>
                </c:pt>
                <c:pt idx="1951">
                  <c:v>6146299.5856967578</c:v>
                </c:pt>
                <c:pt idx="1952">
                  <c:v>6149449.9186468842</c:v>
                </c:pt>
                <c:pt idx="1953">
                  <c:v>6152600.2515970105</c:v>
                </c:pt>
                <c:pt idx="1954">
                  <c:v>6155750.5845471369</c:v>
                </c:pt>
                <c:pt idx="1955">
                  <c:v>6158900.9174972633</c:v>
                </c:pt>
                <c:pt idx="1956">
                  <c:v>6162051.2504473897</c:v>
                </c:pt>
                <c:pt idx="1957">
                  <c:v>6165201.583397516</c:v>
                </c:pt>
                <c:pt idx="1958">
                  <c:v>6168351.9163476434</c:v>
                </c:pt>
                <c:pt idx="1959">
                  <c:v>6171502.2492977697</c:v>
                </c:pt>
                <c:pt idx="1960">
                  <c:v>6174652.5822478961</c:v>
                </c:pt>
                <c:pt idx="1961">
                  <c:v>6177802.9151980225</c:v>
                </c:pt>
                <c:pt idx="1962">
                  <c:v>6180953.2481481489</c:v>
                </c:pt>
                <c:pt idx="1963">
                  <c:v>6184103.5810982753</c:v>
                </c:pt>
                <c:pt idx="1964">
                  <c:v>6187253.9140484016</c:v>
                </c:pt>
                <c:pt idx="1965">
                  <c:v>6190404.246998528</c:v>
                </c:pt>
                <c:pt idx="1966">
                  <c:v>6193554.5799486544</c:v>
                </c:pt>
                <c:pt idx="1967">
                  <c:v>6196704.9128987808</c:v>
                </c:pt>
                <c:pt idx="1968">
                  <c:v>6199855.2458489081</c:v>
                </c:pt>
                <c:pt idx="1969">
                  <c:v>6203005.5787990345</c:v>
                </c:pt>
                <c:pt idx="1970">
                  <c:v>6206155.9117491608</c:v>
                </c:pt>
                <c:pt idx="1971">
                  <c:v>6209306.2446992872</c:v>
                </c:pt>
                <c:pt idx="1972">
                  <c:v>6212456.5776494136</c:v>
                </c:pt>
                <c:pt idx="1973">
                  <c:v>6215606.91059954</c:v>
                </c:pt>
                <c:pt idx="1974">
                  <c:v>6218757.2435496664</c:v>
                </c:pt>
                <c:pt idx="1975">
                  <c:v>6221907.5764997927</c:v>
                </c:pt>
                <c:pt idx="1976">
                  <c:v>6225057.9094499191</c:v>
                </c:pt>
                <c:pt idx="1977">
                  <c:v>6228208.2424000464</c:v>
                </c:pt>
                <c:pt idx="1978">
                  <c:v>6231358.5753501728</c:v>
                </c:pt>
                <c:pt idx="1979">
                  <c:v>6234508.9083002992</c:v>
                </c:pt>
                <c:pt idx="1980">
                  <c:v>6237659.2412504256</c:v>
                </c:pt>
                <c:pt idx="1981">
                  <c:v>6240809.574200552</c:v>
                </c:pt>
                <c:pt idx="1982">
                  <c:v>6243959.9071506783</c:v>
                </c:pt>
                <c:pt idx="1983">
                  <c:v>6247110.2401008047</c:v>
                </c:pt>
                <c:pt idx="1984">
                  <c:v>6250260.5730509311</c:v>
                </c:pt>
                <c:pt idx="1985">
                  <c:v>6253410.9060010575</c:v>
                </c:pt>
                <c:pt idx="1986">
                  <c:v>6256561.2389511839</c:v>
                </c:pt>
                <c:pt idx="1987">
                  <c:v>6259711.5719013112</c:v>
                </c:pt>
                <c:pt idx="1988">
                  <c:v>6262861.9048514375</c:v>
                </c:pt>
                <c:pt idx="1989">
                  <c:v>6266012.2378015639</c:v>
                </c:pt>
                <c:pt idx="1990">
                  <c:v>6269162.5707516903</c:v>
                </c:pt>
                <c:pt idx="1991">
                  <c:v>6272312.9037018167</c:v>
                </c:pt>
                <c:pt idx="1992">
                  <c:v>6275463.2366519431</c:v>
                </c:pt>
                <c:pt idx="1993">
                  <c:v>6278613.5696020694</c:v>
                </c:pt>
                <c:pt idx="1994">
                  <c:v>6281763.9025521958</c:v>
                </c:pt>
                <c:pt idx="1995">
                  <c:v>6284914.2355023222</c:v>
                </c:pt>
                <c:pt idx="1996">
                  <c:v>6288064.5684524495</c:v>
                </c:pt>
                <c:pt idx="1997">
                  <c:v>6291214.9014025759</c:v>
                </c:pt>
                <c:pt idx="1998">
                  <c:v>6294365.2343527023</c:v>
                </c:pt>
                <c:pt idx="1999">
                  <c:v>6297515.5673028287</c:v>
                </c:pt>
                <c:pt idx="2000">
                  <c:v>6300665.900252955</c:v>
                </c:pt>
                <c:pt idx="2001">
                  <c:v>6303816.2332030814</c:v>
                </c:pt>
                <c:pt idx="2002">
                  <c:v>6306966.5661532078</c:v>
                </c:pt>
                <c:pt idx="2003">
                  <c:v>6310116.8991033342</c:v>
                </c:pt>
                <c:pt idx="2004">
                  <c:v>6313267.2320534606</c:v>
                </c:pt>
                <c:pt idx="2005">
                  <c:v>6316417.5650035869</c:v>
                </c:pt>
                <c:pt idx="2006">
                  <c:v>6319567.8979537142</c:v>
                </c:pt>
                <c:pt idx="2007">
                  <c:v>6322718.2309038406</c:v>
                </c:pt>
                <c:pt idx="2008">
                  <c:v>6325868.563853967</c:v>
                </c:pt>
                <c:pt idx="2009">
                  <c:v>6329018.8968040934</c:v>
                </c:pt>
                <c:pt idx="2010">
                  <c:v>6332169.2297542198</c:v>
                </c:pt>
                <c:pt idx="2011">
                  <c:v>6335319.5627043461</c:v>
                </c:pt>
                <c:pt idx="2012">
                  <c:v>6338469.8956544725</c:v>
                </c:pt>
                <c:pt idx="2013">
                  <c:v>6341620.2286045989</c:v>
                </c:pt>
                <c:pt idx="2014">
                  <c:v>6344770.5615547253</c:v>
                </c:pt>
                <c:pt idx="2015">
                  <c:v>6347920.8945048526</c:v>
                </c:pt>
                <c:pt idx="2016">
                  <c:v>6351071.227454979</c:v>
                </c:pt>
                <c:pt idx="2017">
                  <c:v>6354221.5604051054</c:v>
                </c:pt>
                <c:pt idx="2018">
                  <c:v>6357371.8933552317</c:v>
                </c:pt>
                <c:pt idx="2019">
                  <c:v>6360522.2263053581</c:v>
                </c:pt>
                <c:pt idx="2020">
                  <c:v>6363672.5592554845</c:v>
                </c:pt>
                <c:pt idx="2021">
                  <c:v>6366822.8922056109</c:v>
                </c:pt>
                <c:pt idx="2022">
                  <c:v>6369973.2251557373</c:v>
                </c:pt>
                <c:pt idx="2023">
                  <c:v>6373123.5581058636</c:v>
                </c:pt>
                <c:pt idx="2024">
                  <c:v>6376273.89105599</c:v>
                </c:pt>
                <c:pt idx="2025">
                  <c:v>6379424.2240061173</c:v>
                </c:pt>
                <c:pt idx="2026">
                  <c:v>6382574.5569562437</c:v>
                </c:pt>
                <c:pt idx="2027">
                  <c:v>6385724.8899063701</c:v>
                </c:pt>
                <c:pt idx="2028">
                  <c:v>6388875.2228564965</c:v>
                </c:pt>
                <c:pt idx="2029">
                  <c:v>6392025.5558066228</c:v>
                </c:pt>
                <c:pt idx="2030">
                  <c:v>6395175.8887567492</c:v>
                </c:pt>
                <c:pt idx="2031">
                  <c:v>6398326.2217068756</c:v>
                </c:pt>
                <c:pt idx="2032">
                  <c:v>6401476.554657002</c:v>
                </c:pt>
                <c:pt idx="2033">
                  <c:v>6404626.8876071284</c:v>
                </c:pt>
                <c:pt idx="2034">
                  <c:v>6407777.2205572557</c:v>
                </c:pt>
                <c:pt idx="2035">
                  <c:v>6410927.5535073821</c:v>
                </c:pt>
                <c:pt idx="2036">
                  <c:v>6414077.8864575084</c:v>
                </c:pt>
                <c:pt idx="2037">
                  <c:v>6417228.2194076348</c:v>
                </c:pt>
                <c:pt idx="2038">
                  <c:v>6420378.5523577612</c:v>
                </c:pt>
                <c:pt idx="2039">
                  <c:v>6423528.8853078876</c:v>
                </c:pt>
                <c:pt idx="2040">
                  <c:v>6426679.2182580139</c:v>
                </c:pt>
                <c:pt idx="2041">
                  <c:v>6429829.5512081403</c:v>
                </c:pt>
                <c:pt idx="2042">
                  <c:v>6432979.8841582667</c:v>
                </c:pt>
                <c:pt idx="2043">
                  <c:v>6436130.2171083931</c:v>
                </c:pt>
                <c:pt idx="2044">
                  <c:v>6439280.5500585204</c:v>
                </c:pt>
                <c:pt idx="2045">
                  <c:v>6442430.8830086468</c:v>
                </c:pt>
                <c:pt idx="2046">
                  <c:v>6445581.2159587732</c:v>
                </c:pt>
                <c:pt idx="2047">
                  <c:v>6448731.5489088995</c:v>
                </c:pt>
                <c:pt idx="2048">
                  <c:v>6451881.8818590259</c:v>
                </c:pt>
                <c:pt idx="2049">
                  <c:v>6455032.2148091523</c:v>
                </c:pt>
                <c:pt idx="2050">
                  <c:v>6458182.5477592787</c:v>
                </c:pt>
                <c:pt idx="2051">
                  <c:v>6461332.8807094051</c:v>
                </c:pt>
                <c:pt idx="2052">
                  <c:v>6464483.2136595314</c:v>
                </c:pt>
                <c:pt idx="2053">
                  <c:v>6467633.5466096587</c:v>
                </c:pt>
                <c:pt idx="2054">
                  <c:v>6470783.8795597851</c:v>
                </c:pt>
                <c:pt idx="2055">
                  <c:v>6473934.2125099115</c:v>
                </c:pt>
                <c:pt idx="2056">
                  <c:v>6477084.5454600379</c:v>
                </c:pt>
                <c:pt idx="2057">
                  <c:v>6480234.8784101643</c:v>
                </c:pt>
                <c:pt idx="2058">
                  <c:v>6483385.2113602906</c:v>
                </c:pt>
                <c:pt idx="2059">
                  <c:v>6486535.544310417</c:v>
                </c:pt>
                <c:pt idx="2060">
                  <c:v>6489685.8772605434</c:v>
                </c:pt>
                <c:pt idx="2061">
                  <c:v>6492836.2102106698</c:v>
                </c:pt>
                <c:pt idx="2062">
                  <c:v>6495986.5431607962</c:v>
                </c:pt>
                <c:pt idx="2063">
                  <c:v>6499136.8761109235</c:v>
                </c:pt>
                <c:pt idx="2064">
                  <c:v>6502287.2090610499</c:v>
                </c:pt>
                <c:pt idx="2065">
                  <c:v>6505437.5420111762</c:v>
                </c:pt>
                <c:pt idx="2066">
                  <c:v>6508587.8749613026</c:v>
                </c:pt>
                <c:pt idx="2067">
                  <c:v>6511738.207911429</c:v>
                </c:pt>
                <c:pt idx="2068">
                  <c:v>6514888.5408615554</c:v>
                </c:pt>
                <c:pt idx="2069">
                  <c:v>6518038.8738116818</c:v>
                </c:pt>
                <c:pt idx="2070">
                  <c:v>6521189.2067618081</c:v>
                </c:pt>
                <c:pt idx="2071">
                  <c:v>6524339.5397119345</c:v>
                </c:pt>
                <c:pt idx="2072">
                  <c:v>6527489.8726620618</c:v>
                </c:pt>
                <c:pt idx="2073">
                  <c:v>6530640.2056121882</c:v>
                </c:pt>
                <c:pt idx="2074">
                  <c:v>6533790.5385623146</c:v>
                </c:pt>
                <c:pt idx="2075">
                  <c:v>6536940.871512441</c:v>
                </c:pt>
                <c:pt idx="2076">
                  <c:v>6540091.2044625673</c:v>
                </c:pt>
                <c:pt idx="2077">
                  <c:v>6543241.5374126937</c:v>
                </c:pt>
                <c:pt idx="2078">
                  <c:v>6546391.8703628201</c:v>
                </c:pt>
                <c:pt idx="2079">
                  <c:v>6549542.2033129465</c:v>
                </c:pt>
                <c:pt idx="2080">
                  <c:v>6552692.5362630729</c:v>
                </c:pt>
                <c:pt idx="2081">
                  <c:v>6555842.8692131992</c:v>
                </c:pt>
                <c:pt idx="2082">
                  <c:v>6558993.2021633266</c:v>
                </c:pt>
                <c:pt idx="2083">
                  <c:v>6562143.5351134529</c:v>
                </c:pt>
                <c:pt idx="2084">
                  <c:v>6565293.8680635793</c:v>
                </c:pt>
                <c:pt idx="2085">
                  <c:v>6568444.2010137057</c:v>
                </c:pt>
                <c:pt idx="2086">
                  <c:v>6571594.5339638321</c:v>
                </c:pt>
                <c:pt idx="2087">
                  <c:v>6574744.8669139585</c:v>
                </c:pt>
                <c:pt idx="2088">
                  <c:v>6577895.1998640848</c:v>
                </c:pt>
                <c:pt idx="2089">
                  <c:v>6581045.5328142112</c:v>
                </c:pt>
                <c:pt idx="2090">
                  <c:v>6584195.8657643376</c:v>
                </c:pt>
                <c:pt idx="2091">
                  <c:v>6587346.1987144649</c:v>
                </c:pt>
                <c:pt idx="2092">
                  <c:v>6590496.5316645913</c:v>
                </c:pt>
                <c:pt idx="2093">
                  <c:v>6593646.8646147177</c:v>
                </c:pt>
                <c:pt idx="2094">
                  <c:v>6596797.197564844</c:v>
                </c:pt>
                <c:pt idx="2095">
                  <c:v>6599947.5305149704</c:v>
                </c:pt>
                <c:pt idx="2096">
                  <c:v>6603097.8634650968</c:v>
                </c:pt>
                <c:pt idx="2097">
                  <c:v>6606248.1964152232</c:v>
                </c:pt>
                <c:pt idx="2098">
                  <c:v>6609398.5293653496</c:v>
                </c:pt>
                <c:pt idx="2099">
                  <c:v>6612548.8623154759</c:v>
                </c:pt>
                <c:pt idx="2100">
                  <c:v>6615699.1952656023</c:v>
                </c:pt>
                <c:pt idx="2101">
                  <c:v>6618849.5282157296</c:v>
                </c:pt>
                <c:pt idx="2102">
                  <c:v>6621999.861165856</c:v>
                </c:pt>
                <c:pt idx="2103">
                  <c:v>6625150.1941159824</c:v>
                </c:pt>
                <c:pt idx="2104">
                  <c:v>6628300.5270661088</c:v>
                </c:pt>
                <c:pt idx="2105">
                  <c:v>6631450.8600162352</c:v>
                </c:pt>
                <c:pt idx="2106">
                  <c:v>6634601.1929663615</c:v>
                </c:pt>
                <c:pt idx="2107">
                  <c:v>6637751.5259164879</c:v>
                </c:pt>
                <c:pt idx="2108">
                  <c:v>6640901.8588666143</c:v>
                </c:pt>
                <c:pt idx="2109">
                  <c:v>6644052.1918167407</c:v>
                </c:pt>
                <c:pt idx="2110">
                  <c:v>6647202.524766868</c:v>
                </c:pt>
                <c:pt idx="2111">
                  <c:v>6650352.8577169944</c:v>
                </c:pt>
                <c:pt idx="2112">
                  <c:v>6653503.1906671207</c:v>
                </c:pt>
                <c:pt idx="2113">
                  <c:v>6656653.5236172471</c:v>
                </c:pt>
                <c:pt idx="2114">
                  <c:v>6659803.8565673735</c:v>
                </c:pt>
                <c:pt idx="2115">
                  <c:v>6662954.1895174999</c:v>
                </c:pt>
                <c:pt idx="2116">
                  <c:v>6666104.5224676263</c:v>
                </c:pt>
                <c:pt idx="2117">
                  <c:v>6669254.8554177526</c:v>
                </c:pt>
                <c:pt idx="2118">
                  <c:v>6672405.188367879</c:v>
                </c:pt>
                <c:pt idx="2119">
                  <c:v>6675555.5213180054</c:v>
                </c:pt>
                <c:pt idx="2120">
                  <c:v>6678705.8542681327</c:v>
                </c:pt>
                <c:pt idx="2121">
                  <c:v>6681856.1872182591</c:v>
                </c:pt>
                <c:pt idx="2122">
                  <c:v>6685006.5201683855</c:v>
                </c:pt>
                <c:pt idx="2123">
                  <c:v>6688156.8531185118</c:v>
                </c:pt>
                <c:pt idx="2124">
                  <c:v>6691307.1860686382</c:v>
                </c:pt>
                <c:pt idx="2125">
                  <c:v>6694457.5190187646</c:v>
                </c:pt>
                <c:pt idx="2126">
                  <c:v>6697607.851968891</c:v>
                </c:pt>
                <c:pt idx="2127">
                  <c:v>6700758.1849190174</c:v>
                </c:pt>
                <c:pt idx="2128">
                  <c:v>6703908.5178691437</c:v>
                </c:pt>
                <c:pt idx="2129">
                  <c:v>6707058.8508192711</c:v>
                </c:pt>
                <c:pt idx="2130">
                  <c:v>6710209.1837693974</c:v>
                </c:pt>
                <c:pt idx="2131">
                  <c:v>6713359.5167195238</c:v>
                </c:pt>
                <c:pt idx="2132">
                  <c:v>6716509.8496696502</c:v>
                </c:pt>
                <c:pt idx="2133">
                  <c:v>6719660.1826197766</c:v>
                </c:pt>
                <c:pt idx="2134">
                  <c:v>6722810.515569903</c:v>
                </c:pt>
                <c:pt idx="2135">
                  <c:v>6725960.8485200293</c:v>
                </c:pt>
                <c:pt idx="2136">
                  <c:v>6729111.1814701557</c:v>
                </c:pt>
                <c:pt idx="2137">
                  <c:v>6732261.5144202821</c:v>
                </c:pt>
                <c:pt idx="2138">
                  <c:v>6735411.8473704085</c:v>
                </c:pt>
                <c:pt idx="2139">
                  <c:v>6738562.1803205358</c:v>
                </c:pt>
                <c:pt idx="2140">
                  <c:v>6741712.5132706622</c:v>
                </c:pt>
                <c:pt idx="2141">
                  <c:v>6744862.8462207885</c:v>
                </c:pt>
                <c:pt idx="2142">
                  <c:v>6748013.1791709149</c:v>
                </c:pt>
                <c:pt idx="2143">
                  <c:v>6751163.5121210413</c:v>
                </c:pt>
                <c:pt idx="2144">
                  <c:v>6754313.8450711677</c:v>
                </c:pt>
                <c:pt idx="2145">
                  <c:v>6757464.1780212941</c:v>
                </c:pt>
                <c:pt idx="2146">
                  <c:v>6760614.5109714204</c:v>
                </c:pt>
                <c:pt idx="2147">
                  <c:v>6763764.8439215468</c:v>
                </c:pt>
                <c:pt idx="2148">
                  <c:v>6766915.1768716732</c:v>
                </c:pt>
                <c:pt idx="2149">
                  <c:v>6770065.5098218005</c:v>
                </c:pt>
                <c:pt idx="2150">
                  <c:v>6773215.8427719269</c:v>
                </c:pt>
                <c:pt idx="2151">
                  <c:v>6776366.1757220533</c:v>
                </c:pt>
                <c:pt idx="2152">
                  <c:v>6779516.5086721797</c:v>
                </c:pt>
                <c:pt idx="2153">
                  <c:v>6782666.841622306</c:v>
                </c:pt>
                <c:pt idx="2154">
                  <c:v>6785817.1745724324</c:v>
                </c:pt>
                <c:pt idx="2155">
                  <c:v>6788967.5075225588</c:v>
                </c:pt>
                <c:pt idx="2156">
                  <c:v>6792117.8404726852</c:v>
                </c:pt>
                <c:pt idx="2157">
                  <c:v>6795268.1734228116</c:v>
                </c:pt>
                <c:pt idx="2158">
                  <c:v>6798418.5063729389</c:v>
                </c:pt>
                <c:pt idx="2159">
                  <c:v>6801568.8393230652</c:v>
                </c:pt>
                <c:pt idx="2160">
                  <c:v>6804719.1722731916</c:v>
                </c:pt>
                <c:pt idx="2161">
                  <c:v>6807869.505223318</c:v>
                </c:pt>
                <c:pt idx="2162">
                  <c:v>6811019.8381734444</c:v>
                </c:pt>
                <c:pt idx="2163">
                  <c:v>6814170.1711235708</c:v>
                </c:pt>
                <c:pt idx="2164">
                  <c:v>6817320.5040736971</c:v>
                </c:pt>
                <c:pt idx="2165">
                  <c:v>6820470.8370238235</c:v>
                </c:pt>
                <c:pt idx="2166">
                  <c:v>6823621.1699739499</c:v>
                </c:pt>
                <c:pt idx="2167">
                  <c:v>6826771.5029240763</c:v>
                </c:pt>
                <c:pt idx="2168">
                  <c:v>6829921.8358742036</c:v>
                </c:pt>
                <c:pt idx="2169">
                  <c:v>6833072.16882433</c:v>
                </c:pt>
                <c:pt idx="2170">
                  <c:v>6836222.5017744564</c:v>
                </c:pt>
                <c:pt idx="2171">
                  <c:v>6839372.8347245827</c:v>
                </c:pt>
                <c:pt idx="2172">
                  <c:v>6842523.1676747091</c:v>
                </c:pt>
                <c:pt idx="2173">
                  <c:v>6845673.5006248355</c:v>
                </c:pt>
                <c:pt idx="2174">
                  <c:v>6848823.8335749619</c:v>
                </c:pt>
                <c:pt idx="2175">
                  <c:v>6851974.1665250883</c:v>
                </c:pt>
                <c:pt idx="2176">
                  <c:v>6855124.4994752146</c:v>
                </c:pt>
                <c:pt idx="2177">
                  <c:v>6858274.8324253419</c:v>
                </c:pt>
                <c:pt idx="2178">
                  <c:v>6861425.1653754683</c:v>
                </c:pt>
                <c:pt idx="2179">
                  <c:v>6864575.4983255947</c:v>
                </c:pt>
                <c:pt idx="2180">
                  <c:v>6867725.8312757211</c:v>
                </c:pt>
                <c:pt idx="2181">
                  <c:v>6870876.1642258475</c:v>
                </c:pt>
                <c:pt idx="2182">
                  <c:v>6874026.4971759738</c:v>
                </c:pt>
                <c:pt idx="2183">
                  <c:v>6877176.8301261002</c:v>
                </c:pt>
                <c:pt idx="2184">
                  <c:v>6880327.1630762266</c:v>
                </c:pt>
                <c:pt idx="2185">
                  <c:v>6883477.496026353</c:v>
                </c:pt>
                <c:pt idx="2186">
                  <c:v>6886627.8289764794</c:v>
                </c:pt>
                <c:pt idx="2187">
                  <c:v>6889778.1619266067</c:v>
                </c:pt>
                <c:pt idx="2188">
                  <c:v>6892928.494876733</c:v>
                </c:pt>
                <c:pt idx="2189">
                  <c:v>6896078.8278268594</c:v>
                </c:pt>
                <c:pt idx="2190">
                  <c:v>6899229.1607769858</c:v>
                </c:pt>
                <c:pt idx="2191">
                  <c:v>6902379.4937271122</c:v>
                </c:pt>
                <c:pt idx="2192">
                  <c:v>6905529.8266772386</c:v>
                </c:pt>
                <c:pt idx="2193">
                  <c:v>6908680.1596273649</c:v>
                </c:pt>
                <c:pt idx="2194">
                  <c:v>6911830.4925774913</c:v>
                </c:pt>
                <c:pt idx="2195">
                  <c:v>6914980.8255276177</c:v>
                </c:pt>
                <c:pt idx="2196">
                  <c:v>6918131.158477745</c:v>
                </c:pt>
                <c:pt idx="2197">
                  <c:v>6921281.4914278714</c:v>
                </c:pt>
                <c:pt idx="2198">
                  <c:v>6924431.8243779978</c:v>
                </c:pt>
                <c:pt idx="2199">
                  <c:v>6927582.1573281242</c:v>
                </c:pt>
                <c:pt idx="2200">
                  <c:v>6930732.4902782505</c:v>
                </c:pt>
                <c:pt idx="2201">
                  <c:v>6933882.8232283769</c:v>
                </c:pt>
                <c:pt idx="2202">
                  <c:v>6937033.1561785033</c:v>
                </c:pt>
                <c:pt idx="2203">
                  <c:v>6940183.4891286297</c:v>
                </c:pt>
                <c:pt idx="2204">
                  <c:v>6943333.8220787561</c:v>
                </c:pt>
                <c:pt idx="2205">
                  <c:v>6946484.1550288824</c:v>
                </c:pt>
                <c:pt idx="2206">
                  <c:v>6949634.4879790097</c:v>
                </c:pt>
                <c:pt idx="2207">
                  <c:v>6952784.8209291361</c:v>
                </c:pt>
                <c:pt idx="2208">
                  <c:v>6955935.1538792625</c:v>
                </c:pt>
                <c:pt idx="2209">
                  <c:v>6959085.4868293889</c:v>
                </c:pt>
                <c:pt idx="2210">
                  <c:v>6962235.8197795153</c:v>
                </c:pt>
                <c:pt idx="2211">
                  <c:v>6965386.1527296416</c:v>
                </c:pt>
                <c:pt idx="2212">
                  <c:v>6968536.485679768</c:v>
                </c:pt>
                <c:pt idx="2213">
                  <c:v>6971686.8186298944</c:v>
                </c:pt>
                <c:pt idx="2214">
                  <c:v>6974837.1515800208</c:v>
                </c:pt>
                <c:pt idx="2215">
                  <c:v>6977987.4845301481</c:v>
                </c:pt>
                <c:pt idx="2216">
                  <c:v>6981137.8174802745</c:v>
                </c:pt>
                <c:pt idx="2217">
                  <c:v>6984288.1504304009</c:v>
                </c:pt>
                <c:pt idx="2218">
                  <c:v>6987438.4833805272</c:v>
                </c:pt>
                <c:pt idx="2219">
                  <c:v>6990588.8163306536</c:v>
                </c:pt>
                <c:pt idx="2220">
                  <c:v>6993739.14928078</c:v>
                </c:pt>
                <c:pt idx="2221">
                  <c:v>6996889.4822309064</c:v>
                </c:pt>
                <c:pt idx="2222">
                  <c:v>7000039.8151810328</c:v>
                </c:pt>
                <c:pt idx="2223">
                  <c:v>7003190.1481311591</c:v>
                </c:pt>
                <c:pt idx="2224">
                  <c:v>7006340.4810812855</c:v>
                </c:pt>
                <c:pt idx="2225">
                  <c:v>7009490.8140314128</c:v>
                </c:pt>
                <c:pt idx="2226">
                  <c:v>7012641.1469815392</c:v>
                </c:pt>
                <c:pt idx="2227">
                  <c:v>7015791.4799316656</c:v>
                </c:pt>
                <c:pt idx="2228">
                  <c:v>7018941.812881792</c:v>
                </c:pt>
                <c:pt idx="2229">
                  <c:v>7022092.1458319183</c:v>
                </c:pt>
                <c:pt idx="2230">
                  <c:v>7025242.4787820447</c:v>
                </c:pt>
                <c:pt idx="2231">
                  <c:v>7028392.8117321711</c:v>
                </c:pt>
                <c:pt idx="2232">
                  <c:v>7031543.1446822975</c:v>
                </c:pt>
                <c:pt idx="2233">
                  <c:v>7034693.4776324239</c:v>
                </c:pt>
                <c:pt idx="2234">
                  <c:v>7037843.8105825512</c:v>
                </c:pt>
                <c:pt idx="2235">
                  <c:v>7040994.1435326776</c:v>
                </c:pt>
                <c:pt idx="2236">
                  <c:v>7044144.4764828039</c:v>
                </c:pt>
                <c:pt idx="2237">
                  <c:v>7047294.8094329303</c:v>
                </c:pt>
                <c:pt idx="2238">
                  <c:v>7050445.1423830567</c:v>
                </c:pt>
                <c:pt idx="2239">
                  <c:v>7053595.4753331831</c:v>
                </c:pt>
                <c:pt idx="2240">
                  <c:v>7056745.8082833095</c:v>
                </c:pt>
                <c:pt idx="2241">
                  <c:v>7059896.1412334358</c:v>
                </c:pt>
                <c:pt idx="2242">
                  <c:v>7063046.4741835622</c:v>
                </c:pt>
                <c:pt idx="2243">
                  <c:v>7066196.8071336886</c:v>
                </c:pt>
                <c:pt idx="2244">
                  <c:v>7069347.1400838159</c:v>
                </c:pt>
                <c:pt idx="2245">
                  <c:v>7072497.4730339423</c:v>
                </c:pt>
                <c:pt idx="2246">
                  <c:v>7075647.8059840687</c:v>
                </c:pt>
                <c:pt idx="2247">
                  <c:v>7078798.138934195</c:v>
                </c:pt>
                <c:pt idx="2248">
                  <c:v>7081948.4718843214</c:v>
                </c:pt>
                <c:pt idx="2249">
                  <c:v>7085098.8048344478</c:v>
                </c:pt>
                <c:pt idx="2250">
                  <c:v>7088249.1377845742</c:v>
                </c:pt>
                <c:pt idx="2251">
                  <c:v>7091399.4707347006</c:v>
                </c:pt>
                <c:pt idx="2252">
                  <c:v>7094549.8036848269</c:v>
                </c:pt>
                <c:pt idx="2253">
                  <c:v>7097700.1366349543</c:v>
                </c:pt>
                <c:pt idx="2254">
                  <c:v>7100850.4695850806</c:v>
                </c:pt>
                <c:pt idx="2255">
                  <c:v>7104000.802535207</c:v>
                </c:pt>
                <c:pt idx="2256">
                  <c:v>7107151.1354853334</c:v>
                </c:pt>
                <c:pt idx="2257">
                  <c:v>7110301.4684354598</c:v>
                </c:pt>
                <c:pt idx="2258">
                  <c:v>7113451.8013855861</c:v>
                </c:pt>
                <c:pt idx="2259">
                  <c:v>7116602.1343357125</c:v>
                </c:pt>
                <c:pt idx="2260">
                  <c:v>7119752.4672858389</c:v>
                </c:pt>
                <c:pt idx="2261">
                  <c:v>7122902.8002359653</c:v>
                </c:pt>
                <c:pt idx="2262">
                  <c:v>7126053.1331860917</c:v>
                </c:pt>
                <c:pt idx="2263">
                  <c:v>7129203.466136219</c:v>
                </c:pt>
                <c:pt idx="2264">
                  <c:v>7132353.7990863454</c:v>
                </c:pt>
                <c:pt idx="2265">
                  <c:v>7135504.1320364717</c:v>
                </c:pt>
                <c:pt idx="2266">
                  <c:v>7138654.4649865981</c:v>
                </c:pt>
                <c:pt idx="2267">
                  <c:v>7141804.7979367245</c:v>
                </c:pt>
                <c:pt idx="2268">
                  <c:v>7144955.1308868509</c:v>
                </c:pt>
                <c:pt idx="2269">
                  <c:v>7148105.4638369773</c:v>
                </c:pt>
                <c:pt idx="2270">
                  <c:v>7151255.7967871036</c:v>
                </c:pt>
                <c:pt idx="2271">
                  <c:v>7154406.12973723</c:v>
                </c:pt>
                <c:pt idx="2272">
                  <c:v>7157556.4626873573</c:v>
                </c:pt>
                <c:pt idx="2273">
                  <c:v>7160706.7956374837</c:v>
                </c:pt>
                <c:pt idx="2274">
                  <c:v>7163857.1285876101</c:v>
                </c:pt>
                <c:pt idx="2275">
                  <c:v>7167007.4615377365</c:v>
                </c:pt>
                <c:pt idx="2276">
                  <c:v>7170157.7944878628</c:v>
                </c:pt>
                <c:pt idx="2277">
                  <c:v>7173308.1274379892</c:v>
                </c:pt>
                <c:pt idx="2278">
                  <c:v>7176458.4603881156</c:v>
                </c:pt>
                <c:pt idx="2279">
                  <c:v>7179608.793338242</c:v>
                </c:pt>
                <c:pt idx="2280">
                  <c:v>7182759.1262883684</c:v>
                </c:pt>
                <c:pt idx="2281">
                  <c:v>7185909.4592384947</c:v>
                </c:pt>
                <c:pt idx="2282">
                  <c:v>7189059.7921886221</c:v>
                </c:pt>
                <c:pt idx="2283">
                  <c:v>7192210.1251387484</c:v>
                </c:pt>
                <c:pt idx="2284">
                  <c:v>7195360.4580888748</c:v>
                </c:pt>
                <c:pt idx="2285">
                  <c:v>7198510.7910390012</c:v>
                </c:pt>
                <c:pt idx="2286">
                  <c:v>7201661.1239891276</c:v>
                </c:pt>
                <c:pt idx="2287">
                  <c:v>7204811.456939254</c:v>
                </c:pt>
                <c:pt idx="2288">
                  <c:v>7207961.7898893803</c:v>
                </c:pt>
                <c:pt idx="2289">
                  <c:v>7211112.1228395067</c:v>
                </c:pt>
                <c:pt idx="2290">
                  <c:v>7214262.4557896331</c:v>
                </c:pt>
                <c:pt idx="2291">
                  <c:v>7217412.7887397604</c:v>
                </c:pt>
                <c:pt idx="2292">
                  <c:v>7220563.1216898868</c:v>
                </c:pt>
                <c:pt idx="2293">
                  <c:v>7223713.4546400132</c:v>
                </c:pt>
                <c:pt idx="2294">
                  <c:v>7226863.7875901395</c:v>
                </c:pt>
                <c:pt idx="2295">
                  <c:v>7230014.1205402659</c:v>
                </c:pt>
                <c:pt idx="2296">
                  <c:v>7233164.4534903923</c:v>
                </c:pt>
                <c:pt idx="2297">
                  <c:v>7236314.7864405187</c:v>
                </c:pt>
                <c:pt idx="2298">
                  <c:v>7239465.1193906451</c:v>
                </c:pt>
                <c:pt idx="2299">
                  <c:v>7242615.4523407714</c:v>
                </c:pt>
                <c:pt idx="2300">
                  <c:v>7245765.7852908978</c:v>
                </c:pt>
                <c:pt idx="2301">
                  <c:v>7248916.1182410251</c:v>
                </c:pt>
                <c:pt idx="2302">
                  <c:v>7252066.4511911515</c:v>
                </c:pt>
                <c:pt idx="2303">
                  <c:v>7255216.7841412779</c:v>
                </c:pt>
                <c:pt idx="2304">
                  <c:v>7258367.1170914043</c:v>
                </c:pt>
                <c:pt idx="2305">
                  <c:v>7261517.4500415307</c:v>
                </c:pt>
                <c:pt idx="2306">
                  <c:v>7264667.782991657</c:v>
                </c:pt>
                <c:pt idx="2307">
                  <c:v>7267818.1159417834</c:v>
                </c:pt>
                <c:pt idx="2308">
                  <c:v>7270968.4488919098</c:v>
                </c:pt>
                <c:pt idx="2309">
                  <c:v>7274118.7818420362</c:v>
                </c:pt>
                <c:pt idx="2310">
                  <c:v>7277269.1147921635</c:v>
                </c:pt>
                <c:pt idx="2311">
                  <c:v>7280419.4477422899</c:v>
                </c:pt>
                <c:pt idx="2312">
                  <c:v>7283569.7806924162</c:v>
                </c:pt>
                <c:pt idx="2313">
                  <c:v>7286720.1136425426</c:v>
                </c:pt>
                <c:pt idx="2314">
                  <c:v>7289870.446592669</c:v>
                </c:pt>
                <c:pt idx="2315">
                  <c:v>7293020.7795427954</c:v>
                </c:pt>
                <c:pt idx="2316">
                  <c:v>7296171.1124929218</c:v>
                </c:pt>
                <c:pt idx="2317">
                  <c:v>7299321.4454430481</c:v>
                </c:pt>
                <c:pt idx="2318">
                  <c:v>7302471.7783931745</c:v>
                </c:pt>
                <c:pt idx="2319">
                  <c:v>7305622.1113433009</c:v>
                </c:pt>
                <c:pt idx="2320">
                  <c:v>7308772.4442934282</c:v>
                </c:pt>
                <c:pt idx="2321">
                  <c:v>7311922.7772435546</c:v>
                </c:pt>
                <c:pt idx="2322">
                  <c:v>7315073.110193681</c:v>
                </c:pt>
                <c:pt idx="2323">
                  <c:v>7318223.4431438074</c:v>
                </c:pt>
                <c:pt idx="2324">
                  <c:v>7321373.7760939337</c:v>
                </c:pt>
                <c:pt idx="2325">
                  <c:v>7324524.1090440601</c:v>
                </c:pt>
                <c:pt idx="2326">
                  <c:v>7327674.4419941865</c:v>
                </c:pt>
                <c:pt idx="2327">
                  <c:v>7330824.7749443129</c:v>
                </c:pt>
                <c:pt idx="2328">
                  <c:v>7333975.1078944393</c:v>
                </c:pt>
                <c:pt idx="2329">
                  <c:v>7337125.4408445656</c:v>
                </c:pt>
                <c:pt idx="2330">
                  <c:v>7340275.7737946929</c:v>
                </c:pt>
                <c:pt idx="2331">
                  <c:v>7343426.1067448193</c:v>
                </c:pt>
                <c:pt idx="2332">
                  <c:v>7346576.4396949457</c:v>
                </c:pt>
                <c:pt idx="2333">
                  <c:v>7349726.7726450721</c:v>
                </c:pt>
                <c:pt idx="2334">
                  <c:v>7352877.1055951985</c:v>
                </c:pt>
                <c:pt idx="2335">
                  <c:v>7356027.4385453248</c:v>
                </c:pt>
                <c:pt idx="2336">
                  <c:v>7359177.7714954512</c:v>
                </c:pt>
                <c:pt idx="2337">
                  <c:v>7362328.1044455776</c:v>
                </c:pt>
                <c:pt idx="2338">
                  <c:v>7365478.437395704</c:v>
                </c:pt>
                <c:pt idx="2339">
                  <c:v>7368628.7703458313</c:v>
                </c:pt>
                <c:pt idx="2340">
                  <c:v>7371779.1032959577</c:v>
                </c:pt>
                <c:pt idx="2341">
                  <c:v>7374929.436246084</c:v>
                </c:pt>
                <c:pt idx="2342">
                  <c:v>7378079.7691962104</c:v>
                </c:pt>
                <c:pt idx="2343">
                  <c:v>7381230.1021463368</c:v>
                </c:pt>
                <c:pt idx="2344">
                  <c:v>7384380.4350964632</c:v>
                </c:pt>
                <c:pt idx="2345">
                  <c:v>7387530.7680465896</c:v>
                </c:pt>
                <c:pt idx="2346">
                  <c:v>7390681.1009967159</c:v>
                </c:pt>
                <c:pt idx="2347">
                  <c:v>7393831.4339468423</c:v>
                </c:pt>
                <c:pt idx="2348">
                  <c:v>7396981.7668969687</c:v>
                </c:pt>
                <c:pt idx="2349">
                  <c:v>7400132.099847096</c:v>
                </c:pt>
                <c:pt idx="2350">
                  <c:v>7403282.4327972224</c:v>
                </c:pt>
                <c:pt idx="2351">
                  <c:v>7406432.7657473488</c:v>
                </c:pt>
                <c:pt idx="2352">
                  <c:v>7409583.0986974752</c:v>
                </c:pt>
                <c:pt idx="2353">
                  <c:v>7412733.4316476015</c:v>
                </c:pt>
                <c:pt idx="2354">
                  <c:v>7415883.7645977279</c:v>
                </c:pt>
                <c:pt idx="2355">
                  <c:v>7419034.0975478543</c:v>
                </c:pt>
                <c:pt idx="2356">
                  <c:v>7422184.4304979807</c:v>
                </c:pt>
                <c:pt idx="2357">
                  <c:v>7425334.7634481071</c:v>
                </c:pt>
                <c:pt idx="2358">
                  <c:v>7428485.0963982344</c:v>
                </c:pt>
                <c:pt idx="2359">
                  <c:v>7431635.4293483607</c:v>
                </c:pt>
                <c:pt idx="2360">
                  <c:v>7434785.7622984871</c:v>
                </c:pt>
                <c:pt idx="2361">
                  <c:v>7437936.0952486135</c:v>
                </c:pt>
                <c:pt idx="2362">
                  <c:v>7441086.4281987399</c:v>
                </c:pt>
                <c:pt idx="2363">
                  <c:v>7444236.7611488663</c:v>
                </c:pt>
                <c:pt idx="2364">
                  <c:v>7447387.0940989926</c:v>
                </c:pt>
                <c:pt idx="2365">
                  <c:v>7450537.427049119</c:v>
                </c:pt>
                <c:pt idx="2366">
                  <c:v>7453687.7599992454</c:v>
                </c:pt>
                <c:pt idx="2367">
                  <c:v>7456838.0929493718</c:v>
                </c:pt>
                <c:pt idx="2368">
                  <c:v>7459988.4258994991</c:v>
                </c:pt>
                <c:pt idx="2369">
                  <c:v>7463138.7588496255</c:v>
                </c:pt>
                <c:pt idx="2370">
                  <c:v>7466289.0917997519</c:v>
                </c:pt>
                <c:pt idx="2371">
                  <c:v>7469439.4247498782</c:v>
                </c:pt>
                <c:pt idx="2372">
                  <c:v>7472589.7577000046</c:v>
                </c:pt>
                <c:pt idx="2373">
                  <c:v>7475740.090650131</c:v>
                </c:pt>
                <c:pt idx="2374">
                  <c:v>7478890.4236002574</c:v>
                </c:pt>
                <c:pt idx="2375">
                  <c:v>7482040.7565503838</c:v>
                </c:pt>
                <c:pt idx="2376">
                  <c:v>7485191.0895005101</c:v>
                </c:pt>
                <c:pt idx="2377">
                  <c:v>7488341.4224506374</c:v>
                </c:pt>
                <c:pt idx="2378">
                  <c:v>7491491.7554007638</c:v>
                </c:pt>
                <c:pt idx="2379">
                  <c:v>7494642.0883508902</c:v>
                </c:pt>
                <c:pt idx="2380">
                  <c:v>7497792.4213010166</c:v>
                </c:pt>
                <c:pt idx="2381">
                  <c:v>7500942.754251143</c:v>
                </c:pt>
                <c:pt idx="2382">
                  <c:v>7504093.0872012693</c:v>
                </c:pt>
                <c:pt idx="2383">
                  <c:v>7507243.4201513957</c:v>
                </c:pt>
                <c:pt idx="2384">
                  <c:v>7510393.7531015221</c:v>
                </c:pt>
                <c:pt idx="2385">
                  <c:v>7513544.0860516485</c:v>
                </c:pt>
                <c:pt idx="2386">
                  <c:v>7516694.4190017749</c:v>
                </c:pt>
                <c:pt idx="2387">
                  <c:v>7519844.7519519022</c:v>
                </c:pt>
                <c:pt idx="2388">
                  <c:v>7522995.0849020286</c:v>
                </c:pt>
                <c:pt idx="2389">
                  <c:v>7526145.4178521549</c:v>
                </c:pt>
                <c:pt idx="2390">
                  <c:v>7529295.7508022813</c:v>
                </c:pt>
                <c:pt idx="2391">
                  <c:v>7532446.0837524077</c:v>
                </c:pt>
                <c:pt idx="2392">
                  <c:v>7535596.4167025341</c:v>
                </c:pt>
                <c:pt idx="2393">
                  <c:v>7538746.7496526605</c:v>
                </c:pt>
                <c:pt idx="2394">
                  <c:v>7541897.0826027868</c:v>
                </c:pt>
                <c:pt idx="2395">
                  <c:v>7545047.4155529132</c:v>
                </c:pt>
                <c:pt idx="2396">
                  <c:v>7548197.7485030405</c:v>
                </c:pt>
                <c:pt idx="2397">
                  <c:v>7551348.0814531669</c:v>
                </c:pt>
                <c:pt idx="2398">
                  <c:v>7554498.4144032933</c:v>
                </c:pt>
                <c:pt idx="2399">
                  <c:v>7557648.7473534197</c:v>
                </c:pt>
                <c:pt idx="2400">
                  <c:v>7560799.080303546</c:v>
                </c:pt>
                <c:pt idx="2401">
                  <c:v>7563949.4132536724</c:v>
                </c:pt>
                <c:pt idx="2402">
                  <c:v>7567099.7462037988</c:v>
                </c:pt>
                <c:pt idx="2403">
                  <c:v>7570250.0791539252</c:v>
                </c:pt>
                <c:pt idx="2404">
                  <c:v>7573400.4121040516</c:v>
                </c:pt>
                <c:pt idx="2405">
                  <c:v>7576550.7450541779</c:v>
                </c:pt>
                <c:pt idx="2406">
                  <c:v>7579701.0780043053</c:v>
                </c:pt>
                <c:pt idx="2407">
                  <c:v>7582851.4109544316</c:v>
                </c:pt>
                <c:pt idx="2408">
                  <c:v>7586001.743904558</c:v>
                </c:pt>
                <c:pt idx="2409">
                  <c:v>7589152.0768546844</c:v>
                </c:pt>
                <c:pt idx="2410">
                  <c:v>7592302.4098048108</c:v>
                </c:pt>
                <c:pt idx="2411">
                  <c:v>7595452.7427549371</c:v>
                </c:pt>
                <c:pt idx="2412">
                  <c:v>7598603.0757050635</c:v>
                </c:pt>
                <c:pt idx="2413">
                  <c:v>7601753.4086551899</c:v>
                </c:pt>
                <c:pt idx="2414">
                  <c:v>7604903.7416053163</c:v>
                </c:pt>
                <c:pt idx="2415">
                  <c:v>7608054.0745554436</c:v>
                </c:pt>
                <c:pt idx="2416">
                  <c:v>7611204.40750557</c:v>
                </c:pt>
                <c:pt idx="2417">
                  <c:v>7614354.7404556964</c:v>
                </c:pt>
                <c:pt idx="2418">
                  <c:v>7617505.0734058227</c:v>
                </c:pt>
                <c:pt idx="2419">
                  <c:v>7620655.4063559491</c:v>
                </c:pt>
                <c:pt idx="2420">
                  <c:v>7623805.7393060755</c:v>
                </c:pt>
                <c:pt idx="2421">
                  <c:v>7626956.0722562019</c:v>
                </c:pt>
                <c:pt idx="2422">
                  <c:v>7630106.4052063283</c:v>
                </c:pt>
                <c:pt idx="2423">
                  <c:v>7633256.7381564546</c:v>
                </c:pt>
                <c:pt idx="2424">
                  <c:v>7636407.071106581</c:v>
                </c:pt>
                <c:pt idx="2425">
                  <c:v>7639557.4040567083</c:v>
                </c:pt>
                <c:pt idx="2426">
                  <c:v>7642707.7370068347</c:v>
                </c:pt>
                <c:pt idx="2427">
                  <c:v>7645858.0699569611</c:v>
                </c:pt>
                <c:pt idx="2428">
                  <c:v>7649008.4029070875</c:v>
                </c:pt>
                <c:pt idx="2429">
                  <c:v>7652158.7358572138</c:v>
                </c:pt>
                <c:pt idx="2430">
                  <c:v>7655309.0688073402</c:v>
                </c:pt>
                <c:pt idx="2431">
                  <c:v>7658459.4017574666</c:v>
                </c:pt>
                <c:pt idx="2432">
                  <c:v>7661609.734707593</c:v>
                </c:pt>
                <c:pt idx="2433">
                  <c:v>7664760.0676577194</c:v>
                </c:pt>
                <c:pt idx="2434">
                  <c:v>7667910.4006078467</c:v>
                </c:pt>
                <c:pt idx="2435">
                  <c:v>7671060.7335579731</c:v>
                </c:pt>
                <c:pt idx="2436">
                  <c:v>7674211.0665080994</c:v>
                </c:pt>
                <c:pt idx="2437">
                  <c:v>7677361.3994582258</c:v>
                </c:pt>
                <c:pt idx="2438">
                  <c:v>7680511.7324083522</c:v>
                </c:pt>
                <c:pt idx="2439">
                  <c:v>7683662.0653584786</c:v>
                </c:pt>
                <c:pt idx="2440">
                  <c:v>7686812.398308605</c:v>
                </c:pt>
                <c:pt idx="2441">
                  <c:v>7689962.7312587313</c:v>
                </c:pt>
                <c:pt idx="2442">
                  <c:v>7693113.0642088577</c:v>
                </c:pt>
                <c:pt idx="2443">
                  <c:v>7696263.3971589841</c:v>
                </c:pt>
                <c:pt idx="2444">
                  <c:v>7699413.7301091114</c:v>
                </c:pt>
                <c:pt idx="2445">
                  <c:v>7702564.0630592378</c:v>
                </c:pt>
                <c:pt idx="2446">
                  <c:v>7705714.3960093642</c:v>
                </c:pt>
                <c:pt idx="2447">
                  <c:v>7708864.7289594905</c:v>
                </c:pt>
                <c:pt idx="2448">
                  <c:v>7712015.0619096169</c:v>
                </c:pt>
                <c:pt idx="2449">
                  <c:v>7715165.3948597433</c:v>
                </c:pt>
                <c:pt idx="2450">
                  <c:v>7718315.7278098697</c:v>
                </c:pt>
                <c:pt idx="2451">
                  <c:v>7721466.0607599961</c:v>
                </c:pt>
                <c:pt idx="2452">
                  <c:v>7724616.3937101224</c:v>
                </c:pt>
                <c:pt idx="2453">
                  <c:v>7727766.7266602498</c:v>
                </c:pt>
                <c:pt idx="2454">
                  <c:v>7730917.0596103761</c:v>
                </c:pt>
                <c:pt idx="2455">
                  <c:v>7734067.3925605025</c:v>
                </c:pt>
                <c:pt idx="2456">
                  <c:v>7737217.7255106289</c:v>
                </c:pt>
                <c:pt idx="2457">
                  <c:v>7740368.0584607553</c:v>
                </c:pt>
                <c:pt idx="2458">
                  <c:v>7743518.3914108817</c:v>
                </c:pt>
                <c:pt idx="2459">
                  <c:v>7746668.724361008</c:v>
                </c:pt>
                <c:pt idx="2460">
                  <c:v>7749819.0573111344</c:v>
                </c:pt>
                <c:pt idx="2461">
                  <c:v>7752969.3902612608</c:v>
                </c:pt>
                <c:pt idx="2462">
                  <c:v>7756119.7232113872</c:v>
                </c:pt>
                <c:pt idx="2463">
                  <c:v>7759270.0561615145</c:v>
                </c:pt>
                <c:pt idx="2464">
                  <c:v>7762420.3891116409</c:v>
                </c:pt>
                <c:pt idx="2465">
                  <c:v>7765570.7220617672</c:v>
                </c:pt>
                <c:pt idx="2466">
                  <c:v>7768721.0550118936</c:v>
                </c:pt>
                <c:pt idx="2467">
                  <c:v>7771871.38796202</c:v>
                </c:pt>
                <c:pt idx="2468">
                  <c:v>7775021.7209121464</c:v>
                </c:pt>
                <c:pt idx="2469">
                  <c:v>7778172.0538622728</c:v>
                </c:pt>
                <c:pt idx="2470">
                  <c:v>7781322.3868123991</c:v>
                </c:pt>
                <c:pt idx="2471">
                  <c:v>7784472.7197625255</c:v>
                </c:pt>
                <c:pt idx="2472">
                  <c:v>7787623.0527126528</c:v>
                </c:pt>
                <c:pt idx="2473">
                  <c:v>7790773.3856627792</c:v>
                </c:pt>
                <c:pt idx="2474">
                  <c:v>7793923.7186129056</c:v>
                </c:pt>
                <c:pt idx="2475">
                  <c:v>7797074.051563032</c:v>
                </c:pt>
                <c:pt idx="2476">
                  <c:v>7800224.3845131584</c:v>
                </c:pt>
                <c:pt idx="2477">
                  <c:v>7803374.7174632847</c:v>
                </c:pt>
                <c:pt idx="2478">
                  <c:v>7806525.0504134111</c:v>
                </c:pt>
                <c:pt idx="2479">
                  <c:v>7809675.3833635375</c:v>
                </c:pt>
                <c:pt idx="2480">
                  <c:v>7812825.7163136639</c:v>
                </c:pt>
                <c:pt idx="2481">
                  <c:v>7815976.0492637902</c:v>
                </c:pt>
                <c:pt idx="2482">
                  <c:v>7819126.3822139176</c:v>
                </c:pt>
                <c:pt idx="2483">
                  <c:v>7822276.7151640439</c:v>
                </c:pt>
                <c:pt idx="2484">
                  <c:v>7825427.0481141703</c:v>
                </c:pt>
                <c:pt idx="2485">
                  <c:v>7828577.3810642967</c:v>
                </c:pt>
                <c:pt idx="2486">
                  <c:v>7831727.7140144231</c:v>
                </c:pt>
                <c:pt idx="2487">
                  <c:v>7834878.0469645495</c:v>
                </c:pt>
                <c:pt idx="2488">
                  <c:v>7838028.3799146758</c:v>
                </c:pt>
                <c:pt idx="2489">
                  <c:v>7841178.7128648022</c:v>
                </c:pt>
                <c:pt idx="2490">
                  <c:v>7844329.0458149286</c:v>
                </c:pt>
                <c:pt idx="2491">
                  <c:v>7847479.3787650559</c:v>
                </c:pt>
                <c:pt idx="2492">
                  <c:v>7850629.7117151823</c:v>
                </c:pt>
                <c:pt idx="2493">
                  <c:v>7853780.0446653087</c:v>
                </c:pt>
                <c:pt idx="2494">
                  <c:v>7856930.377615435</c:v>
                </c:pt>
                <c:pt idx="2495">
                  <c:v>7860080.7105655614</c:v>
                </c:pt>
                <c:pt idx="2496">
                  <c:v>7863231.0435156878</c:v>
                </c:pt>
                <c:pt idx="2497">
                  <c:v>7866381.3764658142</c:v>
                </c:pt>
                <c:pt idx="2498">
                  <c:v>7869531.7094159406</c:v>
                </c:pt>
                <c:pt idx="2499">
                  <c:v>7872682.0423660669</c:v>
                </c:pt>
                <c:pt idx="2500">
                  <c:v>7875832.3753161933</c:v>
                </c:pt>
                <c:pt idx="2501">
                  <c:v>7878982.7082663206</c:v>
                </c:pt>
                <c:pt idx="2502">
                  <c:v>7882133.041216447</c:v>
                </c:pt>
                <c:pt idx="2503">
                  <c:v>7885283.3741665734</c:v>
                </c:pt>
                <c:pt idx="2504">
                  <c:v>7888433.7071166998</c:v>
                </c:pt>
                <c:pt idx="2505">
                  <c:v>7891584.0400668262</c:v>
                </c:pt>
                <c:pt idx="2506">
                  <c:v>7894734.3730169525</c:v>
                </c:pt>
                <c:pt idx="2507">
                  <c:v>7897884.7059670789</c:v>
                </c:pt>
                <c:pt idx="2508">
                  <c:v>7901035.0389172053</c:v>
                </c:pt>
                <c:pt idx="2509">
                  <c:v>7904185.3718673317</c:v>
                </c:pt>
                <c:pt idx="2510">
                  <c:v>7907335.704817459</c:v>
                </c:pt>
                <c:pt idx="2511">
                  <c:v>7910486.0377675854</c:v>
                </c:pt>
                <c:pt idx="2512">
                  <c:v>7913636.3707177117</c:v>
                </c:pt>
                <c:pt idx="2513">
                  <c:v>7916786.7036678381</c:v>
                </c:pt>
                <c:pt idx="2514">
                  <c:v>7919937.0366179645</c:v>
                </c:pt>
                <c:pt idx="2515">
                  <c:v>7923087.3695680909</c:v>
                </c:pt>
                <c:pt idx="2516">
                  <c:v>7926237.7025182173</c:v>
                </c:pt>
                <c:pt idx="2517">
                  <c:v>7929388.0354683436</c:v>
                </c:pt>
                <c:pt idx="2518">
                  <c:v>7932538.36841847</c:v>
                </c:pt>
                <c:pt idx="2519">
                  <c:v>7935688.7013685964</c:v>
                </c:pt>
                <c:pt idx="2520">
                  <c:v>7938839.0343187237</c:v>
                </c:pt>
                <c:pt idx="2521">
                  <c:v>7941989.3672688501</c:v>
                </c:pt>
                <c:pt idx="2522">
                  <c:v>7945139.7002189765</c:v>
                </c:pt>
                <c:pt idx="2523">
                  <c:v>7948290.0331691029</c:v>
                </c:pt>
                <c:pt idx="2524">
                  <c:v>7951440.3661192292</c:v>
                </c:pt>
                <c:pt idx="2525">
                  <c:v>7954590.6990693556</c:v>
                </c:pt>
                <c:pt idx="2526">
                  <c:v>7957741.032019482</c:v>
                </c:pt>
                <c:pt idx="2527">
                  <c:v>7960891.3649696084</c:v>
                </c:pt>
                <c:pt idx="2528">
                  <c:v>7964041.6979197348</c:v>
                </c:pt>
                <c:pt idx="2529">
                  <c:v>7967192.0308698611</c:v>
                </c:pt>
                <c:pt idx="2530">
                  <c:v>7970342.3638199884</c:v>
                </c:pt>
                <c:pt idx="2531">
                  <c:v>7973492.6967701148</c:v>
                </c:pt>
                <c:pt idx="2532">
                  <c:v>7976643.0297202412</c:v>
                </c:pt>
                <c:pt idx="2533">
                  <c:v>7979793.3626703676</c:v>
                </c:pt>
                <c:pt idx="2534">
                  <c:v>7982943.695620494</c:v>
                </c:pt>
                <c:pt idx="2535">
                  <c:v>7986094.0285706203</c:v>
                </c:pt>
                <c:pt idx="2536">
                  <c:v>7989244.3615207467</c:v>
                </c:pt>
                <c:pt idx="2537">
                  <c:v>7992394.6944708731</c:v>
                </c:pt>
                <c:pt idx="2538">
                  <c:v>7995545.0274209995</c:v>
                </c:pt>
                <c:pt idx="2539">
                  <c:v>7998695.3603711268</c:v>
                </c:pt>
                <c:pt idx="2540">
                  <c:v>8001845.6933212532</c:v>
                </c:pt>
                <c:pt idx="2541">
                  <c:v>8004996.0262713796</c:v>
                </c:pt>
                <c:pt idx="2542">
                  <c:v>8008146.3592215059</c:v>
                </c:pt>
                <c:pt idx="2543">
                  <c:v>8011296.6921716323</c:v>
                </c:pt>
                <c:pt idx="2544">
                  <c:v>8014447.0251217587</c:v>
                </c:pt>
                <c:pt idx="2545">
                  <c:v>8017597.3580718851</c:v>
                </c:pt>
                <c:pt idx="2546">
                  <c:v>8020747.6910220115</c:v>
                </c:pt>
                <c:pt idx="2547">
                  <c:v>8023898.0239721378</c:v>
                </c:pt>
                <c:pt idx="2548">
                  <c:v>8027048.3569222642</c:v>
                </c:pt>
                <c:pt idx="2549">
                  <c:v>8030198.6898723915</c:v>
                </c:pt>
                <c:pt idx="2550">
                  <c:v>8033349.0228225179</c:v>
                </c:pt>
                <c:pt idx="2551">
                  <c:v>8036499.3557726443</c:v>
                </c:pt>
                <c:pt idx="2552">
                  <c:v>8039649.6887227707</c:v>
                </c:pt>
                <c:pt idx="2553">
                  <c:v>8042800.021672897</c:v>
                </c:pt>
                <c:pt idx="2554">
                  <c:v>8045950.3546230234</c:v>
                </c:pt>
                <c:pt idx="2555">
                  <c:v>8049100.6875731498</c:v>
                </c:pt>
                <c:pt idx="2556">
                  <c:v>8052251.0205232762</c:v>
                </c:pt>
                <c:pt idx="2557">
                  <c:v>8055401.3534734026</c:v>
                </c:pt>
                <c:pt idx="2558">
                  <c:v>8058551.6864235299</c:v>
                </c:pt>
                <c:pt idx="2559">
                  <c:v>8061702.0193736563</c:v>
                </c:pt>
                <c:pt idx="2560">
                  <c:v>8064852.3523237826</c:v>
                </c:pt>
                <c:pt idx="2561">
                  <c:v>8068002.685273909</c:v>
                </c:pt>
                <c:pt idx="2562">
                  <c:v>8071153.0182240354</c:v>
                </c:pt>
                <c:pt idx="2563">
                  <c:v>8074303.3511741618</c:v>
                </c:pt>
                <c:pt idx="2564">
                  <c:v>8077453.6841242881</c:v>
                </c:pt>
                <c:pt idx="2565">
                  <c:v>8080604.0170744145</c:v>
                </c:pt>
                <c:pt idx="2566">
                  <c:v>8083754.3500245409</c:v>
                </c:pt>
                <c:pt idx="2567">
                  <c:v>8086904.6829746673</c:v>
                </c:pt>
                <c:pt idx="2568">
                  <c:v>8090055.0159247946</c:v>
                </c:pt>
                <c:pt idx="2569">
                  <c:v>8093205.348874921</c:v>
                </c:pt>
                <c:pt idx="2570">
                  <c:v>8096355.6818250474</c:v>
                </c:pt>
                <c:pt idx="2571">
                  <c:v>8099506.0147751737</c:v>
                </c:pt>
                <c:pt idx="2572">
                  <c:v>8102656.3477253001</c:v>
                </c:pt>
                <c:pt idx="2573">
                  <c:v>8105806.6806754265</c:v>
                </c:pt>
                <c:pt idx="2574">
                  <c:v>8108957.0136255529</c:v>
                </c:pt>
                <c:pt idx="2575">
                  <c:v>8112107.3465756793</c:v>
                </c:pt>
                <c:pt idx="2576">
                  <c:v>8115257.6795258056</c:v>
                </c:pt>
                <c:pt idx="2577">
                  <c:v>8118408.0124759329</c:v>
                </c:pt>
                <c:pt idx="2578">
                  <c:v>8121558.3454260593</c:v>
                </c:pt>
                <c:pt idx="2579">
                  <c:v>8124708.6783761857</c:v>
                </c:pt>
                <c:pt idx="2580">
                  <c:v>8127859.0113263121</c:v>
                </c:pt>
                <c:pt idx="2581">
                  <c:v>8131009.3442764385</c:v>
                </c:pt>
                <c:pt idx="2582">
                  <c:v>8134159.6772265648</c:v>
                </c:pt>
                <c:pt idx="2583">
                  <c:v>8137310.0101766912</c:v>
                </c:pt>
                <c:pt idx="2584">
                  <c:v>8140460.3431268176</c:v>
                </c:pt>
                <c:pt idx="2585">
                  <c:v>8143610.676076944</c:v>
                </c:pt>
                <c:pt idx="2586">
                  <c:v>8146761.0090270704</c:v>
                </c:pt>
                <c:pt idx="2587">
                  <c:v>8149911.3419771977</c:v>
                </c:pt>
                <c:pt idx="2588">
                  <c:v>8153061.6749273241</c:v>
                </c:pt>
                <c:pt idx="2589">
                  <c:v>8156212.0078774504</c:v>
                </c:pt>
                <c:pt idx="2590">
                  <c:v>8159362.3408275768</c:v>
                </c:pt>
                <c:pt idx="2591">
                  <c:v>8162512.6737777032</c:v>
                </c:pt>
                <c:pt idx="2592">
                  <c:v>8165663.0067278296</c:v>
                </c:pt>
                <c:pt idx="2593">
                  <c:v>8168813.339677956</c:v>
                </c:pt>
                <c:pt idx="2594">
                  <c:v>8171963.6726280823</c:v>
                </c:pt>
                <c:pt idx="2595">
                  <c:v>8175114.0055782087</c:v>
                </c:pt>
                <c:pt idx="2596">
                  <c:v>8178264.338528336</c:v>
                </c:pt>
                <c:pt idx="2597">
                  <c:v>8181414.6714784624</c:v>
                </c:pt>
                <c:pt idx="2598">
                  <c:v>8184565.0044285888</c:v>
                </c:pt>
                <c:pt idx="2599">
                  <c:v>8187715.3373787152</c:v>
                </c:pt>
                <c:pt idx="2600">
                  <c:v>8190865.6703288415</c:v>
                </c:pt>
                <c:pt idx="2601">
                  <c:v>8194016.0032789679</c:v>
                </c:pt>
                <c:pt idx="2602">
                  <c:v>8197166.3362290943</c:v>
                </c:pt>
                <c:pt idx="2603">
                  <c:v>8200316.6691792207</c:v>
                </c:pt>
                <c:pt idx="2604">
                  <c:v>8203467.0021293471</c:v>
                </c:pt>
                <c:pt idx="2605">
                  <c:v>8206617.3350794734</c:v>
                </c:pt>
                <c:pt idx="2606">
                  <c:v>8209767.6680296008</c:v>
                </c:pt>
                <c:pt idx="2607">
                  <c:v>8212918.0009797271</c:v>
                </c:pt>
                <c:pt idx="2608">
                  <c:v>8216068.3339298535</c:v>
                </c:pt>
                <c:pt idx="2609">
                  <c:v>8219218.6668799799</c:v>
                </c:pt>
                <c:pt idx="2610">
                  <c:v>8222368.9998301063</c:v>
                </c:pt>
                <c:pt idx="2611">
                  <c:v>8225519.3327802327</c:v>
                </c:pt>
                <c:pt idx="2612">
                  <c:v>8228669.665730359</c:v>
                </c:pt>
                <c:pt idx="2613">
                  <c:v>8231819.9986804854</c:v>
                </c:pt>
                <c:pt idx="2614">
                  <c:v>8234970.3316306118</c:v>
                </c:pt>
                <c:pt idx="2615">
                  <c:v>8238120.6645807391</c:v>
                </c:pt>
                <c:pt idx="2616">
                  <c:v>8241270.9975308655</c:v>
                </c:pt>
                <c:pt idx="2617">
                  <c:v>8244421.3304809919</c:v>
                </c:pt>
                <c:pt idx="2618">
                  <c:v>8247571.6634311182</c:v>
                </c:pt>
                <c:pt idx="2619">
                  <c:v>8250721.9963812446</c:v>
                </c:pt>
                <c:pt idx="2620">
                  <c:v>8253872.329331371</c:v>
                </c:pt>
                <c:pt idx="2621">
                  <c:v>8257022.6622814974</c:v>
                </c:pt>
                <c:pt idx="2622">
                  <c:v>8260172.9952316238</c:v>
                </c:pt>
                <c:pt idx="2623">
                  <c:v>8263323.3281817501</c:v>
                </c:pt>
                <c:pt idx="2624">
                  <c:v>8266473.6611318765</c:v>
                </c:pt>
                <c:pt idx="2625">
                  <c:v>8269623.9940820038</c:v>
                </c:pt>
                <c:pt idx="2626">
                  <c:v>8272774.3270321302</c:v>
                </c:pt>
                <c:pt idx="2627">
                  <c:v>8275924.6599822566</c:v>
                </c:pt>
                <c:pt idx="2628">
                  <c:v>8279074.992932383</c:v>
                </c:pt>
                <c:pt idx="2629">
                  <c:v>8282225.3258825094</c:v>
                </c:pt>
                <c:pt idx="2630">
                  <c:v>8285375.6588326357</c:v>
                </c:pt>
                <c:pt idx="2631">
                  <c:v>8288525.9917827621</c:v>
                </c:pt>
                <c:pt idx="2632">
                  <c:v>8291676.3247328885</c:v>
                </c:pt>
                <c:pt idx="2633">
                  <c:v>8294826.6576830149</c:v>
                </c:pt>
                <c:pt idx="2634">
                  <c:v>8297976.9906331422</c:v>
                </c:pt>
                <c:pt idx="2635">
                  <c:v>8301127.3235832686</c:v>
                </c:pt>
                <c:pt idx="2636">
                  <c:v>8304277.6565333949</c:v>
                </c:pt>
                <c:pt idx="2637">
                  <c:v>8307427.9894835213</c:v>
                </c:pt>
                <c:pt idx="2638">
                  <c:v>8310578.3224336477</c:v>
                </c:pt>
                <c:pt idx="2639">
                  <c:v>8313728.6553837741</c:v>
                </c:pt>
                <c:pt idx="2640">
                  <c:v>8316878.9883339005</c:v>
                </c:pt>
                <c:pt idx="2641">
                  <c:v>8320029.3212840268</c:v>
                </c:pt>
                <c:pt idx="2642">
                  <c:v>8323179.6542341532</c:v>
                </c:pt>
                <c:pt idx="2643">
                  <c:v>8326329.9871842796</c:v>
                </c:pt>
                <c:pt idx="2644">
                  <c:v>8329480.3201344069</c:v>
                </c:pt>
                <c:pt idx="2645">
                  <c:v>8332630.6530845333</c:v>
                </c:pt>
                <c:pt idx="2646">
                  <c:v>8335780.9860346597</c:v>
                </c:pt>
                <c:pt idx="2647">
                  <c:v>8338931.318984786</c:v>
                </c:pt>
                <c:pt idx="2648">
                  <c:v>8342081.6519349124</c:v>
                </c:pt>
                <c:pt idx="2649">
                  <c:v>8345231.9848850388</c:v>
                </c:pt>
                <c:pt idx="2650">
                  <c:v>8348382.3178351652</c:v>
                </c:pt>
                <c:pt idx="2651">
                  <c:v>8351532.6507852916</c:v>
                </c:pt>
                <c:pt idx="2652">
                  <c:v>8354682.9837354179</c:v>
                </c:pt>
                <c:pt idx="2653">
                  <c:v>8357833.3166855453</c:v>
                </c:pt>
                <c:pt idx="2654">
                  <c:v>8360983.6496356716</c:v>
                </c:pt>
                <c:pt idx="2655">
                  <c:v>8364133.982585798</c:v>
                </c:pt>
                <c:pt idx="2656">
                  <c:v>8367284.3155359244</c:v>
                </c:pt>
                <c:pt idx="2657">
                  <c:v>8370434.6484860508</c:v>
                </c:pt>
                <c:pt idx="2658">
                  <c:v>8373584.9814361772</c:v>
                </c:pt>
                <c:pt idx="2659">
                  <c:v>8376735.3143863035</c:v>
                </c:pt>
                <c:pt idx="2660">
                  <c:v>8379885.6473364299</c:v>
                </c:pt>
                <c:pt idx="2661">
                  <c:v>8383035.9802865563</c:v>
                </c:pt>
                <c:pt idx="2662">
                  <c:v>8386186.3132366827</c:v>
                </c:pt>
                <c:pt idx="2663">
                  <c:v>8389336.64618681</c:v>
                </c:pt>
                <c:pt idx="2664">
                  <c:v>8392486.9791369364</c:v>
                </c:pt>
                <c:pt idx="2665">
                  <c:v>8395637.3120870627</c:v>
                </c:pt>
                <c:pt idx="2666">
                  <c:v>8398787.6450371891</c:v>
                </c:pt>
                <c:pt idx="2667">
                  <c:v>8401937.9779873155</c:v>
                </c:pt>
                <c:pt idx="2668">
                  <c:v>8405088.3109374419</c:v>
                </c:pt>
                <c:pt idx="2669">
                  <c:v>8408238.6438875683</c:v>
                </c:pt>
                <c:pt idx="2670">
                  <c:v>8411388.9768376946</c:v>
                </c:pt>
                <c:pt idx="2671">
                  <c:v>8414539.309787821</c:v>
                </c:pt>
                <c:pt idx="2672">
                  <c:v>8417689.6427379474</c:v>
                </c:pt>
                <c:pt idx="2673">
                  <c:v>8420839.9756880738</c:v>
                </c:pt>
                <c:pt idx="2674">
                  <c:v>8423990.3086382002</c:v>
                </c:pt>
                <c:pt idx="2675">
                  <c:v>8427140.6415883265</c:v>
                </c:pt>
                <c:pt idx="2676">
                  <c:v>8430290.9745384529</c:v>
                </c:pt>
                <c:pt idx="2677">
                  <c:v>8433441.3074885812</c:v>
                </c:pt>
                <c:pt idx="2678">
                  <c:v>8436591.6404387075</c:v>
                </c:pt>
                <c:pt idx="2679">
                  <c:v>8439741.9733888339</c:v>
                </c:pt>
                <c:pt idx="2680">
                  <c:v>8442892.3063389603</c:v>
                </c:pt>
                <c:pt idx="2681">
                  <c:v>8446042.6392890867</c:v>
                </c:pt>
                <c:pt idx="2682">
                  <c:v>8449192.9722392131</c:v>
                </c:pt>
                <c:pt idx="2683">
                  <c:v>8452343.3051893394</c:v>
                </c:pt>
                <c:pt idx="2684">
                  <c:v>8455493.6381394658</c:v>
                </c:pt>
                <c:pt idx="2685">
                  <c:v>8458643.9710895922</c:v>
                </c:pt>
                <c:pt idx="2686">
                  <c:v>8461794.3040397186</c:v>
                </c:pt>
                <c:pt idx="2687">
                  <c:v>8464944.636989845</c:v>
                </c:pt>
                <c:pt idx="2688">
                  <c:v>8468094.9699399713</c:v>
                </c:pt>
                <c:pt idx="2689">
                  <c:v>8471245.3028900977</c:v>
                </c:pt>
                <c:pt idx="2690">
                  <c:v>8474395.6358402241</c:v>
                </c:pt>
                <c:pt idx="2691">
                  <c:v>8477545.9687903505</c:v>
                </c:pt>
                <c:pt idx="2692">
                  <c:v>8480696.3017404769</c:v>
                </c:pt>
                <c:pt idx="2693">
                  <c:v>8483846.6346906032</c:v>
                </c:pt>
                <c:pt idx="2694">
                  <c:v>8486996.9676407296</c:v>
                </c:pt>
                <c:pt idx="2695">
                  <c:v>8490147.300590856</c:v>
                </c:pt>
                <c:pt idx="2696">
                  <c:v>8493297.6335409842</c:v>
                </c:pt>
                <c:pt idx="2697">
                  <c:v>8496447.9664911106</c:v>
                </c:pt>
                <c:pt idx="2698">
                  <c:v>8499598.299441237</c:v>
                </c:pt>
                <c:pt idx="2699">
                  <c:v>8502748.6323913634</c:v>
                </c:pt>
                <c:pt idx="2700">
                  <c:v>8505898.9653414898</c:v>
                </c:pt>
                <c:pt idx="2701">
                  <c:v>8509049.2982916161</c:v>
                </c:pt>
                <c:pt idx="2702">
                  <c:v>8512199.6312417425</c:v>
                </c:pt>
                <c:pt idx="2703">
                  <c:v>8515349.9641918689</c:v>
                </c:pt>
                <c:pt idx="2704">
                  <c:v>8518500.2971419953</c:v>
                </c:pt>
                <c:pt idx="2705">
                  <c:v>8521650.6300921217</c:v>
                </c:pt>
                <c:pt idx="2706">
                  <c:v>8524800.963042248</c:v>
                </c:pt>
                <c:pt idx="2707">
                  <c:v>8527951.2959923744</c:v>
                </c:pt>
                <c:pt idx="2708">
                  <c:v>8531101.6289425008</c:v>
                </c:pt>
                <c:pt idx="2709">
                  <c:v>8534251.9618926272</c:v>
                </c:pt>
                <c:pt idx="2710">
                  <c:v>8537402.2948427536</c:v>
                </c:pt>
                <c:pt idx="2711">
                  <c:v>8540552.6277928799</c:v>
                </c:pt>
                <c:pt idx="2712">
                  <c:v>8543702.9607430063</c:v>
                </c:pt>
                <c:pt idx="2713">
                  <c:v>8546853.2936931327</c:v>
                </c:pt>
                <c:pt idx="2714">
                  <c:v>8550003.6266432591</c:v>
                </c:pt>
                <c:pt idx="2715">
                  <c:v>8553153.9595933873</c:v>
                </c:pt>
                <c:pt idx="2716">
                  <c:v>8556304.2925435137</c:v>
                </c:pt>
                <c:pt idx="2717">
                  <c:v>8559454.6254936401</c:v>
                </c:pt>
                <c:pt idx="2718">
                  <c:v>8562604.9584437665</c:v>
                </c:pt>
                <c:pt idx="2719">
                  <c:v>8565755.2913938928</c:v>
                </c:pt>
                <c:pt idx="2720">
                  <c:v>8568905.6243440192</c:v>
                </c:pt>
                <c:pt idx="2721">
                  <c:v>8572055.9572941456</c:v>
                </c:pt>
                <c:pt idx="2722">
                  <c:v>8575206.290244272</c:v>
                </c:pt>
                <c:pt idx="2723">
                  <c:v>8578356.6231943984</c:v>
                </c:pt>
                <c:pt idx="2724">
                  <c:v>8581506.9561445247</c:v>
                </c:pt>
                <c:pt idx="2725">
                  <c:v>8584657.2890946511</c:v>
                </c:pt>
                <c:pt idx="2726">
                  <c:v>8587807.6220447775</c:v>
                </c:pt>
                <c:pt idx="2727">
                  <c:v>8590957.9549949039</c:v>
                </c:pt>
                <c:pt idx="2728">
                  <c:v>8594108.2879450303</c:v>
                </c:pt>
                <c:pt idx="2729">
                  <c:v>8597258.6208951566</c:v>
                </c:pt>
                <c:pt idx="2730">
                  <c:v>8600408.953845283</c:v>
                </c:pt>
                <c:pt idx="2731">
                  <c:v>8603559.2867954094</c:v>
                </c:pt>
                <c:pt idx="2732">
                  <c:v>8606709.6197455358</c:v>
                </c:pt>
                <c:pt idx="2733">
                  <c:v>8609859.9526956622</c:v>
                </c:pt>
                <c:pt idx="2734">
                  <c:v>8613010.2856457904</c:v>
                </c:pt>
                <c:pt idx="2735">
                  <c:v>8616160.6185959168</c:v>
                </c:pt>
                <c:pt idx="2736">
                  <c:v>8619310.9515460432</c:v>
                </c:pt>
                <c:pt idx="2737">
                  <c:v>8622461.2844961695</c:v>
                </c:pt>
                <c:pt idx="2738">
                  <c:v>8625611.6174462959</c:v>
                </c:pt>
                <c:pt idx="2739">
                  <c:v>8628761.9503964223</c:v>
                </c:pt>
                <c:pt idx="2740">
                  <c:v>8631912.2833465487</c:v>
                </c:pt>
                <c:pt idx="2741">
                  <c:v>8635062.6162966751</c:v>
                </c:pt>
                <c:pt idx="2742">
                  <c:v>8638212.9492468014</c:v>
                </c:pt>
                <c:pt idx="2743">
                  <c:v>8641363.2821969278</c:v>
                </c:pt>
                <c:pt idx="2744">
                  <c:v>8644513.6151470542</c:v>
                </c:pt>
                <c:pt idx="2745">
                  <c:v>8647663.9480971806</c:v>
                </c:pt>
                <c:pt idx="2746">
                  <c:v>8650814.281047307</c:v>
                </c:pt>
                <c:pt idx="2747">
                  <c:v>8653964.6139974333</c:v>
                </c:pt>
                <c:pt idx="2748">
                  <c:v>8657114.9469475597</c:v>
                </c:pt>
                <c:pt idx="2749">
                  <c:v>8660265.2798976861</c:v>
                </c:pt>
                <c:pt idx="2750">
                  <c:v>8663415.6128478125</c:v>
                </c:pt>
                <c:pt idx="2751">
                  <c:v>8666565.9457979389</c:v>
                </c:pt>
                <c:pt idx="2752">
                  <c:v>8669716.2787480652</c:v>
                </c:pt>
                <c:pt idx="2753">
                  <c:v>8672866.6116981935</c:v>
                </c:pt>
                <c:pt idx="2754">
                  <c:v>8676016.9446483199</c:v>
                </c:pt>
                <c:pt idx="2755">
                  <c:v>8679167.2775984462</c:v>
                </c:pt>
                <c:pt idx="2756">
                  <c:v>8682317.6105485726</c:v>
                </c:pt>
                <c:pt idx="2757">
                  <c:v>8685467.943498699</c:v>
                </c:pt>
                <c:pt idx="2758">
                  <c:v>8688618.2764488254</c:v>
                </c:pt>
                <c:pt idx="2759">
                  <c:v>8691768.6093989518</c:v>
                </c:pt>
                <c:pt idx="2760">
                  <c:v>8694918.9423490781</c:v>
                </c:pt>
                <c:pt idx="2761">
                  <c:v>8698069.2752992045</c:v>
                </c:pt>
                <c:pt idx="2762">
                  <c:v>8701219.6082493309</c:v>
                </c:pt>
                <c:pt idx="2763">
                  <c:v>8704369.9411994573</c:v>
                </c:pt>
                <c:pt idx="2764">
                  <c:v>8707520.2741495837</c:v>
                </c:pt>
                <c:pt idx="2765">
                  <c:v>8710670.60709971</c:v>
                </c:pt>
                <c:pt idx="2766">
                  <c:v>8713820.9400498364</c:v>
                </c:pt>
                <c:pt idx="2767">
                  <c:v>8716971.2729999628</c:v>
                </c:pt>
                <c:pt idx="2768">
                  <c:v>8720121.6059500892</c:v>
                </c:pt>
                <c:pt idx="2769">
                  <c:v>8723271.9389002156</c:v>
                </c:pt>
                <c:pt idx="2770">
                  <c:v>8726422.2718503419</c:v>
                </c:pt>
                <c:pt idx="2771">
                  <c:v>8729572.6048004683</c:v>
                </c:pt>
                <c:pt idx="2772">
                  <c:v>8732722.9377505966</c:v>
                </c:pt>
                <c:pt idx="2773">
                  <c:v>8735873.2707007229</c:v>
                </c:pt>
                <c:pt idx="2774">
                  <c:v>8739023.6036508493</c:v>
                </c:pt>
                <c:pt idx="2775">
                  <c:v>8742173.9366009757</c:v>
                </c:pt>
                <c:pt idx="2776">
                  <c:v>8745324.2695511021</c:v>
                </c:pt>
                <c:pt idx="2777">
                  <c:v>8748474.6025012285</c:v>
                </c:pt>
                <c:pt idx="2778">
                  <c:v>8751624.9354513548</c:v>
                </c:pt>
                <c:pt idx="2779">
                  <c:v>8754775.2684014812</c:v>
                </c:pt>
                <c:pt idx="2780">
                  <c:v>8757925.6013516076</c:v>
                </c:pt>
                <c:pt idx="2781">
                  <c:v>8761075.934301734</c:v>
                </c:pt>
                <c:pt idx="2782">
                  <c:v>8764226.2672518604</c:v>
                </c:pt>
                <c:pt idx="2783">
                  <c:v>8767376.6002019867</c:v>
                </c:pt>
                <c:pt idx="2784">
                  <c:v>8770526.9331521131</c:v>
                </c:pt>
                <c:pt idx="2785">
                  <c:v>8773677.2661022395</c:v>
                </c:pt>
                <c:pt idx="2786">
                  <c:v>8776827.5990523659</c:v>
                </c:pt>
                <c:pt idx="2787">
                  <c:v>8779977.9320024922</c:v>
                </c:pt>
                <c:pt idx="2788">
                  <c:v>8783128.2649526186</c:v>
                </c:pt>
                <c:pt idx="2789">
                  <c:v>8786278.597902745</c:v>
                </c:pt>
                <c:pt idx="2790">
                  <c:v>8789428.9308528714</c:v>
                </c:pt>
                <c:pt idx="2791">
                  <c:v>8792579.2638029978</c:v>
                </c:pt>
                <c:pt idx="2792">
                  <c:v>8795729.596753126</c:v>
                </c:pt>
                <c:pt idx="2793">
                  <c:v>8798879.9297032524</c:v>
                </c:pt>
                <c:pt idx="2794">
                  <c:v>8802030.2626533788</c:v>
                </c:pt>
                <c:pt idx="2795">
                  <c:v>8805180.5956035051</c:v>
                </c:pt>
                <c:pt idx="2796">
                  <c:v>8808330.9285536315</c:v>
                </c:pt>
                <c:pt idx="2797">
                  <c:v>8811481.2615037579</c:v>
                </c:pt>
                <c:pt idx="2798">
                  <c:v>8814631.5944538843</c:v>
                </c:pt>
                <c:pt idx="2799">
                  <c:v>8817781.9274040107</c:v>
                </c:pt>
                <c:pt idx="2800">
                  <c:v>8820932.260354137</c:v>
                </c:pt>
                <c:pt idx="2801">
                  <c:v>8824082.5933042634</c:v>
                </c:pt>
                <c:pt idx="2802">
                  <c:v>8827232.9262543898</c:v>
                </c:pt>
                <c:pt idx="2803">
                  <c:v>8830383.2592045162</c:v>
                </c:pt>
                <c:pt idx="2804">
                  <c:v>8833533.5921546426</c:v>
                </c:pt>
                <c:pt idx="2805">
                  <c:v>8836683.9251047689</c:v>
                </c:pt>
                <c:pt idx="2806">
                  <c:v>8839834.2580548953</c:v>
                </c:pt>
                <c:pt idx="2807">
                  <c:v>8842984.5910050217</c:v>
                </c:pt>
                <c:pt idx="2808">
                  <c:v>8846134.9239551481</c:v>
                </c:pt>
                <c:pt idx="2809">
                  <c:v>8849285.2569052745</c:v>
                </c:pt>
                <c:pt idx="2810">
                  <c:v>8852435.5898554008</c:v>
                </c:pt>
                <c:pt idx="2811">
                  <c:v>8855585.9228055291</c:v>
                </c:pt>
                <c:pt idx="2812">
                  <c:v>8858736.2557556555</c:v>
                </c:pt>
                <c:pt idx="2813">
                  <c:v>8861886.5887057818</c:v>
                </c:pt>
                <c:pt idx="2814">
                  <c:v>8865036.9216559082</c:v>
                </c:pt>
                <c:pt idx="2815">
                  <c:v>8868187.2546060346</c:v>
                </c:pt>
                <c:pt idx="2816">
                  <c:v>8871337.587556161</c:v>
                </c:pt>
                <c:pt idx="2817">
                  <c:v>8874487.9205062874</c:v>
                </c:pt>
                <c:pt idx="2818">
                  <c:v>8877638.2534564137</c:v>
                </c:pt>
                <c:pt idx="2819">
                  <c:v>8880788.5864065401</c:v>
                </c:pt>
                <c:pt idx="2820">
                  <c:v>8883938.9193566665</c:v>
                </c:pt>
                <c:pt idx="2821">
                  <c:v>8887089.2523067929</c:v>
                </c:pt>
                <c:pt idx="2822">
                  <c:v>8890239.5852569193</c:v>
                </c:pt>
                <c:pt idx="2823">
                  <c:v>8893389.9182070456</c:v>
                </c:pt>
                <c:pt idx="2824">
                  <c:v>8896540.251157172</c:v>
                </c:pt>
                <c:pt idx="2825">
                  <c:v>8899690.5841072984</c:v>
                </c:pt>
                <c:pt idx="2826">
                  <c:v>8902840.9170574248</c:v>
                </c:pt>
                <c:pt idx="2827">
                  <c:v>8905991.2500075512</c:v>
                </c:pt>
                <c:pt idx="2828">
                  <c:v>8909141.5829576775</c:v>
                </c:pt>
                <c:pt idx="2829">
                  <c:v>8912291.9159078039</c:v>
                </c:pt>
                <c:pt idx="2830">
                  <c:v>8915442.2488579322</c:v>
                </c:pt>
                <c:pt idx="2831">
                  <c:v>8918592.5818080585</c:v>
                </c:pt>
                <c:pt idx="2832">
                  <c:v>8921742.9147581849</c:v>
                </c:pt>
                <c:pt idx="2833">
                  <c:v>8924893.2477083113</c:v>
                </c:pt>
                <c:pt idx="2834">
                  <c:v>8928043.5806584377</c:v>
                </c:pt>
                <c:pt idx="2835">
                  <c:v>8931193.9136085641</c:v>
                </c:pt>
                <c:pt idx="2836">
                  <c:v>8934344.2465586904</c:v>
                </c:pt>
                <c:pt idx="2837">
                  <c:v>8937494.5795088168</c:v>
                </c:pt>
                <c:pt idx="2838">
                  <c:v>8940644.9124589432</c:v>
                </c:pt>
                <c:pt idx="2839">
                  <c:v>8943795.2454090696</c:v>
                </c:pt>
                <c:pt idx="2840">
                  <c:v>8946945.578359196</c:v>
                </c:pt>
                <c:pt idx="2841">
                  <c:v>8950095.9113093223</c:v>
                </c:pt>
                <c:pt idx="2842">
                  <c:v>8953246.2442594487</c:v>
                </c:pt>
                <c:pt idx="2843">
                  <c:v>8956396.5772095751</c:v>
                </c:pt>
                <c:pt idx="2844">
                  <c:v>8959546.9101597015</c:v>
                </c:pt>
                <c:pt idx="2845">
                  <c:v>8962697.2431098279</c:v>
                </c:pt>
                <c:pt idx="2846">
                  <c:v>8965847.5760599542</c:v>
                </c:pt>
                <c:pt idx="2847">
                  <c:v>8968997.9090100806</c:v>
                </c:pt>
                <c:pt idx="2848">
                  <c:v>8972148.241960207</c:v>
                </c:pt>
                <c:pt idx="2849">
                  <c:v>8975298.5749103352</c:v>
                </c:pt>
                <c:pt idx="2850">
                  <c:v>8978448.9078604616</c:v>
                </c:pt>
                <c:pt idx="2851">
                  <c:v>8981599.240810588</c:v>
                </c:pt>
                <c:pt idx="2852">
                  <c:v>8984749.5737607144</c:v>
                </c:pt>
                <c:pt idx="2853">
                  <c:v>8987899.9067108408</c:v>
                </c:pt>
                <c:pt idx="2854">
                  <c:v>8991050.2396609671</c:v>
                </c:pt>
                <c:pt idx="2855">
                  <c:v>8994200.5726110935</c:v>
                </c:pt>
                <c:pt idx="2856">
                  <c:v>8997350.9055612199</c:v>
                </c:pt>
                <c:pt idx="2857">
                  <c:v>9000501.2385113463</c:v>
                </c:pt>
                <c:pt idx="2858">
                  <c:v>9003651.5714614727</c:v>
                </c:pt>
                <c:pt idx="2859">
                  <c:v>9006801.904411599</c:v>
                </c:pt>
                <c:pt idx="2860">
                  <c:v>9009952.2373617254</c:v>
                </c:pt>
                <c:pt idx="2861">
                  <c:v>9013102.5703118518</c:v>
                </c:pt>
                <c:pt idx="2862">
                  <c:v>9016252.9032619782</c:v>
                </c:pt>
                <c:pt idx="2863">
                  <c:v>9019403.2362121046</c:v>
                </c:pt>
                <c:pt idx="2864">
                  <c:v>9022553.5691622309</c:v>
                </c:pt>
                <c:pt idx="2865">
                  <c:v>9025703.9021123573</c:v>
                </c:pt>
                <c:pt idx="2866">
                  <c:v>9028854.2350624837</c:v>
                </c:pt>
                <c:pt idx="2867">
                  <c:v>9032004.5680126101</c:v>
                </c:pt>
                <c:pt idx="2868">
                  <c:v>9035154.9009627383</c:v>
                </c:pt>
                <c:pt idx="2869">
                  <c:v>9038305.2339128647</c:v>
                </c:pt>
                <c:pt idx="2870">
                  <c:v>9041455.5668629911</c:v>
                </c:pt>
                <c:pt idx="2871">
                  <c:v>9044605.8998131175</c:v>
                </c:pt>
                <c:pt idx="2872">
                  <c:v>9047756.2327632438</c:v>
                </c:pt>
                <c:pt idx="2873">
                  <c:v>9050906.5657133702</c:v>
                </c:pt>
                <c:pt idx="2874">
                  <c:v>9054056.8986634966</c:v>
                </c:pt>
                <c:pt idx="2875">
                  <c:v>9057207.231613623</c:v>
                </c:pt>
                <c:pt idx="2876">
                  <c:v>9060357.5645637494</c:v>
                </c:pt>
                <c:pt idx="2877">
                  <c:v>9063507.8975138757</c:v>
                </c:pt>
                <c:pt idx="2878">
                  <c:v>9066658.2304640021</c:v>
                </c:pt>
                <c:pt idx="2879">
                  <c:v>9069808.5634141285</c:v>
                </c:pt>
                <c:pt idx="2880">
                  <c:v>9072958.8963642549</c:v>
                </c:pt>
                <c:pt idx="2881">
                  <c:v>9076109.2293143813</c:v>
                </c:pt>
                <c:pt idx="2882">
                  <c:v>9079259.5622645076</c:v>
                </c:pt>
                <c:pt idx="2883">
                  <c:v>9082409.895214634</c:v>
                </c:pt>
                <c:pt idx="2884">
                  <c:v>9085560.2281647604</c:v>
                </c:pt>
                <c:pt idx="2885">
                  <c:v>9088710.5611148868</c:v>
                </c:pt>
                <c:pt idx="2886">
                  <c:v>9091860.8940650132</c:v>
                </c:pt>
                <c:pt idx="2887">
                  <c:v>9095011.2270151414</c:v>
                </c:pt>
                <c:pt idx="2888">
                  <c:v>9098161.5599652678</c:v>
                </c:pt>
                <c:pt idx="2889">
                  <c:v>9101311.8929153942</c:v>
                </c:pt>
                <c:pt idx="2890">
                  <c:v>9104462.2258655205</c:v>
                </c:pt>
                <c:pt idx="2891">
                  <c:v>9107612.5588156469</c:v>
                </c:pt>
                <c:pt idx="2892">
                  <c:v>9110762.8917657733</c:v>
                </c:pt>
                <c:pt idx="2893">
                  <c:v>9113913.2247158997</c:v>
                </c:pt>
                <c:pt idx="2894">
                  <c:v>9117063.5576660261</c:v>
                </c:pt>
                <c:pt idx="2895">
                  <c:v>9120213.8906161524</c:v>
                </c:pt>
                <c:pt idx="2896">
                  <c:v>9123364.2235662788</c:v>
                </c:pt>
                <c:pt idx="2897">
                  <c:v>9126514.5565164052</c:v>
                </c:pt>
                <c:pt idx="2898">
                  <c:v>9129664.8894665316</c:v>
                </c:pt>
                <c:pt idx="2899">
                  <c:v>9132815.222416658</c:v>
                </c:pt>
                <c:pt idx="2900">
                  <c:v>9135965.5553667843</c:v>
                </c:pt>
                <c:pt idx="2901">
                  <c:v>9139115.8883169107</c:v>
                </c:pt>
                <c:pt idx="2902">
                  <c:v>9142266.2212670371</c:v>
                </c:pt>
                <c:pt idx="2903">
                  <c:v>9145416.5542171635</c:v>
                </c:pt>
                <c:pt idx="2904">
                  <c:v>9148566.8871672899</c:v>
                </c:pt>
                <c:pt idx="2905">
                  <c:v>9151717.2201174162</c:v>
                </c:pt>
                <c:pt idx="2906">
                  <c:v>9154867.5530675445</c:v>
                </c:pt>
                <c:pt idx="2907">
                  <c:v>9158017.8860176709</c:v>
                </c:pt>
                <c:pt idx="2908">
                  <c:v>9161168.2189677972</c:v>
                </c:pt>
                <c:pt idx="2909">
                  <c:v>9164318.5519179236</c:v>
                </c:pt>
                <c:pt idx="2910">
                  <c:v>9167468.88486805</c:v>
                </c:pt>
                <c:pt idx="2911">
                  <c:v>9170619.2178181764</c:v>
                </c:pt>
                <c:pt idx="2912">
                  <c:v>9173769.5507683028</c:v>
                </c:pt>
                <c:pt idx="2913">
                  <c:v>9176919.8837184291</c:v>
                </c:pt>
                <c:pt idx="2914">
                  <c:v>9180070.2166685555</c:v>
                </c:pt>
                <c:pt idx="2915">
                  <c:v>9183220.5496186819</c:v>
                </c:pt>
                <c:pt idx="2916">
                  <c:v>9186370.8825688083</c:v>
                </c:pt>
                <c:pt idx="2917">
                  <c:v>9189521.2155189347</c:v>
                </c:pt>
                <c:pt idx="2918">
                  <c:v>9192671.548469061</c:v>
                </c:pt>
                <c:pt idx="2919">
                  <c:v>9195821.8814191874</c:v>
                </c:pt>
                <c:pt idx="2920">
                  <c:v>9198972.2143693138</c:v>
                </c:pt>
                <c:pt idx="2921">
                  <c:v>9202122.5473194402</c:v>
                </c:pt>
                <c:pt idx="2922">
                  <c:v>9205272.8802695666</c:v>
                </c:pt>
                <c:pt idx="2923">
                  <c:v>9208423.2132196929</c:v>
                </c:pt>
                <c:pt idx="2924">
                  <c:v>9211573.5461698193</c:v>
                </c:pt>
                <c:pt idx="2925">
                  <c:v>9214723.8791199476</c:v>
                </c:pt>
                <c:pt idx="2926">
                  <c:v>9217874.2120700739</c:v>
                </c:pt>
                <c:pt idx="2927">
                  <c:v>9221024.5450202003</c:v>
                </c:pt>
                <c:pt idx="2928">
                  <c:v>9224174.8779703267</c:v>
                </c:pt>
                <c:pt idx="2929">
                  <c:v>9227325.2109204531</c:v>
                </c:pt>
                <c:pt idx="2930">
                  <c:v>9230475.5438705795</c:v>
                </c:pt>
                <c:pt idx="2931">
                  <c:v>9233625.8768207058</c:v>
                </c:pt>
                <c:pt idx="2932">
                  <c:v>9236776.2097708322</c:v>
                </c:pt>
                <c:pt idx="2933">
                  <c:v>9239926.5427209586</c:v>
                </c:pt>
                <c:pt idx="2934">
                  <c:v>9243076.875671085</c:v>
                </c:pt>
                <c:pt idx="2935">
                  <c:v>9246227.2086212113</c:v>
                </c:pt>
                <c:pt idx="2936">
                  <c:v>9249377.5415713377</c:v>
                </c:pt>
                <c:pt idx="2937">
                  <c:v>9252527.8745214641</c:v>
                </c:pt>
                <c:pt idx="2938">
                  <c:v>9255678.2074715905</c:v>
                </c:pt>
                <c:pt idx="2939">
                  <c:v>9258828.5404217169</c:v>
                </c:pt>
                <c:pt idx="2940">
                  <c:v>9261978.8733718432</c:v>
                </c:pt>
                <c:pt idx="2941">
                  <c:v>9265129.2063219696</c:v>
                </c:pt>
                <c:pt idx="2942">
                  <c:v>9268279.539272096</c:v>
                </c:pt>
                <c:pt idx="2943">
                  <c:v>9271429.8722222224</c:v>
                </c:pt>
                <c:pt idx="2944">
                  <c:v>9274580.2051723506</c:v>
                </c:pt>
                <c:pt idx="2945">
                  <c:v>9277730.538122477</c:v>
                </c:pt>
                <c:pt idx="2946">
                  <c:v>9280880.8710726034</c:v>
                </c:pt>
                <c:pt idx="2947">
                  <c:v>9284031.2040227298</c:v>
                </c:pt>
                <c:pt idx="2948">
                  <c:v>9287181.5369728561</c:v>
                </c:pt>
                <c:pt idx="2949">
                  <c:v>9290331.8699229825</c:v>
                </c:pt>
                <c:pt idx="2950">
                  <c:v>9293482.2028731089</c:v>
                </c:pt>
                <c:pt idx="2951">
                  <c:v>9296632.5358232353</c:v>
                </c:pt>
                <c:pt idx="2952">
                  <c:v>9299782.8687733617</c:v>
                </c:pt>
                <c:pt idx="2953">
                  <c:v>9302933.201723488</c:v>
                </c:pt>
                <c:pt idx="2954">
                  <c:v>9306083.5346736144</c:v>
                </c:pt>
                <c:pt idx="2955">
                  <c:v>9309233.8676237408</c:v>
                </c:pt>
                <c:pt idx="2956">
                  <c:v>9312384.2005738672</c:v>
                </c:pt>
                <c:pt idx="2957">
                  <c:v>9315534.5335239936</c:v>
                </c:pt>
                <c:pt idx="2958">
                  <c:v>9318684.8664741199</c:v>
                </c:pt>
                <c:pt idx="2959">
                  <c:v>9321835.1994242463</c:v>
                </c:pt>
                <c:pt idx="2960">
                  <c:v>9324985.5323743727</c:v>
                </c:pt>
                <c:pt idx="2961">
                  <c:v>9328135.8653244991</c:v>
                </c:pt>
                <c:pt idx="2962">
                  <c:v>9331286.1982746255</c:v>
                </c:pt>
                <c:pt idx="2963">
                  <c:v>9334436.5312247537</c:v>
                </c:pt>
                <c:pt idx="2964">
                  <c:v>9337586.8641748801</c:v>
                </c:pt>
                <c:pt idx="2965">
                  <c:v>9340737.1971250065</c:v>
                </c:pt>
                <c:pt idx="2966">
                  <c:v>9343887.5300751328</c:v>
                </c:pt>
                <c:pt idx="2967">
                  <c:v>9347037.8630252592</c:v>
                </c:pt>
                <c:pt idx="2968">
                  <c:v>9350188.1959753856</c:v>
                </c:pt>
                <c:pt idx="2969">
                  <c:v>9353338.528925512</c:v>
                </c:pt>
                <c:pt idx="2970">
                  <c:v>9356488.8618756384</c:v>
                </c:pt>
                <c:pt idx="2971">
                  <c:v>9359639.1948257647</c:v>
                </c:pt>
                <c:pt idx="2972">
                  <c:v>9362789.5277758911</c:v>
                </c:pt>
                <c:pt idx="2973">
                  <c:v>9365939.8607260175</c:v>
                </c:pt>
                <c:pt idx="2974">
                  <c:v>9369090.1936761439</c:v>
                </c:pt>
                <c:pt idx="2975">
                  <c:v>9372240.5266262703</c:v>
                </c:pt>
                <c:pt idx="2976">
                  <c:v>9375390.8595763966</c:v>
                </c:pt>
                <c:pt idx="2977">
                  <c:v>9378541.192526523</c:v>
                </c:pt>
                <c:pt idx="2978">
                  <c:v>9381691.5254766494</c:v>
                </c:pt>
                <c:pt idx="2979">
                  <c:v>9384841.8584267758</c:v>
                </c:pt>
                <c:pt idx="2980">
                  <c:v>9387992.1913769022</c:v>
                </c:pt>
                <c:pt idx="2981">
                  <c:v>9391142.5243270285</c:v>
                </c:pt>
                <c:pt idx="2982">
                  <c:v>9394292.8572771568</c:v>
                </c:pt>
                <c:pt idx="2983">
                  <c:v>9397443.1902272832</c:v>
                </c:pt>
                <c:pt idx="2984">
                  <c:v>9400593.5231774095</c:v>
                </c:pt>
                <c:pt idx="2985">
                  <c:v>9403743.8561275359</c:v>
                </c:pt>
                <c:pt idx="2986">
                  <c:v>9406894.1890776623</c:v>
                </c:pt>
                <c:pt idx="2987">
                  <c:v>9410044.5220277887</c:v>
                </c:pt>
                <c:pt idx="2988">
                  <c:v>9413194.8549779151</c:v>
                </c:pt>
                <c:pt idx="2989">
                  <c:v>9416345.1879280414</c:v>
                </c:pt>
                <c:pt idx="2990">
                  <c:v>9419495.5208781678</c:v>
                </c:pt>
                <c:pt idx="2991">
                  <c:v>9422645.8538282942</c:v>
                </c:pt>
                <c:pt idx="2992">
                  <c:v>9425796.1867784206</c:v>
                </c:pt>
                <c:pt idx="2993">
                  <c:v>9428946.519728547</c:v>
                </c:pt>
                <c:pt idx="2994">
                  <c:v>9432096.8526786733</c:v>
                </c:pt>
                <c:pt idx="2995">
                  <c:v>9435247.1856287997</c:v>
                </c:pt>
                <c:pt idx="2996">
                  <c:v>9438397.5185789261</c:v>
                </c:pt>
                <c:pt idx="2997">
                  <c:v>9441547.8515290525</c:v>
                </c:pt>
                <c:pt idx="2998">
                  <c:v>9444698.1844791789</c:v>
                </c:pt>
                <c:pt idx="2999">
                  <c:v>9447848.5174293052</c:v>
                </c:pt>
                <c:pt idx="3000">
                  <c:v>9450998.8503794316</c:v>
                </c:pt>
                <c:pt idx="3001">
                  <c:v>9454149.1833295599</c:v>
                </c:pt>
                <c:pt idx="3002">
                  <c:v>9457299.5162796862</c:v>
                </c:pt>
                <c:pt idx="3003">
                  <c:v>9460449.8492298126</c:v>
                </c:pt>
                <c:pt idx="3004">
                  <c:v>9463600.182179939</c:v>
                </c:pt>
                <c:pt idx="3005">
                  <c:v>9466750.5151300654</c:v>
                </c:pt>
                <c:pt idx="3006">
                  <c:v>9469900.8480801918</c:v>
                </c:pt>
                <c:pt idx="3007">
                  <c:v>9473051.1810303181</c:v>
                </c:pt>
                <c:pt idx="3008">
                  <c:v>9476201.5139804445</c:v>
                </c:pt>
                <c:pt idx="3009">
                  <c:v>9479351.8469305709</c:v>
                </c:pt>
                <c:pt idx="3010">
                  <c:v>9482502.1798806973</c:v>
                </c:pt>
                <c:pt idx="3011">
                  <c:v>9485652.5128308237</c:v>
                </c:pt>
                <c:pt idx="3012">
                  <c:v>9488802.84578095</c:v>
                </c:pt>
                <c:pt idx="3013">
                  <c:v>9491953.1787310764</c:v>
                </c:pt>
                <c:pt idx="3014">
                  <c:v>9495103.5116812028</c:v>
                </c:pt>
                <c:pt idx="3015">
                  <c:v>9498253.8446313292</c:v>
                </c:pt>
                <c:pt idx="3016">
                  <c:v>9501404.1775814556</c:v>
                </c:pt>
                <c:pt idx="3017">
                  <c:v>9504554.5105315819</c:v>
                </c:pt>
                <c:pt idx="3018">
                  <c:v>9507704.8434817083</c:v>
                </c:pt>
                <c:pt idx="3019">
                  <c:v>9510855.1764318347</c:v>
                </c:pt>
                <c:pt idx="3020">
                  <c:v>9514005.5093819629</c:v>
                </c:pt>
                <c:pt idx="3021">
                  <c:v>9517155.8423320893</c:v>
                </c:pt>
                <c:pt idx="3022">
                  <c:v>9520306.1752822157</c:v>
                </c:pt>
                <c:pt idx="3023">
                  <c:v>9523456.5082323421</c:v>
                </c:pt>
                <c:pt idx="3024">
                  <c:v>9526606.8411824685</c:v>
                </c:pt>
                <c:pt idx="3025">
                  <c:v>9529757.1741325948</c:v>
                </c:pt>
                <c:pt idx="3026">
                  <c:v>9532907.5070827212</c:v>
                </c:pt>
                <c:pt idx="3027">
                  <c:v>9536057.8400328476</c:v>
                </c:pt>
                <c:pt idx="3028">
                  <c:v>9539208.172982974</c:v>
                </c:pt>
                <c:pt idx="3029">
                  <c:v>9542358.5059331004</c:v>
                </c:pt>
                <c:pt idx="3030">
                  <c:v>9545508.8388832267</c:v>
                </c:pt>
                <c:pt idx="3031">
                  <c:v>9548659.1718333531</c:v>
                </c:pt>
                <c:pt idx="3032">
                  <c:v>9551809.5047834795</c:v>
                </c:pt>
                <c:pt idx="3033">
                  <c:v>9554959.8377336059</c:v>
                </c:pt>
                <c:pt idx="3034">
                  <c:v>9558110.1706837323</c:v>
                </c:pt>
                <c:pt idx="3035">
                  <c:v>9561260.5036338586</c:v>
                </c:pt>
                <c:pt idx="3036">
                  <c:v>9564410.836583985</c:v>
                </c:pt>
                <c:pt idx="3037">
                  <c:v>9567561.1695341114</c:v>
                </c:pt>
                <c:pt idx="3038">
                  <c:v>9570711.5024842378</c:v>
                </c:pt>
                <c:pt idx="3039">
                  <c:v>9573861.835434366</c:v>
                </c:pt>
                <c:pt idx="3040">
                  <c:v>9577012.1683844924</c:v>
                </c:pt>
                <c:pt idx="3041">
                  <c:v>9580162.5013346188</c:v>
                </c:pt>
                <c:pt idx="3042">
                  <c:v>9583312.8342847452</c:v>
                </c:pt>
                <c:pt idx="3043">
                  <c:v>9586463.1672348715</c:v>
                </c:pt>
                <c:pt idx="3044">
                  <c:v>9589613.5001849979</c:v>
                </c:pt>
                <c:pt idx="3045">
                  <c:v>9592763.8331351243</c:v>
                </c:pt>
                <c:pt idx="3046">
                  <c:v>9595914.1660852507</c:v>
                </c:pt>
                <c:pt idx="3047">
                  <c:v>9599064.4990353771</c:v>
                </c:pt>
                <c:pt idx="3048">
                  <c:v>9602214.8319855034</c:v>
                </c:pt>
                <c:pt idx="3049">
                  <c:v>9605365.1649356298</c:v>
                </c:pt>
                <c:pt idx="3050">
                  <c:v>9608515.4978857562</c:v>
                </c:pt>
                <c:pt idx="3051">
                  <c:v>9611665.8308358826</c:v>
                </c:pt>
                <c:pt idx="3052">
                  <c:v>9614816.163786009</c:v>
                </c:pt>
                <c:pt idx="3053">
                  <c:v>9617966.4967361353</c:v>
                </c:pt>
                <c:pt idx="3054">
                  <c:v>9621116.8296862617</c:v>
                </c:pt>
                <c:pt idx="3055">
                  <c:v>9624267.1626363881</c:v>
                </c:pt>
                <c:pt idx="3056">
                  <c:v>9627417.4955865145</c:v>
                </c:pt>
                <c:pt idx="3057">
                  <c:v>9630567.8285366409</c:v>
                </c:pt>
                <c:pt idx="3058">
                  <c:v>9633718.1614867691</c:v>
                </c:pt>
                <c:pt idx="3059">
                  <c:v>9636868.4944368955</c:v>
                </c:pt>
                <c:pt idx="3060">
                  <c:v>9640018.8273870219</c:v>
                </c:pt>
                <c:pt idx="3061">
                  <c:v>9643169.1603371482</c:v>
                </c:pt>
                <c:pt idx="3062">
                  <c:v>9646319.4932872746</c:v>
                </c:pt>
                <c:pt idx="3063">
                  <c:v>9649469.826237401</c:v>
                </c:pt>
                <c:pt idx="3064">
                  <c:v>9652620.1591875274</c:v>
                </c:pt>
                <c:pt idx="3065">
                  <c:v>9655770.4921376538</c:v>
                </c:pt>
                <c:pt idx="3066">
                  <c:v>9658920.8250877801</c:v>
                </c:pt>
                <c:pt idx="3067">
                  <c:v>9662071.1580379065</c:v>
                </c:pt>
                <c:pt idx="3068">
                  <c:v>9665221.4909880329</c:v>
                </c:pt>
                <c:pt idx="3069">
                  <c:v>9668371.8239381593</c:v>
                </c:pt>
                <c:pt idx="3070">
                  <c:v>9671522.1568882857</c:v>
                </c:pt>
                <c:pt idx="3071">
                  <c:v>9674672.489838412</c:v>
                </c:pt>
                <c:pt idx="3072">
                  <c:v>9677822.8227885384</c:v>
                </c:pt>
                <c:pt idx="3073">
                  <c:v>9680973.1557386648</c:v>
                </c:pt>
                <c:pt idx="3074">
                  <c:v>9684123.4886887912</c:v>
                </c:pt>
                <c:pt idx="3075">
                  <c:v>9687273.8216389176</c:v>
                </c:pt>
                <c:pt idx="3076">
                  <c:v>9690424.1545890439</c:v>
                </c:pt>
                <c:pt idx="3077">
                  <c:v>9693574.4875391722</c:v>
                </c:pt>
                <c:pt idx="3078">
                  <c:v>9696724.8204892986</c:v>
                </c:pt>
                <c:pt idx="3079">
                  <c:v>9699875.1534394249</c:v>
                </c:pt>
                <c:pt idx="3080">
                  <c:v>9703025.4863895513</c:v>
                </c:pt>
                <c:pt idx="3081">
                  <c:v>9706175.8193396777</c:v>
                </c:pt>
                <c:pt idx="3082">
                  <c:v>9709326.1522898041</c:v>
                </c:pt>
                <c:pt idx="3083">
                  <c:v>9712476.4852399305</c:v>
                </c:pt>
                <c:pt idx="3084">
                  <c:v>9715626.8181900568</c:v>
                </c:pt>
                <c:pt idx="3085">
                  <c:v>9718777.1511401832</c:v>
                </c:pt>
                <c:pt idx="3086">
                  <c:v>9721927.4840903096</c:v>
                </c:pt>
                <c:pt idx="3087">
                  <c:v>9725077.817040436</c:v>
                </c:pt>
                <c:pt idx="3088">
                  <c:v>9728228.1499905623</c:v>
                </c:pt>
                <c:pt idx="3089">
                  <c:v>9731378.4829406887</c:v>
                </c:pt>
                <c:pt idx="3090">
                  <c:v>9734528.8158908151</c:v>
                </c:pt>
                <c:pt idx="3091">
                  <c:v>9737679.1488409415</c:v>
                </c:pt>
                <c:pt idx="3092">
                  <c:v>9740829.4817910679</c:v>
                </c:pt>
                <c:pt idx="3093">
                  <c:v>9743979.8147411942</c:v>
                </c:pt>
                <c:pt idx="3094">
                  <c:v>9747130.1476913206</c:v>
                </c:pt>
                <c:pt idx="3095">
                  <c:v>9750280.480641447</c:v>
                </c:pt>
                <c:pt idx="3096">
                  <c:v>9753430.8135915753</c:v>
                </c:pt>
                <c:pt idx="3097">
                  <c:v>9756581.1465417016</c:v>
                </c:pt>
                <c:pt idx="3098">
                  <c:v>9759731.479491828</c:v>
                </c:pt>
                <c:pt idx="3099">
                  <c:v>9762881.8124419544</c:v>
                </c:pt>
                <c:pt idx="3100">
                  <c:v>9766032.1453920808</c:v>
                </c:pt>
                <c:pt idx="3101">
                  <c:v>9769182.4783422071</c:v>
                </c:pt>
                <c:pt idx="3102">
                  <c:v>9772332.8112923335</c:v>
                </c:pt>
                <c:pt idx="3103">
                  <c:v>9775483.1442424599</c:v>
                </c:pt>
                <c:pt idx="3104">
                  <c:v>9778633.4771925863</c:v>
                </c:pt>
                <c:pt idx="3105">
                  <c:v>9781783.8101427127</c:v>
                </c:pt>
                <c:pt idx="3106">
                  <c:v>9784934.143092839</c:v>
                </c:pt>
                <c:pt idx="3107">
                  <c:v>9788084.4760429654</c:v>
                </c:pt>
                <c:pt idx="3108">
                  <c:v>9791234.8089930918</c:v>
                </c:pt>
                <c:pt idx="3109">
                  <c:v>9794385.1419432182</c:v>
                </c:pt>
                <c:pt idx="3110">
                  <c:v>9797535.4748933446</c:v>
                </c:pt>
                <c:pt idx="3111">
                  <c:v>9800685.8078434709</c:v>
                </c:pt>
                <c:pt idx="3112">
                  <c:v>9803836.1407935973</c:v>
                </c:pt>
                <c:pt idx="3113">
                  <c:v>9806986.4737437237</c:v>
                </c:pt>
                <c:pt idx="3114">
                  <c:v>9810136.8066938501</c:v>
                </c:pt>
                <c:pt idx="3115">
                  <c:v>9813287.1396439783</c:v>
                </c:pt>
                <c:pt idx="3116">
                  <c:v>9816437.4725941047</c:v>
                </c:pt>
                <c:pt idx="3117">
                  <c:v>9819587.8055442311</c:v>
                </c:pt>
                <c:pt idx="3118">
                  <c:v>9822738.1384943575</c:v>
                </c:pt>
                <c:pt idx="3119">
                  <c:v>9825888.4714444838</c:v>
                </c:pt>
                <c:pt idx="3120">
                  <c:v>9829038.8043946102</c:v>
                </c:pt>
                <c:pt idx="3121">
                  <c:v>9832189.1373447366</c:v>
                </c:pt>
                <c:pt idx="3122">
                  <c:v>9835339.470294863</c:v>
                </c:pt>
                <c:pt idx="3123">
                  <c:v>9838489.8032449894</c:v>
                </c:pt>
                <c:pt idx="3124">
                  <c:v>9841640.1361951157</c:v>
                </c:pt>
                <c:pt idx="3125">
                  <c:v>9844790.4691452421</c:v>
                </c:pt>
                <c:pt idx="3126">
                  <c:v>9847940.8020953685</c:v>
                </c:pt>
                <c:pt idx="3127">
                  <c:v>9851091.1350454949</c:v>
                </c:pt>
                <c:pt idx="3128">
                  <c:v>9854241.4679956213</c:v>
                </c:pt>
                <c:pt idx="3129">
                  <c:v>9857391.8009457476</c:v>
                </c:pt>
                <c:pt idx="3130">
                  <c:v>9860542.133895874</c:v>
                </c:pt>
                <c:pt idx="3131">
                  <c:v>9863692.4668460004</c:v>
                </c:pt>
                <c:pt idx="3132">
                  <c:v>9866842.7997961268</c:v>
                </c:pt>
                <c:pt idx="3133">
                  <c:v>9869993.1327462532</c:v>
                </c:pt>
                <c:pt idx="3134">
                  <c:v>9873143.4656963814</c:v>
                </c:pt>
                <c:pt idx="3135">
                  <c:v>9876293.7986465078</c:v>
                </c:pt>
                <c:pt idx="3136">
                  <c:v>9879444.1315966342</c:v>
                </c:pt>
                <c:pt idx="3137">
                  <c:v>9882594.4645467605</c:v>
                </c:pt>
                <c:pt idx="3138">
                  <c:v>9885744.7974968869</c:v>
                </c:pt>
                <c:pt idx="3139">
                  <c:v>9888895.1304470133</c:v>
                </c:pt>
                <c:pt idx="3140">
                  <c:v>9892045.4633971397</c:v>
                </c:pt>
                <c:pt idx="3141">
                  <c:v>9895195.7963472661</c:v>
                </c:pt>
                <c:pt idx="3142">
                  <c:v>9898346.1292973924</c:v>
                </c:pt>
                <c:pt idx="3143">
                  <c:v>9901496.4622475188</c:v>
                </c:pt>
                <c:pt idx="3144">
                  <c:v>9904646.7951976452</c:v>
                </c:pt>
                <c:pt idx="3145">
                  <c:v>9907797.1281477716</c:v>
                </c:pt>
                <c:pt idx="3146">
                  <c:v>9910947.461097898</c:v>
                </c:pt>
                <c:pt idx="3147">
                  <c:v>9914097.7940480243</c:v>
                </c:pt>
                <c:pt idx="3148">
                  <c:v>9917248.1269981507</c:v>
                </c:pt>
                <c:pt idx="3149">
                  <c:v>9920398.4599482771</c:v>
                </c:pt>
                <c:pt idx="3150">
                  <c:v>9923548.7928984035</c:v>
                </c:pt>
                <c:pt idx="3151">
                  <c:v>9926699.1258485299</c:v>
                </c:pt>
                <c:pt idx="3152">
                  <c:v>9929849.4587986562</c:v>
                </c:pt>
                <c:pt idx="3153">
                  <c:v>9932999.7917487845</c:v>
                </c:pt>
                <c:pt idx="3154">
                  <c:v>9936150.1246989109</c:v>
                </c:pt>
                <c:pt idx="3155">
                  <c:v>9939300.4576490372</c:v>
                </c:pt>
                <c:pt idx="3156">
                  <c:v>9942450.7905991636</c:v>
                </c:pt>
                <c:pt idx="3157">
                  <c:v>9945601.12354929</c:v>
                </c:pt>
                <c:pt idx="3158">
                  <c:v>9948751.4564994164</c:v>
                </c:pt>
                <c:pt idx="3159">
                  <c:v>9951901.7894495428</c:v>
                </c:pt>
                <c:pt idx="3160">
                  <c:v>9955052.1223996691</c:v>
                </c:pt>
                <c:pt idx="3161">
                  <c:v>9958202.4553497955</c:v>
                </c:pt>
                <c:pt idx="3162">
                  <c:v>9961352.7882999219</c:v>
                </c:pt>
                <c:pt idx="3163">
                  <c:v>9964503.1212500483</c:v>
                </c:pt>
                <c:pt idx="3164">
                  <c:v>9967653.4542001747</c:v>
                </c:pt>
                <c:pt idx="3165">
                  <c:v>9970803.787150301</c:v>
                </c:pt>
                <c:pt idx="3166">
                  <c:v>9973954.1201004274</c:v>
                </c:pt>
                <c:pt idx="3167">
                  <c:v>9977104.4530505538</c:v>
                </c:pt>
                <c:pt idx="3168">
                  <c:v>9980254.7860006802</c:v>
                </c:pt>
                <c:pt idx="3169">
                  <c:v>9983405.1189508066</c:v>
                </c:pt>
                <c:pt idx="3170">
                  <c:v>9986555.4519009329</c:v>
                </c:pt>
                <c:pt idx="3171">
                  <c:v>9989705.7848510593</c:v>
                </c:pt>
                <c:pt idx="3172">
                  <c:v>9992856.1178011857</c:v>
                </c:pt>
                <c:pt idx="3173">
                  <c:v>9996006.4507513139</c:v>
                </c:pt>
                <c:pt idx="3174">
                  <c:v>9999156.7837014403</c:v>
                </c:pt>
                <c:pt idx="3175">
                  <c:v>10002307.116651567</c:v>
                </c:pt>
                <c:pt idx="3176">
                  <c:v>10005457.449601693</c:v>
                </c:pt>
                <c:pt idx="3177">
                  <c:v>10008607.782551819</c:v>
                </c:pt>
                <c:pt idx="3178">
                  <c:v>10011758.115501946</c:v>
                </c:pt>
                <c:pt idx="3179">
                  <c:v>10014908.448452072</c:v>
                </c:pt>
                <c:pt idx="3180">
                  <c:v>10018058.781402199</c:v>
                </c:pt>
                <c:pt idx="3181">
                  <c:v>10021209.114352325</c:v>
                </c:pt>
                <c:pt idx="3182">
                  <c:v>10024359.447302451</c:v>
                </c:pt>
                <c:pt idx="3183">
                  <c:v>10027509.780252578</c:v>
                </c:pt>
                <c:pt idx="3184">
                  <c:v>10030660.113202704</c:v>
                </c:pt>
                <c:pt idx="3185">
                  <c:v>10033810.44615283</c:v>
                </c:pt>
                <c:pt idx="3186">
                  <c:v>10036960.779102957</c:v>
                </c:pt>
                <c:pt idx="3187">
                  <c:v>10040111.112053083</c:v>
                </c:pt>
                <c:pt idx="3188">
                  <c:v>10043261.44500321</c:v>
                </c:pt>
                <c:pt idx="3189">
                  <c:v>10046411.777953336</c:v>
                </c:pt>
                <c:pt idx="3190">
                  <c:v>10049562.110903462</c:v>
                </c:pt>
                <c:pt idx="3191">
                  <c:v>10052712.443853589</c:v>
                </c:pt>
                <c:pt idx="3192">
                  <c:v>10055862.776803717</c:v>
                </c:pt>
                <c:pt idx="3193">
                  <c:v>10059013.109753843</c:v>
                </c:pt>
                <c:pt idx="3194">
                  <c:v>10062163.44270397</c:v>
                </c:pt>
                <c:pt idx="3195">
                  <c:v>10065313.775654096</c:v>
                </c:pt>
                <c:pt idx="3196">
                  <c:v>10068464.108604223</c:v>
                </c:pt>
                <c:pt idx="3197">
                  <c:v>10071614.441554349</c:v>
                </c:pt>
                <c:pt idx="3198">
                  <c:v>10074764.774504475</c:v>
                </c:pt>
                <c:pt idx="3199">
                  <c:v>10077915.107454602</c:v>
                </c:pt>
                <c:pt idx="3200">
                  <c:v>10081065.440404728</c:v>
                </c:pt>
                <c:pt idx="3201">
                  <c:v>10084215.773354854</c:v>
                </c:pt>
                <c:pt idx="3202">
                  <c:v>10087366.106304981</c:v>
                </c:pt>
                <c:pt idx="3203">
                  <c:v>10090516.439255107</c:v>
                </c:pt>
                <c:pt idx="3204">
                  <c:v>10093666.772205234</c:v>
                </c:pt>
                <c:pt idx="3205">
                  <c:v>10096817.10515536</c:v>
                </c:pt>
                <c:pt idx="3206">
                  <c:v>10099967.438105486</c:v>
                </c:pt>
                <c:pt idx="3207">
                  <c:v>10103117.771055613</c:v>
                </c:pt>
                <c:pt idx="3208">
                  <c:v>10106268.104005739</c:v>
                </c:pt>
                <c:pt idx="3209">
                  <c:v>10109418.436955865</c:v>
                </c:pt>
                <c:pt idx="3210">
                  <c:v>10112568.769905992</c:v>
                </c:pt>
                <c:pt idx="3211">
                  <c:v>10115719.10285612</c:v>
                </c:pt>
                <c:pt idx="3212">
                  <c:v>10118869.435806246</c:v>
                </c:pt>
                <c:pt idx="3213">
                  <c:v>10122019.768756373</c:v>
                </c:pt>
                <c:pt idx="3214">
                  <c:v>10125170.101706499</c:v>
                </c:pt>
                <c:pt idx="3215">
                  <c:v>10128320.434656626</c:v>
                </c:pt>
                <c:pt idx="3216">
                  <c:v>10131470.767606752</c:v>
                </c:pt>
                <c:pt idx="3217">
                  <c:v>10134621.100556878</c:v>
                </c:pt>
                <c:pt idx="3218">
                  <c:v>10137771.433507005</c:v>
                </c:pt>
                <c:pt idx="3219">
                  <c:v>10140921.766457131</c:v>
                </c:pt>
                <c:pt idx="3220">
                  <c:v>10144072.099407258</c:v>
                </c:pt>
                <c:pt idx="3221">
                  <c:v>10147222.432357384</c:v>
                </c:pt>
                <c:pt idx="3222">
                  <c:v>10150372.76530751</c:v>
                </c:pt>
                <c:pt idx="3223">
                  <c:v>10153523.098257637</c:v>
                </c:pt>
                <c:pt idx="3224">
                  <c:v>10156673.431207763</c:v>
                </c:pt>
                <c:pt idx="3225">
                  <c:v>10159823.764157889</c:v>
                </c:pt>
                <c:pt idx="3226">
                  <c:v>10162974.097108016</c:v>
                </c:pt>
                <c:pt idx="3227">
                  <c:v>10166124.430058142</c:v>
                </c:pt>
                <c:pt idx="3228">
                  <c:v>10169274.763008269</c:v>
                </c:pt>
                <c:pt idx="3229">
                  <c:v>10172425.095958395</c:v>
                </c:pt>
                <c:pt idx="3230">
                  <c:v>10175575.428908523</c:v>
                </c:pt>
                <c:pt idx="3231">
                  <c:v>10178725.76185865</c:v>
                </c:pt>
                <c:pt idx="3232">
                  <c:v>10181876.094808776</c:v>
                </c:pt>
                <c:pt idx="3233">
                  <c:v>10185026.427758902</c:v>
                </c:pt>
                <c:pt idx="3234">
                  <c:v>10188176.760709029</c:v>
                </c:pt>
                <c:pt idx="3235">
                  <c:v>10191327.093659155</c:v>
                </c:pt>
                <c:pt idx="3236">
                  <c:v>10194477.426609281</c:v>
                </c:pt>
                <c:pt idx="3237">
                  <c:v>10197627.759559408</c:v>
                </c:pt>
                <c:pt idx="3238">
                  <c:v>10200778.092509534</c:v>
                </c:pt>
                <c:pt idx="3239">
                  <c:v>10203928.425459661</c:v>
                </c:pt>
                <c:pt idx="3240">
                  <c:v>10207078.758409787</c:v>
                </c:pt>
                <c:pt idx="3241">
                  <c:v>10210229.091359913</c:v>
                </c:pt>
                <c:pt idx="3242">
                  <c:v>10213379.42431004</c:v>
                </c:pt>
                <c:pt idx="3243">
                  <c:v>10216529.757260166</c:v>
                </c:pt>
                <c:pt idx="3244">
                  <c:v>10219680.090210292</c:v>
                </c:pt>
                <c:pt idx="3245">
                  <c:v>10222830.423160419</c:v>
                </c:pt>
                <c:pt idx="3246">
                  <c:v>10225980.756110545</c:v>
                </c:pt>
                <c:pt idx="3247">
                  <c:v>10229131.089060672</c:v>
                </c:pt>
                <c:pt idx="3248">
                  <c:v>10232281.422010798</c:v>
                </c:pt>
                <c:pt idx="3249">
                  <c:v>10235431.754960926</c:v>
                </c:pt>
                <c:pt idx="3250">
                  <c:v>10238582.087911053</c:v>
                </c:pt>
                <c:pt idx="3251">
                  <c:v>10241732.420861179</c:v>
                </c:pt>
                <c:pt idx="3252">
                  <c:v>10244882.753811305</c:v>
                </c:pt>
                <c:pt idx="3253">
                  <c:v>10248033.086761432</c:v>
                </c:pt>
                <c:pt idx="3254">
                  <c:v>10251183.419711558</c:v>
                </c:pt>
                <c:pt idx="3255">
                  <c:v>10254333.752661685</c:v>
                </c:pt>
                <c:pt idx="3256">
                  <c:v>10257484.085611811</c:v>
                </c:pt>
                <c:pt idx="3257">
                  <c:v>10260634.418561937</c:v>
                </c:pt>
                <c:pt idx="3258">
                  <c:v>10263784.751512064</c:v>
                </c:pt>
                <c:pt idx="3259">
                  <c:v>10266935.08446219</c:v>
                </c:pt>
                <c:pt idx="3260">
                  <c:v>10270085.417412316</c:v>
                </c:pt>
                <c:pt idx="3261">
                  <c:v>10273235.750362443</c:v>
                </c:pt>
                <c:pt idx="3262">
                  <c:v>10276386.083312569</c:v>
                </c:pt>
                <c:pt idx="3263">
                  <c:v>10279536.416262696</c:v>
                </c:pt>
                <c:pt idx="3264">
                  <c:v>10282686.749212822</c:v>
                </c:pt>
                <c:pt idx="3265">
                  <c:v>10285837.082162948</c:v>
                </c:pt>
                <c:pt idx="3266">
                  <c:v>10288987.415113075</c:v>
                </c:pt>
                <c:pt idx="3267">
                  <c:v>10292137.748063201</c:v>
                </c:pt>
                <c:pt idx="3268">
                  <c:v>10295288.081013329</c:v>
                </c:pt>
                <c:pt idx="3269">
                  <c:v>10298438.413963456</c:v>
                </c:pt>
                <c:pt idx="3270">
                  <c:v>10301588.746913582</c:v>
                </c:pt>
                <c:pt idx="3271">
                  <c:v>10304739.079863708</c:v>
                </c:pt>
                <c:pt idx="3272">
                  <c:v>10307889.412813835</c:v>
                </c:pt>
                <c:pt idx="3273">
                  <c:v>10311039.745763961</c:v>
                </c:pt>
                <c:pt idx="3274">
                  <c:v>10314190.078714088</c:v>
                </c:pt>
                <c:pt idx="3275">
                  <c:v>10317340.411664214</c:v>
                </c:pt>
                <c:pt idx="3276">
                  <c:v>10320490.74461434</c:v>
                </c:pt>
                <c:pt idx="3277">
                  <c:v>10323641.077564467</c:v>
                </c:pt>
                <c:pt idx="3278">
                  <c:v>10326791.410514593</c:v>
                </c:pt>
                <c:pt idx="3279">
                  <c:v>10329941.74346472</c:v>
                </c:pt>
                <c:pt idx="3280">
                  <c:v>10333092.076414846</c:v>
                </c:pt>
                <c:pt idx="3281">
                  <c:v>10336242.409364972</c:v>
                </c:pt>
                <c:pt idx="3282">
                  <c:v>10339392.742315099</c:v>
                </c:pt>
                <c:pt idx="3283">
                  <c:v>10342543.075265225</c:v>
                </c:pt>
                <c:pt idx="3284">
                  <c:v>10345693.408215351</c:v>
                </c:pt>
                <c:pt idx="3285">
                  <c:v>10348843.741165478</c:v>
                </c:pt>
                <c:pt idx="3286">
                  <c:v>10351994.074115604</c:v>
                </c:pt>
                <c:pt idx="3287">
                  <c:v>10355144.407065732</c:v>
                </c:pt>
                <c:pt idx="3288">
                  <c:v>10358294.740015859</c:v>
                </c:pt>
                <c:pt idx="3289">
                  <c:v>10361445.072965985</c:v>
                </c:pt>
                <c:pt idx="3290">
                  <c:v>10364595.405916112</c:v>
                </c:pt>
                <c:pt idx="3291">
                  <c:v>10367745.738866238</c:v>
                </c:pt>
                <c:pt idx="3292">
                  <c:v>10370896.071816364</c:v>
                </c:pt>
                <c:pt idx="3293">
                  <c:v>10374046.404766491</c:v>
                </c:pt>
                <c:pt idx="3294">
                  <c:v>10377196.737716617</c:v>
                </c:pt>
                <c:pt idx="3295">
                  <c:v>10380347.070666743</c:v>
                </c:pt>
                <c:pt idx="3296">
                  <c:v>10383497.40361687</c:v>
                </c:pt>
                <c:pt idx="3297">
                  <c:v>10386647.736566996</c:v>
                </c:pt>
                <c:pt idx="3298">
                  <c:v>10389798.069517123</c:v>
                </c:pt>
                <c:pt idx="3299">
                  <c:v>10392948.402467249</c:v>
                </c:pt>
                <c:pt idx="3300">
                  <c:v>10396098.735417375</c:v>
                </c:pt>
                <c:pt idx="3301">
                  <c:v>10399249.068367502</c:v>
                </c:pt>
                <c:pt idx="3302">
                  <c:v>10402399.401317628</c:v>
                </c:pt>
                <c:pt idx="3303">
                  <c:v>10405549.734267754</c:v>
                </c:pt>
                <c:pt idx="3304">
                  <c:v>10408700.067217881</c:v>
                </c:pt>
                <c:pt idx="3305">
                  <c:v>10411850.400168007</c:v>
                </c:pt>
                <c:pt idx="3306">
                  <c:v>10415000.733118135</c:v>
                </c:pt>
                <c:pt idx="3307">
                  <c:v>10418151.066068262</c:v>
                </c:pt>
                <c:pt idx="3308">
                  <c:v>10421301.399018388</c:v>
                </c:pt>
                <c:pt idx="3309">
                  <c:v>10424451.731968515</c:v>
                </c:pt>
                <c:pt idx="3310">
                  <c:v>10427602.064918641</c:v>
                </c:pt>
                <c:pt idx="3311">
                  <c:v>10430752.397868767</c:v>
                </c:pt>
                <c:pt idx="3312">
                  <c:v>10433902.730818894</c:v>
                </c:pt>
                <c:pt idx="3313">
                  <c:v>10437053.06376902</c:v>
                </c:pt>
                <c:pt idx="3314">
                  <c:v>10440203.396719147</c:v>
                </c:pt>
                <c:pt idx="3315">
                  <c:v>10443353.729669273</c:v>
                </c:pt>
                <c:pt idx="3316">
                  <c:v>10446504.062619399</c:v>
                </c:pt>
                <c:pt idx="3317">
                  <c:v>10449654.395569526</c:v>
                </c:pt>
                <c:pt idx="3318">
                  <c:v>10452804.728519652</c:v>
                </c:pt>
                <c:pt idx="3319">
                  <c:v>10455955.061469778</c:v>
                </c:pt>
                <c:pt idx="3320">
                  <c:v>10459105.394419905</c:v>
                </c:pt>
                <c:pt idx="3321">
                  <c:v>10462255.727370031</c:v>
                </c:pt>
                <c:pt idx="3322">
                  <c:v>10465406.060320158</c:v>
                </c:pt>
                <c:pt idx="3323">
                  <c:v>10468556.393270284</c:v>
                </c:pt>
                <c:pt idx="3324">
                  <c:v>10471706.72622041</c:v>
                </c:pt>
                <c:pt idx="3325">
                  <c:v>10474857.059170539</c:v>
                </c:pt>
                <c:pt idx="3326">
                  <c:v>10478007.392120665</c:v>
                </c:pt>
                <c:pt idx="3327">
                  <c:v>10481157.725070791</c:v>
                </c:pt>
                <c:pt idx="3328">
                  <c:v>10484308.058020918</c:v>
                </c:pt>
                <c:pt idx="3329">
                  <c:v>10487458.390971044</c:v>
                </c:pt>
                <c:pt idx="3330">
                  <c:v>10490608.72392117</c:v>
                </c:pt>
                <c:pt idx="3331">
                  <c:v>10493759.056871297</c:v>
                </c:pt>
                <c:pt idx="3332">
                  <c:v>10496909.389821423</c:v>
                </c:pt>
                <c:pt idx="3333">
                  <c:v>10500059.72277155</c:v>
                </c:pt>
                <c:pt idx="3334">
                  <c:v>10503210.055721676</c:v>
                </c:pt>
                <c:pt idx="3335">
                  <c:v>10506360.388671802</c:v>
                </c:pt>
                <c:pt idx="3336">
                  <c:v>10509510.721621929</c:v>
                </c:pt>
                <c:pt idx="3337">
                  <c:v>10512661.054572055</c:v>
                </c:pt>
                <c:pt idx="3338">
                  <c:v>10515811.387522181</c:v>
                </c:pt>
                <c:pt idx="3339">
                  <c:v>10518961.720472308</c:v>
                </c:pt>
                <c:pt idx="3340">
                  <c:v>10522112.053422434</c:v>
                </c:pt>
                <c:pt idx="3341">
                  <c:v>10525262.386372561</c:v>
                </c:pt>
                <c:pt idx="3342">
                  <c:v>10528412.719322687</c:v>
                </c:pt>
                <c:pt idx="3343">
                  <c:v>10531563.052272813</c:v>
                </c:pt>
                <c:pt idx="3344">
                  <c:v>10534713.385222942</c:v>
                </c:pt>
                <c:pt idx="3345">
                  <c:v>10537863.718173068</c:v>
                </c:pt>
                <c:pt idx="3346">
                  <c:v>10541014.051123194</c:v>
                </c:pt>
                <c:pt idx="3347">
                  <c:v>10544164.384073321</c:v>
                </c:pt>
                <c:pt idx="3348">
                  <c:v>10547314.717023447</c:v>
                </c:pt>
                <c:pt idx="3349">
                  <c:v>10550465.049973574</c:v>
                </c:pt>
                <c:pt idx="3350">
                  <c:v>10553615.3829237</c:v>
                </c:pt>
                <c:pt idx="3351">
                  <c:v>10556765.715873826</c:v>
                </c:pt>
                <c:pt idx="3352">
                  <c:v>10559916.048823953</c:v>
                </c:pt>
                <c:pt idx="3353">
                  <c:v>10563066.381774079</c:v>
                </c:pt>
                <c:pt idx="3354">
                  <c:v>10566216.714724205</c:v>
                </c:pt>
                <c:pt idx="3355">
                  <c:v>10569367.047674332</c:v>
                </c:pt>
                <c:pt idx="3356">
                  <c:v>10572517.380624458</c:v>
                </c:pt>
                <c:pt idx="3357">
                  <c:v>10575667.713574585</c:v>
                </c:pt>
                <c:pt idx="3358">
                  <c:v>10578818.046524711</c:v>
                </c:pt>
                <c:pt idx="3359">
                  <c:v>10581968.379474837</c:v>
                </c:pt>
                <c:pt idx="3360">
                  <c:v>10585118.712424964</c:v>
                </c:pt>
                <c:pt idx="3361">
                  <c:v>10588269.04537509</c:v>
                </c:pt>
                <c:pt idx="3362">
                  <c:v>10591419.378325216</c:v>
                </c:pt>
                <c:pt idx="3363">
                  <c:v>10594569.711275345</c:v>
                </c:pt>
                <c:pt idx="3364">
                  <c:v>10597720.044225471</c:v>
                </c:pt>
                <c:pt idx="3365">
                  <c:v>10600870.377175597</c:v>
                </c:pt>
                <c:pt idx="3366">
                  <c:v>10604020.710125724</c:v>
                </c:pt>
                <c:pt idx="3367">
                  <c:v>10607171.04307585</c:v>
                </c:pt>
                <c:pt idx="3368">
                  <c:v>10610321.376025977</c:v>
                </c:pt>
                <c:pt idx="3369">
                  <c:v>10613471.708976103</c:v>
                </c:pt>
                <c:pt idx="3370">
                  <c:v>10616622.041926229</c:v>
                </c:pt>
                <c:pt idx="3371">
                  <c:v>10619772.374876356</c:v>
                </c:pt>
                <c:pt idx="3372">
                  <c:v>10622922.707826482</c:v>
                </c:pt>
                <c:pt idx="3373">
                  <c:v>10626073.040776609</c:v>
                </c:pt>
                <c:pt idx="3374">
                  <c:v>10629223.373726735</c:v>
                </c:pt>
                <c:pt idx="3375">
                  <c:v>10632373.706676861</c:v>
                </c:pt>
                <c:pt idx="3376">
                  <c:v>10635524.039626988</c:v>
                </c:pt>
                <c:pt idx="3377">
                  <c:v>10638674.372577114</c:v>
                </c:pt>
                <c:pt idx="3378">
                  <c:v>10641824.70552724</c:v>
                </c:pt>
                <c:pt idx="3379">
                  <c:v>10644975.038477367</c:v>
                </c:pt>
                <c:pt idx="3380">
                  <c:v>10648125.371427493</c:v>
                </c:pt>
                <c:pt idx="3381">
                  <c:v>10651275.70437762</c:v>
                </c:pt>
                <c:pt idx="3382">
                  <c:v>10654426.037327748</c:v>
                </c:pt>
                <c:pt idx="3383">
                  <c:v>10657576.370277874</c:v>
                </c:pt>
                <c:pt idx="3384">
                  <c:v>10660726.703228001</c:v>
                </c:pt>
                <c:pt idx="3385">
                  <c:v>10663877.036178127</c:v>
                </c:pt>
                <c:pt idx="3386">
                  <c:v>10667027.369128253</c:v>
                </c:pt>
                <c:pt idx="3387">
                  <c:v>10670177.70207838</c:v>
                </c:pt>
                <c:pt idx="3388">
                  <c:v>10673328.035028506</c:v>
                </c:pt>
                <c:pt idx="3389">
                  <c:v>10676478.367978632</c:v>
                </c:pt>
                <c:pt idx="3390">
                  <c:v>10679628.700928759</c:v>
                </c:pt>
                <c:pt idx="3391">
                  <c:v>10682779.033878885</c:v>
                </c:pt>
                <c:pt idx="3392">
                  <c:v>10685929.366829012</c:v>
                </c:pt>
                <c:pt idx="3393">
                  <c:v>10689079.699779138</c:v>
                </c:pt>
                <c:pt idx="3394">
                  <c:v>10692230.032729264</c:v>
                </c:pt>
                <c:pt idx="3395">
                  <c:v>10695380.365679391</c:v>
                </c:pt>
                <c:pt idx="3396">
                  <c:v>10698530.698629517</c:v>
                </c:pt>
                <c:pt idx="3397">
                  <c:v>10701681.031579643</c:v>
                </c:pt>
                <c:pt idx="3398">
                  <c:v>10704831.36452977</c:v>
                </c:pt>
                <c:pt idx="3399">
                  <c:v>10707981.697479896</c:v>
                </c:pt>
                <c:pt idx="3400">
                  <c:v>10711132.030430023</c:v>
                </c:pt>
                <c:pt idx="3401">
                  <c:v>10714282.363380151</c:v>
                </c:pt>
                <c:pt idx="3402">
                  <c:v>10717432.696330277</c:v>
                </c:pt>
                <c:pt idx="3403">
                  <c:v>10720583.029280404</c:v>
                </c:pt>
                <c:pt idx="3404">
                  <c:v>10723733.36223053</c:v>
                </c:pt>
                <c:pt idx="3405">
                  <c:v>10726883.695180656</c:v>
                </c:pt>
                <c:pt idx="3406">
                  <c:v>10730034.028130783</c:v>
                </c:pt>
                <c:pt idx="3407">
                  <c:v>10733184.361080909</c:v>
                </c:pt>
                <c:pt idx="3408">
                  <c:v>10736334.694031036</c:v>
                </c:pt>
                <c:pt idx="3409">
                  <c:v>10739485.026981162</c:v>
                </c:pt>
                <c:pt idx="3410">
                  <c:v>10742635.359931288</c:v>
                </c:pt>
                <c:pt idx="3411">
                  <c:v>10745785.692881415</c:v>
                </c:pt>
                <c:pt idx="3412">
                  <c:v>10748936.025831541</c:v>
                </c:pt>
                <c:pt idx="3413">
                  <c:v>10752086.358781667</c:v>
                </c:pt>
                <c:pt idx="3414">
                  <c:v>10755236.691731794</c:v>
                </c:pt>
                <c:pt idx="3415">
                  <c:v>10758387.02468192</c:v>
                </c:pt>
                <c:pt idx="3416">
                  <c:v>10761537.357632047</c:v>
                </c:pt>
                <c:pt idx="3417">
                  <c:v>10764687.690582173</c:v>
                </c:pt>
                <c:pt idx="3418">
                  <c:v>10767838.023532299</c:v>
                </c:pt>
                <c:pt idx="3419">
                  <c:v>10770988.356482426</c:v>
                </c:pt>
                <c:pt idx="3420">
                  <c:v>10774138.689432554</c:v>
                </c:pt>
                <c:pt idx="3421">
                  <c:v>10777289.02238268</c:v>
                </c:pt>
                <c:pt idx="3422">
                  <c:v>10780439.355332807</c:v>
                </c:pt>
                <c:pt idx="3423">
                  <c:v>10783589.688282933</c:v>
                </c:pt>
                <c:pt idx="3424">
                  <c:v>10786740.021233059</c:v>
                </c:pt>
                <c:pt idx="3425">
                  <c:v>10789890.354183186</c:v>
                </c:pt>
                <c:pt idx="3426">
                  <c:v>10793040.687133312</c:v>
                </c:pt>
                <c:pt idx="3427">
                  <c:v>10796191.020083439</c:v>
                </c:pt>
                <c:pt idx="3428">
                  <c:v>10799341.353033565</c:v>
                </c:pt>
                <c:pt idx="3429">
                  <c:v>10802491.685983691</c:v>
                </c:pt>
                <c:pt idx="3430">
                  <c:v>10805642.018933818</c:v>
                </c:pt>
                <c:pt idx="3431">
                  <c:v>10808792.351883944</c:v>
                </c:pt>
                <c:pt idx="3432">
                  <c:v>10811942.684834071</c:v>
                </c:pt>
                <c:pt idx="3433">
                  <c:v>10815093.017784197</c:v>
                </c:pt>
                <c:pt idx="3434">
                  <c:v>10818243.350734323</c:v>
                </c:pt>
                <c:pt idx="3435">
                  <c:v>10821393.68368445</c:v>
                </c:pt>
                <c:pt idx="3436">
                  <c:v>10824544.016634576</c:v>
                </c:pt>
                <c:pt idx="3437">
                  <c:v>10827694.349584702</c:v>
                </c:pt>
                <c:pt idx="3438">
                  <c:v>10830844.682534829</c:v>
                </c:pt>
                <c:pt idx="3439">
                  <c:v>10833995.015484957</c:v>
                </c:pt>
                <c:pt idx="3440">
                  <c:v>10837145.348435083</c:v>
                </c:pt>
                <c:pt idx="3441">
                  <c:v>10840295.68138521</c:v>
                </c:pt>
                <c:pt idx="3442">
                  <c:v>10843446.014335336</c:v>
                </c:pt>
                <c:pt idx="3443">
                  <c:v>10846596.347285463</c:v>
                </c:pt>
                <c:pt idx="3444">
                  <c:v>10849746.680235589</c:v>
                </c:pt>
                <c:pt idx="3445">
                  <c:v>10852897.013185715</c:v>
                </c:pt>
                <c:pt idx="3446">
                  <c:v>10856047.346135842</c:v>
                </c:pt>
                <c:pt idx="3447">
                  <c:v>10859197.679085968</c:v>
                </c:pt>
                <c:pt idx="3448">
                  <c:v>10862348.012036094</c:v>
                </c:pt>
                <c:pt idx="3449">
                  <c:v>10865498.344986221</c:v>
                </c:pt>
                <c:pt idx="3450">
                  <c:v>10868648.677936347</c:v>
                </c:pt>
                <c:pt idx="3451">
                  <c:v>10871799.010886474</c:v>
                </c:pt>
                <c:pt idx="3452">
                  <c:v>10874949.3438366</c:v>
                </c:pt>
                <c:pt idx="3453">
                  <c:v>10878099.676786726</c:v>
                </c:pt>
                <c:pt idx="3454">
                  <c:v>10881250.009736853</c:v>
                </c:pt>
                <c:pt idx="3455">
                  <c:v>10884400.342686979</c:v>
                </c:pt>
                <c:pt idx="3456">
                  <c:v>10887550.675637105</c:v>
                </c:pt>
                <c:pt idx="3457">
                  <c:v>10890701.008587232</c:v>
                </c:pt>
                <c:pt idx="3458">
                  <c:v>10893851.34153736</c:v>
                </c:pt>
                <c:pt idx="3459">
                  <c:v>10897001.674487486</c:v>
                </c:pt>
                <c:pt idx="3460">
                  <c:v>10900152.007437613</c:v>
                </c:pt>
                <c:pt idx="3461">
                  <c:v>10903302.340387739</c:v>
                </c:pt>
                <c:pt idx="3462">
                  <c:v>10906452.673337866</c:v>
                </c:pt>
                <c:pt idx="3463">
                  <c:v>10909603.006287992</c:v>
                </c:pt>
                <c:pt idx="3464">
                  <c:v>10912753.339238118</c:v>
                </c:pt>
                <c:pt idx="3465">
                  <c:v>10915903.672188245</c:v>
                </c:pt>
                <c:pt idx="3466">
                  <c:v>10919054.005138371</c:v>
                </c:pt>
                <c:pt idx="3467">
                  <c:v>10922204.338088498</c:v>
                </c:pt>
                <c:pt idx="3468">
                  <c:v>10925354.671038624</c:v>
                </c:pt>
                <c:pt idx="3469">
                  <c:v>10928505.00398875</c:v>
                </c:pt>
                <c:pt idx="3470">
                  <c:v>10931655.336938877</c:v>
                </c:pt>
                <c:pt idx="3471">
                  <c:v>10934805.669889003</c:v>
                </c:pt>
                <c:pt idx="3472">
                  <c:v>10937956.002839129</c:v>
                </c:pt>
                <c:pt idx="3473">
                  <c:v>10941106.335789256</c:v>
                </c:pt>
                <c:pt idx="3474">
                  <c:v>10944256.668739382</c:v>
                </c:pt>
                <c:pt idx="3475">
                  <c:v>10947407.001689509</c:v>
                </c:pt>
                <c:pt idx="3476">
                  <c:v>10950557.334639635</c:v>
                </c:pt>
                <c:pt idx="3477">
                  <c:v>10953707.667589763</c:v>
                </c:pt>
                <c:pt idx="3478">
                  <c:v>10956858.00053989</c:v>
                </c:pt>
                <c:pt idx="3479">
                  <c:v>10960008.333490016</c:v>
                </c:pt>
                <c:pt idx="3480">
                  <c:v>10963158.666440142</c:v>
                </c:pt>
                <c:pt idx="3481">
                  <c:v>10966308.999390269</c:v>
                </c:pt>
                <c:pt idx="3482">
                  <c:v>10969459.332340395</c:v>
                </c:pt>
                <c:pt idx="3483">
                  <c:v>10972609.665290521</c:v>
                </c:pt>
                <c:pt idx="3484">
                  <c:v>10975759.998240648</c:v>
                </c:pt>
                <c:pt idx="3485">
                  <c:v>10978910.331190774</c:v>
                </c:pt>
                <c:pt idx="3486">
                  <c:v>10982060.664140901</c:v>
                </c:pt>
                <c:pt idx="3487">
                  <c:v>10985210.997091027</c:v>
                </c:pt>
                <c:pt idx="3488">
                  <c:v>10988361.330041153</c:v>
                </c:pt>
                <c:pt idx="3489">
                  <c:v>10991511.66299128</c:v>
                </c:pt>
                <c:pt idx="3490">
                  <c:v>10994661.995941406</c:v>
                </c:pt>
                <c:pt idx="3491">
                  <c:v>10997812.328891532</c:v>
                </c:pt>
                <c:pt idx="3492">
                  <c:v>11000962.661841659</c:v>
                </c:pt>
                <c:pt idx="3493">
                  <c:v>11004112.994791785</c:v>
                </c:pt>
                <c:pt idx="3494">
                  <c:v>11007263.327741912</c:v>
                </c:pt>
                <c:pt idx="3495">
                  <c:v>11010413.660692038</c:v>
                </c:pt>
                <c:pt idx="3496">
                  <c:v>11013563.993642166</c:v>
                </c:pt>
                <c:pt idx="3497">
                  <c:v>11016714.326592293</c:v>
                </c:pt>
                <c:pt idx="3498">
                  <c:v>11019864.659542419</c:v>
                </c:pt>
                <c:pt idx="3499">
                  <c:v>11023014.992492545</c:v>
                </c:pt>
                <c:pt idx="3500">
                  <c:v>11026165.325442672</c:v>
                </c:pt>
                <c:pt idx="3501">
                  <c:v>11029315.658392798</c:v>
                </c:pt>
                <c:pt idx="3502">
                  <c:v>11032465.991342925</c:v>
                </c:pt>
                <c:pt idx="3503">
                  <c:v>11035616.324293051</c:v>
                </c:pt>
                <c:pt idx="3504">
                  <c:v>11038766.657243177</c:v>
                </c:pt>
                <c:pt idx="3505">
                  <c:v>11041916.990193304</c:v>
                </c:pt>
                <c:pt idx="3506">
                  <c:v>11045067.32314343</c:v>
                </c:pt>
                <c:pt idx="3507">
                  <c:v>11048217.656093556</c:v>
                </c:pt>
                <c:pt idx="3508">
                  <c:v>11051367.989043683</c:v>
                </c:pt>
                <c:pt idx="3509">
                  <c:v>11054518.321993809</c:v>
                </c:pt>
                <c:pt idx="3510">
                  <c:v>11057668.654943936</c:v>
                </c:pt>
                <c:pt idx="3511">
                  <c:v>11060818.987894062</c:v>
                </c:pt>
                <c:pt idx="3512">
                  <c:v>11063969.320844188</c:v>
                </c:pt>
                <c:pt idx="3513">
                  <c:v>11067119.653794315</c:v>
                </c:pt>
                <c:pt idx="3514">
                  <c:v>11070269.986744441</c:v>
                </c:pt>
                <c:pt idx="3515">
                  <c:v>11073420.319694569</c:v>
                </c:pt>
                <c:pt idx="3516">
                  <c:v>11076570.652644696</c:v>
                </c:pt>
                <c:pt idx="3517">
                  <c:v>11079720.985594822</c:v>
                </c:pt>
                <c:pt idx="3518">
                  <c:v>11082871.318544948</c:v>
                </c:pt>
                <c:pt idx="3519">
                  <c:v>11086021.651495075</c:v>
                </c:pt>
                <c:pt idx="3520">
                  <c:v>11089171.984445201</c:v>
                </c:pt>
                <c:pt idx="3521">
                  <c:v>11092322.317395328</c:v>
                </c:pt>
                <c:pt idx="3522">
                  <c:v>11095472.650345454</c:v>
                </c:pt>
                <c:pt idx="3523">
                  <c:v>11098622.98329558</c:v>
                </c:pt>
                <c:pt idx="3524">
                  <c:v>11101773.316245707</c:v>
                </c:pt>
                <c:pt idx="3525">
                  <c:v>11104923.649195833</c:v>
                </c:pt>
                <c:pt idx="3526">
                  <c:v>11108073.98214596</c:v>
                </c:pt>
                <c:pt idx="3527">
                  <c:v>11111224.315096086</c:v>
                </c:pt>
                <c:pt idx="3528">
                  <c:v>11114374.648046212</c:v>
                </c:pt>
                <c:pt idx="3529">
                  <c:v>11117524.980996339</c:v>
                </c:pt>
                <c:pt idx="3530">
                  <c:v>11120675.313946465</c:v>
                </c:pt>
                <c:pt idx="3531">
                  <c:v>11123825.646896591</c:v>
                </c:pt>
                <c:pt idx="3532">
                  <c:v>11126975.979846718</c:v>
                </c:pt>
                <c:pt idx="3533">
                  <c:v>11130126.312796844</c:v>
                </c:pt>
                <c:pt idx="3534">
                  <c:v>11133276.645746972</c:v>
                </c:pt>
                <c:pt idx="3535">
                  <c:v>11136426.978697099</c:v>
                </c:pt>
                <c:pt idx="3536">
                  <c:v>11139577.311647225</c:v>
                </c:pt>
                <c:pt idx="3537">
                  <c:v>11142727.644597352</c:v>
                </c:pt>
                <c:pt idx="3538">
                  <c:v>11145877.977547478</c:v>
                </c:pt>
                <c:pt idx="3539">
                  <c:v>11149028.310497604</c:v>
                </c:pt>
                <c:pt idx="3540">
                  <c:v>11152178.643447731</c:v>
                </c:pt>
                <c:pt idx="3541">
                  <c:v>11155328.976397857</c:v>
                </c:pt>
                <c:pt idx="3542">
                  <c:v>11158479.309347983</c:v>
                </c:pt>
                <c:pt idx="3543">
                  <c:v>11161629.64229811</c:v>
                </c:pt>
                <c:pt idx="3544">
                  <c:v>11164779.975248236</c:v>
                </c:pt>
                <c:pt idx="3545">
                  <c:v>11167930.308198363</c:v>
                </c:pt>
                <c:pt idx="3546">
                  <c:v>11171080.641148489</c:v>
                </c:pt>
                <c:pt idx="3547">
                  <c:v>11174230.974098615</c:v>
                </c:pt>
                <c:pt idx="3548">
                  <c:v>11177381.307048742</c:v>
                </c:pt>
                <c:pt idx="3549">
                  <c:v>11180531.639998868</c:v>
                </c:pt>
                <c:pt idx="3550">
                  <c:v>11183681.972948994</c:v>
                </c:pt>
                <c:pt idx="3551">
                  <c:v>11186832.305899121</c:v>
                </c:pt>
                <c:pt idx="3552">
                  <c:v>11189982.638849247</c:v>
                </c:pt>
                <c:pt idx="3553">
                  <c:v>11193132.971799374</c:v>
                </c:pt>
                <c:pt idx="3554">
                  <c:v>11196283.304749502</c:v>
                </c:pt>
                <c:pt idx="3555">
                  <c:v>11199433.637699628</c:v>
                </c:pt>
                <c:pt idx="3556">
                  <c:v>11202583.970649755</c:v>
                </c:pt>
                <c:pt idx="3557">
                  <c:v>11205734.303599881</c:v>
                </c:pt>
                <c:pt idx="3558">
                  <c:v>11208884.636550007</c:v>
                </c:pt>
                <c:pt idx="3559">
                  <c:v>11212034.969500134</c:v>
                </c:pt>
                <c:pt idx="3560">
                  <c:v>11215185.30245026</c:v>
                </c:pt>
                <c:pt idx="3561">
                  <c:v>11218335.635400387</c:v>
                </c:pt>
                <c:pt idx="3562">
                  <c:v>11221485.968350513</c:v>
                </c:pt>
                <c:pt idx="3563">
                  <c:v>11224636.301300639</c:v>
                </c:pt>
                <c:pt idx="3564">
                  <c:v>11227786.634250766</c:v>
                </c:pt>
                <c:pt idx="3565">
                  <c:v>11230936.967200892</c:v>
                </c:pt>
                <c:pt idx="3566">
                  <c:v>11234087.300151018</c:v>
                </c:pt>
                <c:pt idx="3567">
                  <c:v>11237237.633101145</c:v>
                </c:pt>
                <c:pt idx="3568">
                  <c:v>11240387.966051271</c:v>
                </c:pt>
                <c:pt idx="3569">
                  <c:v>11243538.299001398</c:v>
                </c:pt>
                <c:pt idx="3570">
                  <c:v>11246688.631951524</c:v>
                </c:pt>
                <c:pt idx="3571">
                  <c:v>11249838.96490165</c:v>
                </c:pt>
                <c:pt idx="3572">
                  <c:v>11252989.297851777</c:v>
                </c:pt>
                <c:pt idx="3573">
                  <c:v>11256139.630801905</c:v>
                </c:pt>
                <c:pt idx="3574">
                  <c:v>11259289.963752031</c:v>
                </c:pt>
                <c:pt idx="3575">
                  <c:v>11262440.296702158</c:v>
                </c:pt>
                <c:pt idx="3576">
                  <c:v>11265590.629652284</c:v>
                </c:pt>
                <c:pt idx="3577">
                  <c:v>11268740.96260241</c:v>
                </c:pt>
                <c:pt idx="3578">
                  <c:v>11271891.295552537</c:v>
                </c:pt>
                <c:pt idx="3579">
                  <c:v>11275041.628502663</c:v>
                </c:pt>
                <c:pt idx="3580">
                  <c:v>11278191.96145279</c:v>
                </c:pt>
                <c:pt idx="3581">
                  <c:v>11281342.294402916</c:v>
                </c:pt>
                <c:pt idx="3582">
                  <c:v>11284492.627353042</c:v>
                </c:pt>
                <c:pt idx="3583">
                  <c:v>11287642.960303169</c:v>
                </c:pt>
                <c:pt idx="3584">
                  <c:v>11290793.293253295</c:v>
                </c:pt>
                <c:pt idx="3585">
                  <c:v>11293943.626203422</c:v>
                </c:pt>
                <c:pt idx="3586">
                  <c:v>11297093.959153548</c:v>
                </c:pt>
                <c:pt idx="3587">
                  <c:v>11300244.292103674</c:v>
                </c:pt>
                <c:pt idx="3588">
                  <c:v>11303394.625053801</c:v>
                </c:pt>
                <c:pt idx="3589">
                  <c:v>11306544.958003927</c:v>
                </c:pt>
                <c:pt idx="3590">
                  <c:v>11309695.290954053</c:v>
                </c:pt>
                <c:pt idx="3591">
                  <c:v>11312845.62390418</c:v>
                </c:pt>
                <c:pt idx="3592">
                  <c:v>11315995.956854308</c:v>
                </c:pt>
                <c:pt idx="3593">
                  <c:v>11319146.289804434</c:v>
                </c:pt>
                <c:pt idx="3594">
                  <c:v>11322296.622754561</c:v>
                </c:pt>
                <c:pt idx="3595">
                  <c:v>11325446.955704687</c:v>
                </c:pt>
                <c:pt idx="3596">
                  <c:v>11328597.288654814</c:v>
                </c:pt>
                <c:pt idx="3597">
                  <c:v>11331747.62160494</c:v>
                </c:pt>
                <c:pt idx="3598">
                  <c:v>11334897.954555066</c:v>
                </c:pt>
                <c:pt idx="3599">
                  <c:v>11338048.287505193</c:v>
                </c:pt>
                <c:pt idx="3600">
                  <c:v>11341198.620455319</c:v>
                </c:pt>
                <c:pt idx="3601">
                  <c:v>11344348.953405445</c:v>
                </c:pt>
                <c:pt idx="3602">
                  <c:v>11347499.286355572</c:v>
                </c:pt>
                <c:pt idx="3603">
                  <c:v>11350649.619305698</c:v>
                </c:pt>
                <c:pt idx="3604">
                  <c:v>11353799.952255825</c:v>
                </c:pt>
                <c:pt idx="3605">
                  <c:v>11356950.285205951</c:v>
                </c:pt>
                <c:pt idx="3606">
                  <c:v>11360100.618156077</c:v>
                </c:pt>
                <c:pt idx="3607">
                  <c:v>11363250.951106204</c:v>
                </c:pt>
                <c:pt idx="3608">
                  <c:v>11366401.28405633</c:v>
                </c:pt>
                <c:pt idx="3609">
                  <c:v>11369551.617006456</c:v>
                </c:pt>
                <c:pt idx="3610">
                  <c:v>11372701.949956583</c:v>
                </c:pt>
                <c:pt idx="3611">
                  <c:v>11375852.282906711</c:v>
                </c:pt>
                <c:pt idx="3612">
                  <c:v>11379002.615856837</c:v>
                </c:pt>
                <c:pt idx="3613">
                  <c:v>11382152.948806964</c:v>
                </c:pt>
                <c:pt idx="3614">
                  <c:v>11385303.28175709</c:v>
                </c:pt>
                <c:pt idx="3615">
                  <c:v>11388453.614707217</c:v>
                </c:pt>
                <c:pt idx="3616">
                  <c:v>11391603.947657343</c:v>
                </c:pt>
                <c:pt idx="3617">
                  <c:v>11394754.280607469</c:v>
                </c:pt>
                <c:pt idx="3618">
                  <c:v>11397904.613557596</c:v>
                </c:pt>
                <c:pt idx="3619">
                  <c:v>11401054.946507722</c:v>
                </c:pt>
                <c:pt idx="3620">
                  <c:v>11404205.279457849</c:v>
                </c:pt>
                <c:pt idx="3621">
                  <c:v>11407355.612407975</c:v>
                </c:pt>
                <c:pt idx="3622">
                  <c:v>11410505.945358101</c:v>
                </c:pt>
                <c:pt idx="3623">
                  <c:v>11413656.278308228</c:v>
                </c:pt>
                <c:pt idx="3624">
                  <c:v>11416806.611258354</c:v>
                </c:pt>
                <c:pt idx="3625">
                  <c:v>11419956.94420848</c:v>
                </c:pt>
                <c:pt idx="3626">
                  <c:v>11423107.277158607</c:v>
                </c:pt>
                <c:pt idx="3627">
                  <c:v>11426257.610108733</c:v>
                </c:pt>
                <c:pt idx="3628">
                  <c:v>11429407.94305886</c:v>
                </c:pt>
                <c:pt idx="3629">
                  <c:v>11432558.276008986</c:v>
                </c:pt>
                <c:pt idx="3630">
                  <c:v>11435708.608959114</c:v>
                </c:pt>
                <c:pt idx="3631">
                  <c:v>11438858.941909241</c:v>
                </c:pt>
                <c:pt idx="3632">
                  <c:v>11442009.274859367</c:v>
                </c:pt>
                <c:pt idx="3633">
                  <c:v>11445159.607809493</c:v>
                </c:pt>
                <c:pt idx="3634">
                  <c:v>11448309.94075962</c:v>
                </c:pt>
                <c:pt idx="3635">
                  <c:v>11451460.273709746</c:v>
                </c:pt>
                <c:pt idx="3636">
                  <c:v>11454610.606659872</c:v>
                </c:pt>
                <c:pt idx="3637">
                  <c:v>11457760.939609999</c:v>
                </c:pt>
                <c:pt idx="3638">
                  <c:v>11460911.272560125</c:v>
                </c:pt>
                <c:pt idx="3639">
                  <c:v>11464061.605510252</c:v>
                </c:pt>
                <c:pt idx="3640">
                  <c:v>11467211.938460378</c:v>
                </c:pt>
                <c:pt idx="3641">
                  <c:v>11470362.271410504</c:v>
                </c:pt>
                <c:pt idx="3642">
                  <c:v>11473512.604360631</c:v>
                </c:pt>
                <c:pt idx="3643">
                  <c:v>11476662.937310757</c:v>
                </c:pt>
                <c:pt idx="3644">
                  <c:v>11479813.270260883</c:v>
                </c:pt>
                <c:pt idx="3645">
                  <c:v>11482963.60321101</c:v>
                </c:pt>
                <c:pt idx="3646">
                  <c:v>11486113.936161136</c:v>
                </c:pt>
                <c:pt idx="3647">
                  <c:v>11489264.269111263</c:v>
                </c:pt>
                <c:pt idx="3648">
                  <c:v>11492414.602061389</c:v>
                </c:pt>
                <c:pt idx="3649">
                  <c:v>11495564.935011517</c:v>
                </c:pt>
                <c:pt idx="3650">
                  <c:v>11498715.267961644</c:v>
                </c:pt>
                <c:pt idx="3651">
                  <c:v>11501865.60091177</c:v>
                </c:pt>
                <c:pt idx="3652">
                  <c:v>11505015.933861896</c:v>
                </c:pt>
                <c:pt idx="3653">
                  <c:v>11508166.266812023</c:v>
                </c:pt>
                <c:pt idx="3654">
                  <c:v>11511316.599762149</c:v>
                </c:pt>
                <c:pt idx="3655">
                  <c:v>11514466.932712276</c:v>
                </c:pt>
                <c:pt idx="3656">
                  <c:v>11517617.265662402</c:v>
                </c:pt>
                <c:pt idx="3657">
                  <c:v>11520767.598612528</c:v>
                </c:pt>
                <c:pt idx="3658">
                  <c:v>11523917.931562655</c:v>
                </c:pt>
                <c:pt idx="3659">
                  <c:v>11527068.264512781</c:v>
                </c:pt>
                <c:pt idx="3660">
                  <c:v>11530218.597462907</c:v>
                </c:pt>
                <c:pt idx="3661">
                  <c:v>11533368.930413034</c:v>
                </c:pt>
                <c:pt idx="3662">
                  <c:v>11536519.26336316</c:v>
                </c:pt>
                <c:pt idx="3663">
                  <c:v>11539669.596313287</c:v>
                </c:pt>
                <c:pt idx="3664">
                  <c:v>11542819.929263413</c:v>
                </c:pt>
                <c:pt idx="3665">
                  <c:v>11545970.262213539</c:v>
                </c:pt>
                <c:pt idx="3666">
                  <c:v>11549120.595163666</c:v>
                </c:pt>
                <c:pt idx="3667">
                  <c:v>11552270.928113792</c:v>
                </c:pt>
                <c:pt idx="3668">
                  <c:v>11555421.26106392</c:v>
                </c:pt>
                <c:pt idx="3669">
                  <c:v>11558571.594014047</c:v>
                </c:pt>
                <c:pt idx="3670">
                  <c:v>11561721.926964173</c:v>
                </c:pt>
                <c:pt idx="3671">
                  <c:v>11564872.259914299</c:v>
                </c:pt>
                <c:pt idx="3672">
                  <c:v>11568022.592864426</c:v>
                </c:pt>
                <c:pt idx="3673">
                  <c:v>11571172.925814552</c:v>
                </c:pt>
                <c:pt idx="3674">
                  <c:v>11574323.258764679</c:v>
                </c:pt>
                <c:pt idx="3675">
                  <c:v>11577473.591714805</c:v>
                </c:pt>
                <c:pt idx="3676">
                  <c:v>11580623.924664931</c:v>
                </c:pt>
                <c:pt idx="3677">
                  <c:v>11583774.257615058</c:v>
                </c:pt>
                <c:pt idx="3678">
                  <c:v>11586924.590565184</c:v>
                </c:pt>
                <c:pt idx="3679">
                  <c:v>11590074.923515311</c:v>
                </c:pt>
                <c:pt idx="3680">
                  <c:v>11593225.256465437</c:v>
                </c:pt>
                <c:pt idx="3681">
                  <c:v>11596375.589415563</c:v>
                </c:pt>
                <c:pt idx="3682">
                  <c:v>11599525.92236569</c:v>
                </c:pt>
                <c:pt idx="3683">
                  <c:v>11602676.255315816</c:v>
                </c:pt>
                <c:pt idx="3684">
                  <c:v>11605826.588265942</c:v>
                </c:pt>
                <c:pt idx="3685">
                  <c:v>11608976.921216069</c:v>
                </c:pt>
                <c:pt idx="3686">
                  <c:v>11612127.254166195</c:v>
                </c:pt>
                <c:pt idx="3687">
                  <c:v>11615277.587116323</c:v>
                </c:pt>
                <c:pt idx="3688">
                  <c:v>11618427.92006645</c:v>
                </c:pt>
                <c:pt idx="3689">
                  <c:v>11621578.253016576</c:v>
                </c:pt>
                <c:pt idx="3690">
                  <c:v>11624728.585966703</c:v>
                </c:pt>
                <c:pt idx="3691">
                  <c:v>11627878.918916829</c:v>
                </c:pt>
                <c:pt idx="3692">
                  <c:v>11631029.251866955</c:v>
                </c:pt>
                <c:pt idx="3693">
                  <c:v>11634179.584817082</c:v>
                </c:pt>
                <c:pt idx="3694">
                  <c:v>11637329.917767208</c:v>
                </c:pt>
                <c:pt idx="3695">
                  <c:v>11640480.250717334</c:v>
                </c:pt>
                <c:pt idx="3696">
                  <c:v>11643630.583667461</c:v>
                </c:pt>
                <c:pt idx="3697">
                  <c:v>11646780.916617587</c:v>
                </c:pt>
                <c:pt idx="3698">
                  <c:v>11649931.249567714</c:v>
                </c:pt>
                <c:pt idx="3699">
                  <c:v>11653081.58251784</c:v>
                </c:pt>
                <c:pt idx="3700">
                  <c:v>11656231.915467966</c:v>
                </c:pt>
                <c:pt idx="3701">
                  <c:v>11659382.248418093</c:v>
                </c:pt>
                <c:pt idx="3702">
                  <c:v>11662532.581368219</c:v>
                </c:pt>
                <c:pt idx="3703">
                  <c:v>11665682.914318345</c:v>
                </c:pt>
                <c:pt idx="3704">
                  <c:v>11668833.247268472</c:v>
                </c:pt>
                <c:pt idx="3705">
                  <c:v>11671983.580218598</c:v>
                </c:pt>
                <c:pt idx="3706">
                  <c:v>11675133.913168726</c:v>
                </c:pt>
                <c:pt idx="3707">
                  <c:v>11678284.246118853</c:v>
                </c:pt>
                <c:pt idx="3708">
                  <c:v>11681434.579068979</c:v>
                </c:pt>
                <c:pt idx="3709">
                  <c:v>11684584.912019106</c:v>
                </c:pt>
                <c:pt idx="3710">
                  <c:v>11687735.244969232</c:v>
                </c:pt>
                <c:pt idx="3711">
                  <c:v>11690885.577919358</c:v>
                </c:pt>
                <c:pt idx="3712">
                  <c:v>11694035.910869485</c:v>
                </c:pt>
                <c:pt idx="3713">
                  <c:v>11697186.243819611</c:v>
                </c:pt>
                <c:pt idx="3714">
                  <c:v>11700336.576769738</c:v>
                </c:pt>
                <c:pt idx="3715">
                  <c:v>11703486.909719864</c:v>
                </c:pt>
                <c:pt idx="3716">
                  <c:v>11706637.24266999</c:v>
                </c:pt>
                <c:pt idx="3717">
                  <c:v>11709787.575620117</c:v>
                </c:pt>
                <c:pt idx="3718">
                  <c:v>11712937.908570243</c:v>
                </c:pt>
                <c:pt idx="3719">
                  <c:v>11716088.241520369</c:v>
                </c:pt>
                <c:pt idx="3720">
                  <c:v>11719238.574470496</c:v>
                </c:pt>
                <c:pt idx="3721">
                  <c:v>11722388.907420622</c:v>
                </c:pt>
                <c:pt idx="3722">
                  <c:v>11725539.240370749</c:v>
                </c:pt>
                <c:pt idx="3723">
                  <c:v>11728689.573320875</c:v>
                </c:pt>
                <c:pt idx="3724">
                  <c:v>11731839.906271001</c:v>
                </c:pt>
                <c:pt idx="3725">
                  <c:v>11734990.23922113</c:v>
                </c:pt>
                <c:pt idx="3726">
                  <c:v>11738140.572171256</c:v>
                </c:pt>
                <c:pt idx="3727">
                  <c:v>11741290.905121382</c:v>
                </c:pt>
                <c:pt idx="3728">
                  <c:v>11744441.238071509</c:v>
                </c:pt>
                <c:pt idx="3729">
                  <c:v>11747591.571021635</c:v>
                </c:pt>
                <c:pt idx="3730">
                  <c:v>11750741.903971761</c:v>
                </c:pt>
                <c:pt idx="3731">
                  <c:v>11753892.236921888</c:v>
                </c:pt>
                <c:pt idx="3732">
                  <c:v>11757042.569872014</c:v>
                </c:pt>
                <c:pt idx="3733">
                  <c:v>11760192.902822141</c:v>
                </c:pt>
                <c:pt idx="3734">
                  <c:v>11763343.235772267</c:v>
                </c:pt>
                <c:pt idx="3735">
                  <c:v>11766493.568722393</c:v>
                </c:pt>
                <c:pt idx="3736">
                  <c:v>11769643.90167252</c:v>
                </c:pt>
                <c:pt idx="3737">
                  <c:v>11772794.234622646</c:v>
                </c:pt>
                <c:pt idx="3738">
                  <c:v>11775944.567572773</c:v>
                </c:pt>
                <c:pt idx="3739">
                  <c:v>11779094.900522899</c:v>
                </c:pt>
                <c:pt idx="3740">
                  <c:v>11782245.233473025</c:v>
                </c:pt>
                <c:pt idx="3741">
                  <c:v>11785395.566423152</c:v>
                </c:pt>
                <c:pt idx="3742">
                  <c:v>11788545.899373278</c:v>
                </c:pt>
                <c:pt idx="3743">
                  <c:v>11791696.232323404</c:v>
                </c:pt>
                <c:pt idx="3744">
                  <c:v>11794846.565273533</c:v>
                </c:pt>
                <c:pt idx="3745">
                  <c:v>11797996.898223659</c:v>
                </c:pt>
                <c:pt idx="3746">
                  <c:v>11801147.231173785</c:v>
                </c:pt>
                <c:pt idx="3747">
                  <c:v>11804297.564123912</c:v>
                </c:pt>
                <c:pt idx="3748">
                  <c:v>11807447.897074038</c:v>
                </c:pt>
                <c:pt idx="3749">
                  <c:v>11810598.230024165</c:v>
                </c:pt>
                <c:pt idx="3750">
                  <c:v>11813748.562974291</c:v>
                </c:pt>
                <c:pt idx="3751">
                  <c:v>11816898.895924417</c:v>
                </c:pt>
                <c:pt idx="3752">
                  <c:v>11820049.228874544</c:v>
                </c:pt>
                <c:pt idx="3753">
                  <c:v>11823199.56182467</c:v>
                </c:pt>
                <c:pt idx="3754">
                  <c:v>11826349.894774796</c:v>
                </c:pt>
                <c:pt idx="3755">
                  <c:v>11829500.227724923</c:v>
                </c:pt>
                <c:pt idx="3756">
                  <c:v>11832650.560675049</c:v>
                </c:pt>
                <c:pt idx="3757">
                  <c:v>11835800.893625176</c:v>
                </c:pt>
                <c:pt idx="3758">
                  <c:v>11838951.226575302</c:v>
                </c:pt>
                <c:pt idx="3759">
                  <c:v>11842101.559525428</c:v>
                </c:pt>
                <c:pt idx="3760">
                  <c:v>11845251.892475555</c:v>
                </c:pt>
                <c:pt idx="3761">
                  <c:v>11848402.225425681</c:v>
                </c:pt>
                <c:pt idx="3762">
                  <c:v>11851552.558375807</c:v>
                </c:pt>
                <c:pt idx="3763">
                  <c:v>11854702.891325936</c:v>
                </c:pt>
                <c:pt idx="3764">
                  <c:v>11857853.224276062</c:v>
                </c:pt>
                <c:pt idx="3765">
                  <c:v>11861003.557226188</c:v>
                </c:pt>
                <c:pt idx="3766">
                  <c:v>11864153.890176315</c:v>
                </c:pt>
                <c:pt idx="3767">
                  <c:v>11867304.223126441</c:v>
                </c:pt>
                <c:pt idx="3768">
                  <c:v>11870454.556076568</c:v>
                </c:pt>
                <c:pt idx="3769">
                  <c:v>11873604.889026694</c:v>
                </c:pt>
                <c:pt idx="3770">
                  <c:v>11876755.22197682</c:v>
                </c:pt>
                <c:pt idx="3771">
                  <c:v>11879905.554926947</c:v>
                </c:pt>
                <c:pt idx="3772">
                  <c:v>11883055.887877073</c:v>
                </c:pt>
                <c:pt idx="3773">
                  <c:v>11886206.2208272</c:v>
                </c:pt>
                <c:pt idx="3774">
                  <c:v>11889356.553777326</c:v>
                </c:pt>
                <c:pt idx="3775">
                  <c:v>11892506.886727452</c:v>
                </c:pt>
                <c:pt idx="3776">
                  <c:v>11895657.219677579</c:v>
                </c:pt>
                <c:pt idx="3777">
                  <c:v>11898807.552627705</c:v>
                </c:pt>
                <c:pt idx="3778">
                  <c:v>11901957.885577831</c:v>
                </c:pt>
                <c:pt idx="3779">
                  <c:v>11905108.218527958</c:v>
                </c:pt>
                <c:pt idx="3780">
                  <c:v>11908258.551478084</c:v>
                </c:pt>
                <c:pt idx="3781">
                  <c:v>11911408.884428211</c:v>
                </c:pt>
                <c:pt idx="3782">
                  <c:v>11914559.217378339</c:v>
                </c:pt>
                <c:pt idx="3783">
                  <c:v>11917709.550328465</c:v>
                </c:pt>
                <c:pt idx="3784">
                  <c:v>11920859.883278592</c:v>
                </c:pt>
                <c:pt idx="3785">
                  <c:v>11924010.216228718</c:v>
                </c:pt>
                <c:pt idx="3786">
                  <c:v>11927160.549178844</c:v>
                </c:pt>
                <c:pt idx="3787">
                  <c:v>11930310.882128971</c:v>
                </c:pt>
                <c:pt idx="3788">
                  <c:v>11933461.215079097</c:v>
                </c:pt>
                <c:pt idx="3789">
                  <c:v>11936611.548029223</c:v>
                </c:pt>
                <c:pt idx="3790">
                  <c:v>11939761.88097935</c:v>
                </c:pt>
                <c:pt idx="3791">
                  <c:v>11942912.213929476</c:v>
                </c:pt>
                <c:pt idx="3792">
                  <c:v>11946062.546879603</c:v>
                </c:pt>
                <c:pt idx="3793">
                  <c:v>11949212.879829729</c:v>
                </c:pt>
                <c:pt idx="3794">
                  <c:v>11952363.212779855</c:v>
                </c:pt>
                <c:pt idx="3795">
                  <c:v>11955513.545729982</c:v>
                </c:pt>
                <c:pt idx="3796">
                  <c:v>11958663.878680108</c:v>
                </c:pt>
                <c:pt idx="3797">
                  <c:v>11961814.211630234</c:v>
                </c:pt>
                <c:pt idx="3798">
                  <c:v>11964964.544580361</c:v>
                </c:pt>
                <c:pt idx="3799">
                  <c:v>11968114.877530487</c:v>
                </c:pt>
                <c:pt idx="3800">
                  <c:v>11971265.210480614</c:v>
                </c:pt>
                <c:pt idx="3801">
                  <c:v>11974415.543430742</c:v>
                </c:pt>
                <c:pt idx="3802">
                  <c:v>11977565.876380868</c:v>
                </c:pt>
                <c:pt idx="3803">
                  <c:v>11980716.209330995</c:v>
                </c:pt>
                <c:pt idx="3804">
                  <c:v>11983866.542281121</c:v>
                </c:pt>
                <c:pt idx="3805">
                  <c:v>11987016.875231247</c:v>
                </c:pt>
                <c:pt idx="3806">
                  <c:v>11990167.208181374</c:v>
                </c:pt>
                <c:pt idx="3807">
                  <c:v>11993317.5411315</c:v>
                </c:pt>
                <c:pt idx="3808">
                  <c:v>11996467.874081627</c:v>
                </c:pt>
                <c:pt idx="3809">
                  <c:v>11999618.207031753</c:v>
                </c:pt>
                <c:pt idx="3810">
                  <c:v>12002768.539981879</c:v>
                </c:pt>
                <c:pt idx="3811">
                  <c:v>12005918.872932006</c:v>
                </c:pt>
                <c:pt idx="3812">
                  <c:v>12009069.205882132</c:v>
                </c:pt>
                <c:pt idx="3813">
                  <c:v>12012219.538832258</c:v>
                </c:pt>
                <c:pt idx="3814">
                  <c:v>12015369.871782385</c:v>
                </c:pt>
                <c:pt idx="3815">
                  <c:v>12018520.204732511</c:v>
                </c:pt>
                <c:pt idx="3816">
                  <c:v>12021670.537682638</c:v>
                </c:pt>
                <c:pt idx="3817">
                  <c:v>12024820.870632764</c:v>
                </c:pt>
                <c:pt idx="3818">
                  <c:v>12027971.20358289</c:v>
                </c:pt>
                <c:pt idx="3819">
                  <c:v>12031121.536533017</c:v>
                </c:pt>
                <c:pt idx="3820">
                  <c:v>12034271.869483145</c:v>
                </c:pt>
                <c:pt idx="3821">
                  <c:v>12037422.202433271</c:v>
                </c:pt>
                <c:pt idx="3822">
                  <c:v>12040572.535383398</c:v>
                </c:pt>
                <c:pt idx="3823">
                  <c:v>12043722.868333524</c:v>
                </c:pt>
                <c:pt idx="3824">
                  <c:v>12046873.20128365</c:v>
                </c:pt>
                <c:pt idx="3825">
                  <c:v>12050023.534233777</c:v>
                </c:pt>
                <c:pt idx="3826">
                  <c:v>12053173.867183903</c:v>
                </c:pt>
                <c:pt idx="3827">
                  <c:v>12056324.20013403</c:v>
                </c:pt>
                <c:pt idx="3828">
                  <c:v>12059474.533084156</c:v>
                </c:pt>
                <c:pt idx="3829">
                  <c:v>12062624.866034282</c:v>
                </c:pt>
                <c:pt idx="3830">
                  <c:v>12065775.198984409</c:v>
                </c:pt>
                <c:pt idx="3831">
                  <c:v>12068925.531934535</c:v>
                </c:pt>
                <c:pt idx="3832">
                  <c:v>12072075.864884662</c:v>
                </c:pt>
                <c:pt idx="3833">
                  <c:v>12075226.197834788</c:v>
                </c:pt>
                <c:pt idx="3834">
                  <c:v>12078376.530784914</c:v>
                </c:pt>
                <c:pt idx="3835">
                  <c:v>12081526.863735041</c:v>
                </c:pt>
                <c:pt idx="3836">
                  <c:v>12084677.196685167</c:v>
                </c:pt>
                <c:pt idx="3837">
                  <c:v>12087827.529635293</c:v>
                </c:pt>
                <c:pt idx="3838">
                  <c:v>12090977.86258542</c:v>
                </c:pt>
                <c:pt idx="3839">
                  <c:v>12094128.195535548</c:v>
                </c:pt>
                <c:pt idx="3840">
                  <c:v>12097278.528485674</c:v>
                </c:pt>
                <c:pt idx="3841">
                  <c:v>12100428.861435801</c:v>
                </c:pt>
                <c:pt idx="3842">
                  <c:v>12103579.194385927</c:v>
                </c:pt>
                <c:pt idx="3843">
                  <c:v>12106729.527336054</c:v>
                </c:pt>
                <c:pt idx="3844">
                  <c:v>12109879.86028618</c:v>
                </c:pt>
                <c:pt idx="3845">
                  <c:v>12113030.193236306</c:v>
                </c:pt>
                <c:pt idx="3846">
                  <c:v>12116180.526186433</c:v>
                </c:pt>
                <c:pt idx="3847">
                  <c:v>12119330.859136559</c:v>
                </c:pt>
                <c:pt idx="3848">
                  <c:v>12122481.192086685</c:v>
                </c:pt>
                <c:pt idx="3849">
                  <c:v>12125631.525036812</c:v>
                </c:pt>
                <c:pt idx="3850">
                  <c:v>12128781.857986938</c:v>
                </c:pt>
                <c:pt idx="3851">
                  <c:v>12131932.190937065</c:v>
                </c:pt>
                <c:pt idx="3852">
                  <c:v>12135082.523887191</c:v>
                </c:pt>
                <c:pt idx="3853">
                  <c:v>12138232.856837317</c:v>
                </c:pt>
                <c:pt idx="3854">
                  <c:v>12141383.189787444</c:v>
                </c:pt>
                <c:pt idx="3855">
                  <c:v>12144533.52273757</c:v>
                </c:pt>
                <c:pt idx="3856">
                  <c:v>12147683.855687696</c:v>
                </c:pt>
                <c:pt idx="3857">
                  <c:v>12150834.188637823</c:v>
                </c:pt>
                <c:pt idx="3858">
                  <c:v>12153984.521587951</c:v>
                </c:pt>
                <c:pt idx="3859">
                  <c:v>12157134.854538077</c:v>
                </c:pt>
                <c:pt idx="3860">
                  <c:v>12160285.187488204</c:v>
                </c:pt>
                <c:pt idx="3861">
                  <c:v>12163435.52043833</c:v>
                </c:pt>
                <c:pt idx="3862">
                  <c:v>12166585.853388457</c:v>
                </c:pt>
                <c:pt idx="3863">
                  <c:v>12169736.186338583</c:v>
                </c:pt>
                <c:pt idx="3864">
                  <c:v>12172886.519288709</c:v>
                </c:pt>
                <c:pt idx="3865">
                  <c:v>12176036.852238836</c:v>
                </c:pt>
                <c:pt idx="3866">
                  <c:v>12179187.185188962</c:v>
                </c:pt>
                <c:pt idx="3867">
                  <c:v>12182337.518139089</c:v>
                </c:pt>
                <c:pt idx="3868">
                  <c:v>12185487.851089215</c:v>
                </c:pt>
                <c:pt idx="3869">
                  <c:v>12188638.184039341</c:v>
                </c:pt>
                <c:pt idx="3870">
                  <c:v>12191788.516989468</c:v>
                </c:pt>
                <c:pt idx="3871">
                  <c:v>12194938.849939594</c:v>
                </c:pt>
                <c:pt idx="3872">
                  <c:v>12198089.18288972</c:v>
                </c:pt>
                <c:pt idx="3873">
                  <c:v>12201239.515839847</c:v>
                </c:pt>
                <c:pt idx="3874">
                  <c:v>12204389.848789973</c:v>
                </c:pt>
                <c:pt idx="3875">
                  <c:v>12207540.1817401</c:v>
                </c:pt>
                <c:pt idx="3876">
                  <c:v>12210690.514690226</c:v>
                </c:pt>
                <c:pt idx="3877">
                  <c:v>12213840.847640354</c:v>
                </c:pt>
                <c:pt idx="3878">
                  <c:v>12216991.180590481</c:v>
                </c:pt>
                <c:pt idx="3879">
                  <c:v>12220141.513540607</c:v>
                </c:pt>
                <c:pt idx="3880">
                  <c:v>12223291.846490733</c:v>
                </c:pt>
                <c:pt idx="3881">
                  <c:v>12226442.17944086</c:v>
                </c:pt>
                <c:pt idx="3882">
                  <c:v>12229592.512390986</c:v>
                </c:pt>
                <c:pt idx="3883">
                  <c:v>12232742.845341112</c:v>
                </c:pt>
                <c:pt idx="3884">
                  <c:v>12235893.178291239</c:v>
                </c:pt>
                <c:pt idx="3885">
                  <c:v>12239043.511241365</c:v>
                </c:pt>
                <c:pt idx="3886">
                  <c:v>12242193.844191492</c:v>
                </c:pt>
                <c:pt idx="3887">
                  <c:v>12245344.177141618</c:v>
                </c:pt>
                <c:pt idx="3888">
                  <c:v>12248494.510091744</c:v>
                </c:pt>
                <c:pt idx="3889">
                  <c:v>12251644.843041871</c:v>
                </c:pt>
                <c:pt idx="3890">
                  <c:v>12254795.175991997</c:v>
                </c:pt>
                <c:pt idx="3891">
                  <c:v>12257945.508942124</c:v>
                </c:pt>
                <c:pt idx="3892">
                  <c:v>12261095.84189225</c:v>
                </c:pt>
                <c:pt idx="3893">
                  <c:v>12264246.174842376</c:v>
                </c:pt>
                <c:pt idx="3894">
                  <c:v>12267396.507792503</c:v>
                </c:pt>
                <c:pt idx="3895">
                  <c:v>12270546.840742629</c:v>
                </c:pt>
                <c:pt idx="3896">
                  <c:v>12273697.173692757</c:v>
                </c:pt>
                <c:pt idx="3897">
                  <c:v>12276847.506642884</c:v>
                </c:pt>
                <c:pt idx="3898">
                  <c:v>12279997.83959301</c:v>
                </c:pt>
                <c:pt idx="3899">
                  <c:v>12283148.172543136</c:v>
                </c:pt>
                <c:pt idx="3900">
                  <c:v>12286298.505493263</c:v>
                </c:pt>
                <c:pt idx="3901">
                  <c:v>12289448.838443389</c:v>
                </c:pt>
                <c:pt idx="3902">
                  <c:v>12292599.171393516</c:v>
                </c:pt>
                <c:pt idx="3903">
                  <c:v>12295749.504343642</c:v>
                </c:pt>
                <c:pt idx="3904">
                  <c:v>12298899.837293768</c:v>
                </c:pt>
                <c:pt idx="3905">
                  <c:v>12302050.170243895</c:v>
                </c:pt>
                <c:pt idx="3906">
                  <c:v>12305200.503194021</c:v>
                </c:pt>
                <c:pt idx="3907">
                  <c:v>12308350.836144147</c:v>
                </c:pt>
                <c:pt idx="3908">
                  <c:v>12311501.169094274</c:v>
                </c:pt>
                <c:pt idx="3909">
                  <c:v>12314651.5020444</c:v>
                </c:pt>
                <c:pt idx="3910">
                  <c:v>12317801.834994527</c:v>
                </c:pt>
                <c:pt idx="3911">
                  <c:v>12320952.167944653</c:v>
                </c:pt>
                <c:pt idx="3912">
                  <c:v>12324102.500894779</c:v>
                </c:pt>
                <c:pt idx="3913">
                  <c:v>12327252.833844906</c:v>
                </c:pt>
                <c:pt idx="3914">
                  <c:v>12330403.166795032</c:v>
                </c:pt>
                <c:pt idx="3915">
                  <c:v>12333553.499745158</c:v>
                </c:pt>
                <c:pt idx="3916">
                  <c:v>12336703.832695287</c:v>
                </c:pt>
                <c:pt idx="3917">
                  <c:v>12339854.165645413</c:v>
                </c:pt>
                <c:pt idx="3918">
                  <c:v>12343004.498595539</c:v>
                </c:pt>
                <c:pt idx="3919">
                  <c:v>12346154.831545666</c:v>
                </c:pt>
                <c:pt idx="3920">
                  <c:v>12349305.164495792</c:v>
                </c:pt>
                <c:pt idx="3921">
                  <c:v>12352455.497445919</c:v>
                </c:pt>
                <c:pt idx="3922">
                  <c:v>12355605.830396045</c:v>
                </c:pt>
                <c:pt idx="3923">
                  <c:v>12358756.163346171</c:v>
                </c:pt>
                <c:pt idx="3924">
                  <c:v>12361906.496296298</c:v>
                </c:pt>
                <c:pt idx="3925">
                  <c:v>12365056.829246424</c:v>
                </c:pt>
                <c:pt idx="3926">
                  <c:v>12368207.162196551</c:v>
                </c:pt>
                <c:pt idx="3927">
                  <c:v>12371357.495146677</c:v>
                </c:pt>
                <c:pt idx="3928">
                  <c:v>12374507.828096803</c:v>
                </c:pt>
                <c:pt idx="3929">
                  <c:v>12377658.16104693</c:v>
                </c:pt>
                <c:pt idx="3930">
                  <c:v>12380808.493997056</c:v>
                </c:pt>
                <c:pt idx="3931">
                  <c:v>12383958.826947182</c:v>
                </c:pt>
                <c:pt idx="3932">
                  <c:v>12387109.159897309</c:v>
                </c:pt>
                <c:pt idx="3933">
                  <c:v>12390259.492847435</c:v>
                </c:pt>
                <c:pt idx="3934">
                  <c:v>12393409.825797562</c:v>
                </c:pt>
                <c:pt idx="3935">
                  <c:v>12396560.15874769</c:v>
                </c:pt>
                <c:pt idx="3936">
                  <c:v>12399710.491697816</c:v>
                </c:pt>
                <c:pt idx="3937">
                  <c:v>12402860.824647943</c:v>
                </c:pt>
                <c:pt idx="3938">
                  <c:v>12406011.157598069</c:v>
                </c:pt>
                <c:pt idx="3939">
                  <c:v>12409161.490548195</c:v>
                </c:pt>
                <c:pt idx="3940">
                  <c:v>12412311.823498322</c:v>
                </c:pt>
                <c:pt idx="3941">
                  <c:v>12415462.156448448</c:v>
                </c:pt>
                <c:pt idx="3942">
                  <c:v>12418612.489398574</c:v>
                </c:pt>
                <c:pt idx="3943">
                  <c:v>12421762.822348701</c:v>
                </c:pt>
                <c:pt idx="3944">
                  <c:v>12424913.155298827</c:v>
                </c:pt>
                <c:pt idx="3945">
                  <c:v>12428063.488248954</c:v>
                </c:pt>
                <c:pt idx="3946">
                  <c:v>12431213.82119908</c:v>
                </c:pt>
                <c:pt idx="3947">
                  <c:v>12434364.154149206</c:v>
                </c:pt>
                <c:pt idx="3948">
                  <c:v>12437514.487099333</c:v>
                </c:pt>
                <c:pt idx="3949">
                  <c:v>12440664.820049459</c:v>
                </c:pt>
                <c:pt idx="3950">
                  <c:v>12443815.152999585</c:v>
                </c:pt>
                <c:pt idx="3951">
                  <c:v>12446965.485949712</c:v>
                </c:pt>
                <c:pt idx="3952">
                  <c:v>12450115.818899838</c:v>
                </c:pt>
                <c:pt idx="3953">
                  <c:v>12453266.151849965</c:v>
                </c:pt>
                <c:pt idx="3954">
                  <c:v>12456416.484800093</c:v>
                </c:pt>
                <c:pt idx="3955">
                  <c:v>12459566.817750219</c:v>
                </c:pt>
                <c:pt idx="3956">
                  <c:v>12462717.150700346</c:v>
                </c:pt>
                <c:pt idx="3957">
                  <c:v>12465867.483650472</c:v>
                </c:pt>
                <c:pt idx="3958">
                  <c:v>12469017.816600598</c:v>
                </c:pt>
                <c:pt idx="3959">
                  <c:v>12472168.149550725</c:v>
                </c:pt>
                <c:pt idx="3960">
                  <c:v>12475318.482500851</c:v>
                </c:pt>
                <c:pt idx="3961">
                  <c:v>12478468.815450978</c:v>
                </c:pt>
                <c:pt idx="3962">
                  <c:v>12481619.148401104</c:v>
                </c:pt>
                <c:pt idx="3963">
                  <c:v>12484769.48135123</c:v>
                </c:pt>
                <c:pt idx="3964">
                  <c:v>12487919.814301357</c:v>
                </c:pt>
                <c:pt idx="3965">
                  <c:v>12491070.147251483</c:v>
                </c:pt>
                <c:pt idx="3966">
                  <c:v>12494220.480201609</c:v>
                </c:pt>
                <c:pt idx="3967">
                  <c:v>12497370.813151736</c:v>
                </c:pt>
                <c:pt idx="3968">
                  <c:v>12500521.146101862</c:v>
                </c:pt>
                <c:pt idx="3969">
                  <c:v>12503671.479051989</c:v>
                </c:pt>
                <c:pt idx="3970">
                  <c:v>12506821.812002115</c:v>
                </c:pt>
                <c:pt idx="3971">
                  <c:v>12509972.144952241</c:v>
                </c:pt>
                <c:pt idx="3972">
                  <c:v>12513122.477902368</c:v>
                </c:pt>
                <c:pt idx="3973">
                  <c:v>12516272.810852496</c:v>
                </c:pt>
                <c:pt idx="3974">
                  <c:v>12519423.143802622</c:v>
                </c:pt>
                <c:pt idx="3975">
                  <c:v>12522573.476752749</c:v>
                </c:pt>
                <c:pt idx="3976">
                  <c:v>12525723.809702875</c:v>
                </c:pt>
                <c:pt idx="3977">
                  <c:v>12528874.142653001</c:v>
                </c:pt>
                <c:pt idx="3978">
                  <c:v>12532024.475603128</c:v>
                </c:pt>
                <c:pt idx="3979">
                  <c:v>12535174.808553254</c:v>
                </c:pt>
                <c:pt idx="3980">
                  <c:v>12538325.141503381</c:v>
                </c:pt>
                <c:pt idx="3981">
                  <c:v>12541475.474453507</c:v>
                </c:pt>
                <c:pt idx="3982">
                  <c:v>12544625.807403633</c:v>
                </c:pt>
                <c:pt idx="3983">
                  <c:v>12547776.14035376</c:v>
                </c:pt>
                <c:pt idx="3984">
                  <c:v>12550926.473303886</c:v>
                </c:pt>
                <c:pt idx="3985">
                  <c:v>12554076.806254013</c:v>
                </c:pt>
                <c:pt idx="3986">
                  <c:v>12557227.139204139</c:v>
                </c:pt>
                <c:pt idx="3987">
                  <c:v>12560377.472154265</c:v>
                </c:pt>
                <c:pt idx="3988">
                  <c:v>12563527.805104392</c:v>
                </c:pt>
                <c:pt idx="3989">
                  <c:v>12566678.138054518</c:v>
                </c:pt>
                <c:pt idx="3990">
                  <c:v>12569828.471004644</c:v>
                </c:pt>
                <c:pt idx="3991">
                  <c:v>12572978.803954771</c:v>
                </c:pt>
                <c:pt idx="3992">
                  <c:v>12576129.136904899</c:v>
                </c:pt>
                <c:pt idx="3993">
                  <c:v>12579279.469855025</c:v>
                </c:pt>
                <c:pt idx="3994">
                  <c:v>12582429.802805152</c:v>
                </c:pt>
                <c:pt idx="3995">
                  <c:v>12585580.135755278</c:v>
                </c:pt>
                <c:pt idx="3996">
                  <c:v>12588730.468705405</c:v>
                </c:pt>
                <c:pt idx="3997">
                  <c:v>12591880.801655531</c:v>
                </c:pt>
                <c:pt idx="3998">
                  <c:v>12595031.134605657</c:v>
                </c:pt>
                <c:pt idx="3999">
                  <c:v>12598181.467555784</c:v>
                </c:pt>
                <c:pt idx="4000">
                  <c:v>12601331.80050591</c:v>
                </c:pt>
                <c:pt idx="4001">
                  <c:v>12604482.133456036</c:v>
                </c:pt>
                <c:pt idx="4002">
                  <c:v>12607632.466406163</c:v>
                </c:pt>
                <c:pt idx="4003">
                  <c:v>12610782.799356289</c:v>
                </c:pt>
                <c:pt idx="4004">
                  <c:v>12613933.132306416</c:v>
                </c:pt>
                <c:pt idx="4005">
                  <c:v>12617083.465256542</c:v>
                </c:pt>
                <c:pt idx="4006">
                  <c:v>12620233.798206668</c:v>
                </c:pt>
                <c:pt idx="4007">
                  <c:v>12623384.131156795</c:v>
                </c:pt>
                <c:pt idx="4008">
                  <c:v>12626534.464106921</c:v>
                </c:pt>
                <c:pt idx="4009">
                  <c:v>12629684.797057047</c:v>
                </c:pt>
                <c:pt idx="4010">
                  <c:v>12632835.130007174</c:v>
                </c:pt>
                <c:pt idx="4011">
                  <c:v>12635985.462957302</c:v>
                </c:pt>
                <c:pt idx="4012">
                  <c:v>12639135.795907428</c:v>
                </c:pt>
                <c:pt idx="4013">
                  <c:v>12642286.128857555</c:v>
                </c:pt>
                <c:pt idx="4014">
                  <c:v>12645436.461807681</c:v>
                </c:pt>
                <c:pt idx="4015">
                  <c:v>12648586.794757808</c:v>
                </c:pt>
                <c:pt idx="4016">
                  <c:v>12651737.127707934</c:v>
                </c:pt>
                <c:pt idx="4017">
                  <c:v>12654887.46065806</c:v>
                </c:pt>
                <c:pt idx="4018">
                  <c:v>12658037.793608187</c:v>
                </c:pt>
                <c:pt idx="4019">
                  <c:v>12661188.126558313</c:v>
                </c:pt>
                <c:pt idx="4020">
                  <c:v>12664338.45950844</c:v>
                </c:pt>
                <c:pt idx="4021">
                  <c:v>12667488.792458566</c:v>
                </c:pt>
                <c:pt idx="4022">
                  <c:v>12670639.125408692</c:v>
                </c:pt>
                <c:pt idx="4023">
                  <c:v>12673789.458358819</c:v>
                </c:pt>
                <c:pt idx="4024">
                  <c:v>12676939.791308945</c:v>
                </c:pt>
                <c:pt idx="4025">
                  <c:v>12680090.124259071</c:v>
                </c:pt>
                <c:pt idx="4026">
                  <c:v>12683240.457209198</c:v>
                </c:pt>
                <c:pt idx="4027">
                  <c:v>12686390.790159324</c:v>
                </c:pt>
                <c:pt idx="4028">
                  <c:v>12689541.123109451</c:v>
                </c:pt>
                <c:pt idx="4029">
                  <c:v>12692691.456059577</c:v>
                </c:pt>
                <c:pt idx="4030">
                  <c:v>12695841.789009705</c:v>
                </c:pt>
                <c:pt idx="4031">
                  <c:v>12698992.121959832</c:v>
                </c:pt>
                <c:pt idx="4032">
                  <c:v>12702142.454909958</c:v>
                </c:pt>
                <c:pt idx="4033">
                  <c:v>12705292.787860084</c:v>
                </c:pt>
                <c:pt idx="4034">
                  <c:v>12708443.120810211</c:v>
                </c:pt>
                <c:pt idx="4035">
                  <c:v>12711593.453760337</c:v>
                </c:pt>
                <c:pt idx="4036">
                  <c:v>12714743.786710463</c:v>
                </c:pt>
                <c:pt idx="4037">
                  <c:v>12717894.11966059</c:v>
                </c:pt>
                <c:pt idx="4038">
                  <c:v>12721044.452610716</c:v>
                </c:pt>
                <c:pt idx="4039">
                  <c:v>12724194.785560843</c:v>
                </c:pt>
                <c:pt idx="4040">
                  <c:v>12727345.118510969</c:v>
                </c:pt>
                <c:pt idx="4041">
                  <c:v>12730495.451461095</c:v>
                </c:pt>
                <c:pt idx="4042">
                  <c:v>12733645.784411222</c:v>
                </c:pt>
                <c:pt idx="4043">
                  <c:v>12736796.117361348</c:v>
                </c:pt>
                <c:pt idx="4044">
                  <c:v>12739946.450311475</c:v>
                </c:pt>
                <c:pt idx="4045">
                  <c:v>12743096.783261601</c:v>
                </c:pt>
                <c:pt idx="4046">
                  <c:v>12746247.116211727</c:v>
                </c:pt>
                <c:pt idx="4047">
                  <c:v>12749397.449161854</c:v>
                </c:pt>
                <c:pt idx="4048">
                  <c:v>12752547.78211198</c:v>
                </c:pt>
                <c:pt idx="4049">
                  <c:v>12755698.115062108</c:v>
                </c:pt>
                <c:pt idx="4050">
                  <c:v>12758848.448012235</c:v>
                </c:pt>
                <c:pt idx="4051">
                  <c:v>12761998.780962361</c:v>
                </c:pt>
                <c:pt idx="4052">
                  <c:v>12765149.113912487</c:v>
                </c:pt>
                <c:pt idx="4053">
                  <c:v>12768299.446862614</c:v>
                </c:pt>
                <c:pt idx="4054">
                  <c:v>12771449.77981274</c:v>
                </c:pt>
                <c:pt idx="4055">
                  <c:v>12774600.112762867</c:v>
                </c:pt>
                <c:pt idx="4056">
                  <c:v>12777750.445712993</c:v>
                </c:pt>
                <c:pt idx="4057">
                  <c:v>12780900.778663119</c:v>
                </c:pt>
                <c:pt idx="4058">
                  <c:v>12784051.111613246</c:v>
                </c:pt>
                <c:pt idx="4059">
                  <c:v>12787201.444563372</c:v>
                </c:pt>
                <c:pt idx="4060">
                  <c:v>12790351.777513498</c:v>
                </c:pt>
                <c:pt idx="4061">
                  <c:v>12793502.110463625</c:v>
                </c:pt>
                <c:pt idx="4062">
                  <c:v>12796652.443413751</c:v>
                </c:pt>
                <c:pt idx="4063">
                  <c:v>12799802.776363878</c:v>
                </c:pt>
                <c:pt idx="4064">
                  <c:v>12802953.109314004</c:v>
                </c:pt>
                <c:pt idx="4065">
                  <c:v>12806103.44226413</c:v>
                </c:pt>
                <c:pt idx="4066">
                  <c:v>12809253.775214257</c:v>
                </c:pt>
                <c:pt idx="4067">
                  <c:v>12812404.108164383</c:v>
                </c:pt>
                <c:pt idx="4068">
                  <c:v>12815554.441114511</c:v>
                </c:pt>
                <c:pt idx="4069">
                  <c:v>12818704.774064638</c:v>
                </c:pt>
                <c:pt idx="4070">
                  <c:v>12821855.107014764</c:v>
                </c:pt>
                <c:pt idx="4071">
                  <c:v>12825005.43996489</c:v>
                </c:pt>
                <c:pt idx="4072">
                  <c:v>12828155.772915017</c:v>
                </c:pt>
                <c:pt idx="4073">
                  <c:v>12831306.105865143</c:v>
                </c:pt>
                <c:pt idx="4074">
                  <c:v>12834456.43881527</c:v>
                </c:pt>
                <c:pt idx="4075">
                  <c:v>12837606.771765396</c:v>
                </c:pt>
                <c:pt idx="4076">
                  <c:v>12840757.104715522</c:v>
                </c:pt>
                <c:pt idx="4077">
                  <c:v>12843907.437665649</c:v>
                </c:pt>
                <c:pt idx="4078">
                  <c:v>12847057.770615775</c:v>
                </c:pt>
                <c:pt idx="4079">
                  <c:v>12850208.103565902</c:v>
                </c:pt>
                <c:pt idx="4080">
                  <c:v>12853358.436516028</c:v>
                </c:pt>
                <c:pt idx="4081">
                  <c:v>12856508.769466154</c:v>
                </c:pt>
                <c:pt idx="4082">
                  <c:v>12859659.102416281</c:v>
                </c:pt>
                <c:pt idx="4083">
                  <c:v>12862809.435366407</c:v>
                </c:pt>
                <c:pt idx="4084">
                  <c:v>12865959.768316533</c:v>
                </c:pt>
                <c:pt idx="4085">
                  <c:v>12869110.10126666</c:v>
                </c:pt>
                <c:pt idx="4086">
                  <c:v>12872260.434216786</c:v>
                </c:pt>
                <c:pt idx="4087">
                  <c:v>12875410.767166914</c:v>
                </c:pt>
                <c:pt idx="4088">
                  <c:v>12878561.100117041</c:v>
                </c:pt>
                <c:pt idx="4089">
                  <c:v>12881711.433067167</c:v>
                </c:pt>
                <c:pt idx="4090">
                  <c:v>12884861.766017294</c:v>
                </c:pt>
                <c:pt idx="4091">
                  <c:v>12888012.09896742</c:v>
                </c:pt>
                <c:pt idx="4092">
                  <c:v>12891162.431917546</c:v>
                </c:pt>
                <c:pt idx="4093">
                  <c:v>12894312.764867673</c:v>
                </c:pt>
                <c:pt idx="4094">
                  <c:v>12897463.097817799</c:v>
                </c:pt>
                <c:pt idx="4095">
                  <c:v>12900613.430767925</c:v>
                </c:pt>
                <c:pt idx="4096">
                  <c:v>12903763.763718052</c:v>
                </c:pt>
                <c:pt idx="4097">
                  <c:v>12906914.096668178</c:v>
                </c:pt>
                <c:pt idx="4098">
                  <c:v>12910064.429618305</c:v>
                </c:pt>
                <c:pt idx="4099">
                  <c:v>12913214.762568431</c:v>
                </c:pt>
                <c:pt idx="4100">
                  <c:v>12916365.095518557</c:v>
                </c:pt>
                <c:pt idx="4101">
                  <c:v>12919515.428468684</c:v>
                </c:pt>
                <c:pt idx="4102">
                  <c:v>12922665.76141881</c:v>
                </c:pt>
                <c:pt idx="4103">
                  <c:v>12925816.094368936</c:v>
                </c:pt>
                <c:pt idx="4104">
                  <c:v>12928966.427319063</c:v>
                </c:pt>
                <c:pt idx="4105">
                  <c:v>12932116.760269189</c:v>
                </c:pt>
                <c:pt idx="4106">
                  <c:v>12935267.093219317</c:v>
                </c:pt>
                <c:pt idx="4107">
                  <c:v>12938417.426169444</c:v>
                </c:pt>
                <c:pt idx="4108">
                  <c:v>12941567.75911957</c:v>
                </c:pt>
                <c:pt idx="4109">
                  <c:v>12944718.092069697</c:v>
                </c:pt>
                <c:pt idx="4110">
                  <c:v>12947868.425019823</c:v>
                </c:pt>
                <c:pt idx="4111">
                  <c:v>12951018.757969949</c:v>
                </c:pt>
                <c:pt idx="4112">
                  <c:v>12954169.090920076</c:v>
                </c:pt>
                <c:pt idx="4113">
                  <c:v>12957319.423870202</c:v>
                </c:pt>
                <c:pt idx="4114">
                  <c:v>12960469.756820329</c:v>
                </c:pt>
                <c:pt idx="4115">
                  <c:v>12963620.089770455</c:v>
                </c:pt>
                <c:pt idx="4116">
                  <c:v>12966770.422720581</c:v>
                </c:pt>
                <c:pt idx="4117">
                  <c:v>12969920.755670708</c:v>
                </c:pt>
                <c:pt idx="4118">
                  <c:v>12973071.088620834</c:v>
                </c:pt>
                <c:pt idx="4119">
                  <c:v>12976221.42157096</c:v>
                </c:pt>
                <c:pt idx="4120">
                  <c:v>12979371.754521087</c:v>
                </c:pt>
                <c:pt idx="4121">
                  <c:v>12982522.087471213</c:v>
                </c:pt>
                <c:pt idx="4122">
                  <c:v>12985672.42042134</c:v>
                </c:pt>
                <c:pt idx="4123">
                  <c:v>12988822.753371466</c:v>
                </c:pt>
                <c:pt idx="4124">
                  <c:v>12991973.086321592</c:v>
                </c:pt>
                <c:pt idx="4125">
                  <c:v>12995123.419271721</c:v>
                </c:pt>
                <c:pt idx="4126">
                  <c:v>12998273.752221847</c:v>
                </c:pt>
                <c:pt idx="4127">
                  <c:v>13001424.085171973</c:v>
                </c:pt>
                <c:pt idx="4128">
                  <c:v>13004574.4181221</c:v>
                </c:pt>
                <c:pt idx="4129">
                  <c:v>13007724.751072226</c:v>
                </c:pt>
                <c:pt idx="4130">
                  <c:v>13010875.084022352</c:v>
                </c:pt>
                <c:pt idx="4131">
                  <c:v>13014025.416972479</c:v>
                </c:pt>
                <c:pt idx="4132">
                  <c:v>13017175.749922605</c:v>
                </c:pt>
                <c:pt idx="4133">
                  <c:v>13020326.082872732</c:v>
                </c:pt>
                <c:pt idx="4134">
                  <c:v>13023476.415822858</c:v>
                </c:pt>
                <c:pt idx="4135">
                  <c:v>13026626.748772984</c:v>
                </c:pt>
                <c:pt idx="4136">
                  <c:v>13029777.081723111</c:v>
                </c:pt>
                <c:pt idx="4137">
                  <c:v>13032927.414673237</c:v>
                </c:pt>
                <c:pt idx="4138">
                  <c:v>13036077.747623364</c:v>
                </c:pt>
                <c:pt idx="4139">
                  <c:v>13039228.08057349</c:v>
                </c:pt>
                <c:pt idx="4140">
                  <c:v>13042378.413523616</c:v>
                </c:pt>
                <c:pt idx="4141">
                  <c:v>13045528.746473743</c:v>
                </c:pt>
                <c:pt idx="4142">
                  <c:v>13048679.079423869</c:v>
                </c:pt>
                <c:pt idx="4143">
                  <c:v>13051829.412373995</c:v>
                </c:pt>
                <c:pt idx="4144">
                  <c:v>13054979.745324124</c:v>
                </c:pt>
                <c:pt idx="4145">
                  <c:v>13058130.07827425</c:v>
                </c:pt>
                <c:pt idx="4146">
                  <c:v>13061280.411224376</c:v>
                </c:pt>
                <c:pt idx="4147">
                  <c:v>13064430.744174503</c:v>
                </c:pt>
                <c:pt idx="4148">
                  <c:v>13067581.077124629</c:v>
                </c:pt>
                <c:pt idx="4149">
                  <c:v>13070731.410074756</c:v>
                </c:pt>
                <c:pt idx="4150">
                  <c:v>13073881.743024882</c:v>
                </c:pt>
                <c:pt idx="4151">
                  <c:v>13077032.075975008</c:v>
                </c:pt>
                <c:pt idx="4152">
                  <c:v>13080182.408925135</c:v>
                </c:pt>
                <c:pt idx="4153">
                  <c:v>13083332.741875261</c:v>
                </c:pt>
                <c:pt idx="4154">
                  <c:v>13086483.074825387</c:v>
                </c:pt>
                <c:pt idx="4155">
                  <c:v>13089633.407775514</c:v>
                </c:pt>
                <c:pt idx="4156">
                  <c:v>13092783.74072564</c:v>
                </c:pt>
                <c:pt idx="4157">
                  <c:v>13095934.073675767</c:v>
                </c:pt>
                <c:pt idx="4158">
                  <c:v>13099084.406625893</c:v>
                </c:pt>
                <c:pt idx="4159">
                  <c:v>13102234.739576019</c:v>
                </c:pt>
                <c:pt idx="4160">
                  <c:v>13105385.072526146</c:v>
                </c:pt>
                <c:pt idx="4161">
                  <c:v>13108535.405476272</c:v>
                </c:pt>
                <c:pt idx="4162">
                  <c:v>13111685.738426398</c:v>
                </c:pt>
                <c:pt idx="4163">
                  <c:v>13114836.071376527</c:v>
                </c:pt>
                <c:pt idx="4164">
                  <c:v>13117986.404326653</c:v>
                </c:pt>
                <c:pt idx="4165">
                  <c:v>13121136.737276779</c:v>
                </c:pt>
                <c:pt idx="4166">
                  <c:v>13124287.070226906</c:v>
                </c:pt>
                <c:pt idx="4167">
                  <c:v>13127437.403177032</c:v>
                </c:pt>
                <c:pt idx="4168">
                  <c:v>13130587.736127159</c:v>
                </c:pt>
                <c:pt idx="4169">
                  <c:v>13133738.069077285</c:v>
                </c:pt>
                <c:pt idx="4170">
                  <c:v>13136888.402027411</c:v>
                </c:pt>
                <c:pt idx="4171">
                  <c:v>13140038.734977538</c:v>
                </c:pt>
                <c:pt idx="4172">
                  <c:v>13143189.067927664</c:v>
                </c:pt>
                <c:pt idx="4173">
                  <c:v>13146339.400877791</c:v>
                </c:pt>
                <c:pt idx="4174">
                  <c:v>13149489.733827917</c:v>
                </c:pt>
                <c:pt idx="4175">
                  <c:v>13152640.066778043</c:v>
                </c:pt>
                <c:pt idx="4176">
                  <c:v>13155790.39972817</c:v>
                </c:pt>
                <c:pt idx="4177">
                  <c:v>13158940.732678296</c:v>
                </c:pt>
                <c:pt idx="4178">
                  <c:v>13162091.065628422</c:v>
                </c:pt>
                <c:pt idx="4179">
                  <c:v>13165241.398578549</c:v>
                </c:pt>
                <c:pt idx="4180">
                  <c:v>13168391.731528675</c:v>
                </c:pt>
                <c:pt idx="4181">
                  <c:v>13171542.064478802</c:v>
                </c:pt>
                <c:pt idx="4182">
                  <c:v>13174692.39742893</c:v>
                </c:pt>
                <c:pt idx="4183">
                  <c:v>13177842.730379056</c:v>
                </c:pt>
                <c:pt idx="4184">
                  <c:v>13180993.063329183</c:v>
                </c:pt>
                <c:pt idx="4185">
                  <c:v>13184143.396279309</c:v>
                </c:pt>
                <c:pt idx="4186">
                  <c:v>13187293.729229435</c:v>
                </c:pt>
                <c:pt idx="4187">
                  <c:v>13190444.062179562</c:v>
                </c:pt>
                <c:pt idx="4188">
                  <c:v>13193594.395129688</c:v>
                </c:pt>
                <c:pt idx="4189">
                  <c:v>13196744.728079814</c:v>
                </c:pt>
                <c:pt idx="4190">
                  <c:v>13199895.061029941</c:v>
                </c:pt>
                <c:pt idx="4191">
                  <c:v>13203045.393980067</c:v>
                </c:pt>
                <c:pt idx="4192">
                  <c:v>13206195.726930194</c:v>
                </c:pt>
                <c:pt idx="4193">
                  <c:v>13209346.05988032</c:v>
                </c:pt>
                <c:pt idx="4194">
                  <c:v>13212496.392830446</c:v>
                </c:pt>
                <c:pt idx="4195">
                  <c:v>13215646.725780573</c:v>
                </c:pt>
                <c:pt idx="4196">
                  <c:v>13218797.058730699</c:v>
                </c:pt>
                <c:pt idx="4197">
                  <c:v>13221947.391680826</c:v>
                </c:pt>
                <c:pt idx="4198">
                  <c:v>13225097.724630952</c:v>
                </c:pt>
                <c:pt idx="4199">
                  <c:v>13228248.057581078</c:v>
                </c:pt>
                <c:pt idx="4200">
                  <c:v>13231398.390531205</c:v>
                </c:pt>
                <c:pt idx="4201">
                  <c:v>13234548.723481333</c:v>
                </c:pt>
                <c:pt idx="4202">
                  <c:v>13237699.056431459</c:v>
                </c:pt>
                <c:pt idx="4203">
                  <c:v>13240849.389381586</c:v>
                </c:pt>
                <c:pt idx="4204">
                  <c:v>13243999.722331712</c:v>
                </c:pt>
                <c:pt idx="4205">
                  <c:v>13247150.055281838</c:v>
                </c:pt>
                <c:pt idx="4206">
                  <c:v>13250300.388231965</c:v>
                </c:pt>
                <c:pt idx="4207">
                  <c:v>13253450.721182091</c:v>
                </c:pt>
                <c:pt idx="4208">
                  <c:v>13256601.054132218</c:v>
                </c:pt>
                <c:pt idx="4209">
                  <c:v>13259751.387082344</c:v>
                </c:pt>
                <c:pt idx="4210">
                  <c:v>13262901.72003247</c:v>
                </c:pt>
                <c:pt idx="4211">
                  <c:v>13266052.052982597</c:v>
                </c:pt>
                <c:pt idx="4212">
                  <c:v>13269202.385932723</c:v>
                </c:pt>
                <c:pt idx="4213">
                  <c:v>13272352.718882849</c:v>
                </c:pt>
                <c:pt idx="4214">
                  <c:v>13275503.051832976</c:v>
                </c:pt>
                <c:pt idx="4215">
                  <c:v>13278653.384783102</c:v>
                </c:pt>
                <c:pt idx="4216">
                  <c:v>13281803.717733229</c:v>
                </c:pt>
                <c:pt idx="4217">
                  <c:v>13284954.050683355</c:v>
                </c:pt>
                <c:pt idx="4218">
                  <c:v>13288104.383633481</c:v>
                </c:pt>
                <c:pt idx="4219">
                  <c:v>13291254.716583608</c:v>
                </c:pt>
                <c:pt idx="4220">
                  <c:v>13294405.049533736</c:v>
                </c:pt>
                <c:pt idx="4221">
                  <c:v>13297555.382483862</c:v>
                </c:pt>
                <c:pt idx="4222">
                  <c:v>13300705.715433989</c:v>
                </c:pt>
                <c:pt idx="4223">
                  <c:v>13303856.048384115</c:v>
                </c:pt>
                <c:pt idx="4224">
                  <c:v>13307006.381334241</c:v>
                </c:pt>
                <c:pt idx="4225">
                  <c:v>13310156.714284368</c:v>
                </c:pt>
                <c:pt idx="4226">
                  <c:v>13313307.047234494</c:v>
                </c:pt>
                <c:pt idx="4227">
                  <c:v>13316457.380184621</c:v>
                </c:pt>
                <c:pt idx="4228">
                  <c:v>13319607.713134747</c:v>
                </c:pt>
                <c:pt idx="4229">
                  <c:v>13322758.046084873</c:v>
                </c:pt>
                <c:pt idx="4230">
                  <c:v>13325908.379035</c:v>
                </c:pt>
                <c:pt idx="4231">
                  <c:v>13329058.711985126</c:v>
                </c:pt>
                <c:pt idx="4232">
                  <c:v>13332209.044935253</c:v>
                </c:pt>
                <c:pt idx="4233">
                  <c:v>13335359.377885379</c:v>
                </c:pt>
                <c:pt idx="4234">
                  <c:v>13338509.710835505</c:v>
                </c:pt>
                <c:pt idx="4235">
                  <c:v>13341660.043785632</c:v>
                </c:pt>
                <c:pt idx="4236">
                  <c:v>13344810.376735758</c:v>
                </c:pt>
                <c:pt idx="4237">
                  <c:v>13347960.709685884</c:v>
                </c:pt>
                <c:pt idx="4238">
                  <c:v>13351111.042636011</c:v>
                </c:pt>
                <c:pt idx="4239">
                  <c:v>13354261.375586139</c:v>
                </c:pt>
                <c:pt idx="4240">
                  <c:v>13357411.708536265</c:v>
                </c:pt>
                <c:pt idx="4241">
                  <c:v>13360562.041486392</c:v>
                </c:pt>
                <c:pt idx="4242">
                  <c:v>13363712.374436518</c:v>
                </c:pt>
                <c:pt idx="4243">
                  <c:v>13366862.707386645</c:v>
                </c:pt>
                <c:pt idx="4244">
                  <c:v>13370013.040336771</c:v>
                </c:pt>
                <c:pt idx="4245">
                  <c:v>13373163.373286897</c:v>
                </c:pt>
                <c:pt idx="4246">
                  <c:v>13376313.706237024</c:v>
                </c:pt>
                <c:pt idx="4247">
                  <c:v>13379464.03918715</c:v>
                </c:pt>
                <c:pt idx="4248">
                  <c:v>13382614.372137276</c:v>
                </c:pt>
                <c:pt idx="4249">
                  <c:v>13385764.705087403</c:v>
                </c:pt>
                <c:pt idx="4250">
                  <c:v>13388915.038037529</c:v>
                </c:pt>
                <c:pt idx="4251">
                  <c:v>13392065.370987656</c:v>
                </c:pt>
                <c:pt idx="4252">
                  <c:v>13395215.703937782</c:v>
                </c:pt>
                <c:pt idx="4253">
                  <c:v>13398366.036887908</c:v>
                </c:pt>
                <c:pt idx="4254">
                  <c:v>13401516.369838035</c:v>
                </c:pt>
                <c:pt idx="4255">
                  <c:v>13404666.702788161</c:v>
                </c:pt>
                <c:pt idx="4256">
                  <c:v>13407817.035738287</c:v>
                </c:pt>
                <c:pt idx="4257">
                  <c:v>13410967.368688414</c:v>
                </c:pt>
                <c:pt idx="4258">
                  <c:v>13414117.701638542</c:v>
                </c:pt>
                <c:pt idx="4259">
                  <c:v>13417268.034588668</c:v>
                </c:pt>
                <c:pt idx="4260">
                  <c:v>13420418.367538795</c:v>
                </c:pt>
                <c:pt idx="4261">
                  <c:v>13423568.700488921</c:v>
                </c:pt>
                <c:pt idx="4262">
                  <c:v>13426719.033439048</c:v>
                </c:pt>
                <c:pt idx="4263">
                  <c:v>13429869.366389174</c:v>
                </c:pt>
                <c:pt idx="4264">
                  <c:v>13433019.6993393</c:v>
                </c:pt>
                <c:pt idx="4265">
                  <c:v>13436170.032289427</c:v>
                </c:pt>
                <c:pt idx="4266">
                  <c:v>13439320.365239553</c:v>
                </c:pt>
                <c:pt idx="4267">
                  <c:v>13442470.69818968</c:v>
                </c:pt>
                <c:pt idx="4268">
                  <c:v>13445621.031139806</c:v>
                </c:pt>
                <c:pt idx="4269">
                  <c:v>13448771.364089932</c:v>
                </c:pt>
                <c:pt idx="4270">
                  <c:v>13451921.697040059</c:v>
                </c:pt>
                <c:pt idx="4271">
                  <c:v>13455072.029990185</c:v>
                </c:pt>
                <c:pt idx="4272">
                  <c:v>13458222.362940311</c:v>
                </c:pt>
                <c:pt idx="4273">
                  <c:v>13461372.695890438</c:v>
                </c:pt>
                <c:pt idx="4274">
                  <c:v>13464523.028840564</c:v>
                </c:pt>
                <c:pt idx="4275">
                  <c:v>13467673.361790691</c:v>
                </c:pt>
                <c:pt idx="4276">
                  <c:v>13470823.694740817</c:v>
                </c:pt>
                <c:pt idx="4277">
                  <c:v>13473974.027690945</c:v>
                </c:pt>
                <c:pt idx="4278">
                  <c:v>13477124.360641072</c:v>
                </c:pt>
                <c:pt idx="4279">
                  <c:v>13480274.693591198</c:v>
                </c:pt>
                <c:pt idx="4280">
                  <c:v>13483425.026541324</c:v>
                </c:pt>
                <c:pt idx="4281">
                  <c:v>13486575.359491451</c:v>
                </c:pt>
                <c:pt idx="4282">
                  <c:v>13489725.692441577</c:v>
                </c:pt>
                <c:pt idx="4283">
                  <c:v>13492876.025391703</c:v>
                </c:pt>
                <c:pt idx="4284">
                  <c:v>13496026.35834183</c:v>
                </c:pt>
                <c:pt idx="4285">
                  <c:v>13499176.691291956</c:v>
                </c:pt>
                <c:pt idx="4286">
                  <c:v>13502327.024242083</c:v>
                </c:pt>
                <c:pt idx="4287">
                  <c:v>13505477.357192209</c:v>
                </c:pt>
                <c:pt idx="4288">
                  <c:v>13508627.690142335</c:v>
                </c:pt>
                <c:pt idx="4289">
                  <c:v>13511778.023092462</c:v>
                </c:pt>
                <c:pt idx="4290">
                  <c:v>13514928.356042588</c:v>
                </c:pt>
                <c:pt idx="4291">
                  <c:v>13518078.688992715</c:v>
                </c:pt>
                <c:pt idx="4292">
                  <c:v>13521229.021942841</c:v>
                </c:pt>
                <c:pt idx="4293">
                  <c:v>13524379.354892967</c:v>
                </c:pt>
                <c:pt idx="4294">
                  <c:v>13527529.687843094</c:v>
                </c:pt>
                <c:pt idx="4295">
                  <c:v>13530680.02079322</c:v>
                </c:pt>
                <c:pt idx="4296">
                  <c:v>13533830.353743346</c:v>
                </c:pt>
                <c:pt idx="4297">
                  <c:v>13536980.686693475</c:v>
                </c:pt>
                <c:pt idx="4298">
                  <c:v>13540131.019643601</c:v>
                </c:pt>
                <c:pt idx="4299">
                  <c:v>13543281.352593727</c:v>
                </c:pt>
                <c:pt idx="4300">
                  <c:v>13546431.685543854</c:v>
                </c:pt>
                <c:pt idx="4301">
                  <c:v>13549582.01849398</c:v>
                </c:pt>
                <c:pt idx="4302">
                  <c:v>13552732.351444107</c:v>
                </c:pt>
                <c:pt idx="4303">
                  <c:v>13555882.684394233</c:v>
                </c:pt>
                <c:pt idx="4304">
                  <c:v>13559033.017344359</c:v>
                </c:pt>
                <c:pt idx="4305">
                  <c:v>13562183.350294486</c:v>
                </c:pt>
                <c:pt idx="4306">
                  <c:v>13565333.683244612</c:v>
                </c:pt>
                <c:pt idx="4307">
                  <c:v>13568484.016194738</c:v>
                </c:pt>
                <c:pt idx="4308">
                  <c:v>13571634.349144865</c:v>
                </c:pt>
                <c:pt idx="4309">
                  <c:v>13574784.682094991</c:v>
                </c:pt>
                <c:pt idx="4310">
                  <c:v>13577935.015045118</c:v>
                </c:pt>
                <c:pt idx="4311">
                  <c:v>13581085.347995244</c:v>
                </c:pt>
                <c:pt idx="4312">
                  <c:v>13584235.68094537</c:v>
                </c:pt>
                <c:pt idx="4313">
                  <c:v>13587386.013895497</c:v>
                </c:pt>
                <c:pt idx="4314">
                  <c:v>13590536.346845623</c:v>
                </c:pt>
                <c:pt idx="4315">
                  <c:v>13593686.679795749</c:v>
                </c:pt>
                <c:pt idx="4316">
                  <c:v>13596837.012745878</c:v>
                </c:pt>
                <c:pt idx="4317">
                  <c:v>13599987.345696004</c:v>
                </c:pt>
                <c:pt idx="4318">
                  <c:v>13603137.67864613</c:v>
                </c:pt>
                <c:pt idx="4319">
                  <c:v>13606288.011596257</c:v>
                </c:pt>
                <c:pt idx="4320">
                  <c:v>13609438.344546383</c:v>
                </c:pt>
                <c:pt idx="4321">
                  <c:v>13612588.67749651</c:v>
                </c:pt>
                <c:pt idx="4322">
                  <c:v>13615739.010446636</c:v>
                </c:pt>
                <c:pt idx="4323">
                  <c:v>13618889.343396762</c:v>
                </c:pt>
                <c:pt idx="4324">
                  <c:v>13622039.676346889</c:v>
                </c:pt>
                <c:pt idx="4325">
                  <c:v>13625190.009297015</c:v>
                </c:pt>
                <c:pt idx="4326">
                  <c:v>13628340.342247142</c:v>
                </c:pt>
                <c:pt idx="4327">
                  <c:v>13631490.675197268</c:v>
                </c:pt>
                <c:pt idx="4328">
                  <c:v>13634641.008147394</c:v>
                </c:pt>
                <c:pt idx="4329">
                  <c:v>13637791.341097521</c:v>
                </c:pt>
                <c:pt idx="4330">
                  <c:v>13640941.674047647</c:v>
                </c:pt>
                <c:pt idx="4331">
                  <c:v>13644092.006997773</c:v>
                </c:pt>
                <c:pt idx="4332">
                  <c:v>13647242.3399479</c:v>
                </c:pt>
                <c:pt idx="4333">
                  <c:v>13650392.672898026</c:v>
                </c:pt>
                <c:pt idx="4334">
                  <c:v>13653543.005848153</c:v>
                </c:pt>
                <c:pt idx="4335">
                  <c:v>13656693.338798281</c:v>
                </c:pt>
                <c:pt idx="4336">
                  <c:v>13659843.671748407</c:v>
                </c:pt>
                <c:pt idx="4337">
                  <c:v>13662994.004698534</c:v>
                </c:pt>
                <c:pt idx="4338">
                  <c:v>13666144.33764866</c:v>
                </c:pt>
                <c:pt idx="4339">
                  <c:v>13669294.670598786</c:v>
                </c:pt>
                <c:pt idx="4340">
                  <c:v>13672445.003548913</c:v>
                </c:pt>
                <c:pt idx="4341">
                  <c:v>13675595.336499039</c:v>
                </c:pt>
                <c:pt idx="4342">
                  <c:v>13678745.669449165</c:v>
                </c:pt>
                <c:pt idx="4343">
                  <c:v>13681896.002399292</c:v>
                </c:pt>
                <c:pt idx="4344">
                  <c:v>13685046.335349418</c:v>
                </c:pt>
                <c:pt idx="4345">
                  <c:v>13688196.668299545</c:v>
                </c:pt>
                <c:pt idx="4346">
                  <c:v>13691347.001249671</c:v>
                </c:pt>
                <c:pt idx="4347">
                  <c:v>13694497.334199797</c:v>
                </c:pt>
                <c:pt idx="4348">
                  <c:v>13697647.667149924</c:v>
                </c:pt>
                <c:pt idx="4349">
                  <c:v>13700798.00010005</c:v>
                </c:pt>
                <c:pt idx="4350">
                  <c:v>13703948.333050177</c:v>
                </c:pt>
                <c:pt idx="4351">
                  <c:v>13707098.666000303</c:v>
                </c:pt>
                <c:pt idx="4352">
                  <c:v>13710248.998950429</c:v>
                </c:pt>
                <c:pt idx="4353">
                  <c:v>13713399.331900556</c:v>
                </c:pt>
                <c:pt idx="4354">
                  <c:v>13716549.664850684</c:v>
                </c:pt>
                <c:pt idx="4355">
                  <c:v>13719699.99780081</c:v>
                </c:pt>
                <c:pt idx="4356">
                  <c:v>13722850.330750937</c:v>
                </c:pt>
                <c:pt idx="4357">
                  <c:v>13726000.663701063</c:v>
                </c:pt>
                <c:pt idx="4358">
                  <c:v>13729150.996651189</c:v>
                </c:pt>
                <c:pt idx="4359">
                  <c:v>13732301.329601316</c:v>
                </c:pt>
                <c:pt idx="4360">
                  <c:v>13735451.662551442</c:v>
                </c:pt>
                <c:pt idx="4361">
                  <c:v>13738601.995501569</c:v>
                </c:pt>
                <c:pt idx="4362">
                  <c:v>13741752.328451695</c:v>
                </c:pt>
                <c:pt idx="4363">
                  <c:v>13744902.661401821</c:v>
                </c:pt>
                <c:pt idx="4364">
                  <c:v>13748052.994351948</c:v>
                </c:pt>
                <c:pt idx="4365">
                  <c:v>13751203.327302074</c:v>
                </c:pt>
                <c:pt idx="4366">
                  <c:v>13754353.6602522</c:v>
                </c:pt>
                <c:pt idx="4367">
                  <c:v>13757503.993202327</c:v>
                </c:pt>
                <c:pt idx="4368">
                  <c:v>13760654.326152453</c:v>
                </c:pt>
                <c:pt idx="4369">
                  <c:v>13763804.65910258</c:v>
                </c:pt>
                <c:pt idx="4370">
                  <c:v>13766954.992052706</c:v>
                </c:pt>
                <c:pt idx="4371">
                  <c:v>13770105.325002832</c:v>
                </c:pt>
                <c:pt idx="4372">
                  <c:v>13773255.657952959</c:v>
                </c:pt>
                <c:pt idx="4373">
                  <c:v>13776405.990903087</c:v>
                </c:pt>
                <c:pt idx="4374">
                  <c:v>13779556.323853213</c:v>
                </c:pt>
                <c:pt idx="4375">
                  <c:v>13782706.65680334</c:v>
                </c:pt>
                <c:pt idx="4376">
                  <c:v>13785856.989753466</c:v>
                </c:pt>
                <c:pt idx="4377">
                  <c:v>13789007.322703592</c:v>
                </c:pt>
                <c:pt idx="4378">
                  <c:v>13792157.655653719</c:v>
                </c:pt>
                <c:pt idx="4379">
                  <c:v>13795307.988603845</c:v>
                </c:pt>
                <c:pt idx="4380">
                  <c:v>13798458.321553972</c:v>
                </c:pt>
                <c:pt idx="4381">
                  <c:v>13801608.654504098</c:v>
                </c:pt>
                <c:pt idx="4382">
                  <c:v>13804758.987454224</c:v>
                </c:pt>
                <c:pt idx="4383">
                  <c:v>13807909.320404351</c:v>
                </c:pt>
                <c:pt idx="4384">
                  <c:v>13811059.653354477</c:v>
                </c:pt>
                <c:pt idx="4385">
                  <c:v>13814209.986304604</c:v>
                </c:pt>
                <c:pt idx="4386">
                  <c:v>13817360.31925473</c:v>
                </c:pt>
                <c:pt idx="4387">
                  <c:v>13820510.652204856</c:v>
                </c:pt>
                <c:pt idx="4388">
                  <c:v>13823660.985154983</c:v>
                </c:pt>
                <c:pt idx="4389">
                  <c:v>13826811.318105109</c:v>
                </c:pt>
                <c:pt idx="4390">
                  <c:v>13829961.651055235</c:v>
                </c:pt>
                <c:pt idx="4391">
                  <c:v>13833111.984005362</c:v>
                </c:pt>
                <c:pt idx="4392">
                  <c:v>13836262.31695549</c:v>
                </c:pt>
                <c:pt idx="4393">
                  <c:v>13839412.649905616</c:v>
                </c:pt>
                <c:pt idx="4394">
                  <c:v>13842562.982855743</c:v>
                </c:pt>
                <c:pt idx="4395">
                  <c:v>13845713.315805869</c:v>
                </c:pt>
                <c:pt idx="4396">
                  <c:v>13848863.648755996</c:v>
                </c:pt>
                <c:pt idx="4397">
                  <c:v>13852013.981706122</c:v>
                </c:pt>
                <c:pt idx="4398">
                  <c:v>13855164.314656248</c:v>
                </c:pt>
                <c:pt idx="4399">
                  <c:v>13858314.647606375</c:v>
                </c:pt>
                <c:pt idx="4400">
                  <c:v>13861464.980556501</c:v>
                </c:pt>
                <c:pt idx="4401">
                  <c:v>13864615.313506627</c:v>
                </c:pt>
                <c:pt idx="4402">
                  <c:v>13867765.646456754</c:v>
                </c:pt>
                <c:pt idx="4403">
                  <c:v>13870915.97940688</c:v>
                </c:pt>
                <c:pt idx="4404">
                  <c:v>13874066.312357007</c:v>
                </c:pt>
                <c:pt idx="4405">
                  <c:v>13877216.645307133</c:v>
                </c:pt>
                <c:pt idx="4406">
                  <c:v>13880366.978257259</c:v>
                </c:pt>
                <c:pt idx="4407">
                  <c:v>13883517.311207386</c:v>
                </c:pt>
                <c:pt idx="4408">
                  <c:v>13886667.644157512</c:v>
                </c:pt>
                <c:pt idx="4409">
                  <c:v>13889817.977107638</c:v>
                </c:pt>
                <c:pt idx="4410">
                  <c:v>13892968.310057765</c:v>
                </c:pt>
                <c:pt idx="4411">
                  <c:v>13896118.643007893</c:v>
                </c:pt>
                <c:pt idx="4412">
                  <c:v>13899268.975958019</c:v>
                </c:pt>
                <c:pt idx="4413">
                  <c:v>13902419.308908146</c:v>
                </c:pt>
                <c:pt idx="4414">
                  <c:v>13905569.641858272</c:v>
                </c:pt>
                <c:pt idx="4415">
                  <c:v>13908719.974808399</c:v>
                </c:pt>
                <c:pt idx="4416">
                  <c:v>13911870.307758525</c:v>
                </c:pt>
                <c:pt idx="4417">
                  <c:v>13915020.640708651</c:v>
                </c:pt>
                <c:pt idx="4418">
                  <c:v>13918170.973658778</c:v>
                </c:pt>
                <c:pt idx="4419">
                  <c:v>13921321.306608904</c:v>
                </c:pt>
                <c:pt idx="4420">
                  <c:v>13924471.639559031</c:v>
                </c:pt>
                <c:pt idx="4421">
                  <c:v>13927621.972509157</c:v>
                </c:pt>
                <c:pt idx="4422">
                  <c:v>13930772.305459283</c:v>
                </c:pt>
                <c:pt idx="4423">
                  <c:v>13933922.63840941</c:v>
                </c:pt>
                <c:pt idx="4424">
                  <c:v>13937072.971359536</c:v>
                </c:pt>
                <c:pt idx="4425">
                  <c:v>13940223.304309662</c:v>
                </c:pt>
                <c:pt idx="4426">
                  <c:v>13943373.637259789</c:v>
                </c:pt>
                <c:pt idx="4427">
                  <c:v>13946523.970209915</c:v>
                </c:pt>
                <c:pt idx="4428">
                  <c:v>13949674.303160042</c:v>
                </c:pt>
                <c:pt idx="4429">
                  <c:v>13952824.636110168</c:v>
                </c:pt>
                <c:pt idx="4430">
                  <c:v>13955974.969060296</c:v>
                </c:pt>
                <c:pt idx="4431">
                  <c:v>13959125.302010423</c:v>
                </c:pt>
                <c:pt idx="4432">
                  <c:v>13962275.634960549</c:v>
                </c:pt>
                <c:pt idx="4433">
                  <c:v>13965425.967910675</c:v>
                </c:pt>
                <c:pt idx="4434">
                  <c:v>13968576.300860802</c:v>
                </c:pt>
                <c:pt idx="4435">
                  <c:v>13971726.633810928</c:v>
                </c:pt>
                <c:pt idx="4436">
                  <c:v>13974876.966761054</c:v>
                </c:pt>
                <c:pt idx="4437">
                  <c:v>13978027.299711181</c:v>
                </c:pt>
                <c:pt idx="4438">
                  <c:v>13981177.632661307</c:v>
                </c:pt>
                <c:pt idx="4439">
                  <c:v>13984327.965611434</c:v>
                </c:pt>
                <c:pt idx="4440">
                  <c:v>13987478.29856156</c:v>
                </c:pt>
                <c:pt idx="4441">
                  <c:v>13990628.631511686</c:v>
                </c:pt>
                <c:pt idx="4442">
                  <c:v>13993778.964461813</c:v>
                </c:pt>
                <c:pt idx="4443">
                  <c:v>13996929.297411939</c:v>
                </c:pt>
                <c:pt idx="4444">
                  <c:v>14000079.630362066</c:v>
                </c:pt>
                <c:pt idx="4445">
                  <c:v>14003229.963312192</c:v>
                </c:pt>
                <c:pt idx="4446">
                  <c:v>14006380.296262318</c:v>
                </c:pt>
                <c:pt idx="4447">
                  <c:v>14009530.629212445</c:v>
                </c:pt>
                <c:pt idx="4448">
                  <c:v>14012680.962162571</c:v>
                </c:pt>
                <c:pt idx="4449">
                  <c:v>14015831.295112699</c:v>
                </c:pt>
                <c:pt idx="4450">
                  <c:v>14018981.628062826</c:v>
                </c:pt>
                <c:pt idx="4451">
                  <c:v>14022131.961012952</c:v>
                </c:pt>
                <c:pt idx="4452">
                  <c:v>14025282.293963078</c:v>
                </c:pt>
                <c:pt idx="4453">
                  <c:v>14028432.626913205</c:v>
                </c:pt>
                <c:pt idx="4454">
                  <c:v>14031582.959863331</c:v>
                </c:pt>
                <c:pt idx="4455">
                  <c:v>14034733.292813458</c:v>
                </c:pt>
                <c:pt idx="4456">
                  <c:v>14037883.625763584</c:v>
                </c:pt>
                <c:pt idx="4457">
                  <c:v>14041033.95871371</c:v>
                </c:pt>
                <c:pt idx="4458">
                  <c:v>14044184.291663837</c:v>
                </c:pt>
                <c:pt idx="4459">
                  <c:v>14047334.624613963</c:v>
                </c:pt>
                <c:pt idx="4460">
                  <c:v>14050484.957564089</c:v>
                </c:pt>
                <c:pt idx="4461">
                  <c:v>14053635.290514216</c:v>
                </c:pt>
                <c:pt idx="4462">
                  <c:v>14056785.623464342</c:v>
                </c:pt>
                <c:pt idx="4463">
                  <c:v>14059935.956414469</c:v>
                </c:pt>
                <c:pt idx="4464">
                  <c:v>14063086.289364595</c:v>
                </c:pt>
                <c:pt idx="4465">
                  <c:v>14066236.622314721</c:v>
                </c:pt>
                <c:pt idx="4466">
                  <c:v>14069386.955264848</c:v>
                </c:pt>
                <c:pt idx="4467">
                  <c:v>14072537.288214974</c:v>
                </c:pt>
                <c:pt idx="4468">
                  <c:v>14075687.621165102</c:v>
                </c:pt>
                <c:pt idx="4469">
                  <c:v>14078837.954115229</c:v>
                </c:pt>
                <c:pt idx="4470">
                  <c:v>14081988.287065355</c:v>
                </c:pt>
                <c:pt idx="4471">
                  <c:v>14085138.620015481</c:v>
                </c:pt>
                <c:pt idx="4472">
                  <c:v>14088288.952965608</c:v>
                </c:pt>
                <c:pt idx="4473">
                  <c:v>14091439.285915734</c:v>
                </c:pt>
                <c:pt idx="4474">
                  <c:v>14094589.618865861</c:v>
                </c:pt>
                <c:pt idx="4475">
                  <c:v>14097739.951815987</c:v>
                </c:pt>
                <c:pt idx="4476">
                  <c:v>14100890.284766113</c:v>
                </c:pt>
                <c:pt idx="4477">
                  <c:v>14104040.61771624</c:v>
                </c:pt>
                <c:pt idx="4478">
                  <c:v>14107190.950666366</c:v>
                </c:pt>
                <c:pt idx="4479">
                  <c:v>14110341.283616493</c:v>
                </c:pt>
                <c:pt idx="4480">
                  <c:v>14113491.616566619</c:v>
                </c:pt>
                <c:pt idx="4481">
                  <c:v>14116641.949516745</c:v>
                </c:pt>
                <c:pt idx="4482">
                  <c:v>14119792.282466872</c:v>
                </c:pt>
                <c:pt idx="4483">
                  <c:v>14122942.615416998</c:v>
                </c:pt>
                <c:pt idx="4484">
                  <c:v>14126092.948367124</c:v>
                </c:pt>
                <c:pt idx="4485">
                  <c:v>14129243.281317251</c:v>
                </c:pt>
                <c:pt idx="4486">
                  <c:v>14132393.614267377</c:v>
                </c:pt>
                <c:pt idx="4487">
                  <c:v>14135543.947217505</c:v>
                </c:pt>
                <c:pt idx="4488">
                  <c:v>14138694.280167632</c:v>
                </c:pt>
                <c:pt idx="4489">
                  <c:v>14141844.613117758</c:v>
                </c:pt>
                <c:pt idx="4490">
                  <c:v>14144994.946067885</c:v>
                </c:pt>
                <c:pt idx="4491">
                  <c:v>14148145.279018011</c:v>
                </c:pt>
                <c:pt idx="4492">
                  <c:v>14151295.611968137</c:v>
                </c:pt>
                <c:pt idx="4493">
                  <c:v>14154445.944918264</c:v>
                </c:pt>
                <c:pt idx="4494">
                  <c:v>14157596.27786839</c:v>
                </c:pt>
                <c:pt idx="4495">
                  <c:v>14160746.610818516</c:v>
                </c:pt>
                <c:pt idx="4496">
                  <c:v>14163896.943768643</c:v>
                </c:pt>
                <c:pt idx="4497">
                  <c:v>14167047.276718769</c:v>
                </c:pt>
                <c:pt idx="4498">
                  <c:v>14170197.609668896</c:v>
                </c:pt>
                <c:pt idx="4499">
                  <c:v>14173347.942619022</c:v>
                </c:pt>
                <c:pt idx="4500">
                  <c:v>14176498.275569148</c:v>
                </c:pt>
                <c:pt idx="4501">
                  <c:v>14179648.608519275</c:v>
                </c:pt>
                <c:pt idx="4502">
                  <c:v>14182798.941469401</c:v>
                </c:pt>
                <c:pt idx="4503">
                  <c:v>14185949.274419528</c:v>
                </c:pt>
                <c:pt idx="4504">
                  <c:v>14189099.607369654</c:v>
                </c:pt>
                <c:pt idx="4505">
                  <c:v>14192249.94031978</c:v>
                </c:pt>
                <c:pt idx="4506">
                  <c:v>14195400.273269909</c:v>
                </c:pt>
                <c:pt idx="4507">
                  <c:v>14198550.606220035</c:v>
                </c:pt>
                <c:pt idx="4508">
                  <c:v>14201700.939170161</c:v>
                </c:pt>
                <c:pt idx="4509">
                  <c:v>14204851.272120288</c:v>
                </c:pt>
                <c:pt idx="4510">
                  <c:v>14208001.605070414</c:v>
                </c:pt>
                <c:pt idx="4511">
                  <c:v>14211151.93802054</c:v>
                </c:pt>
                <c:pt idx="4512">
                  <c:v>14214302.270970667</c:v>
                </c:pt>
                <c:pt idx="4513">
                  <c:v>14217452.603920793</c:v>
                </c:pt>
                <c:pt idx="4514">
                  <c:v>14220602.93687092</c:v>
                </c:pt>
                <c:pt idx="4515">
                  <c:v>14223753.269821046</c:v>
                </c:pt>
                <c:pt idx="4516">
                  <c:v>14226903.602771172</c:v>
                </c:pt>
                <c:pt idx="4517">
                  <c:v>14230053.935721299</c:v>
                </c:pt>
                <c:pt idx="4518">
                  <c:v>14233204.268671425</c:v>
                </c:pt>
                <c:pt idx="4519">
                  <c:v>14236354.601621551</c:v>
                </c:pt>
                <c:pt idx="4520">
                  <c:v>14239504.934571678</c:v>
                </c:pt>
                <c:pt idx="4521">
                  <c:v>14242655.267521804</c:v>
                </c:pt>
                <c:pt idx="4522">
                  <c:v>14245805.600471931</c:v>
                </c:pt>
                <c:pt idx="4523">
                  <c:v>14248955.933422057</c:v>
                </c:pt>
                <c:pt idx="4524">
                  <c:v>14252106.266372183</c:v>
                </c:pt>
                <c:pt idx="4525">
                  <c:v>14255256.599322312</c:v>
                </c:pt>
                <c:pt idx="4526">
                  <c:v>14258406.932272438</c:v>
                </c:pt>
                <c:pt idx="4527">
                  <c:v>14261557.265222564</c:v>
                </c:pt>
                <c:pt idx="4528">
                  <c:v>14264707.598172691</c:v>
                </c:pt>
                <c:pt idx="4529">
                  <c:v>14267857.931122817</c:v>
                </c:pt>
                <c:pt idx="4530">
                  <c:v>14271008.264072943</c:v>
                </c:pt>
                <c:pt idx="4531">
                  <c:v>14274158.59702307</c:v>
                </c:pt>
                <c:pt idx="4532">
                  <c:v>14277308.929973196</c:v>
                </c:pt>
                <c:pt idx="4533">
                  <c:v>14280459.262923323</c:v>
                </c:pt>
                <c:pt idx="4534">
                  <c:v>14283609.595873449</c:v>
                </c:pt>
                <c:pt idx="4535">
                  <c:v>14286759.928823575</c:v>
                </c:pt>
                <c:pt idx="4536">
                  <c:v>14289910.261773702</c:v>
                </c:pt>
                <c:pt idx="4537">
                  <c:v>14293060.594723828</c:v>
                </c:pt>
                <c:pt idx="4538">
                  <c:v>14296210.927673955</c:v>
                </c:pt>
                <c:pt idx="4539">
                  <c:v>14299361.260624081</c:v>
                </c:pt>
                <c:pt idx="4540">
                  <c:v>14302511.593574207</c:v>
                </c:pt>
                <c:pt idx="4541">
                  <c:v>14305661.926524334</c:v>
                </c:pt>
                <c:pt idx="4542">
                  <c:v>14308812.25947446</c:v>
                </c:pt>
                <c:pt idx="4543">
                  <c:v>14311962.592424586</c:v>
                </c:pt>
                <c:pt idx="4544">
                  <c:v>14315112.925374715</c:v>
                </c:pt>
                <c:pt idx="4545">
                  <c:v>14318263.258324841</c:v>
                </c:pt>
                <c:pt idx="4546">
                  <c:v>14321413.591274967</c:v>
                </c:pt>
                <c:pt idx="4547">
                  <c:v>14324563.924225094</c:v>
                </c:pt>
                <c:pt idx="4548">
                  <c:v>14327714.25717522</c:v>
                </c:pt>
                <c:pt idx="4549">
                  <c:v>14330864.590125347</c:v>
                </c:pt>
                <c:pt idx="4550">
                  <c:v>14334014.923075473</c:v>
                </c:pt>
                <c:pt idx="4551">
                  <c:v>14337165.256025599</c:v>
                </c:pt>
                <c:pt idx="4552">
                  <c:v>14340315.588975726</c:v>
                </c:pt>
                <c:pt idx="4553">
                  <c:v>14343465.921925852</c:v>
                </c:pt>
                <c:pt idx="4554">
                  <c:v>14346616.254875978</c:v>
                </c:pt>
                <c:pt idx="4555">
                  <c:v>14349766.587826105</c:v>
                </c:pt>
                <c:pt idx="4556">
                  <c:v>14352916.920776231</c:v>
                </c:pt>
                <c:pt idx="4557">
                  <c:v>14356067.253726358</c:v>
                </c:pt>
                <c:pt idx="4558">
                  <c:v>14359217.586676484</c:v>
                </c:pt>
                <c:pt idx="4559">
                  <c:v>14362367.91962661</c:v>
                </c:pt>
                <c:pt idx="4560">
                  <c:v>14365518.252576737</c:v>
                </c:pt>
                <c:pt idx="4561">
                  <c:v>14368668.585526863</c:v>
                </c:pt>
                <c:pt idx="4562">
                  <c:v>14371818.918476989</c:v>
                </c:pt>
                <c:pt idx="4563">
                  <c:v>14374969.251427118</c:v>
                </c:pt>
                <c:pt idx="4564">
                  <c:v>14378119.584377244</c:v>
                </c:pt>
                <c:pt idx="4565">
                  <c:v>14381269.91732737</c:v>
                </c:pt>
                <c:pt idx="4566">
                  <c:v>14384420.250277497</c:v>
                </c:pt>
                <c:pt idx="4567">
                  <c:v>14387570.583227623</c:v>
                </c:pt>
                <c:pt idx="4568">
                  <c:v>14390720.91617775</c:v>
                </c:pt>
                <c:pt idx="4569">
                  <c:v>14393871.249127876</c:v>
                </c:pt>
                <c:pt idx="4570">
                  <c:v>14397021.582078002</c:v>
                </c:pt>
                <c:pt idx="4571">
                  <c:v>14400171.915028129</c:v>
                </c:pt>
                <c:pt idx="4572">
                  <c:v>14403322.247978255</c:v>
                </c:pt>
                <c:pt idx="4573">
                  <c:v>14406472.580928382</c:v>
                </c:pt>
                <c:pt idx="4574">
                  <c:v>14409622.913878508</c:v>
                </c:pt>
                <c:pt idx="4575">
                  <c:v>14412773.246828634</c:v>
                </c:pt>
                <c:pt idx="4576">
                  <c:v>14415923.579778761</c:v>
                </c:pt>
                <c:pt idx="4577">
                  <c:v>14419073.912728887</c:v>
                </c:pt>
                <c:pt idx="4578">
                  <c:v>14422224.245679013</c:v>
                </c:pt>
                <c:pt idx="4579">
                  <c:v>14425374.57862914</c:v>
                </c:pt>
                <c:pt idx="4580">
                  <c:v>14428524.911579266</c:v>
                </c:pt>
                <c:pt idx="4581">
                  <c:v>14431675.244529393</c:v>
                </c:pt>
                <c:pt idx="4582">
                  <c:v>14434825.577479521</c:v>
                </c:pt>
                <c:pt idx="4583">
                  <c:v>14437975.910429647</c:v>
                </c:pt>
                <c:pt idx="4584">
                  <c:v>14441126.243379774</c:v>
                </c:pt>
                <c:pt idx="4585">
                  <c:v>14444276.5763299</c:v>
                </c:pt>
                <c:pt idx="4586">
                  <c:v>14447426.909280026</c:v>
                </c:pt>
                <c:pt idx="4587">
                  <c:v>14450577.242230153</c:v>
                </c:pt>
                <c:pt idx="4588">
                  <c:v>14453727.575180279</c:v>
                </c:pt>
                <c:pt idx="4589">
                  <c:v>14456877.908130405</c:v>
                </c:pt>
                <c:pt idx="4590">
                  <c:v>14460028.241080532</c:v>
                </c:pt>
                <c:pt idx="4591">
                  <c:v>14463178.574030658</c:v>
                </c:pt>
                <c:pt idx="4592">
                  <c:v>14466328.906980785</c:v>
                </c:pt>
                <c:pt idx="4593">
                  <c:v>14469479.239930911</c:v>
                </c:pt>
                <c:pt idx="4594">
                  <c:v>14472629.572881037</c:v>
                </c:pt>
                <c:pt idx="4595">
                  <c:v>14475779.905831164</c:v>
                </c:pt>
                <c:pt idx="4596">
                  <c:v>14478930.23878129</c:v>
                </c:pt>
                <c:pt idx="4597">
                  <c:v>14482080.571731417</c:v>
                </c:pt>
                <c:pt idx="4598">
                  <c:v>14485230.904681543</c:v>
                </c:pt>
                <c:pt idx="4599">
                  <c:v>14488381.237631669</c:v>
                </c:pt>
                <c:pt idx="4600">
                  <c:v>14491531.570581796</c:v>
                </c:pt>
                <c:pt idx="4601">
                  <c:v>14494681.903531924</c:v>
                </c:pt>
                <c:pt idx="4602">
                  <c:v>14497832.23648205</c:v>
                </c:pt>
                <c:pt idx="4603">
                  <c:v>14500982.569432177</c:v>
                </c:pt>
                <c:pt idx="4604">
                  <c:v>14504132.902382303</c:v>
                </c:pt>
                <c:pt idx="4605">
                  <c:v>14507283.235332429</c:v>
                </c:pt>
                <c:pt idx="4606">
                  <c:v>14510433.568282556</c:v>
                </c:pt>
                <c:pt idx="4607">
                  <c:v>14513583.901232682</c:v>
                </c:pt>
                <c:pt idx="4608">
                  <c:v>14516734.234182809</c:v>
                </c:pt>
                <c:pt idx="4609">
                  <c:v>14519884.567132935</c:v>
                </c:pt>
                <c:pt idx="4610">
                  <c:v>14523034.900083061</c:v>
                </c:pt>
                <c:pt idx="4611">
                  <c:v>14526185.233033188</c:v>
                </c:pt>
                <c:pt idx="4612">
                  <c:v>14529335.565983314</c:v>
                </c:pt>
                <c:pt idx="4613">
                  <c:v>14532485.89893344</c:v>
                </c:pt>
                <c:pt idx="4614">
                  <c:v>14535636.231883567</c:v>
                </c:pt>
                <c:pt idx="4615">
                  <c:v>14538786.564833693</c:v>
                </c:pt>
                <c:pt idx="4616">
                  <c:v>14541936.89778382</c:v>
                </c:pt>
                <c:pt idx="4617">
                  <c:v>14545087.230733946</c:v>
                </c:pt>
                <c:pt idx="4618">
                  <c:v>14548237.563684072</c:v>
                </c:pt>
                <c:pt idx="4619">
                  <c:v>14551387.896634199</c:v>
                </c:pt>
                <c:pt idx="4620">
                  <c:v>14554538.229584327</c:v>
                </c:pt>
                <c:pt idx="4621">
                  <c:v>14557688.562534453</c:v>
                </c:pt>
                <c:pt idx="4622">
                  <c:v>14560838.89548458</c:v>
                </c:pt>
                <c:pt idx="4623">
                  <c:v>14563989.228434706</c:v>
                </c:pt>
                <c:pt idx="4624">
                  <c:v>14567139.561384832</c:v>
                </c:pt>
                <c:pt idx="4625">
                  <c:v>14570289.894334959</c:v>
                </c:pt>
                <c:pt idx="4626">
                  <c:v>14573440.227285085</c:v>
                </c:pt>
                <c:pt idx="4627">
                  <c:v>14576590.560235212</c:v>
                </c:pt>
                <c:pt idx="4628">
                  <c:v>14579740.893185338</c:v>
                </c:pt>
                <c:pt idx="4629">
                  <c:v>14582891.226135464</c:v>
                </c:pt>
                <c:pt idx="4630">
                  <c:v>14586041.559085591</c:v>
                </c:pt>
                <c:pt idx="4631">
                  <c:v>14589191.892035717</c:v>
                </c:pt>
                <c:pt idx="4632">
                  <c:v>14592342.224985844</c:v>
                </c:pt>
                <c:pt idx="4633">
                  <c:v>14595492.55793597</c:v>
                </c:pt>
                <c:pt idx="4634">
                  <c:v>14598642.890886096</c:v>
                </c:pt>
                <c:pt idx="4635">
                  <c:v>14601793.223836223</c:v>
                </c:pt>
                <c:pt idx="4636">
                  <c:v>14604943.556786349</c:v>
                </c:pt>
                <c:pt idx="4637">
                  <c:v>14608093.889736475</c:v>
                </c:pt>
                <c:pt idx="4638">
                  <c:v>14611244.222686602</c:v>
                </c:pt>
                <c:pt idx="4639">
                  <c:v>14614394.55563673</c:v>
                </c:pt>
                <c:pt idx="4640">
                  <c:v>14617544.888586856</c:v>
                </c:pt>
                <c:pt idx="4641">
                  <c:v>14620695.221536983</c:v>
                </c:pt>
                <c:pt idx="4642">
                  <c:v>14623845.554487109</c:v>
                </c:pt>
                <c:pt idx="4643">
                  <c:v>14626995.887437236</c:v>
                </c:pt>
                <c:pt idx="4644">
                  <c:v>14630146.220387362</c:v>
                </c:pt>
                <c:pt idx="4645">
                  <c:v>14633296.553337488</c:v>
                </c:pt>
                <c:pt idx="4646">
                  <c:v>14636446.886287615</c:v>
                </c:pt>
                <c:pt idx="4647">
                  <c:v>14639597.219237741</c:v>
                </c:pt>
                <c:pt idx="4648">
                  <c:v>14642747.552187867</c:v>
                </c:pt>
                <c:pt idx="4649">
                  <c:v>14645897.885137994</c:v>
                </c:pt>
                <c:pt idx="4650">
                  <c:v>14649048.21808812</c:v>
                </c:pt>
                <c:pt idx="4651">
                  <c:v>14652198.551038247</c:v>
                </c:pt>
                <c:pt idx="4652">
                  <c:v>14655348.883988373</c:v>
                </c:pt>
                <c:pt idx="4653">
                  <c:v>14658499.216938499</c:v>
                </c:pt>
                <c:pt idx="4654">
                  <c:v>14661649.549888626</c:v>
                </c:pt>
                <c:pt idx="4655">
                  <c:v>14664799.882838752</c:v>
                </c:pt>
                <c:pt idx="4656">
                  <c:v>14667950.215788879</c:v>
                </c:pt>
                <c:pt idx="4657">
                  <c:v>14671100.548739005</c:v>
                </c:pt>
                <c:pt idx="4658">
                  <c:v>14674250.881689131</c:v>
                </c:pt>
                <c:pt idx="4659">
                  <c:v>14677401.21463926</c:v>
                </c:pt>
                <c:pt idx="4660">
                  <c:v>14680551.547589386</c:v>
                </c:pt>
                <c:pt idx="4661">
                  <c:v>14683701.880539512</c:v>
                </c:pt>
                <c:pt idx="4662">
                  <c:v>14686852.213489639</c:v>
                </c:pt>
                <c:pt idx="4663">
                  <c:v>14690002.546439765</c:v>
                </c:pt>
                <c:pt idx="4664">
                  <c:v>14693152.879389891</c:v>
                </c:pt>
                <c:pt idx="4665">
                  <c:v>14696303.212340018</c:v>
                </c:pt>
                <c:pt idx="4666">
                  <c:v>14699453.545290144</c:v>
                </c:pt>
                <c:pt idx="4667">
                  <c:v>14702603.878240271</c:v>
                </c:pt>
                <c:pt idx="4668">
                  <c:v>14705754.211190397</c:v>
                </c:pt>
                <c:pt idx="4669">
                  <c:v>14708904.544140523</c:v>
                </c:pt>
                <c:pt idx="4670">
                  <c:v>14712054.87709065</c:v>
                </c:pt>
                <c:pt idx="4671">
                  <c:v>14715205.210040776</c:v>
                </c:pt>
                <c:pt idx="4672">
                  <c:v>14718355.542990902</c:v>
                </c:pt>
                <c:pt idx="4673">
                  <c:v>14721505.875941029</c:v>
                </c:pt>
                <c:pt idx="4674">
                  <c:v>14724656.208891155</c:v>
                </c:pt>
                <c:pt idx="4675">
                  <c:v>14727806.541841282</c:v>
                </c:pt>
                <c:pt idx="4676">
                  <c:v>14730956.874791408</c:v>
                </c:pt>
                <c:pt idx="4677">
                  <c:v>14734107.207741534</c:v>
                </c:pt>
                <c:pt idx="4678">
                  <c:v>14737257.540691663</c:v>
                </c:pt>
                <c:pt idx="4679">
                  <c:v>14740407.873641789</c:v>
                </c:pt>
                <c:pt idx="4680">
                  <c:v>14743558.206591915</c:v>
                </c:pt>
                <c:pt idx="4681">
                  <c:v>14746708.539542042</c:v>
                </c:pt>
                <c:pt idx="4682">
                  <c:v>14749858.872492168</c:v>
                </c:pt>
                <c:pt idx="4683">
                  <c:v>14753009.205442294</c:v>
                </c:pt>
                <c:pt idx="4684">
                  <c:v>14756159.538392421</c:v>
                </c:pt>
                <c:pt idx="4685">
                  <c:v>14759309.871342547</c:v>
                </c:pt>
                <c:pt idx="4686">
                  <c:v>14762460.204292674</c:v>
                </c:pt>
                <c:pt idx="4687">
                  <c:v>14765610.5372428</c:v>
                </c:pt>
                <c:pt idx="4688">
                  <c:v>14768760.870192926</c:v>
                </c:pt>
                <c:pt idx="4689">
                  <c:v>14771911.203143053</c:v>
                </c:pt>
                <c:pt idx="4690">
                  <c:v>14775061.536093179</c:v>
                </c:pt>
                <c:pt idx="4691">
                  <c:v>14778211.869043306</c:v>
                </c:pt>
                <c:pt idx="4692">
                  <c:v>14781362.201993432</c:v>
                </c:pt>
                <c:pt idx="4693">
                  <c:v>14784512.534943558</c:v>
                </c:pt>
                <c:pt idx="4694">
                  <c:v>14787662.867893685</c:v>
                </c:pt>
                <c:pt idx="4695">
                  <c:v>14790813.200843811</c:v>
                </c:pt>
                <c:pt idx="4696">
                  <c:v>14793963.533793937</c:v>
                </c:pt>
                <c:pt idx="4697">
                  <c:v>14797113.866744066</c:v>
                </c:pt>
                <c:pt idx="4698">
                  <c:v>14800264.199694192</c:v>
                </c:pt>
                <c:pt idx="4699">
                  <c:v>14803414.532644318</c:v>
                </c:pt>
                <c:pt idx="4700">
                  <c:v>14806564.865594445</c:v>
                </c:pt>
                <c:pt idx="4701">
                  <c:v>14809715.198544571</c:v>
                </c:pt>
                <c:pt idx="4702">
                  <c:v>14812865.531494698</c:v>
                </c:pt>
                <c:pt idx="4703">
                  <c:v>14816015.864444824</c:v>
                </c:pt>
                <c:pt idx="4704">
                  <c:v>14819166.19739495</c:v>
                </c:pt>
                <c:pt idx="4705">
                  <c:v>14822316.530345077</c:v>
                </c:pt>
                <c:pt idx="4706">
                  <c:v>14825466.863295203</c:v>
                </c:pt>
                <c:pt idx="4707">
                  <c:v>14828617.196245329</c:v>
                </c:pt>
                <c:pt idx="4708">
                  <c:v>14831767.529195456</c:v>
                </c:pt>
                <c:pt idx="4709">
                  <c:v>14834917.862145582</c:v>
                </c:pt>
                <c:pt idx="4710">
                  <c:v>14838068.195095709</c:v>
                </c:pt>
                <c:pt idx="4711">
                  <c:v>14841218.528045835</c:v>
                </c:pt>
                <c:pt idx="4712">
                  <c:v>14844368.860995961</c:v>
                </c:pt>
                <c:pt idx="4713">
                  <c:v>14847519.193946088</c:v>
                </c:pt>
                <c:pt idx="4714">
                  <c:v>14850669.526896214</c:v>
                </c:pt>
                <c:pt idx="4715">
                  <c:v>14853819.85984634</c:v>
                </c:pt>
                <c:pt idx="4716">
                  <c:v>14856970.192796469</c:v>
                </c:pt>
                <c:pt idx="4717">
                  <c:v>14860120.525746595</c:v>
                </c:pt>
                <c:pt idx="4718">
                  <c:v>14863270.858696721</c:v>
                </c:pt>
                <c:pt idx="4719">
                  <c:v>14866421.191646848</c:v>
                </c:pt>
                <c:pt idx="4720">
                  <c:v>14869571.524596974</c:v>
                </c:pt>
                <c:pt idx="4721">
                  <c:v>14872721.857547101</c:v>
                </c:pt>
                <c:pt idx="4722">
                  <c:v>14875872.190497227</c:v>
                </c:pt>
                <c:pt idx="4723">
                  <c:v>14879022.523447353</c:v>
                </c:pt>
                <c:pt idx="4724">
                  <c:v>14882172.85639748</c:v>
                </c:pt>
                <c:pt idx="4725">
                  <c:v>14885323.189347606</c:v>
                </c:pt>
                <c:pt idx="4726">
                  <c:v>14888473.522297733</c:v>
                </c:pt>
                <c:pt idx="4727">
                  <c:v>14891623.855247859</c:v>
                </c:pt>
                <c:pt idx="4728">
                  <c:v>14894774.188197985</c:v>
                </c:pt>
                <c:pt idx="4729">
                  <c:v>14897924.521148112</c:v>
                </c:pt>
                <c:pt idx="4730">
                  <c:v>14901074.854098238</c:v>
                </c:pt>
                <c:pt idx="4731">
                  <c:v>14904225.187048364</c:v>
                </c:pt>
                <c:pt idx="4732">
                  <c:v>14907375.519998491</c:v>
                </c:pt>
                <c:pt idx="4733">
                  <c:v>14910525.852948617</c:v>
                </c:pt>
                <c:pt idx="4734">
                  <c:v>14913676.185898744</c:v>
                </c:pt>
                <c:pt idx="4735">
                  <c:v>14916826.518848872</c:v>
                </c:pt>
                <c:pt idx="4736">
                  <c:v>14919976.851798998</c:v>
                </c:pt>
                <c:pt idx="4737">
                  <c:v>14923127.184749125</c:v>
                </c:pt>
                <c:pt idx="4738">
                  <c:v>14926277.517699251</c:v>
                </c:pt>
                <c:pt idx="4739">
                  <c:v>14929427.850649377</c:v>
                </c:pt>
                <c:pt idx="4740">
                  <c:v>14932578.183599504</c:v>
                </c:pt>
                <c:pt idx="4741">
                  <c:v>14935728.51654963</c:v>
                </c:pt>
                <c:pt idx="4742">
                  <c:v>14938878.849499756</c:v>
                </c:pt>
                <c:pt idx="4743">
                  <c:v>14942029.182449883</c:v>
                </c:pt>
                <c:pt idx="4744">
                  <c:v>14945179.515400009</c:v>
                </c:pt>
                <c:pt idx="4745">
                  <c:v>14948329.848350136</c:v>
                </c:pt>
                <c:pt idx="4746">
                  <c:v>14951480.181300262</c:v>
                </c:pt>
                <c:pt idx="4747">
                  <c:v>14954630.514250388</c:v>
                </c:pt>
                <c:pt idx="4748">
                  <c:v>14957780.847200515</c:v>
                </c:pt>
                <c:pt idx="4749">
                  <c:v>14960931.180150641</c:v>
                </c:pt>
                <c:pt idx="4750">
                  <c:v>14964081.513100768</c:v>
                </c:pt>
                <c:pt idx="4751">
                  <c:v>14967231.846050894</c:v>
                </c:pt>
                <c:pt idx="4752">
                  <c:v>14970382.17900102</c:v>
                </c:pt>
                <c:pt idx="4753">
                  <c:v>14973532.511951147</c:v>
                </c:pt>
                <c:pt idx="4754">
                  <c:v>14976682.844901275</c:v>
                </c:pt>
                <c:pt idx="4755">
                  <c:v>14979833.177851401</c:v>
                </c:pt>
                <c:pt idx="4756">
                  <c:v>14982983.510801528</c:v>
                </c:pt>
                <c:pt idx="4757">
                  <c:v>14986133.843751654</c:v>
                </c:pt>
                <c:pt idx="4758">
                  <c:v>14989284.17670178</c:v>
                </c:pt>
                <c:pt idx="4759">
                  <c:v>14992434.509651907</c:v>
                </c:pt>
                <c:pt idx="4760">
                  <c:v>14995584.842602033</c:v>
                </c:pt>
                <c:pt idx="4761">
                  <c:v>14998735.17555216</c:v>
                </c:pt>
                <c:pt idx="4762">
                  <c:v>15001885.508502286</c:v>
                </c:pt>
                <c:pt idx="4763">
                  <c:v>15005035.841452412</c:v>
                </c:pt>
                <c:pt idx="4764">
                  <c:v>15008186.174402539</c:v>
                </c:pt>
                <c:pt idx="4765">
                  <c:v>15011336.507352665</c:v>
                </c:pt>
                <c:pt idx="4766">
                  <c:v>15014486.840302791</c:v>
                </c:pt>
                <c:pt idx="4767">
                  <c:v>15017637.173252918</c:v>
                </c:pt>
                <c:pt idx="4768">
                  <c:v>15020787.506203044</c:v>
                </c:pt>
                <c:pt idx="4769">
                  <c:v>15023937.839153171</c:v>
                </c:pt>
                <c:pt idx="4770">
                  <c:v>15027088.172103297</c:v>
                </c:pt>
                <c:pt idx="4771">
                  <c:v>15030238.505053423</c:v>
                </c:pt>
                <c:pt idx="4772">
                  <c:v>15033388.83800355</c:v>
                </c:pt>
                <c:pt idx="4773">
                  <c:v>15036539.170953678</c:v>
                </c:pt>
                <c:pt idx="4774">
                  <c:v>15039689.503903804</c:v>
                </c:pt>
                <c:pt idx="4775">
                  <c:v>15042839.836853931</c:v>
                </c:pt>
                <c:pt idx="4776">
                  <c:v>15045990.169804057</c:v>
                </c:pt>
                <c:pt idx="4777">
                  <c:v>15049140.502754183</c:v>
                </c:pt>
                <c:pt idx="4778">
                  <c:v>15052290.83570431</c:v>
                </c:pt>
                <c:pt idx="4779">
                  <c:v>15055441.168654436</c:v>
                </c:pt>
                <c:pt idx="4780">
                  <c:v>15058591.501604563</c:v>
                </c:pt>
                <c:pt idx="4781">
                  <c:v>15061741.834554689</c:v>
                </c:pt>
                <c:pt idx="4782">
                  <c:v>15064892.167504815</c:v>
                </c:pt>
                <c:pt idx="4783">
                  <c:v>15068042.500454942</c:v>
                </c:pt>
                <c:pt idx="4784">
                  <c:v>15071192.833405068</c:v>
                </c:pt>
                <c:pt idx="4785">
                  <c:v>15074343.166355195</c:v>
                </c:pt>
                <c:pt idx="4786">
                  <c:v>15077493.499305321</c:v>
                </c:pt>
                <c:pt idx="4787">
                  <c:v>15080643.832255447</c:v>
                </c:pt>
                <c:pt idx="4788">
                  <c:v>15083794.165205574</c:v>
                </c:pt>
                <c:pt idx="4789">
                  <c:v>15086944.4981557</c:v>
                </c:pt>
                <c:pt idx="4790">
                  <c:v>15090094.831105826</c:v>
                </c:pt>
                <c:pt idx="4791">
                  <c:v>15093245.164055953</c:v>
                </c:pt>
                <c:pt idx="4792">
                  <c:v>15096395.497006081</c:v>
                </c:pt>
                <c:pt idx="4793">
                  <c:v>15099545.829956207</c:v>
                </c:pt>
                <c:pt idx="4794">
                  <c:v>15102696.162906334</c:v>
                </c:pt>
                <c:pt idx="4795">
                  <c:v>15105846.49585646</c:v>
                </c:pt>
                <c:pt idx="4796">
                  <c:v>15108996.828806587</c:v>
                </c:pt>
                <c:pt idx="4797">
                  <c:v>15112147.161756713</c:v>
                </c:pt>
                <c:pt idx="4798">
                  <c:v>15115297.494706839</c:v>
                </c:pt>
                <c:pt idx="4799">
                  <c:v>15118447.827656966</c:v>
                </c:pt>
                <c:pt idx="4800">
                  <c:v>15121598.160607092</c:v>
                </c:pt>
                <c:pt idx="4801">
                  <c:v>15124748.493557218</c:v>
                </c:pt>
                <c:pt idx="4802">
                  <c:v>15127898.826507345</c:v>
                </c:pt>
                <c:pt idx="4803">
                  <c:v>15131049.159457471</c:v>
                </c:pt>
                <c:pt idx="4804">
                  <c:v>15134199.492407598</c:v>
                </c:pt>
                <c:pt idx="4805">
                  <c:v>15137349.825357724</c:v>
                </c:pt>
                <c:pt idx="4806">
                  <c:v>15140500.15830785</c:v>
                </c:pt>
                <c:pt idx="4807">
                  <c:v>15143650.491257977</c:v>
                </c:pt>
                <c:pt idx="4808">
                  <c:v>15146800.824208103</c:v>
                </c:pt>
                <c:pt idx="4809">
                  <c:v>15149951.15715823</c:v>
                </c:pt>
                <c:pt idx="4810">
                  <c:v>15153101.490108356</c:v>
                </c:pt>
                <c:pt idx="4811">
                  <c:v>15156251.823058484</c:v>
                </c:pt>
                <c:pt idx="4812">
                  <c:v>15159402.156008611</c:v>
                </c:pt>
                <c:pt idx="4813">
                  <c:v>15162552.488958737</c:v>
                </c:pt>
                <c:pt idx="4814">
                  <c:v>15165702.821908863</c:v>
                </c:pt>
                <c:pt idx="4815">
                  <c:v>15168853.15485899</c:v>
                </c:pt>
                <c:pt idx="4816">
                  <c:v>15172003.487809116</c:v>
                </c:pt>
                <c:pt idx="4817">
                  <c:v>15175153.820759242</c:v>
                </c:pt>
                <c:pt idx="4818">
                  <c:v>15178304.153709369</c:v>
                </c:pt>
                <c:pt idx="4819">
                  <c:v>15181454.486659495</c:v>
                </c:pt>
                <c:pt idx="4820">
                  <c:v>15184604.819609622</c:v>
                </c:pt>
                <c:pt idx="4821">
                  <c:v>15187755.152559748</c:v>
                </c:pt>
                <c:pt idx="4822">
                  <c:v>15190905.485509874</c:v>
                </c:pt>
                <c:pt idx="4823">
                  <c:v>15194055.818460001</c:v>
                </c:pt>
                <c:pt idx="4824">
                  <c:v>15197206.151410127</c:v>
                </c:pt>
                <c:pt idx="4825">
                  <c:v>15200356.484360253</c:v>
                </c:pt>
                <c:pt idx="4826">
                  <c:v>15203506.81731038</c:v>
                </c:pt>
                <c:pt idx="4827">
                  <c:v>15206657.150260506</c:v>
                </c:pt>
                <c:pt idx="4828">
                  <c:v>15209807.483210633</c:v>
                </c:pt>
                <c:pt idx="4829">
                  <c:v>15212957.816160759</c:v>
                </c:pt>
                <c:pt idx="4830">
                  <c:v>15216108.149110887</c:v>
                </c:pt>
                <c:pt idx="4831">
                  <c:v>15219258.482061014</c:v>
                </c:pt>
                <c:pt idx="4832">
                  <c:v>15222408.81501114</c:v>
                </c:pt>
                <c:pt idx="4833">
                  <c:v>15225559.147961266</c:v>
                </c:pt>
                <c:pt idx="4834">
                  <c:v>15228709.480911393</c:v>
                </c:pt>
                <c:pt idx="4835">
                  <c:v>15231859.813861519</c:v>
                </c:pt>
                <c:pt idx="4836">
                  <c:v>15235010.146811645</c:v>
                </c:pt>
                <c:pt idx="4837">
                  <c:v>15238160.479761772</c:v>
                </c:pt>
                <c:pt idx="4838">
                  <c:v>15241310.812711898</c:v>
                </c:pt>
                <c:pt idx="4839">
                  <c:v>15244461.145662025</c:v>
                </c:pt>
                <c:pt idx="4840">
                  <c:v>15247611.478612151</c:v>
                </c:pt>
                <c:pt idx="4841">
                  <c:v>15250761.811562277</c:v>
                </c:pt>
                <c:pt idx="4842">
                  <c:v>15253912.144512404</c:v>
                </c:pt>
                <c:pt idx="4843">
                  <c:v>15257062.47746253</c:v>
                </c:pt>
                <c:pt idx="4844">
                  <c:v>15260212.810412657</c:v>
                </c:pt>
                <c:pt idx="4845">
                  <c:v>15263363.143362783</c:v>
                </c:pt>
                <c:pt idx="4846">
                  <c:v>15266513.476312909</c:v>
                </c:pt>
                <c:pt idx="4847">
                  <c:v>15269663.809263036</c:v>
                </c:pt>
                <c:pt idx="4848">
                  <c:v>15272814.142213162</c:v>
                </c:pt>
                <c:pt idx="4849">
                  <c:v>15275964.47516329</c:v>
                </c:pt>
                <c:pt idx="4850">
                  <c:v>15279114.808113417</c:v>
                </c:pt>
                <c:pt idx="4851">
                  <c:v>15282265.141063543</c:v>
                </c:pt>
                <c:pt idx="4852">
                  <c:v>15285415.474013669</c:v>
                </c:pt>
                <c:pt idx="4853">
                  <c:v>15288565.806963796</c:v>
                </c:pt>
                <c:pt idx="4854">
                  <c:v>15291716.139913922</c:v>
                </c:pt>
                <c:pt idx="4855">
                  <c:v>15294866.472864049</c:v>
                </c:pt>
                <c:pt idx="4856">
                  <c:v>15298016.805814175</c:v>
                </c:pt>
                <c:pt idx="4857">
                  <c:v>15301167.138764301</c:v>
                </c:pt>
                <c:pt idx="4858">
                  <c:v>15304317.471714428</c:v>
                </c:pt>
                <c:pt idx="4859">
                  <c:v>15307467.804664554</c:v>
                </c:pt>
                <c:pt idx="4860">
                  <c:v>15310618.13761468</c:v>
                </c:pt>
                <c:pt idx="4861">
                  <c:v>15313768.470564807</c:v>
                </c:pt>
                <c:pt idx="4862">
                  <c:v>15316918.803514933</c:v>
                </c:pt>
                <c:pt idx="4863">
                  <c:v>15320069.13646506</c:v>
                </c:pt>
                <c:pt idx="4864">
                  <c:v>15323219.469415186</c:v>
                </c:pt>
                <c:pt idx="4865">
                  <c:v>15326369.802365312</c:v>
                </c:pt>
                <c:pt idx="4866">
                  <c:v>15329520.135315439</c:v>
                </c:pt>
                <c:pt idx="4867">
                  <c:v>15332670.468265565</c:v>
                </c:pt>
                <c:pt idx="4868">
                  <c:v>15335820.801215693</c:v>
                </c:pt>
                <c:pt idx="4869">
                  <c:v>15338971.13416582</c:v>
                </c:pt>
                <c:pt idx="4870">
                  <c:v>15342121.467115946</c:v>
                </c:pt>
                <c:pt idx="4871">
                  <c:v>15345271.800066072</c:v>
                </c:pt>
                <c:pt idx="4872">
                  <c:v>15348422.133016199</c:v>
                </c:pt>
                <c:pt idx="4873">
                  <c:v>15351572.465966325</c:v>
                </c:pt>
                <c:pt idx="4874">
                  <c:v>15354722.798916452</c:v>
                </c:pt>
                <c:pt idx="4875">
                  <c:v>15357873.131866578</c:v>
                </c:pt>
                <c:pt idx="4876">
                  <c:v>15361023.464816704</c:v>
                </c:pt>
                <c:pt idx="4877">
                  <c:v>15364173.797766831</c:v>
                </c:pt>
                <c:pt idx="4878">
                  <c:v>15367324.130716957</c:v>
                </c:pt>
                <c:pt idx="4879">
                  <c:v>15370474.463667084</c:v>
                </c:pt>
                <c:pt idx="4880">
                  <c:v>15373624.79661721</c:v>
                </c:pt>
                <c:pt idx="4881">
                  <c:v>15376775.129567336</c:v>
                </c:pt>
                <c:pt idx="4882">
                  <c:v>15379925.462517463</c:v>
                </c:pt>
                <c:pt idx="4883">
                  <c:v>15383075.795467589</c:v>
                </c:pt>
                <c:pt idx="4884">
                  <c:v>15386226.128417715</c:v>
                </c:pt>
                <c:pt idx="4885">
                  <c:v>15389376.461367842</c:v>
                </c:pt>
                <c:pt idx="4886">
                  <c:v>15392526.794317968</c:v>
                </c:pt>
                <c:pt idx="4887">
                  <c:v>15395677.127268096</c:v>
                </c:pt>
                <c:pt idx="4888">
                  <c:v>15398827.460218223</c:v>
                </c:pt>
                <c:pt idx="4889">
                  <c:v>15401977.793168349</c:v>
                </c:pt>
                <c:pt idx="4890">
                  <c:v>15405128.126118476</c:v>
                </c:pt>
                <c:pt idx="4891">
                  <c:v>15408278.459068602</c:v>
                </c:pt>
                <c:pt idx="4892">
                  <c:v>15411428.792018728</c:v>
                </c:pt>
                <c:pt idx="4893">
                  <c:v>15414579.124968855</c:v>
                </c:pt>
                <c:pt idx="4894">
                  <c:v>15417729.457918981</c:v>
                </c:pt>
                <c:pt idx="4895">
                  <c:v>15420879.790869107</c:v>
                </c:pt>
                <c:pt idx="4896">
                  <c:v>15424030.123819234</c:v>
                </c:pt>
                <c:pt idx="4897">
                  <c:v>15427180.45676936</c:v>
                </c:pt>
                <c:pt idx="4898">
                  <c:v>15430330.789719487</c:v>
                </c:pt>
                <c:pt idx="4899">
                  <c:v>15433481.122669613</c:v>
                </c:pt>
                <c:pt idx="4900">
                  <c:v>15436631.455619739</c:v>
                </c:pt>
                <c:pt idx="4901">
                  <c:v>15439781.788569866</c:v>
                </c:pt>
                <c:pt idx="4902">
                  <c:v>15442932.121519992</c:v>
                </c:pt>
                <c:pt idx="4903">
                  <c:v>15446082.454470119</c:v>
                </c:pt>
                <c:pt idx="4904">
                  <c:v>15449232.787420245</c:v>
                </c:pt>
                <c:pt idx="4905">
                  <c:v>15452383.120370371</c:v>
                </c:pt>
                <c:pt idx="4906">
                  <c:v>15455533.4533205</c:v>
                </c:pt>
                <c:pt idx="4907">
                  <c:v>15458683.786270626</c:v>
                </c:pt>
                <c:pt idx="4908">
                  <c:v>15461834.119220752</c:v>
                </c:pt>
                <c:pt idx="4909">
                  <c:v>15464984.452170879</c:v>
                </c:pt>
                <c:pt idx="4910">
                  <c:v>15468134.785121005</c:v>
                </c:pt>
                <c:pt idx="4911">
                  <c:v>15471285.118071131</c:v>
                </c:pt>
                <c:pt idx="4912">
                  <c:v>15474435.451021258</c:v>
                </c:pt>
                <c:pt idx="4913">
                  <c:v>15477585.783971384</c:v>
                </c:pt>
                <c:pt idx="4914">
                  <c:v>15480736.116921511</c:v>
                </c:pt>
                <c:pt idx="4915">
                  <c:v>15483886.449871637</c:v>
                </c:pt>
                <c:pt idx="4916">
                  <c:v>15487036.782821763</c:v>
                </c:pt>
                <c:pt idx="4917">
                  <c:v>15490187.11577189</c:v>
                </c:pt>
                <c:pt idx="4918">
                  <c:v>15493337.448722016</c:v>
                </c:pt>
                <c:pt idx="4919">
                  <c:v>15496487.781672142</c:v>
                </c:pt>
                <c:pt idx="4920">
                  <c:v>15499638.114622269</c:v>
                </c:pt>
                <c:pt idx="4921">
                  <c:v>15502788.447572395</c:v>
                </c:pt>
                <c:pt idx="4922">
                  <c:v>15505938.780522522</c:v>
                </c:pt>
                <c:pt idx="4923">
                  <c:v>15509089.113472648</c:v>
                </c:pt>
                <c:pt idx="4924">
                  <c:v>15512239.446422774</c:v>
                </c:pt>
                <c:pt idx="4925">
                  <c:v>15515389.779372903</c:v>
                </c:pt>
                <c:pt idx="4926">
                  <c:v>15518540.112323029</c:v>
                </c:pt>
                <c:pt idx="4927">
                  <c:v>15521690.445273155</c:v>
                </c:pt>
                <c:pt idx="4928">
                  <c:v>15524840.778223282</c:v>
                </c:pt>
                <c:pt idx="4929">
                  <c:v>15527991.111173408</c:v>
                </c:pt>
                <c:pt idx="4930">
                  <c:v>15531141.444123534</c:v>
                </c:pt>
                <c:pt idx="4931">
                  <c:v>15534291.777073661</c:v>
                </c:pt>
                <c:pt idx="4932">
                  <c:v>15537442.110023787</c:v>
                </c:pt>
                <c:pt idx="4933">
                  <c:v>15540592.442973914</c:v>
                </c:pt>
                <c:pt idx="4934">
                  <c:v>15543742.77592404</c:v>
                </c:pt>
                <c:pt idx="4935">
                  <c:v>15546893.108874166</c:v>
                </c:pt>
                <c:pt idx="4936">
                  <c:v>15550043.441824293</c:v>
                </c:pt>
                <c:pt idx="4937">
                  <c:v>15553193.774774419</c:v>
                </c:pt>
                <c:pt idx="4938">
                  <c:v>15556344.107724546</c:v>
                </c:pt>
                <c:pt idx="4939">
                  <c:v>15559494.440674672</c:v>
                </c:pt>
                <c:pt idx="4940">
                  <c:v>15562644.773624798</c:v>
                </c:pt>
                <c:pt idx="4941">
                  <c:v>15565795.106574925</c:v>
                </c:pt>
                <c:pt idx="4942">
                  <c:v>15568945.439525051</c:v>
                </c:pt>
                <c:pt idx="4943">
                  <c:v>15572095.772475177</c:v>
                </c:pt>
                <c:pt idx="4944">
                  <c:v>15575246.105425306</c:v>
                </c:pt>
                <c:pt idx="4945">
                  <c:v>15578396.438375432</c:v>
                </c:pt>
                <c:pt idx="4946">
                  <c:v>15581546.771325558</c:v>
                </c:pt>
                <c:pt idx="4947">
                  <c:v>15584697.104275685</c:v>
                </c:pt>
                <c:pt idx="4948">
                  <c:v>15587847.437225811</c:v>
                </c:pt>
                <c:pt idx="4949">
                  <c:v>15590997.770175938</c:v>
                </c:pt>
                <c:pt idx="4950">
                  <c:v>15594148.103126064</c:v>
                </c:pt>
                <c:pt idx="4951">
                  <c:v>15597298.43607619</c:v>
                </c:pt>
                <c:pt idx="4952">
                  <c:v>15600448.769026317</c:v>
                </c:pt>
                <c:pt idx="4953">
                  <c:v>15603599.101976443</c:v>
                </c:pt>
                <c:pt idx="4954">
                  <c:v>15606749.434926569</c:v>
                </c:pt>
                <c:pt idx="4955">
                  <c:v>15609899.767876696</c:v>
                </c:pt>
                <c:pt idx="4956">
                  <c:v>15613050.100826822</c:v>
                </c:pt>
                <c:pt idx="4957">
                  <c:v>15616200.433776949</c:v>
                </c:pt>
                <c:pt idx="4958">
                  <c:v>15619350.766727075</c:v>
                </c:pt>
                <c:pt idx="4959">
                  <c:v>15622501.099677201</c:v>
                </c:pt>
                <c:pt idx="4960">
                  <c:v>15625651.432627328</c:v>
                </c:pt>
                <c:pt idx="4961">
                  <c:v>15628801.765577454</c:v>
                </c:pt>
                <c:pt idx="4962">
                  <c:v>15631952.09852758</c:v>
                </c:pt>
                <c:pt idx="4963">
                  <c:v>15635102.431477709</c:v>
                </c:pt>
                <c:pt idx="4964">
                  <c:v>15638252.764427835</c:v>
                </c:pt>
                <c:pt idx="4965">
                  <c:v>15641403.097377962</c:v>
                </c:pt>
                <c:pt idx="4966">
                  <c:v>15644553.430328088</c:v>
                </c:pt>
                <c:pt idx="4967">
                  <c:v>15647703.763278214</c:v>
                </c:pt>
                <c:pt idx="4968">
                  <c:v>15650854.096228341</c:v>
                </c:pt>
                <c:pt idx="4969">
                  <c:v>15654004.429178467</c:v>
                </c:pt>
                <c:pt idx="4970">
                  <c:v>15657154.762128593</c:v>
                </c:pt>
                <c:pt idx="4971">
                  <c:v>15660305.09507872</c:v>
                </c:pt>
                <c:pt idx="4972">
                  <c:v>15663455.428028846</c:v>
                </c:pt>
                <c:pt idx="4973">
                  <c:v>15666605.760978973</c:v>
                </c:pt>
                <c:pt idx="4974">
                  <c:v>15669756.093929099</c:v>
                </c:pt>
                <c:pt idx="4975">
                  <c:v>15672906.426879225</c:v>
                </c:pt>
                <c:pt idx="4976">
                  <c:v>15676056.759829352</c:v>
                </c:pt>
                <c:pt idx="4977">
                  <c:v>15679207.092779478</c:v>
                </c:pt>
                <c:pt idx="4978">
                  <c:v>15682357.425729604</c:v>
                </c:pt>
                <c:pt idx="4979">
                  <c:v>15685507.758679731</c:v>
                </c:pt>
                <c:pt idx="4980">
                  <c:v>15688658.091629857</c:v>
                </c:pt>
                <c:pt idx="4981">
                  <c:v>15691808.424579984</c:v>
                </c:pt>
                <c:pt idx="4982">
                  <c:v>15694958.757530112</c:v>
                </c:pt>
                <c:pt idx="4983">
                  <c:v>15698109.090480238</c:v>
                </c:pt>
                <c:pt idx="4984">
                  <c:v>15701259.423430365</c:v>
                </c:pt>
                <c:pt idx="4985">
                  <c:v>15704409.756380491</c:v>
                </c:pt>
                <c:pt idx="4986">
                  <c:v>15707560.089330617</c:v>
                </c:pt>
                <c:pt idx="4987">
                  <c:v>15710710.422280744</c:v>
                </c:pt>
                <c:pt idx="4988">
                  <c:v>15713860.75523087</c:v>
                </c:pt>
                <c:pt idx="4989">
                  <c:v>15717011.088180996</c:v>
                </c:pt>
                <c:pt idx="4990">
                  <c:v>15720161.421131123</c:v>
                </c:pt>
                <c:pt idx="4991">
                  <c:v>15723311.754081249</c:v>
                </c:pt>
                <c:pt idx="4992">
                  <c:v>15726462.087031376</c:v>
                </c:pt>
                <c:pt idx="4993">
                  <c:v>15729612.419981502</c:v>
                </c:pt>
                <c:pt idx="4994">
                  <c:v>15732762.752931628</c:v>
                </c:pt>
                <c:pt idx="4995">
                  <c:v>15735913.085881755</c:v>
                </c:pt>
                <c:pt idx="4996">
                  <c:v>15739063.418831881</c:v>
                </c:pt>
                <c:pt idx="4997">
                  <c:v>15742213.751782008</c:v>
                </c:pt>
                <c:pt idx="4998">
                  <c:v>15745364.084732134</c:v>
                </c:pt>
                <c:pt idx="4999">
                  <c:v>15748514.41768226</c:v>
                </c:pt>
                <c:pt idx="5000">
                  <c:v>15751664.750632387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19-470D-A6FB-D9340F44E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0180719"/>
        <c:axId val="2144608751"/>
      </c:lineChart>
      <c:catAx>
        <c:axId val="208018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44608751"/>
        <c:crosses val="autoZero"/>
        <c:auto val="1"/>
        <c:lblAlgn val="ctr"/>
        <c:lblOffset val="100"/>
        <c:noMultiLvlLbl val="0"/>
      </c:catAx>
      <c:valAx>
        <c:axId val="214460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80180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3</xdr:row>
      <xdr:rowOff>57150</xdr:rowOff>
    </xdr:from>
    <xdr:to>
      <xdr:col>19</xdr:col>
      <xdr:colOff>295275</xdr:colOff>
      <xdr:row>33</xdr:row>
      <xdr:rowOff>143827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781393-D746-4D0E-A6EE-1904C831C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quemaFinancieroV13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rsión Inicial"/>
      <sheetName val="Proyección de Ventas e Incremen"/>
      <sheetName val="Costos de Operación Gravables"/>
      <sheetName val="Amortización y Depreciación"/>
      <sheetName val="Balance General"/>
      <sheetName val="Estado de Resultados"/>
      <sheetName val="Flujo de Caja"/>
      <sheetName val="Flujo de Efectivo"/>
      <sheetName val="Costos Fijos y Punto de Equil."/>
      <sheetName val="Grafica Punto de Equilibrio"/>
      <sheetName val="Indicadores Financieros"/>
    </sheetNames>
    <sheetDataSet>
      <sheetData sheetId="0" refreshError="1"/>
      <sheetData sheetId="1">
        <row r="18">
          <cell r="J18">
            <v>408.24</v>
          </cell>
          <cell r="K18">
            <v>491.37108986615669</v>
          </cell>
          <cell r="L18">
            <v>608.65697079667348</v>
          </cell>
          <cell r="M18">
            <v>777.69574378552784</v>
          </cell>
          <cell r="N18">
            <v>1032.4192772573097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showGridLines="0" zoomScale="145" zoomScaleNormal="145" workbookViewId="0">
      <selection activeCell="B10" sqref="B10"/>
    </sheetView>
  </sheetViews>
  <sheetFormatPr baseColWidth="10" defaultRowHeight="15" x14ac:dyDescent="0.25"/>
  <cols>
    <col min="1" max="1" width="50" customWidth="1"/>
    <col min="2" max="2" width="22.7109375" customWidth="1"/>
    <col min="3" max="4" width="15.7109375" customWidth="1"/>
  </cols>
  <sheetData>
    <row r="1" spans="1:4" ht="15.75" thickBot="1" x14ac:dyDescent="0.3">
      <c r="A1" s="141" t="s">
        <v>0</v>
      </c>
      <c r="B1" s="142"/>
    </row>
    <row r="2" spans="1:4" x14ac:dyDescent="0.25">
      <c r="A2" s="1" t="s">
        <v>1</v>
      </c>
      <c r="B2" s="1" t="s">
        <v>2</v>
      </c>
    </row>
    <row r="3" spans="1:4" x14ac:dyDescent="0.25">
      <c r="A3" s="111" t="s">
        <v>185</v>
      </c>
      <c r="B3" s="3">
        <f>B24</f>
        <v>5000000</v>
      </c>
    </row>
    <row r="4" spans="1:4" x14ac:dyDescent="0.25">
      <c r="A4" s="111" t="s">
        <v>184</v>
      </c>
      <c r="B4" s="3">
        <f>B32</f>
        <v>3740000</v>
      </c>
    </row>
    <row r="5" spans="1:4" x14ac:dyDescent="0.25">
      <c r="A5" s="111" t="s">
        <v>3</v>
      </c>
      <c r="B5" s="3">
        <f>D17</f>
        <v>8200000</v>
      </c>
    </row>
    <row r="6" spans="1:4" x14ac:dyDescent="0.25">
      <c r="A6" s="111" t="s">
        <v>257</v>
      </c>
      <c r="B6" s="3">
        <f>B38</f>
        <v>7000000</v>
      </c>
    </row>
    <row r="7" spans="1:4" x14ac:dyDescent="0.25">
      <c r="A7" s="111" t="s">
        <v>4</v>
      </c>
      <c r="B7" s="3">
        <f>B45</f>
        <v>6000000</v>
      </c>
    </row>
    <row r="8" spans="1:4" x14ac:dyDescent="0.25">
      <c r="A8" s="111" t="s">
        <v>5</v>
      </c>
      <c r="B8" s="3">
        <f>B53</f>
        <v>3700000</v>
      </c>
    </row>
    <row r="9" spans="1:4" x14ac:dyDescent="0.25">
      <c r="A9" s="111" t="s">
        <v>230</v>
      </c>
      <c r="B9" s="3">
        <f>B57</f>
        <v>1000000</v>
      </c>
    </row>
    <row r="10" spans="1:4" x14ac:dyDescent="0.25">
      <c r="A10" s="4" t="s">
        <v>36</v>
      </c>
      <c r="B10" s="5">
        <f>SUM(B3:B9)</f>
        <v>34640000</v>
      </c>
    </row>
    <row r="11" spans="1:4" ht="15.75" thickBot="1" x14ac:dyDescent="0.3"/>
    <row r="12" spans="1:4" ht="15.75" thickBot="1" x14ac:dyDescent="0.3">
      <c r="A12" s="143" t="s">
        <v>181</v>
      </c>
      <c r="B12" s="150"/>
      <c r="C12" s="150"/>
      <c r="D12" s="144"/>
    </row>
    <row r="13" spans="1:4" x14ac:dyDescent="0.25">
      <c r="A13" s="101" t="s">
        <v>7</v>
      </c>
      <c r="B13" s="101" t="s">
        <v>8</v>
      </c>
      <c r="C13" s="101" t="s">
        <v>9</v>
      </c>
      <c r="D13" s="101" t="s">
        <v>10</v>
      </c>
    </row>
    <row r="14" spans="1:4" x14ac:dyDescent="0.25">
      <c r="A14" s="6" t="s">
        <v>188</v>
      </c>
      <c r="B14" s="6">
        <v>2</v>
      </c>
      <c r="C14" s="7">
        <v>3000000</v>
      </c>
      <c r="D14" s="7">
        <f>C14*B14</f>
        <v>6000000</v>
      </c>
    </row>
    <row r="15" spans="1:4" x14ac:dyDescent="0.25">
      <c r="A15" s="6" t="s">
        <v>11</v>
      </c>
      <c r="B15" s="6">
        <v>2</v>
      </c>
      <c r="C15" s="7">
        <v>800000</v>
      </c>
      <c r="D15" s="7">
        <f t="shared" ref="D15:D16" si="0">C15*B15</f>
        <v>1600000</v>
      </c>
    </row>
    <row r="16" spans="1:4" x14ac:dyDescent="0.25">
      <c r="A16" s="6" t="s">
        <v>189</v>
      </c>
      <c r="B16" s="6">
        <v>2</v>
      </c>
      <c r="C16" s="7">
        <v>300000</v>
      </c>
      <c r="D16" s="7">
        <f t="shared" si="0"/>
        <v>600000</v>
      </c>
    </row>
    <row r="17" spans="1:4" x14ac:dyDescent="0.25">
      <c r="A17" s="147" t="s">
        <v>6</v>
      </c>
      <c r="B17" s="148"/>
      <c r="C17" s="149"/>
      <c r="D17" s="5">
        <f>SUM(D14:D16)</f>
        <v>8200000</v>
      </c>
    </row>
    <row r="18" spans="1:4" ht="15.75" thickBot="1" x14ac:dyDescent="0.3"/>
    <row r="19" spans="1:4" ht="15.75" thickBot="1" x14ac:dyDescent="0.3">
      <c r="A19" s="143" t="s">
        <v>182</v>
      </c>
      <c r="B19" s="144"/>
    </row>
    <row r="20" spans="1:4" x14ac:dyDescent="0.25">
      <c r="A20" s="101" t="s">
        <v>7</v>
      </c>
      <c r="B20" s="101" t="s">
        <v>2</v>
      </c>
    </row>
    <row r="21" spans="1:4" x14ac:dyDescent="0.25">
      <c r="A21" s="8" t="s">
        <v>190</v>
      </c>
      <c r="B21" s="7">
        <v>1500000</v>
      </c>
    </row>
    <row r="22" spans="1:4" x14ac:dyDescent="0.25">
      <c r="A22" s="8" t="s">
        <v>191</v>
      </c>
      <c r="B22" s="7">
        <v>2000000</v>
      </c>
    </row>
    <row r="23" spans="1:4" x14ac:dyDescent="0.25">
      <c r="A23" s="8" t="s">
        <v>13</v>
      </c>
      <c r="B23" s="7">
        <v>1500000</v>
      </c>
    </row>
    <row r="24" spans="1:4" x14ac:dyDescent="0.25">
      <c r="A24" s="9" t="s">
        <v>6</v>
      </c>
      <c r="B24" s="10">
        <f>SUM(B21:B23)</f>
        <v>5000000</v>
      </c>
    </row>
    <row r="25" spans="1:4" ht="15.75" thickBot="1" x14ac:dyDescent="0.3"/>
    <row r="26" spans="1:4" ht="15.75" thickBot="1" x14ac:dyDescent="0.3">
      <c r="A26" s="143" t="s">
        <v>183</v>
      </c>
      <c r="B26" s="144"/>
    </row>
    <row r="27" spans="1:4" x14ac:dyDescent="0.25">
      <c r="A27" s="101" t="s">
        <v>7</v>
      </c>
      <c r="B27" s="101" t="s">
        <v>2</v>
      </c>
    </row>
    <row r="28" spans="1:4" x14ac:dyDescent="0.25">
      <c r="A28" s="8" t="s">
        <v>194</v>
      </c>
      <c r="B28" s="7">
        <v>920000</v>
      </c>
    </row>
    <row r="29" spans="1:4" x14ac:dyDescent="0.25">
      <c r="A29" s="8" t="s">
        <v>195</v>
      </c>
      <c r="B29" s="7">
        <v>1300000</v>
      </c>
    </row>
    <row r="30" spans="1:4" x14ac:dyDescent="0.25">
      <c r="A30" s="8" t="s">
        <v>196</v>
      </c>
      <c r="B30" s="7">
        <v>600000</v>
      </c>
    </row>
    <row r="31" spans="1:4" x14ac:dyDescent="0.25">
      <c r="A31" s="8" t="s">
        <v>197</v>
      </c>
      <c r="B31" s="7">
        <v>920000</v>
      </c>
    </row>
    <row r="32" spans="1:4" x14ac:dyDescent="0.25">
      <c r="A32" s="9" t="s">
        <v>6</v>
      </c>
      <c r="B32" s="10">
        <f>SUM(B28:B31)</f>
        <v>3740000</v>
      </c>
    </row>
    <row r="33" spans="1:2" ht="15.75" thickBot="1" x14ac:dyDescent="0.3"/>
    <row r="34" spans="1:2" ht="15.75" thickBot="1" x14ac:dyDescent="0.3">
      <c r="A34" s="143" t="s">
        <v>256</v>
      </c>
      <c r="B34" s="144"/>
    </row>
    <row r="35" spans="1:2" x14ac:dyDescent="0.25">
      <c r="A35" s="101" t="s">
        <v>7</v>
      </c>
      <c r="B35" s="101" t="s">
        <v>2</v>
      </c>
    </row>
    <row r="36" spans="1:2" x14ac:dyDescent="0.25">
      <c r="A36" s="8" t="s">
        <v>193</v>
      </c>
      <c r="B36" s="7">
        <v>3500000</v>
      </c>
    </row>
    <row r="37" spans="1:2" x14ac:dyDescent="0.25">
      <c r="A37" s="8" t="s">
        <v>192</v>
      </c>
      <c r="B37" s="7">
        <v>3500000</v>
      </c>
    </row>
    <row r="38" spans="1:2" x14ac:dyDescent="0.25">
      <c r="A38" s="9" t="s">
        <v>6</v>
      </c>
      <c r="B38" s="10">
        <f>SUM(B36:B37)</f>
        <v>7000000</v>
      </c>
    </row>
    <row r="39" spans="1:2" ht="15.75" thickBot="1" x14ac:dyDescent="0.3"/>
    <row r="40" spans="1:2" ht="15.75" thickBot="1" x14ac:dyDescent="0.3">
      <c r="A40" s="143" t="s">
        <v>14</v>
      </c>
      <c r="B40" s="144"/>
    </row>
    <row r="41" spans="1:2" x14ac:dyDescent="0.25">
      <c r="A41" s="101" t="s">
        <v>7</v>
      </c>
      <c r="B41" s="101" t="s">
        <v>2</v>
      </c>
    </row>
    <row r="42" spans="1:2" x14ac:dyDescent="0.25">
      <c r="A42" s="8" t="s">
        <v>198</v>
      </c>
      <c r="B42" s="7">
        <v>2000000</v>
      </c>
    </row>
    <row r="43" spans="1:2" x14ac:dyDescent="0.25">
      <c r="A43" s="8" t="s">
        <v>199</v>
      </c>
      <c r="B43" s="7">
        <v>2000000</v>
      </c>
    </row>
    <row r="44" spans="1:2" x14ac:dyDescent="0.25">
      <c r="A44" s="8" t="s">
        <v>200</v>
      </c>
      <c r="B44" s="7">
        <v>2000000</v>
      </c>
    </row>
    <row r="45" spans="1:2" x14ac:dyDescent="0.25">
      <c r="A45" s="9" t="s">
        <v>6</v>
      </c>
      <c r="B45" s="10">
        <f>SUM(B42:B44)</f>
        <v>6000000</v>
      </c>
    </row>
    <row r="46" spans="1:2" ht="15.75" thickBot="1" x14ac:dyDescent="0.3"/>
    <row r="47" spans="1:2" ht="15.75" thickBot="1" x14ac:dyDescent="0.3">
      <c r="A47" s="143" t="s">
        <v>15</v>
      </c>
      <c r="B47" s="144"/>
    </row>
    <row r="48" spans="1:2" x14ac:dyDescent="0.25">
      <c r="A48" s="101" t="s">
        <v>7</v>
      </c>
      <c r="B48" s="101" t="s">
        <v>2</v>
      </c>
    </row>
    <row r="49" spans="1:4" x14ac:dyDescent="0.25">
      <c r="A49" s="8" t="s">
        <v>201</v>
      </c>
      <c r="B49" s="7">
        <v>1500000</v>
      </c>
    </row>
    <row r="50" spans="1:4" x14ac:dyDescent="0.25">
      <c r="A50" s="8" t="s">
        <v>202</v>
      </c>
      <c r="B50" s="7">
        <v>1000000</v>
      </c>
    </row>
    <row r="51" spans="1:4" x14ac:dyDescent="0.25">
      <c r="A51" s="8" t="s">
        <v>203</v>
      </c>
      <c r="B51" s="7">
        <v>200000</v>
      </c>
    </row>
    <row r="52" spans="1:4" x14ac:dyDescent="0.25">
      <c r="A52" s="8" t="s">
        <v>16</v>
      </c>
      <c r="B52" s="7">
        <v>1000000</v>
      </c>
    </row>
    <row r="53" spans="1:4" x14ac:dyDescent="0.25">
      <c r="A53" s="9" t="s">
        <v>6</v>
      </c>
      <c r="B53" s="10">
        <f>SUM(B49:B52)</f>
        <v>3700000</v>
      </c>
    </row>
    <row r="54" spans="1:4" ht="15.75" thickBot="1" x14ac:dyDescent="0.3"/>
    <row r="55" spans="1:4" ht="15.75" thickBot="1" x14ac:dyDescent="0.3">
      <c r="A55" s="143" t="s">
        <v>115</v>
      </c>
      <c r="B55" s="144"/>
    </row>
    <row r="56" spans="1:4" x14ac:dyDescent="0.25">
      <c r="A56" s="101" t="s">
        <v>7</v>
      </c>
      <c r="B56" s="101" t="s">
        <v>2</v>
      </c>
    </row>
    <row r="57" spans="1:4" x14ac:dyDescent="0.25">
      <c r="A57" s="8" t="s">
        <v>229</v>
      </c>
      <c r="B57" s="7">
        <v>1000000</v>
      </c>
    </row>
    <row r="58" spans="1:4" x14ac:dyDescent="0.25">
      <c r="A58" s="9" t="s">
        <v>6</v>
      </c>
      <c r="B58" s="10">
        <f>SUM(B57)</f>
        <v>1000000</v>
      </c>
    </row>
    <row r="60" spans="1:4" x14ac:dyDescent="0.25">
      <c r="A60" s="145"/>
      <c r="B60" s="146"/>
      <c r="C60" s="146"/>
      <c r="D60" s="146"/>
    </row>
  </sheetData>
  <mergeCells count="10">
    <mergeCell ref="A1:B1"/>
    <mergeCell ref="A34:B34"/>
    <mergeCell ref="A26:B26"/>
    <mergeCell ref="A19:B19"/>
    <mergeCell ref="A60:D60"/>
    <mergeCell ref="A17:C17"/>
    <mergeCell ref="A12:D12"/>
    <mergeCell ref="A55:B55"/>
    <mergeCell ref="A47:B47"/>
    <mergeCell ref="A40:B40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showGridLines="0" zoomScale="130" zoomScaleNormal="130" workbookViewId="0">
      <selection activeCell="H22" sqref="H22:I22"/>
    </sheetView>
  </sheetViews>
  <sheetFormatPr baseColWidth="10" defaultRowHeight="15" x14ac:dyDescent="0.25"/>
  <cols>
    <col min="1" max="1" width="30.42578125" customWidth="1"/>
    <col min="2" max="2" width="13.140625" customWidth="1"/>
    <col min="3" max="3" width="17.28515625" customWidth="1"/>
    <col min="4" max="4" width="12.85546875" customWidth="1"/>
    <col min="5" max="5" width="16" customWidth="1"/>
    <col min="6" max="6" width="14.85546875" customWidth="1"/>
    <col min="8" max="8" width="48.85546875" customWidth="1"/>
    <col min="9" max="9" width="8.5703125" customWidth="1"/>
    <col min="10" max="14" width="14.85546875" customWidth="1"/>
    <col min="15" max="15" width="17" customWidth="1"/>
  </cols>
  <sheetData>
    <row r="1" spans="1:14" ht="15.75" thickBot="1" x14ac:dyDescent="0.3">
      <c r="A1" s="166" t="s">
        <v>52</v>
      </c>
      <c r="B1" s="167"/>
      <c r="C1" s="167"/>
      <c r="D1" s="167"/>
      <c r="E1" s="167"/>
      <c r="F1" s="168"/>
      <c r="H1" s="169" t="s">
        <v>53</v>
      </c>
      <c r="I1" s="170"/>
      <c r="J1" s="170"/>
      <c r="K1" s="170"/>
      <c r="L1" s="170"/>
      <c r="M1" s="170"/>
      <c r="N1" s="171"/>
    </row>
    <row r="2" spans="1:14" x14ac:dyDescent="0.25">
      <c r="A2" s="172" t="s">
        <v>54</v>
      </c>
      <c r="B2" s="172"/>
      <c r="C2" s="172"/>
      <c r="D2" s="172"/>
      <c r="E2" s="172"/>
      <c r="F2" s="172"/>
      <c r="H2" s="173" t="s">
        <v>55</v>
      </c>
      <c r="I2" s="174"/>
      <c r="J2" s="174"/>
      <c r="K2" s="174"/>
      <c r="L2" s="174"/>
      <c r="M2" s="174"/>
      <c r="N2" s="175"/>
    </row>
    <row r="3" spans="1:14" x14ac:dyDescent="0.25">
      <c r="A3" s="176" t="s">
        <v>7</v>
      </c>
      <c r="B3" s="176"/>
      <c r="C3" s="1" t="s">
        <v>19</v>
      </c>
      <c r="D3" s="1" t="s">
        <v>56</v>
      </c>
      <c r="E3" s="1" t="s">
        <v>57</v>
      </c>
      <c r="F3" s="1" t="s">
        <v>58</v>
      </c>
      <c r="H3" s="20" t="s">
        <v>59</v>
      </c>
      <c r="I3" s="20" t="s">
        <v>46</v>
      </c>
      <c r="J3" s="20" t="s">
        <v>163</v>
      </c>
      <c r="K3" s="20" t="s">
        <v>164</v>
      </c>
      <c r="L3" s="20" t="s">
        <v>165</v>
      </c>
      <c r="M3" s="20" t="s">
        <v>166</v>
      </c>
      <c r="N3" s="20" t="s">
        <v>167</v>
      </c>
    </row>
    <row r="4" spans="1:14" x14ac:dyDescent="0.25">
      <c r="A4" s="177" t="s">
        <v>60</v>
      </c>
      <c r="B4" s="177"/>
      <c r="C4" s="8" t="s">
        <v>24</v>
      </c>
      <c r="D4" s="3">
        <v>0</v>
      </c>
      <c r="E4" s="12">
        <f>D4*3</f>
        <v>0</v>
      </c>
      <c r="F4" s="12">
        <f>D4*12</f>
        <v>0</v>
      </c>
      <c r="H4" s="27" t="s">
        <v>61</v>
      </c>
      <c r="I4" s="31"/>
      <c r="J4" s="28">
        <v>4.5999999999999999E-2</v>
      </c>
      <c r="K4" s="28">
        <v>3.9E-2</v>
      </c>
      <c r="L4" s="28">
        <v>3.6999999999999998E-2</v>
      </c>
      <c r="M4" s="28">
        <v>3.5000000000000003E-2</v>
      </c>
      <c r="N4" s="28">
        <v>3.4000000000000002E-2</v>
      </c>
    </row>
    <row r="5" spans="1:14" x14ac:dyDescent="0.25">
      <c r="A5" s="177" t="s">
        <v>62</v>
      </c>
      <c r="B5" s="177"/>
      <c r="C5" s="8" t="s">
        <v>24</v>
      </c>
      <c r="D5" s="3">
        <v>30000</v>
      </c>
      <c r="E5" s="12">
        <f t="shared" ref="E5:E6" si="0">D5*3</f>
        <v>90000</v>
      </c>
      <c r="F5" s="12">
        <f>D5*12</f>
        <v>360000</v>
      </c>
      <c r="H5" s="2" t="s">
        <v>63</v>
      </c>
      <c r="I5" s="52"/>
      <c r="J5" s="50">
        <v>0.25</v>
      </c>
      <c r="K5" s="50">
        <v>0.22</v>
      </c>
      <c r="L5" s="50">
        <v>0.25</v>
      </c>
      <c r="M5" s="50">
        <v>0.28999999999999998</v>
      </c>
      <c r="N5" s="50">
        <v>0.34</v>
      </c>
    </row>
    <row r="6" spans="1:14" x14ac:dyDescent="0.25">
      <c r="A6" s="177" t="s">
        <v>64</v>
      </c>
      <c r="B6" s="177"/>
      <c r="C6" s="8" t="s">
        <v>24</v>
      </c>
      <c r="D6" s="3">
        <v>300</v>
      </c>
      <c r="E6" s="12">
        <f t="shared" si="0"/>
        <v>900</v>
      </c>
      <c r="F6" s="12">
        <f>D6*12</f>
        <v>3600</v>
      </c>
      <c r="H6" s="2" t="s">
        <v>65</v>
      </c>
      <c r="I6" s="31"/>
      <c r="J6" s="53">
        <f t="shared" ref="J6:K6" si="1">SUM(J4:J5)</f>
        <v>0.29599999999999999</v>
      </c>
      <c r="K6" s="53">
        <f t="shared" si="1"/>
        <v>0.25900000000000001</v>
      </c>
      <c r="L6" s="51">
        <f>SUM(L4:L5)</f>
        <v>0.28699999999999998</v>
      </c>
      <c r="M6" s="29">
        <f t="shared" ref="M6:N6" si="2">SUM(M4:M5)</f>
        <v>0.32499999999999996</v>
      </c>
      <c r="N6" s="29">
        <f t="shared" si="2"/>
        <v>0.374</v>
      </c>
    </row>
    <row r="7" spans="1:14" x14ac:dyDescent="0.25">
      <c r="A7" s="178" t="s">
        <v>66</v>
      </c>
      <c r="B7" s="178"/>
      <c r="C7" s="178"/>
      <c r="D7" s="178"/>
      <c r="E7" s="178"/>
      <c r="F7" s="178"/>
      <c r="H7" s="30" t="s">
        <v>67</v>
      </c>
      <c r="I7" s="31"/>
      <c r="J7" s="54">
        <f>F12*(1+J6)</f>
        <v>163296000</v>
      </c>
      <c r="K7" s="54">
        <f>J7*(1+K6)</f>
        <v>205589663.99999997</v>
      </c>
      <c r="L7" s="54">
        <f>K7*(1+L6)</f>
        <v>264593897.56799996</v>
      </c>
      <c r="M7" s="54">
        <f>L7*(1+M6)</f>
        <v>350586914.27759993</v>
      </c>
      <c r="N7" s="54">
        <f>M7*(1+N6)</f>
        <v>481706420.21742237</v>
      </c>
    </row>
    <row r="8" spans="1:14" ht="15.75" thickBot="1" x14ac:dyDescent="0.3">
      <c r="A8" s="11" t="s">
        <v>68</v>
      </c>
      <c r="B8" s="1" t="s">
        <v>56</v>
      </c>
      <c r="C8" s="1" t="s">
        <v>69</v>
      </c>
      <c r="D8" s="1" t="s">
        <v>70</v>
      </c>
      <c r="E8" s="1" t="s">
        <v>71</v>
      </c>
      <c r="F8" s="1" t="s">
        <v>72</v>
      </c>
      <c r="G8" s="33"/>
      <c r="H8" s="179"/>
      <c r="I8" s="179"/>
      <c r="J8" s="179"/>
      <c r="K8" s="179"/>
      <c r="L8" s="179"/>
      <c r="M8" s="179"/>
      <c r="N8" s="179"/>
    </row>
    <row r="9" spans="1:14" ht="15.75" thickBot="1" x14ac:dyDescent="0.3">
      <c r="A9" s="34" t="s">
        <v>60</v>
      </c>
      <c r="B9" s="7">
        <f>D4</f>
        <v>0</v>
      </c>
      <c r="C9" s="35">
        <v>3500</v>
      </c>
      <c r="D9" s="36">
        <f>B9*$C$9</f>
        <v>0</v>
      </c>
      <c r="E9" s="12">
        <f t="shared" ref="E9:E11" si="3">D9*3</f>
        <v>0</v>
      </c>
      <c r="F9" s="36">
        <f>D9*12</f>
        <v>0</v>
      </c>
      <c r="H9" s="155" t="s">
        <v>269</v>
      </c>
      <c r="I9" s="156"/>
      <c r="J9" s="156"/>
      <c r="K9" s="156"/>
      <c r="L9" s="156"/>
      <c r="M9" s="156"/>
      <c r="N9" s="157"/>
    </row>
    <row r="10" spans="1:14" x14ac:dyDescent="0.25">
      <c r="A10" s="37" t="s">
        <v>62</v>
      </c>
      <c r="B10" s="7">
        <f>D5</f>
        <v>30000</v>
      </c>
      <c r="C10" s="35">
        <f>C9*0.09</f>
        <v>315</v>
      </c>
      <c r="D10" s="36">
        <f>B10*$C$10</f>
        <v>9450000</v>
      </c>
      <c r="E10" s="12">
        <f t="shared" si="3"/>
        <v>28350000</v>
      </c>
      <c r="F10" s="36">
        <f>D10*12</f>
        <v>113400000</v>
      </c>
      <c r="H10" s="158" t="s">
        <v>59</v>
      </c>
      <c r="I10" s="159"/>
      <c r="J10" s="110" t="s">
        <v>163</v>
      </c>
      <c r="K10" s="110" t="s">
        <v>164</v>
      </c>
      <c r="L10" s="110" t="s">
        <v>165</v>
      </c>
      <c r="M10" s="110" t="s">
        <v>166</v>
      </c>
      <c r="N10" s="110" t="s">
        <v>167</v>
      </c>
    </row>
    <row r="11" spans="1:14" x14ac:dyDescent="0.25">
      <c r="A11" s="37" t="s">
        <v>64</v>
      </c>
      <c r="B11" s="3">
        <v>300</v>
      </c>
      <c r="C11" s="35">
        <f>C9</f>
        <v>3500</v>
      </c>
      <c r="D11" s="36">
        <f>B11*$C$11</f>
        <v>1050000</v>
      </c>
      <c r="E11" s="12">
        <f t="shared" si="3"/>
        <v>3150000</v>
      </c>
      <c r="F11" s="36">
        <f>D11*12</f>
        <v>12600000</v>
      </c>
      <c r="H11" s="160" t="s">
        <v>270</v>
      </c>
      <c r="I11" s="161"/>
      <c r="J11" s="161"/>
      <c r="K11" s="161"/>
      <c r="L11" s="161"/>
      <c r="M11" s="161"/>
      <c r="N11" s="162"/>
    </row>
    <row r="12" spans="1:14" x14ac:dyDescent="0.25">
      <c r="A12" s="163" t="s">
        <v>28</v>
      </c>
      <c r="B12" s="163"/>
      <c r="C12" s="40">
        <f>SUM(C10:C11)</f>
        <v>3815</v>
      </c>
      <c r="D12" s="10">
        <f>SUM(D9:D11)</f>
        <v>10500000</v>
      </c>
      <c r="E12" s="10">
        <f t="shared" ref="E12:F12" si="4">SUM(E9:E11)</f>
        <v>31500000</v>
      </c>
      <c r="F12" s="32">
        <f t="shared" si="4"/>
        <v>126000000</v>
      </c>
      <c r="H12" s="164" t="s">
        <v>271</v>
      </c>
      <c r="I12" s="165"/>
      <c r="J12" s="69">
        <f>$B10</f>
        <v>30000</v>
      </c>
      <c r="K12" s="69">
        <f>J12*(1+J4)</f>
        <v>31380</v>
      </c>
      <c r="L12" s="69">
        <f t="shared" ref="L12:N12" si="5">K12*(1+K4)</f>
        <v>32603.819999999996</v>
      </c>
      <c r="M12" s="69">
        <f t="shared" si="5"/>
        <v>33810.161339999991</v>
      </c>
      <c r="N12" s="69">
        <f t="shared" si="5"/>
        <v>34993.516986899987</v>
      </c>
    </row>
    <row r="13" spans="1:14" ht="15.75" thickBot="1" x14ac:dyDescent="0.3">
      <c r="A13" s="41"/>
      <c r="B13" s="18"/>
      <c r="C13" s="18"/>
      <c r="D13" s="18"/>
      <c r="E13" s="18"/>
      <c r="H13" s="164" t="s">
        <v>272</v>
      </c>
      <c r="I13" s="165"/>
      <c r="J13" s="3">
        <f>$B11</f>
        <v>300</v>
      </c>
      <c r="K13" s="3">
        <f>J13*(1+J4)</f>
        <v>313.8</v>
      </c>
      <c r="L13" s="3">
        <f>K13*(1+K4)</f>
        <v>326.03819999999996</v>
      </c>
      <c r="M13" s="3">
        <f t="shared" ref="M13:N13" si="6">L13*(1+L4)</f>
        <v>338.10161339999991</v>
      </c>
      <c r="N13" s="3">
        <f t="shared" si="6"/>
        <v>349.93516986899988</v>
      </c>
    </row>
    <row r="14" spans="1:14" ht="15.75" thickBot="1" x14ac:dyDescent="0.3">
      <c r="A14" s="151" t="s">
        <v>73</v>
      </c>
      <c r="B14" s="152"/>
      <c r="C14" s="38"/>
      <c r="D14" s="42"/>
      <c r="E14" s="42"/>
      <c r="H14" s="160" t="s">
        <v>273</v>
      </c>
      <c r="I14" s="161"/>
      <c r="J14" s="161"/>
      <c r="K14" s="161"/>
      <c r="L14" s="161"/>
      <c r="M14" s="161"/>
      <c r="N14" s="162"/>
    </row>
    <row r="15" spans="1:14" x14ac:dyDescent="0.25">
      <c r="A15" s="11" t="s">
        <v>7</v>
      </c>
      <c r="B15" s="1" t="s">
        <v>2</v>
      </c>
      <c r="C15" s="38"/>
      <c r="D15" s="42"/>
      <c r="E15" s="42"/>
      <c r="H15" s="121" t="s">
        <v>262</v>
      </c>
      <c r="I15" s="13">
        <v>0.9</v>
      </c>
      <c r="J15" s="7">
        <f t="shared" ref="J15:N16" si="7">J$7*$I15</f>
        <v>146966400</v>
      </c>
      <c r="K15" s="7">
        <f t="shared" si="7"/>
        <v>185030697.59999996</v>
      </c>
      <c r="L15" s="7">
        <f t="shared" si="7"/>
        <v>238134507.81119996</v>
      </c>
      <c r="M15" s="7">
        <f t="shared" si="7"/>
        <v>315528222.84983993</v>
      </c>
      <c r="N15" s="7">
        <f t="shared" si="7"/>
        <v>433535778.19568014</v>
      </c>
    </row>
    <row r="16" spans="1:14" x14ac:dyDescent="0.25">
      <c r="A16" s="2" t="s">
        <v>204</v>
      </c>
      <c r="B16" s="3">
        <f>'Costos de Operación Gravables'!$B$54*0.45</f>
        <v>16240950</v>
      </c>
      <c r="C16" s="38"/>
      <c r="D16" s="42"/>
      <c r="E16" s="42"/>
      <c r="H16" s="121" t="s">
        <v>263</v>
      </c>
      <c r="I16" s="13">
        <v>0.1</v>
      </c>
      <c r="J16" s="7">
        <f t="shared" si="7"/>
        <v>16329600</v>
      </c>
      <c r="K16" s="7">
        <f t="shared" si="7"/>
        <v>20558966.399999999</v>
      </c>
      <c r="L16" s="7">
        <f t="shared" si="7"/>
        <v>26459389.756799996</v>
      </c>
      <c r="M16" s="7">
        <f t="shared" si="7"/>
        <v>35058691.427759998</v>
      </c>
      <c r="N16" s="7">
        <f t="shared" si="7"/>
        <v>48170642.02174224</v>
      </c>
    </row>
    <row r="17" spans="1:16" x14ac:dyDescent="0.25">
      <c r="A17" s="2" t="s">
        <v>205</v>
      </c>
      <c r="B17" s="3">
        <f>'Costos de Operación Gravables'!$B$54*0.55</f>
        <v>19850050</v>
      </c>
      <c r="C17" s="38"/>
      <c r="D17" s="42"/>
      <c r="E17" s="42"/>
      <c r="H17" s="160" t="s">
        <v>266</v>
      </c>
      <c r="I17" s="161"/>
      <c r="J17" s="161"/>
      <c r="K17" s="161"/>
      <c r="L17" s="161"/>
      <c r="M17" s="161"/>
      <c r="N17" s="162"/>
    </row>
    <row r="18" spans="1:16" x14ac:dyDescent="0.25">
      <c r="A18" s="9" t="s">
        <v>28</v>
      </c>
      <c r="B18" s="10">
        <f>SUM(B16:B17)</f>
        <v>36091000</v>
      </c>
      <c r="C18" s="38"/>
      <c r="D18" s="42"/>
      <c r="E18" s="42"/>
      <c r="H18" s="164" t="s">
        <v>264</v>
      </c>
      <c r="I18" s="165"/>
      <c r="J18" s="35">
        <f>J15/(12*J12)</f>
        <v>408.24</v>
      </c>
      <c r="K18" s="35">
        <f t="shared" ref="J18:N19" si="8">K15/(12*K12)</f>
        <v>491.37108986615669</v>
      </c>
      <c r="L18" s="35">
        <f t="shared" si="8"/>
        <v>608.65697079667348</v>
      </c>
      <c r="M18" s="35">
        <f t="shared" si="8"/>
        <v>777.69574378552784</v>
      </c>
      <c r="N18" s="35">
        <f t="shared" si="8"/>
        <v>1032.4192772573097</v>
      </c>
    </row>
    <row r="19" spans="1:16" ht="15.75" thickBot="1" x14ac:dyDescent="0.3">
      <c r="B19" s="43"/>
      <c r="C19" s="38"/>
      <c r="D19" s="42"/>
      <c r="E19" s="42"/>
      <c r="H19" s="164" t="s">
        <v>265</v>
      </c>
      <c r="I19" s="165"/>
      <c r="J19" s="35">
        <f>J16/(12*J13)</f>
        <v>4536</v>
      </c>
      <c r="K19" s="35">
        <f t="shared" si="8"/>
        <v>5459.6787762906297</v>
      </c>
      <c r="L19" s="35">
        <f t="shared" si="8"/>
        <v>6762.8552310741497</v>
      </c>
      <c r="M19" s="35">
        <f t="shared" si="8"/>
        <v>8641.0638198392007</v>
      </c>
      <c r="N19" s="35">
        <f t="shared" si="8"/>
        <v>11471.325302858997</v>
      </c>
      <c r="P19" s="24"/>
    </row>
    <row r="20" spans="1:16" ht="15.75" thickBot="1" x14ac:dyDescent="0.3">
      <c r="A20" s="151" t="s">
        <v>206</v>
      </c>
      <c r="B20" s="154"/>
      <c r="C20" s="152"/>
      <c r="D20" s="42"/>
      <c r="E20" s="42"/>
      <c r="H20" s="160" t="s">
        <v>312</v>
      </c>
      <c r="I20" s="161"/>
      <c r="J20" s="161"/>
      <c r="K20" s="161"/>
      <c r="L20" s="161"/>
      <c r="M20" s="161"/>
      <c r="N20" s="162"/>
      <c r="O20" s="109" t="s">
        <v>281</v>
      </c>
      <c r="P20" s="23"/>
    </row>
    <row r="21" spans="1:16" x14ac:dyDescent="0.25">
      <c r="A21" s="11" t="s">
        <v>7</v>
      </c>
      <c r="B21" s="101" t="s">
        <v>207</v>
      </c>
      <c r="C21" s="101" t="s">
        <v>2</v>
      </c>
      <c r="D21" s="42"/>
      <c r="E21" s="42"/>
      <c r="H21" s="164" t="s">
        <v>274</v>
      </c>
      <c r="I21" s="165"/>
      <c r="J21" s="124">
        <f>(SUM(J15:J16)/12)/SUM(J18:J19)</f>
        <v>2752.2935779816517</v>
      </c>
      <c r="K21" s="124">
        <f t="shared" ref="K21:N21" si="9">(SUM(K15:K16)/12)/SUM(K18:K19)</f>
        <v>2878.8990825688074</v>
      </c>
      <c r="L21" s="124">
        <f t="shared" si="9"/>
        <v>2991.1761467889905</v>
      </c>
      <c r="M21" s="124">
        <f t="shared" si="9"/>
        <v>3101.8496642201826</v>
      </c>
      <c r="N21" s="124">
        <f t="shared" si="9"/>
        <v>3210.4144024678885</v>
      </c>
      <c r="O21" s="129">
        <f>AVERAGE(J21:N21)</f>
        <v>2986.9265748055041</v>
      </c>
      <c r="P21" s="127"/>
    </row>
    <row r="22" spans="1:16" x14ac:dyDescent="0.25">
      <c r="A22" s="102" t="s">
        <v>209</v>
      </c>
      <c r="B22" s="79">
        <v>0.5</v>
      </c>
      <c r="C22" s="3">
        <f>$B$17*B22</f>
        <v>9925025</v>
      </c>
      <c r="D22" s="46"/>
      <c r="E22" s="46"/>
      <c r="H22" s="164" t="s">
        <v>277</v>
      </c>
      <c r="I22" s="165"/>
      <c r="J22" s="124">
        <f>J21*12</f>
        <v>33027.522935779823</v>
      </c>
      <c r="K22" s="124">
        <f t="shared" ref="K22:N22" si="10">K21*12</f>
        <v>34546.788990825691</v>
      </c>
      <c r="L22" s="124">
        <f t="shared" si="10"/>
        <v>35894.113761467888</v>
      </c>
      <c r="M22" s="124">
        <f t="shared" si="10"/>
        <v>37222.195970642191</v>
      </c>
      <c r="N22" s="124">
        <f t="shared" si="10"/>
        <v>38524.972829614664</v>
      </c>
      <c r="O22" s="129">
        <f>AVERAGE(J22:N22)</f>
        <v>35843.118897666049</v>
      </c>
      <c r="P22" s="24"/>
    </row>
    <row r="23" spans="1:16" x14ac:dyDescent="0.25">
      <c r="A23" s="102" t="s">
        <v>208</v>
      </c>
      <c r="B23" s="79">
        <v>0.5</v>
      </c>
      <c r="C23" s="3">
        <f>$B$17*B23</f>
        <v>9925025</v>
      </c>
      <c r="D23" s="47"/>
      <c r="E23" s="48"/>
      <c r="H23" s="160" t="s">
        <v>268</v>
      </c>
      <c r="I23" s="161"/>
      <c r="J23" s="161"/>
      <c r="K23" s="161"/>
      <c r="L23" s="161"/>
      <c r="M23" s="161"/>
      <c r="N23" s="162"/>
      <c r="O23" s="18"/>
    </row>
    <row r="24" spans="1:16" x14ac:dyDescent="0.25">
      <c r="A24" s="9" t="s">
        <v>28</v>
      </c>
      <c r="B24" s="112">
        <f>SUM(B22:B23)</f>
        <v>1</v>
      </c>
      <c r="C24" s="10">
        <f>SUM(C22:C23)</f>
        <v>19850050</v>
      </c>
      <c r="D24" s="18"/>
      <c r="E24" s="18"/>
      <c r="H24" s="122" t="s">
        <v>267</v>
      </c>
      <c r="I24" s="123"/>
      <c r="J24" s="125">
        <f>SUM(J18:J19)*12</f>
        <v>59330.879999999997</v>
      </c>
      <c r="K24" s="125">
        <f>SUM(K18:K19)*12</f>
        <v>71412.598393881432</v>
      </c>
      <c r="L24" s="125">
        <f>SUM(L18:L19)*12</f>
        <v>88458.146422449878</v>
      </c>
      <c r="M24" s="125">
        <f>SUM(M18:M19)*12</f>
        <v>113025.11476349673</v>
      </c>
      <c r="N24" s="125">
        <f>SUM(N18:N19)*12</f>
        <v>150044.93496139569</v>
      </c>
      <c r="O24" s="115"/>
    </row>
    <row r="25" spans="1:16" x14ac:dyDescent="0.25">
      <c r="B25" s="49"/>
      <c r="C25" s="38"/>
      <c r="D25" s="42"/>
      <c r="E25" s="42"/>
      <c r="I25" s="114"/>
      <c r="J25" s="115"/>
      <c r="K25" s="115"/>
      <c r="L25" s="115"/>
      <c r="M25" s="115"/>
      <c r="N25" s="115"/>
      <c r="O25" s="115"/>
    </row>
    <row r="26" spans="1:16" x14ac:dyDescent="0.25">
      <c r="B26" s="49"/>
      <c r="C26" s="38"/>
      <c r="D26" s="42"/>
      <c r="E26" s="42"/>
      <c r="I26" s="18"/>
      <c r="J26" s="18"/>
      <c r="K26" s="18"/>
      <c r="L26" s="18"/>
      <c r="M26" s="18"/>
      <c r="N26" s="18"/>
      <c r="O26" s="18"/>
    </row>
    <row r="27" spans="1:16" x14ac:dyDescent="0.25">
      <c r="A27" s="45"/>
      <c r="B27" s="45"/>
      <c r="C27" s="44"/>
      <c r="D27" s="46"/>
      <c r="E27" s="46"/>
      <c r="I27" s="38"/>
      <c r="J27" s="116"/>
      <c r="K27" s="116"/>
      <c r="L27" s="116"/>
      <c r="M27" s="116"/>
      <c r="N27" s="116"/>
      <c r="O27" s="116"/>
    </row>
    <row r="28" spans="1:16" x14ac:dyDescent="0.25">
      <c r="A28" s="47"/>
      <c r="B28" s="47"/>
      <c r="C28" s="47"/>
      <c r="D28" s="47"/>
      <c r="E28" s="48"/>
      <c r="I28" s="114"/>
      <c r="J28" s="114"/>
      <c r="K28" s="114"/>
      <c r="L28" s="114"/>
      <c r="M28" s="114"/>
      <c r="N28" s="114"/>
      <c r="O28" s="114"/>
    </row>
    <row r="29" spans="1:16" x14ac:dyDescent="0.25">
      <c r="A29" s="41"/>
      <c r="B29" s="18"/>
      <c r="C29" s="18"/>
      <c r="D29" s="18"/>
      <c r="E29" s="18"/>
      <c r="I29" s="18"/>
      <c r="J29" s="18"/>
      <c r="K29" s="18"/>
      <c r="L29" s="103"/>
      <c r="M29" s="103"/>
      <c r="N29" s="103"/>
      <c r="O29" s="103"/>
    </row>
    <row r="30" spans="1:16" x14ac:dyDescent="0.25">
      <c r="B30" s="49"/>
      <c r="C30" s="38"/>
      <c r="D30" s="38"/>
      <c r="E30" s="38"/>
      <c r="I30" s="38"/>
      <c r="J30" s="39"/>
    </row>
    <row r="31" spans="1:16" x14ac:dyDescent="0.25">
      <c r="A31" s="153"/>
      <c r="B31" s="153"/>
      <c r="C31" s="44"/>
      <c r="D31" s="46"/>
      <c r="E31" s="46"/>
    </row>
  </sheetData>
  <mergeCells count="27">
    <mergeCell ref="H19:I19"/>
    <mergeCell ref="A4:B4"/>
    <mergeCell ref="A5:B5"/>
    <mergeCell ref="A6:B6"/>
    <mergeCell ref="A7:F7"/>
    <mergeCell ref="H8:N8"/>
    <mergeCell ref="A1:F1"/>
    <mergeCell ref="H1:N1"/>
    <mergeCell ref="A2:F2"/>
    <mergeCell ref="H2:N2"/>
    <mergeCell ref="A3:B3"/>
    <mergeCell ref="A14:B14"/>
    <mergeCell ref="A31:B31"/>
    <mergeCell ref="A20:C20"/>
    <mergeCell ref="H9:N9"/>
    <mergeCell ref="H10:I10"/>
    <mergeCell ref="H11:N11"/>
    <mergeCell ref="H14:N14"/>
    <mergeCell ref="H17:N17"/>
    <mergeCell ref="A12:B12"/>
    <mergeCell ref="H12:I12"/>
    <mergeCell ref="H13:I13"/>
    <mergeCell ref="H20:N20"/>
    <mergeCell ref="H23:N23"/>
    <mergeCell ref="H21:I21"/>
    <mergeCell ref="H22:I22"/>
    <mergeCell ref="H18:I18"/>
  </mergeCells>
  <phoneticPr fontId="4" type="noConversion"/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54"/>
  <sheetViews>
    <sheetView showGridLines="0" topLeftCell="F19" zoomScaleNormal="100" workbookViewId="0">
      <selection activeCell="F45" sqref="F45:O48"/>
    </sheetView>
  </sheetViews>
  <sheetFormatPr baseColWidth="10" defaultRowHeight="15" x14ac:dyDescent="0.25"/>
  <cols>
    <col min="1" max="1" width="50" customWidth="1"/>
    <col min="2" max="2" width="17.140625" customWidth="1"/>
    <col min="3" max="3" width="18.5703125" customWidth="1"/>
    <col min="4" max="4" width="22.7109375" customWidth="1"/>
    <col min="6" max="6" width="17.140625" customWidth="1"/>
    <col min="7" max="7" width="23" customWidth="1"/>
    <col min="8" max="8" width="24.28515625" customWidth="1"/>
    <col min="9" max="28" width="14.28515625" customWidth="1"/>
  </cols>
  <sheetData>
    <row r="1" spans="1:30" ht="15.75" thickBot="1" x14ac:dyDescent="0.3">
      <c r="A1" s="199" t="s">
        <v>17</v>
      </c>
      <c r="B1" s="193"/>
      <c r="C1" s="193"/>
      <c r="D1" s="200"/>
      <c r="F1" s="192" t="s">
        <v>17</v>
      </c>
      <c r="G1" s="193"/>
      <c r="H1" s="193"/>
      <c r="I1" s="193"/>
      <c r="J1" s="193"/>
      <c r="K1" s="193"/>
      <c r="L1" s="193"/>
      <c r="M1" s="193"/>
      <c r="N1" s="194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30" x14ac:dyDescent="0.25">
      <c r="A2" s="201" t="s">
        <v>18</v>
      </c>
      <c r="B2" s="201"/>
      <c r="C2" s="201"/>
      <c r="D2" s="201"/>
      <c r="F2" s="197" t="s">
        <v>18</v>
      </c>
      <c r="G2" s="198"/>
      <c r="H2" s="198"/>
      <c r="I2" s="198"/>
      <c r="J2" s="198"/>
      <c r="K2" s="198"/>
      <c r="L2" s="198"/>
      <c r="M2" s="198"/>
      <c r="N2" s="198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30" x14ac:dyDescent="0.25">
      <c r="A3" s="11" t="s">
        <v>1</v>
      </c>
      <c r="B3" s="1" t="s">
        <v>19</v>
      </c>
      <c r="C3" s="1" t="s">
        <v>20</v>
      </c>
      <c r="D3" s="1" t="s">
        <v>21</v>
      </c>
      <c r="F3" s="4" t="s">
        <v>22</v>
      </c>
      <c r="G3" s="9" t="s">
        <v>45</v>
      </c>
      <c r="H3" s="9" t="s">
        <v>23</v>
      </c>
      <c r="I3" s="4" t="s">
        <v>46</v>
      </c>
      <c r="J3" s="4" t="s">
        <v>47</v>
      </c>
      <c r="K3" s="4" t="s">
        <v>48</v>
      </c>
      <c r="L3" s="4" t="s">
        <v>49</v>
      </c>
      <c r="M3" s="4" t="s">
        <v>50</v>
      </c>
      <c r="N3" s="4" t="s">
        <v>51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30" x14ac:dyDescent="0.25">
      <c r="A4" s="2" t="s">
        <v>26</v>
      </c>
      <c r="B4" s="8">
        <v>1</v>
      </c>
      <c r="C4" s="3">
        <v>3000000</v>
      </c>
      <c r="D4" s="12">
        <f>C4*B4</f>
        <v>3000000</v>
      </c>
      <c r="F4" s="3">
        <f>D6</f>
        <v>6000000</v>
      </c>
      <c r="G4" s="7">
        <f>F4*12</f>
        <v>72000000</v>
      </c>
      <c r="H4" s="13">
        <v>0.1</v>
      </c>
      <c r="I4" s="3">
        <v>0</v>
      </c>
      <c r="J4" s="3">
        <f>G4</f>
        <v>72000000</v>
      </c>
      <c r="K4" s="3">
        <f>J$4*($H$4+1)</f>
        <v>79200000</v>
      </c>
      <c r="L4" s="3">
        <f t="shared" ref="L4:N4" si="0">K$4*($H$4+1)</f>
        <v>87120000</v>
      </c>
      <c r="M4" s="3">
        <f t="shared" si="0"/>
        <v>95832000.000000015</v>
      </c>
      <c r="N4" s="3">
        <f t="shared" si="0"/>
        <v>105415200.00000003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0" x14ac:dyDescent="0.25">
      <c r="A5" s="2" t="s">
        <v>27</v>
      </c>
      <c r="B5" s="8">
        <v>1</v>
      </c>
      <c r="C5" s="3">
        <v>3000000</v>
      </c>
      <c r="D5" s="12">
        <f>C5*B5</f>
        <v>3000000</v>
      </c>
      <c r="F5" s="187" t="s">
        <v>25</v>
      </c>
      <c r="G5" s="187"/>
      <c r="H5" s="187"/>
      <c r="I5" s="187"/>
      <c r="J5" s="187"/>
      <c r="K5" s="187"/>
      <c r="L5" s="187"/>
      <c r="M5" s="187"/>
      <c r="N5" s="187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0" x14ac:dyDescent="0.25">
      <c r="A6" s="163" t="s">
        <v>28</v>
      </c>
      <c r="B6" s="163"/>
      <c r="C6" s="5">
        <f>SUM(C4:C5)</f>
        <v>6000000</v>
      </c>
      <c r="D6" s="14">
        <f>SUM(D4:D5)</f>
        <v>6000000</v>
      </c>
      <c r="F6" s="4" t="s">
        <v>22</v>
      </c>
      <c r="G6" s="9" t="s">
        <v>45</v>
      </c>
      <c r="H6" s="9" t="s">
        <v>23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30" x14ac:dyDescent="0.25">
      <c r="A7" s="202" t="s">
        <v>25</v>
      </c>
      <c r="B7" s="203"/>
      <c r="C7" s="203"/>
      <c r="D7" s="204"/>
      <c r="F7" s="3">
        <f>D17</f>
        <v>1788578</v>
      </c>
      <c r="G7" s="7">
        <f>F7*12</f>
        <v>21462936</v>
      </c>
      <c r="H7" s="13">
        <v>0.1</v>
      </c>
      <c r="I7" s="3">
        <v>0</v>
      </c>
      <c r="J7" s="3">
        <f>G7</f>
        <v>21462936</v>
      </c>
      <c r="K7" s="3">
        <f>J7*($H$7+1)</f>
        <v>23609229.600000001</v>
      </c>
      <c r="L7" s="3">
        <f>K7*($H$7+1)</f>
        <v>25970152.560000002</v>
      </c>
      <c r="M7" s="3">
        <f>L7*($H$7+1)</f>
        <v>28567167.816000003</v>
      </c>
      <c r="N7" s="3">
        <f>M7*($H$7+1)</f>
        <v>31423884.597600006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</row>
    <row r="8" spans="1:30" x14ac:dyDescent="0.25">
      <c r="A8" s="11" t="s">
        <v>1</v>
      </c>
      <c r="B8" s="1" t="s">
        <v>19</v>
      </c>
      <c r="C8" s="1" t="s">
        <v>20</v>
      </c>
      <c r="D8" s="1" t="s">
        <v>21</v>
      </c>
      <c r="F8" s="187" t="s">
        <v>179</v>
      </c>
      <c r="G8" s="187"/>
      <c r="H8" s="187"/>
      <c r="I8" s="187"/>
      <c r="J8" s="187"/>
      <c r="K8" s="187"/>
      <c r="L8" s="187"/>
      <c r="M8" s="187"/>
      <c r="N8" s="187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</row>
    <row r="9" spans="1:30" x14ac:dyDescent="0.25">
      <c r="A9" s="15" t="s">
        <v>29</v>
      </c>
      <c r="B9" s="6">
        <f t="shared" ref="B9:B16" si="1">SUM($B$4:$B$6)</f>
        <v>2</v>
      </c>
      <c r="C9" s="3">
        <v>166600</v>
      </c>
      <c r="D9" s="12">
        <f>C9*B9</f>
        <v>333200</v>
      </c>
      <c r="F9" s="4" t="s">
        <v>22</v>
      </c>
      <c r="G9" s="9" t="s">
        <v>45</v>
      </c>
      <c r="H9" s="9" t="s">
        <v>23</v>
      </c>
      <c r="I9" s="4" t="s">
        <v>46</v>
      </c>
      <c r="J9" s="4" t="s">
        <v>47</v>
      </c>
      <c r="K9" s="4" t="s">
        <v>48</v>
      </c>
      <c r="L9" s="4" t="s">
        <v>49</v>
      </c>
      <c r="M9" s="4" t="s">
        <v>50</v>
      </c>
      <c r="N9" s="4" t="s">
        <v>51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</row>
    <row r="10" spans="1:30" x14ac:dyDescent="0.25">
      <c r="A10" s="15" t="s">
        <v>30</v>
      </c>
      <c r="B10" s="6">
        <f t="shared" si="1"/>
        <v>2</v>
      </c>
      <c r="C10" s="3">
        <v>20000</v>
      </c>
      <c r="D10" s="12">
        <f t="shared" ref="D10:D16" si="2">C10*B10</f>
        <v>40000</v>
      </c>
      <c r="F10" s="3">
        <f>D22</f>
        <v>3720000</v>
      </c>
      <c r="G10" s="7">
        <f>F10*12</f>
        <v>44640000</v>
      </c>
      <c r="H10" s="13">
        <v>0.06</v>
      </c>
      <c r="I10" s="3">
        <v>0</v>
      </c>
      <c r="J10" s="3">
        <f>G10</f>
        <v>44640000</v>
      </c>
      <c r="K10" s="3">
        <f>J10*($H$10+1)</f>
        <v>47318400</v>
      </c>
      <c r="L10" s="3">
        <f>K10*($H$7+1)</f>
        <v>52050240.000000007</v>
      </c>
      <c r="M10" s="3">
        <f>L10*($H$7+1)</f>
        <v>57255264.000000015</v>
      </c>
      <c r="N10" s="3">
        <f>M10*($H$7+1)</f>
        <v>62980790.400000021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</row>
    <row r="11" spans="1:30" x14ac:dyDescent="0.25">
      <c r="A11" s="15" t="s">
        <v>31</v>
      </c>
      <c r="B11" s="6">
        <f t="shared" si="1"/>
        <v>2</v>
      </c>
      <c r="C11" s="3">
        <v>166600</v>
      </c>
      <c r="D11" s="12">
        <f t="shared" si="2"/>
        <v>333200</v>
      </c>
      <c r="F11" s="187" t="s">
        <v>173</v>
      </c>
      <c r="G11" s="187"/>
      <c r="H11" s="187"/>
      <c r="I11" s="187"/>
      <c r="J11" s="187"/>
      <c r="K11" s="187"/>
      <c r="L11" s="187"/>
      <c r="M11" s="187"/>
      <c r="N11" s="187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</row>
    <row r="12" spans="1:30" x14ac:dyDescent="0.25">
      <c r="A12" s="15" t="s">
        <v>32</v>
      </c>
      <c r="B12" s="6">
        <f t="shared" si="1"/>
        <v>2</v>
      </c>
      <c r="C12" s="3">
        <v>73013</v>
      </c>
      <c r="D12" s="12">
        <f t="shared" si="2"/>
        <v>146026</v>
      </c>
      <c r="F12" s="4" t="s">
        <v>22</v>
      </c>
      <c r="G12" s="9" t="s">
        <v>45</v>
      </c>
      <c r="H12" s="9" t="s">
        <v>23</v>
      </c>
      <c r="I12" s="4" t="s">
        <v>46</v>
      </c>
      <c r="J12" s="4" t="s">
        <v>47</v>
      </c>
      <c r="K12" s="4" t="s">
        <v>48</v>
      </c>
      <c r="L12" s="4" t="s">
        <v>49</v>
      </c>
      <c r="M12" s="4" t="s">
        <v>50</v>
      </c>
      <c r="N12" s="4" t="s">
        <v>51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5"/>
      <c r="AD12" s="25"/>
    </row>
    <row r="13" spans="1:30" ht="15.75" thickBot="1" x14ac:dyDescent="0.3">
      <c r="A13" s="15" t="s">
        <v>33</v>
      </c>
      <c r="B13" s="6">
        <f t="shared" si="1"/>
        <v>2</v>
      </c>
      <c r="C13" s="3">
        <v>210109</v>
      </c>
      <c r="D13" s="12">
        <f t="shared" si="2"/>
        <v>420218</v>
      </c>
      <c r="F13" s="69">
        <f>D26</f>
        <v>1451000</v>
      </c>
      <c r="G13" s="72" t="s">
        <v>24</v>
      </c>
      <c r="H13" s="131" t="s">
        <v>24</v>
      </c>
      <c r="I13" s="69">
        <v>0</v>
      </c>
      <c r="J13" s="132">
        <v>1451000</v>
      </c>
      <c r="K13" s="132"/>
      <c r="L13" s="132"/>
      <c r="M13" s="132"/>
      <c r="N13" s="132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5"/>
      <c r="AD13" s="25"/>
    </row>
    <row r="14" spans="1:30" ht="15.75" thickBot="1" x14ac:dyDescent="0.3">
      <c r="A14" s="15" t="s">
        <v>34</v>
      </c>
      <c r="B14" s="6">
        <f t="shared" si="1"/>
        <v>2</v>
      </c>
      <c r="C14" s="3">
        <v>148827</v>
      </c>
      <c r="D14" s="12">
        <f t="shared" si="2"/>
        <v>297654</v>
      </c>
      <c r="F14" s="189" t="s">
        <v>6</v>
      </c>
      <c r="G14" s="190"/>
      <c r="H14" s="190"/>
      <c r="I14" s="190"/>
      <c r="J14" s="190"/>
      <c r="K14" s="190"/>
      <c r="L14" s="190"/>
      <c r="M14" s="190"/>
      <c r="N14" s="191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5"/>
      <c r="AD14" s="25"/>
    </row>
    <row r="15" spans="1:30" ht="15.75" thickBot="1" x14ac:dyDescent="0.3">
      <c r="A15" s="15" t="s">
        <v>35</v>
      </c>
      <c r="B15" s="6">
        <f t="shared" si="1"/>
        <v>2</v>
      </c>
      <c r="C15" s="3">
        <v>9140</v>
      </c>
      <c r="D15" s="12">
        <f t="shared" si="2"/>
        <v>18280</v>
      </c>
      <c r="I15" s="16">
        <f>SUM(I4,I7,I10,I13)</f>
        <v>0</v>
      </c>
      <c r="J15" s="16">
        <f>SUM(J4,J7,J10,J13)</f>
        <v>139553936</v>
      </c>
      <c r="K15" s="16">
        <f>SUM(K4,K7,K10,K13)</f>
        <v>150127629.59999999</v>
      </c>
      <c r="L15" s="16">
        <f t="shared" ref="L15:N15" si="3">SUM(L4,L7,L10,L13)</f>
        <v>165140392.56</v>
      </c>
      <c r="M15" s="16">
        <f t="shared" si="3"/>
        <v>181654431.81600004</v>
      </c>
      <c r="N15" s="16">
        <f t="shared" si="3"/>
        <v>199819874.99760008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5"/>
      <c r="AD15" s="25"/>
    </row>
    <row r="16" spans="1:30" ht="15.75" thickBot="1" x14ac:dyDescent="0.3">
      <c r="A16" s="15" t="s">
        <v>37</v>
      </c>
      <c r="B16" s="6">
        <f t="shared" si="1"/>
        <v>2</v>
      </c>
      <c r="C16" s="3">
        <v>100000</v>
      </c>
      <c r="D16" s="12">
        <f t="shared" si="2"/>
        <v>200000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5"/>
      <c r="AD16" s="25"/>
    </row>
    <row r="17" spans="1:30" ht="15.75" thickBot="1" x14ac:dyDescent="0.3">
      <c r="A17" s="147" t="s">
        <v>28</v>
      </c>
      <c r="B17" s="149"/>
      <c r="C17" s="5">
        <f>SUM(C9:C16)</f>
        <v>894289</v>
      </c>
      <c r="D17" s="14">
        <f>SUM(D9:D16)</f>
        <v>1788578</v>
      </c>
      <c r="F17" s="192" t="s">
        <v>288</v>
      </c>
      <c r="G17" s="193"/>
      <c r="H17" s="193"/>
      <c r="I17" s="193"/>
      <c r="J17" s="193"/>
      <c r="K17" s="193"/>
      <c r="L17" s="193"/>
      <c r="M17" s="193"/>
      <c r="N17" s="194"/>
      <c r="O17" s="24"/>
      <c r="P17" s="119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5"/>
      <c r="AD17" s="25"/>
    </row>
    <row r="18" spans="1:30" x14ac:dyDescent="0.25">
      <c r="A18" s="196" t="s">
        <v>178</v>
      </c>
      <c r="B18" s="196"/>
      <c r="C18" s="196"/>
      <c r="D18" s="196"/>
      <c r="F18" s="197" t="s">
        <v>259</v>
      </c>
      <c r="G18" s="198"/>
      <c r="H18" s="198"/>
      <c r="I18" s="198"/>
      <c r="J18" s="198"/>
      <c r="K18" s="198"/>
      <c r="L18" s="198"/>
      <c r="M18" s="198"/>
      <c r="N18" s="198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5"/>
      <c r="AD18" s="25"/>
    </row>
    <row r="19" spans="1:30" x14ac:dyDescent="0.25">
      <c r="A19" s="11" t="s">
        <v>1</v>
      </c>
      <c r="B19" s="1" t="s">
        <v>19</v>
      </c>
      <c r="C19" s="1" t="s">
        <v>20</v>
      </c>
      <c r="D19" s="1" t="s">
        <v>21</v>
      </c>
      <c r="F19" s="109" t="s">
        <v>22</v>
      </c>
      <c r="G19" s="9" t="s">
        <v>45</v>
      </c>
      <c r="H19" s="9" t="s">
        <v>23</v>
      </c>
      <c r="I19" s="109" t="s">
        <v>46</v>
      </c>
      <c r="J19" s="109" t="s">
        <v>47</v>
      </c>
      <c r="K19" s="109" t="s">
        <v>48</v>
      </c>
      <c r="L19" s="109" t="s">
        <v>49</v>
      </c>
      <c r="M19" s="109" t="s">
        <v>50</v>
      </c>
      <c r="N19" s="109" t="s">
        <v>51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5"/>
      <c r="AD19" s="25"/>
    </row>
    <row r="20" spans="1:30" x14ac:dyDescent="0.25">
      <c r="A20" s="15" t="s">
        <v>172</v>
      </c>
      <c r="B20" s="8">
        <v>1</v>
      </c>
      <c r="C20" s="3">
        <v>220000</v>
      </c>
      <c r="D20" s="12">
        <f>C20*B20</f>
        <v>220000</v>
      </c>
      <c r="F20" s="3">
        <v>13000</v>
      </c>
      <c r="G20" s="7">
        <f>F20*12</f>
        <v>156000</v>
      </c>
      <c r="H20" s="13">
        <v>0.06</v>
      </c>
      <c r="I20" s="3">
        <v>0</v>
      </c>
      <c r="J20" s="3">
        <f>G20</f>
        <v>156000</v>
      </c>
      <c r="K20" s="3">
        <f>J$20*($H$20+1)</f>
        <v>165360</v>
      </c>
      <c r="L20" s="3">
        <f t="shared" ref="L20:N20" si="4">K$20*($H$20+1)</f>
        <v>175281.6</v>
      </c>
      <c r="M20" s="3">
        <f t="shared" si="4"/>
        <v>185798.49600000001</v>
      </c>
      <c r="N20" s="3">
        <f t="shared" si="4"/>
        <v>196946.40576000002</v>
      </c>
      <c r="O20" s="24"/>
      <c r="P20" s="39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5"/>
      <c r="AD20" s="25"/>
    </row>
    <row r="21" spans="1:30" x14ac:dyDescent="0.25">
      <c r="A21" s="15" t="s">
        <v>176</v>
      </c>
      <c r="B21" s="8">
        <v>1</v>
      </c>
      <c r="C21" s="3">
        <v>3500000</v>
      </c>
      <c r="D21" s="12">
        <f t="shared" ref="D21" si="5">C21*B21</f>
        <v>3500000</v>
      </c>
      <c r="F21" s="197" t="s">
        <v>258</v>
      </c>
      <c r="G21" s="198"/>
      <c r="H21" s="198"/>
      <c r="I21" s="198"/>
      <c r="J21" s="198"/>
      <c r="K21" s="198"/>
      <c r="L21" s="198"/>
      <c r="M21" s="198"/>
      <c r="N21" s="198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5"/>
      <c r="AD21" s="25"/>
    </row>
    <row r="22" spans="1:30" x14ac:dyDescent="0.25">
      <c r="A22" s="147" t="s">
        <v>28</v>
      </c>
      <c r="B22" s="149"/>
      <c r="C22" s="5">
        <f>SUM(C20:C21)</f>
        <v>3720000</v>
      </c>
      <c r="D22" s="14">
        <f>SUM(D20:D21)</f>
        <v>3720000</v>
      </c>
      <c r="F22" s="109" t="s">
        <v>22</v>
      </c>
      <c r="G22" s="9" t="s">
        <v>45</v>
      </c>
      <c r="H22" s="9" t="s">
        <v>23</v>
      </c>
      <c r="I22" s="109" t="s">
        <v>46</v>
      </c>
      <c r="J22" s="109" t="s">
        <v>47</v>
      </c>
      <c r="K22" s="109" t="s">
        <v>48</v>
      </c>
      <c r="L22" s="109" t="s">
        <v>49</v>
      </c>
      <c r="M22" s="109" t="s">
        <v>50</v>
      </c>
      <c r="N22" s="109" t="s">
        <v>51</v>
      </c>
    </row>
    <row r="23" spans="1:30" ht="15.75" thickBot="1" x14ac:dyDescent="0.3">
      <c r="A23" s="196" t="s">
        <v>173</v>
      </c>
      <c r="B23" s="196"/>
      <c r="C23" s="196"/>
      <c r="D23" s="196"/>
      <c r="F23" s="69">
        <v>120000</v>
      </c>
      <c r="G23" s="72">
        <f>F23*12</f>
        <v>1440000</v>
      </c>
      <c r="H23" s="131">
        <v>0.06</v>
      </c>
      <c r="I23" s="69">
        <v>0</v>
      </c>
      <c r="J23" s="69">
        <f>G23</f>
        <v>1440000</v>
      </c>
      <c r="K23" s="69">
        <f>J$23*($H$23+1)</f>
        <v>1526400</v>
      </c>
      <c r="L23" s="69">
        <f t="shared" ref="L23:N23" si="6">K$23*($H$23+1)</f>
        <v>1617984</v>
      </c>
      <c r="M23" s="69">
        <f t="shared" si="6"/>
        <v>1715063.04</v>
      </c>
      <c r="N23" s="69">
        <f t="shared" si="6"/>
        <v>1817966.8224000002</v>
      </c>
      <c r="P23" s="39" t="s">
        <v>285</v>
      </c>
    </row>
    <row r="24" spans="1:30" ht="15.75" thickBot="1" x14ac:dyDescent="0.3">
      <c r="A24" s="11" t="s">
        <v>1</v>
      </c>
      <c r="B24" s="1" t="s">
        <v>19</v>
      </c>
      <c r="C24" s="1" t="s">
        <v>20</v>
      </c>
      <c r="D24" s="1" t="s">
        <v>21</v>
      </c>
      <c r="F24" s="189" t="s">
        <v>6</v>
      </c>
      <c r="G24" s="190"/>
      <c r="H24" s="190"/>
      <c r="I24" s="190"/>
      <c r="J24" s="190"/>
      <c r="K24" s="190"/>
      <c r="L24" s="190"/>
      <c r="M24" s="190"/>
      <c r="N24" s="191"/>
      <c r="P24" t="s">
        <v>286</v>
      </c>
    </row>
    <row r="25" spans="1:30" ht="15.75" thickBot="1" x14ac:dyDescent="0.3">
      <c r="A25" s="15" t="s">
        <v>173</v>
      </c>
      <c r="B25" s="8">
        <v>1</v>
      </c>
      <c r="C25" s="3">
        <f>B42</f>
        <v>1451000</v>
      </c>
      <c r="D25" s="12">
        <f>C25*B25</f>
        <v>1451000</v>
      </c>
      <c r="I25" s="16">
        <f>SUM(I23,I20)</f>
        <v>0</v>
      </c>
      <c r="J25" s="16">
        <f t="shared" ref="J25:N25" si="7">SUM(J23,J20)</f>
        <v>1596000</v>
      </c>
      <c r="K25" s="16">
        <f t="shared" si="7"/>
        <v>1691760</v>
      </c>
      <c r="L25" s="16">
        <f t="shared" si="7"/>
        <v>1793265.6</v>
      </c>
      <c r="M25" s="16">
        <f t="shared" si="7"/>
        <v>1900861.5360000001</v>
      </c>
      <c r="N25" s="16">
        <f t="shared" si="7"/>
        <v>2014913.2281600002</v>
      </c>
      <c r="P25" t="s">
        <v>287</v>
      </c>
    </row>
    <row r="26" spans="1:30" ht="15.75" thickBot="1" x14ac:dyDescent="0.3">
      <c r="A26" s="147" t="s">
        <v>28</v>
      </c>
      <c r="B26" s="149"/>
      <c r="C26" s="5">
        <f>SUM(C25)</f>
        <v>1451000</v>
      </c>
      <c r="D26" s="14">
        <f>SUM(D25)</f>
        <v>1451000</v>
      </c>
    </row>
    <row r="27" spans="1:30" ht="15.75" thickBot="1" x14ac:dyDescent="0.3">
      <c r="F27" s="189" t="s">
        <v>289</v>
      </c>
      <c r="G27" s="190"/>
      <c r="H27" s="190"/>
      <c r="I27" s="190"/>
      <c r="J27" s="190"/>
      <c r="K27" s="190"/>
      <c r="L27" s="190"/>
      <c r="M27" s="190"/>
      <c r="N27" s="191"/>
    </row>
    <row r="28" spans="1:30" ht="15.75" thickBot="1" x14ac:dyDescent="0.3">
      <c r="I28" s="16">
        <f t="shared" ref="I28:N28" si="8">SUM(I15,I25)</f>
        <v>0</v>
      </c>
      <c r="J28" s="16">
        <f t="shared" si="8"/>
        <v>141149936</v>
      </c>
      <c r="K28" s="16">
        <f t="shared" si="8"/>
        <v>151819389.59999999</v>
      </c>
      <c r="L28" s="16">
        <f t="shared" si="8"/>
        <v>166933658.16</v>
      </c>
      <c r="M28" s="16">
        <f t="shared" si="8"/>
        <v>183555293.35200006</v>
      </c>
      <c r="N28" s="16">
        <f t="shared" si="8"/>
        <v>201834788.22576007</v>
      </c>
    </row>
    <row r="29" spans="1:30" ht="15.75" thickBot="1" x14ac:dyDescent="0.3">
      <c r="A29" s="120"/>
      <c r="B29" s="120"/>
      <c r="I29" s="133"/>
      <c r="J29" s="133"/>
      <c r="K29" s="133"/>
      <c r="L29" s="133"/>
      <c r="M29" s="133"/>
      <c r="N29" s="133"/>
    </row>
    <row r="30" spans="1:30" ht="15.75" thickBot="1" x14ac:dyDescent="0.3">
      <c r="A30" s="120"/>
      <c r="B30" s="120"/>
      <c r="F30" s="181" t="s">
        <v>79</v>
      </c>
      <c r="G30" s="182"/>
      <c r="H30" s="182"/>
      <c r="I30" s="182"/>
      <c r="J30" s="182"/>
      <c r="K30" s="182"/>
      <c r="L30" s="182"/>
      <c r="M30" s="182"/>
      <c r="N30" s="183"/>
    </row>
    <row r="31" spans="1:30" x14ac:dyDescent="0.25">
      <c r="A31" s="120"/>
      <c r="B31" s="120"/>
      <c r="J31" s="134">
        <f>'Amortización y Depreciación'!G18</f>
        <v>1640000</v>
      </c>
      <c r="K31" s="134">
        <f>J31</f>
        <v>1640000</v>
      </c>
      <c r="L31" s="134">
        <f t="shared" ref="L31:N31" si="9">K31</f>
        <v>1640000</v>
      </c>
      <c r="M31" s="134">
        <f t="shared" si="9"/>
        <v>1640000</v>
      </c>
      <c r="N31" s="134">
        <f t="shared" si="9"/>
        <v>1640000</v>
      </c>
    </row>
    <row r="32" spans="1:30" ht="15.75" thickBot="1" x14ac:dyDescent="0.3">
      <c r="A32" s="23"/>
      <c r="B32" s="23"/>
    </row>
    <row r="33" spans="1:15" ht="15.75" thickBot="1" x14ac:dyDescent="0.3">
      <c r="A33" s="23"/>
      <c r="B33" s="23"/>
      <c r="F33" s="184" t="s">
        <v>290</v>
      </c>
      <c r="G33" s="185"/>
      <c r="H33" s="185"/>
      <c r="I33" s="185"/>
      <c r="J33" s="185"/>
      <c r="K33" s="185"/>
      <c r="L33" s="185"/>
      <c r="M33" s="185"/>
      <c r="N33" s="186"/>
    </row>
    <row r="34" spans="1:15" ht="15.75" thickBot="1" x14ac:dyDescent="0.3">
      <c r="A34" s="23"/>
      <c r="B34" s="23"/>
      <c r="J34" s="16">
        <f>SUM(J28,J31)</f>
        <v>142789936</v>
      </c>
      <c r="K34" s="16">
        <f t="shared" ref="K34:N34" si="10">SUM(K28,K31)</f>
        <v>153459389.59999999</v>
      </c>
      <c r="L34" s="16">
        <f t="shared" si="10"/>
        <v>168573658.16</v>
      </c>
      <c r="M34" s="16">
        <f t="shared" si="10"/>
        <v>185195293.35200006</v>
      </c>
      <c r="N34" s="16">
        <f t="shared" si="10"/>
        <v>203474788.22576007</v>
      </c>
    </row>
    <row r="35" spans="1:15" ht="15.75" thickBot="1" x14ac:dyDescent="0.3">
      <c r="A35" s="192" t="s">
        <v>38</v>
      </c>
      <c r="B35" s="194"/>
    </row>
    <row r="36" spans="1:15" ht="15.75" thickBot="1" x14ac:dyDescent="0.3">
      <c r="A36" s="15" t="s">
        <v>39</v>
      </c>
      <c r="B36" s="12">
        <v>1288000</v>
      </c>
      <c r="F36" s="192" t="s">
        <v>275</v>
      </c>
      <c r="G36" s="193"/>
      <c r="H36" s="193"/>
      <c r="I36" s="193"/>
      <c r="J36" s="193"/>
      <c r="K36" s="193"/>
      <c r="L36" s="193"/>
      <c r="M36" s="193"/>
      <c r="N36" s="194"/>
    </row>
    <row r="37" spans="1:15" x14ac:dyDescent="0.25">
      <c r="A37" s="15" t="s">
        <v>40</v>
      </c>
      <c r="B37" s="12">
        <v>30000</v>
      </c>
      <c r="F37" s="195" t="s">
        <v>276</v>
      </c>
      <c r="G37" s="195"/>
      <c r="H37" s="195"/>
      <c r="I37" s="195"/>
      <c r="J37" s="195"/>
      <c r="K37" s="195"/>
      <c r="L37" s="195"/>
      <c r="M37" s="195"/>
      <c r="N37" s="195"/>
    </row>
    <row r="38" spans="1:15" x14ac:dyDescent="0.25">
      <c r="A38" s="15" t="s">
        <v>41</v>
      </c>
      <c r="B38" s="12">
        <v>69000</v>
      </c>
      <c r="F38" s="188" t="s">
        <v>59</v>
      </c>
      <c r="G38" s="188"/>
      <c r="H38" s="188"/>
      <c r="I38" s="109" t="s">
        <v>46</v>
      </c>
      <c r="J38" s="109" t="s">
        <v>47</v>
      </c>
      <c r="K38" s="109" t="s">
        <v>48</v>
      </c>
      <c r="L38" s="109" t="s">
        <v>49</v>
      </c>
      <c r="M38" s="109" t="s">
        <v>50</v>
      </c>
      <c r="N38" s="109" t="s">
        <v>51</v>
      </c>
      <c r="O38" s="39"/>
    </row>
    <row r="39" spans="1:15" x14ac:dyDescent="0.25">
      <c r="A39" s="15" t="s">
        <v>42</v>
      </c>
      <c r="B39" s="12">
        <v>64000</v>
      </c>
      <c r="C39" s="17"/>
      <c r="D39" s="17"/>
      <c r="F39" s="180" t="s">
        <v>267</v>
      </c>
      <c r="G39" s="180"/>
      <c r="H39" s="180"/>
      <c r="I39" s="126"/>
      <c r="J39" s="35">
        <f>'Proyección de Ventas e Incremen'!J24</f>
        <v>59330.879999999997</v>
      </c>
      <c r="K39" s="35">
        <f>'Proyección de Ventas e Incremen'!K24</f>
        <v>71412.598393881432</v>
      </c>
      <c r="L39" s="35">
        <f>'Proyección de Ventas e Incremen'!L24</f>
        <v>88458.146422449878</v>
      </c>
      <c r="M39" s="35">
        <f>'Proyección de Ventas e Incremen'!M24</f>
        <v>113025.11476349673</v>
      </c>
      <c r="N39" s="35">
        <f>'Proyección de Ventas e Incremen'!N24</f>
        <v>150044.93496139569</v>
      </c>
    </row>
    <row r="40" spans="1:15" x14ac:dyDescent="0.25">
      <c r="A40" s="15" t="s">
        <v>43</v>
      </c>
      <c r="B40" s="12" t="s">
        <v>24</v>
      </c>
      <c r="C40" s="18"/>
      <c r="D40" s="18"/>
      <c r="F40" s="180" t="s">
        <v>291</v>
      </c>
      <c r="G40" s="180"/>
      <c r="H40" s="180"/>
      <c r="I40" s="126"/>
      <c r="J40" s="7">
        <f>J34</f>
        <v>142789936</v>
      </c>
      <c r="K40" s="7">
        <f t="shared" ref="K40:N40" si="11">K34</f>
        <v>153459389.59999999</v>
      </c>
      <c r="L40" s="7">
        <f t="shared" si="11"/>
        <v>168573658.16</v>
      </c>
      <c r="M40" s="7">
        <f t="shared" si="11"/>
        <v>185195293.35200006</v>
      </c>
      <c r="N40" s="7">
        <f t="shared" si="11"/>
        <v>203474788.22576007</v>
      </c>
    </row>
    <row r="41" spans="1:15" x14ac:dyDescent="0.25">
      <c r="A41" s="15" t="s">
        <v>44</v>
      </c>
      <c r="B41" s="12" t="s">
        <v>24</v>
      </c>
      <c r="F41" s="187" t="s">
        <v>278</v>
      </c>
      <c r="G41" s="187"/>
      <c r="H41" s="187"/>
      <c r="I41" s="187"/>
      <c r="J41" s="187"/>
      <c r="K41" s="187"/>
      <c r="L41" s="187"/>
      <c r="M41" s="187"/>
      <c r="N41" s="187"/>
    </row>
    <row r="42" spans="1:15" x14ac:dyDescent="0.25">
      <c r="A42" s="19" t="s">
        <v>28</v>
      </c>
      <c r="B42" s="5">
        <f>SUM(B36:B39)</f>
        <v>1451000</v>
      </c>
      <c r="F42" s="188" t="s">
        <v>59</v>
      </c>
      <c r="G42" s="188"/>
      <c r="H42" s="188"/>
      <c r="I42" s="109" t="s">
        <v>46</v>
      </c>
      <c r="J42" s="109" t="s">
        <v>47</v>
      </c>
      <c r="K42" s="109" t="s">
        <v>48</v>
      </c>
      <c r="L42" s="109" t="s">
        <v>49</v>
      </c>
      <c r="M42" s="109" t="s">
        <v>50</v>
      </c>
      <c r="N42" s="109" t="s">
        <v>51</v>
      </c>
      <c r="O42" s="109" t="s">
        <v>281</v>
      </c>
    </row>
    <row r="43" spans="1:15" ht="15.75" thickBot="1" x14ac:dyDescent="0.3">
      <c r="F43" s="180" t="s">
        <v>279</v>
      </c>
      <c r="G43" s="180"/>
      <c r="H43" s="180"/>
      <c r="I43" s="126"/>
      <c r="J43" s="124">
        <f>(J34/12)/(J39/12)</f>
        <v>2406.6714668651471</v>
      </c>
      <c r="K43" s="124">
        <f t="shared" ref="K43:N43" si="12">(K34/12)/(K39/12)</f>
        <v>2148.9119994427797</v>
      </c>
      <c r="L43" s="124">
        <f t="shared" si="12"/>
        <v>1905.688339375123</v>
      </c>
      <c r="M43" s="124">
        <f t="shared" si="12"/>
        <v>1638.5322301111421</v>
      </c>
      <c r="N43" s="124">
        <f t="shared" si="12"/>
        <v>1356.0923484562215</v>
      </c>
      <c r="O43" s="128">
        <f>AVERAGE(J43:N43)</f>
        <v>1891.1792768500825</v>
      </c>
    </row>
    <row r="44" spans="1:15" ht="15.75" thickBot="1" x14ac:dyDescent="0.3">
      <c r="A44" s="192" t="s">
        <v>177</v>
      </c>
      <c r="B44" s="194"/>
      <c r="F44" s="180" t="s">
        <v>280</v>
      </c>
      <c r="G44" s="180"/>
      <c r="H44" s="180"/>
      <c r="I44" s="126"/>
      <c r="J44" s="124">
        <f>J43*12</f>
        <v>28880.057602381763</v>
      </c>
      <c r="K44" s="124">
        <f t="shared" ref="K44:N44" si="13">K43*12</f>
        <v>25786.943993313354</v>
      </c>
      <c r="L44" s="124">
        <f t="shared" si="13"/>
        <v>22868.260072501474</v>
      </c>
      <c r="M44" s="124">
        <f t="shared" si="13"/>
        <v>19662.386761333706</v>
      </c>
      <c r="N44" s="124">
        <f t="shared" si="13"/>
        <v>16273.108181474658</v>
      </c>
      <c r="O44" s="128">
        <f>AVERAGE(J44:N44)</f>
        <v>22694.151322200989</v>
      </c>
    </row>
    <row r="45" spans="1:15" x14ac:dyDescent="0.25">
      <c r="A45" s="77" t="s">
        <v>7</v>
      </c>
      <c r="B45" s="77" t="s">
        <v>2</v>
      </c>
      <c r="F45" s="195" t="s">
        <v>311</v>
      </c>
      <c r="G45" s="195"/>
      <c r="H45" s="195"/>
      <c r="I45" s="195"/>
      <c r="J45" s="195"/>
      <c r="K45" s="195"/>
      <c r="L45" s="195"/>
      <c r="M45" s="195"/>
      <c r="N45" s="195"/>
    </row>
    <row r="46" spans="1:15" x14ac:dyDescent="0.25">
      <c r="A46" s="15" t="s">
        <v>186</v>
      </c>
      <c r="B46" s="12">
        <f>'Inversión Inicial'!D17</f>
        <v>8200000</v>
      </c>
      <c r="F46" s="188" t="s">
        <v>59</v>
      </c>
      <c r="G46" s="188"/>
      <c r="H46" s="188"/>
      <c r="I46" s="135" t="s">
        <v>46</v>
      </c>
      <c r="J46" s="135" t="s">
        <v>47</v>
      </c>
      <c r="K46" s="135" t="s">
        <v>48</v>
      </c>
      <c r="L46" s="135" t="s">
        <v>49</v>
      </c>
      <c r="M46" s="135" t="s">
        <v>50</v>
      </c>
      <c r="N46" s="135" t="s">
        <v>51</v>
      </c>
    </row>
    <row r="47" spans="1:15" x14ac:dyDescent="0.25">
      <c r="A47" s="15" t="s">
        <v>187</v>
      </c>
      <c r="B47" s="12">
        <f>B42</f>
        <v>1451000</v>
      </c>
      <c r="F47" s="180" t="s">
        <v>267</v>
      </c>
      <c r="G47" s="180"/>
      <c r="H47" s="180"/>
      <c r="I47" s="126"/>
      <c r="J47" s="35">
        <f>'[1]Proyección de Ventas e Incremen'!J18</f>
        <v>408.24</v>
      </c>
      <c r="K47" s="35">
        <f>'[1]Proyección de Ventas e Incremen'!K18</f>
        <v>491.37108986615669</v>
      </c>
      <c r="L47" s="35">
        <f>'[1]Proyección de Ventas e Incremen'!L18</f>
        <v>608.65697079667348</v>
      </c>
      <c r="M47" s="35">
        <f>'[1]Proyección de Ventas e Incremen'!M18</f>
        <v>777.69574378552784</v>
      </c>
      <c r="N47" s="35">
        <f>'[1]Proyección de Ventas e Incremen'!N18</f>
        <v>1032.4192772573097</v>
      </c>
      <c r="O47" s="135" t="s">
        <v>281</v>
      </c>
    </row>
    <row r="48" spans="1:15" x14ac:dyDescent="0.25">
      <c r="A48" s="111" t="s">
        <v>185</v>
      </c>
      <c r="B48" s="12">
        <f>'Inversión Inicial'!B3</f>
        <v>5000000</v>
      </c>
      <c r="F48" s="180" t="s">
        <v>280</v>
      </c>
      <c r="G48" s="180"/>
      <c r="H48" s="180"/>
      <c r="I48" s="126"/>
      <c r="J48" s="124">
        <f>J34/J47</f>
        <v>349769.58651773469</v>
      </c>
      <c r="K48" s="124">
        <f t="shared" ref="K48:N48" si="14">K34/K47</f>
        <v>312308.54391901731</v>
      </c>
      <c r="L48" s="124">
        <f t="shared" si="14"/>
        <v>276960.03865585121</v>
      </c>
      <c r="M48" s="124">
        <f t="shared" si="14"/>
        <v>238133.35077615269</v>
      </c>
      <c r="N48" s="124">
        <f t="shared" si="14"/>
        <v>197085.42130897086</v>
      </c>
      <c r="O48" s="128">
        <f>AVERAGE(J48:N48)</f>
        <v>274851.38823554537</v>
      </c>
    </row>
    <row r="49" spans="1:7" x14ac:dyDescent="0.25">
      <c r="A49" s="111" t="s">
        <v>184</v>
      </c>
      <c r="B49" s="12">
        <f>'Inversión Inicial'!B4</f>
        <v>3740000</v>
      </c>
    </row>
    <row r="50" spans="1:7" x14ac:dyDescent="0.25">
      <c r="A50" s="111" t="s">
        <v>306</v>
      </c>
      <c r="B50" s="12">
        <f>'Inversión Inicial'!B6</f>
        <v>7000000</v>
      </c>
    </row>
    <row r="51" spans="1:7" x14ac:dyDescent="0.25">
      <c r="A51" s="111" t="s">
        <v>4</v>
      </c>
      <c r="B51" s="12">
        <f>'Inversión Inicial'!B7</f>
        <v>6000000</v>
      </c>
      <c r="G51" t="s">
        <v>283</v>
      </c>
    </row>
    <row r="52" spans="1:7" x14ac:dyDescent="0.25">
      <c r="A52" s="111" t="s">
        <v>5</v>
      </c>
      <c r="B52" s="12">
        <f>'Inversión Inicial'!B8</f>
        <v>3700000</v>
      </c>
      <c r="G52" t="s">
        <v>284</v>
      </c>
    </row>
    <row r="53" spans="1:7" x14ac:dyDescent="0.25">
      <c r="A53" s="111" t="s">
        <v>230</v>
      </c>
      <c r="B53" s="12">
        <f>'Inversión Inicial'!B9</f>
        <v>1000000</v>
      </c>
    </row>
    <row r="54" spans="1:7" x14ac:dyDescent="0.25">
      <c r="A54" s="19" t="s">
        <v>28</v>
      </c>
      <c r="B54" s="5">
        <f>SUM(B46:B53)</f>
        <v>36091000</v>
      </c>
    </row>
  </sheetData>
  <mergeCells count="37">
    <mergeCell ref="F45:N45"/>
    <mergeCell ref="F46:H46"/>
    <mergeCell ref="F47:H47"/>
    <mergeCell ref="F48:H48"/>
    <mergeCell ref="A44:B44"/>
    <mergeCell ref="A1:D1"/>
    <mergeCell ref="A2:D2"/>
    <mergeCell ref="A7:D7"/>
    <mergeCell ref="A35:B35"/>
    <mergeCell ref="A26:B26"/>
    <mergeCell ref="A6:B6"/>
    <mergeCell ref="F1:N1"/>
    <mergeCell ref="F2:N2"/>
    <mergeCell ref="F5:N5"/>
    <mergeCell ref="F8:N8"/>
    <mergeCell ref="F11:N11"/>
    <mergeCell ref="F14:N14"/>
    <mergeCell ref="A17:B17"/>
    <mergeCell ref="A18:D18"/>
    <mergeCell ref="A22:B22"/>
    <mergeCell ref="A23:D23"/>
    <mergeCell ref="F17:N17"/>
    <mergeCell ref="F18:N18"/>
    <mergeCell ref="F21:N21"/>
    <mergeCell ref="F24:N24"/>
    <mergeCell ref="F27:N27"/>
    <mergeCell ref="F36:N36"/>
    <mergeCell ref="F37:N37"/>
    <mergeCell ref="F39:H39"/>
    <mergeCell ref="F38:H38"/>
    <mergeCell ref="F43:H43"/>
    <mergeCell ref="F44:H44"/>
    <mergeCell ref="F30:N30"/>
    <mergeCell ref="F33:N33"/>
    <mergeCell ref="F40:H40"/>
    <mergeCell ref="F41:N41"/>
    <mergeCell ref="F42:H42"/>
  </mergeCells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2"/>
  <sheetViews>
    <sheetView showGridLines="0" zoomScale="130" zoomScaleNormal="130" workbookViewId="0">
      <selection activeCell="F4" sqref="F4"/>
    </sheetView>
  </sheetViews>
  <sheetFormatPr baseColWidth="10" defaultRowHeight="15" x14ac:dyDescent="0.25"/>
  <cols>
    <col min="1" max="1" width="33.85546875" customWidth="1"/>
    <col min="2" max="2" width="17" customWidth="1"/>
    <col min="4" max="4" width="20.28515625" customWidth="1"/>
    <col min="5" max="16" width="14.28515625" customWidth="1"/>
  </cols>
  <sheetData>
    <row r="1" spans="1:16" ht="15.75" thickBot="1" x14ac:dyDescent="0.3">
      <c r="A1" s="205" t="s">
        <v>74</v>
      </c>
      <c r="B1" s="206"/>
      <c r="D1" s="207" t="s">
        <v>216</v>
      </c>
      <c r="E1" s="208"/>
      <c r="F1" s="208"/>
      <c r="G1" s="208"/>
      <c r="H1" s="208"/>
      <c r="I1" s="208"/>
      <c r="J1" s="17"/>
      <c r="K1" s="17"/>
      <c r="L1" s="17"/>
      <c r="M1" s="17"/>
      <c r="N1" s="17"/>
      <c r="O1" s="17"/>
      <c r="P1" s="17"/>
    </row>
    <row r="2" spans="1:16" x14ac:dyDescent="0.25">
      <c r="A2" s="209" t="s">
        <v>75</v>
      </c>
      <c r="B2" s="209"/>
      <c r="D2" s="55" t="s">
        <v>76</v>
      </c>
      <c r="E2" s="55" t="s">
        <v>77</v>
      </c>
      <c r="F2" s="55" t="s">
        <v>217</v>
      </c>
      <c r="G2" s="55" t="s">
        <v>218</v>
      </c>
      <c r="H2" s="55" t="s">
        <v>78</v>
      </c>
      <c r="I2" s="55" t="s">
        <v>219</v>
      </c>
      <c r="K2" s="45"/>
      <c r="L2" s="45"/>
      <c r="M2" s="45"/>
      <c r="N2" s="45"/>
      <c r="O2" s="45"/>
      <c r="P2" s="45"/>
    </row>
    <row r="3" spans="1:16" x14ac:dyDescent="0.25">
      <c r="A3" s="56" t="s">
        <v>7</v>
      </c>
      <c r="B3" s="1" t="s">
        <v>19</v>
      </c>
      <c r="D3" s="20" t="s">
        <v>220</v>
      </c>
      <c r="E3" s="3">
        <f>B4</f>
        <v>16240950</v>
      </c>
      <c r="F3" s="3">
        <v>0</v>
      </c>
      <c r="G3" s="3">
        <v>0</v>
      </c>
      <c r="H3" s="3">
        <v>0</v>
      </c>
      <c r="I3" s="5">
        <f>E3</f>
        <v>16240950</v>
      </c>
      <c r="J3" s="18"/>
      <c r="K3" s="18"/>
      <c r="L3" s="18"/>
      <c r="M3" s="18"/>
      <c r="N3" s="18"/>
      <c r="O3" s="18"/>
      <c r="P3" s="18"/>
    </row>
    <row r="4" spans="1:16" x14ac:dyDescent="0.25">
      <c r="A4" s="37" t="s">
        <v>214</v>
      </c>
      <c r="B4" s="3">
        <f>'Proyección de Ventas e Incremen'!B16</f>
        <v>16240950</v>
      </c>
      <c r="D4" s="20" t="s">
        <v>221</v>
      </c>
      <c r="E4" s="3">
        <f>I3</f>
        <v>16240950</v>
      </c>
      <c r="F4" s="3">
        <f>E4*$B$7</f>
        <v>2702494.08</v>
      </c>
      <c r="G4" s="3">
        <f>$B$8</f>
        <v>5878423.1864712453</v>
      </c>
      <c r="H4" s="3">
        <f>G4-F4</f>
        <v>3175929.1064712452</v>
      </c>
      <c r="I4" s="5">
        <f t="shared" ref="I4:I8" si="0">E4-H4</f>
        <v>13065020.893528756</v>
      </c>
      <c r="J4" s="57"/>
      <c r="K4" s="57"/>
      <c r="L4" s="57"/>
      <c r="M4" s="57"/>
      <c r="N4" s="57"/>
      <c r="O4" s="57"/>
      <c r="P4" s="57"/>
    </row>
    <row r="5" spans="1:16" x14ac:dyDescent="0.25">
      <c r="A5" s="37" t="s">
        <v>213</v>
      </c>
      <c r="B5" s="3">
        <v>0</v>
      </c>
      <c r="D5" s="20" t="s">
        <v>222</v>
      </c>
      <c r="E5" s="3">
        <f>I4</f>
        <v>13065020.893528756</v>
      </c>
      <c r="F5" s="3">
        <f>E5*$B$7</f>
        <v>2174019.476683185</v>
      </c>
      <c r="G5" s="3">
        <f t="shared" ref="G5:G7" si="1">$B$8</f>
        <v>5878423.1864712453</v>
      </c>
      <c r="H5" s="3">
        <f t="shared" ref="H5:H8" si="2">G5-F5</f>
        <v>3704403.7097880603</v>
      </c>
      <c r="I5" s="5">
        <f t="shared" si="0"/>
        <v>9360617.1837406959</v>
      </c>
      <c r="J5" s="58"/>
      <c r="K5" s="58"/>
      <c r="L5" s="58"/>
      <c r="M5" s="58"/>
      <c r="N5" s="58"/>
      <c r="O5" s="58"/>
      <c r="P5" s="58"/>
    </row>
    <row r="6" spans="1:16" x14ac:dyDescent="0.25">
      <c r="A6" s="37" t="s">
        <v>215</v>
      </c>
      <c r="B6" s="8" t="s">
        <v>90</v>
      </c>
      <c r="D6" s="20" t="s">
        <v>223</v>
      </c>
      <c r="E6" s="3">
        <f t="shared" ref="E6:E8" si="3">I5</f>
        <v>9360617.1837406959</v>
      </c>
      <c r="F6" s="3">
        <f t="shared" ref="F6:F8" si="4">E6*$B$7</f>
        <v>1557606.6993744518</v>
      </c>
      <c r="G6" s="3">
        <f t="shared" si="1"/>
        <v>5878423.1864712453</v>
      </c>
      <c r="H6" s="3">
        <f t="shared" si="2"/>
        <v>4320816.4870967939</v>
      </c>
      <c r="I6" s="5">
        <f t="shared" si="0"/>
        <v>5039800.696643902</v>
      </c>
      <c r="J6" s="58"/>
      <c r="K6" s="58"/>
      <c r="L6" s="58"/>
      <c r="M6" s="58"/>
      <c r="N6" s="58"/>
      <c r="O6" s="58"/>
      <c r="P6" s="58"/>
    </row>
    <row r="7" spans="1:16" x14ac:dyDescent="0.25">
      <c r="A7" s="37" t="s">
        <v>212</v>
      </c>
      <c r="B7" s="59">
        <v>0.16639999999999999</v>
      </c>
      <c r="D7" s="20" t="s">
        <v>224</v>
      </c>
      <c r="E7" s="3">
        <f t="shared" si="3"/>
        <v>5039800.696643902</v>
      </c>
      <c r="F7" s="3">
        <f t="shared" si="4"/>
        <v>838622.83592154528</v>
      </c>
      <c r="G7" s="3">
        <f t="shared" si="1"/>
        <v>5878423.1864712453</v>
      </c>
      <c r="H7" s="3">
        <f t="shared" si="2"/>
        <v>5039800.3505496997</v>
      </c>
      <c r="I7" s="5">
        <f t="shared" si="0"/>
        <v>0.34609420225024223</v>
      </c>
      <c r="J7" s="58"/>
      <c r="K7" s="58"/>
      <c r="L7" s="58"/>
      <c r="M7" s="58"/>
      <c r="N7" s="58"/>
      <c r="O7" s="58"/>
      <c r="P7" s="58"/>
    </row>
    <row r="8" spans="1:16" x14ac:dyDescent="0.25">
      <c r="A8" s="37" t="s">
        <v>211</v>
      </c>
      <c r="B8" s="3">
        <f>((B4*1.44780279145524)/4)</f>
        <v>5878423.1864712453</v>
      </c>
      <c r="D8" s="20" t="s">
        <v>225</v>
      </c>
      <c r="E8" s="3">
        <f t="shared" si="3"/>
        <v>0.34609420225024223</v>
      </c>
      <c r="F8" s="3">
        <f t="shared" si="4"/>
        <v>5.7590075254440307E-2</v>
      </c>
      <c r="G8" s="3">
        <v>0</v>
      </c>
      <c r="H8" s="3">
        <f t="shared" si="2"/>
        <v>-5.7590075254440307E-2</v>
      </c>
      <c r="I8" s="5">
        <f t="shared" si="0"/>
        <v>0.40368427750468255</v>
      </c>
      <c r="K8" s="39">
        <f>SUM(G4:G7)</f>
        <v>23513692.745884981</v>
      </c>
    </row>
    <row r="9" spans="1:16" ht="15.75" thickBot="1" x14ac:dyDescent="0.3">
      <c r="A9" s="37" t="s">
        <v>210</v>
      </c>
      <c r="B9" s="3">
        <f>B8/12</f>
        <v>489868.59887260379</v>
      </c>
      <c r="C9" s="47"/>
      <c r="D9" s="47"/>
      <c r="E9" s="47"/>
      <c r="F9" s="47"/>
    </row>
    <row r="10" spans="1:16" ht="15.75" thickBot="1" x14ac:dyDescent="0.3">
      <c r="A10" s="34"/>
      <c r="B10" s="60"/>
      <c r="C10" s="18"/>
      <c r="D10" s="181" t="s">
        <v>79</v>
      </c>
      <c r="E10" s="182"/>
      <c r="F10" s="182"/>
      <c r="G10" s="182"/>
      <c r="H10" s="182"/>
      <c r="I10" s="182"/>
      <c r="J10" s="182"/>
      <c r="K10" s="183"/>
    </row>
    <row r="11" spans="1:16" x14ac:dyDescent="0.25">
      <c r="A11" s="61"/>
      <c r="B11" s="60"/>
      <c r="D11" s="63" t="s">
        <v>80</v>
      </c>
      <c r="E11" s="63" t="s">
        <v>81</v>
      </c>
      <c r="F11" s="63" t="s">
        <v>82</v>
      </c>
      <c r="G11" s="63" t="s">
        <v>47</v>
      </c>
      <c r="H11" s="63" t="s">
        <v>48</v>
      </c>
      <c r="I11" s="63" t="s">
        <v>49</v>
      </c>
      <c r="J11" s="64" t="s">
        <v>50</v>
      </c>
      <c r="K11" s="63" t="s">
        <v>51</v>
      </c>
    </row>
    <row r="12" spans="1:16" x14ac:dyDescent="0.25">
      <c r="A12" s="61"/>
      <c r="B12" s="60"/>
      <c r="C12" s="47"/>
      <c r="D12" s="20" t="s">
        <v>83</v>
      </c>
      <c r="E12" s="8" t="s">
        <v>84</v>
      </c>
      <c r="F12" s="3">
        <f>'Inversión Inicial'!$C$14</f>
        <v>3000000</v>
      </c>
      <c r="G12" s="3">
        <f t="shared" ref="G12:K17" si="5">$F12*G$19</f>
        <v>600000</v>
      </c>
      <c r="H12" s="3">
        <f t="shared" si="5"/>
        <v>1200000</v>
      </c>
      <c r="I12" s="3">
        <f t="shared" si="5"/>
        <v>1800000</v>
      </c>
      <c r="J12" s="3">
        <f t="shared" si="5"/>
        <v>2400000</v>
      </c>
      <c r="K12" s="3">
        <f t="shared" si="5"/>
        <v>3000000</v>
      </c>
    </row>
    <row r="13" spans="1:16" x14ac:dyDescent="0.25">
      <c r="A13" s="18"/>
      <c r="B13" s="62"/>
      <c r="C13" s="18"/>
      <c r="D13" s="5" t="s">
        <v>85</v>
      </c>
      <c r="E13" s="8" t="s">
        <v>84</v>
      </c>
      <c r="F13" s="3">
        <f>'Inversión Inicial'!$C$16</f>
        <v>300000</v>
      </c>
      <c r="G13" s="3">
        <f t="shared" si="5"/>
        <v>60000</v>
      </c>
      <c r="H13" s="3">
        <f t="shared" si="5"/>
        <v>120000</v>
      </c>
      <c r="I13" s="3">
        <f t="shared" si="5"/>
        <v>180000</v>
      </c>
      <c r="J13" s="3">
        <f t="shared" si="5"/>
        <v>240000</v>
      </c>
      <c r="K13" s="3">
        <f t="shared" si="5"/>
        <v>300000</v>
      </c>
    </row>
    <row r="14" spans="1:16" x14ac:dyDescent="0.25">
      <c r="A14" s="41"/>
      <c r="B14" s="18"/>
      <c r="C14" s="39"/>
      <c r="D14" s="100" t="s">
        <v>254</v>
      </c>
      <c r="E14" s="8" t="s">
        <v>84</v>
      </c>
      <c r="F14" s="3">
        <f>'Inversión Inicial'!C15</f>
        <v>800000</v>
      </c>
      <c r="G14" s="3">
        <f t="shared" si="5"/>
        <v>160000</v>
      </c>
      <c r="H14" s="3">
        <f t="shared" si="5"/>
        <v>320000</v>
      </c>
      <c r="I14" s="3">
        <f t="shared" si="5"/>
        <v>480000</v>
      </c>
      <c r="J14" s="3">
        <f t="shared" si="5"/>
        <v>640000</v>
      </c>
      <c r="K14" s="3">
        <f t="shared" si="5"/>
        <v>800000</v>
      </c>
    </row>
    <row r="15" spans="1:16" x14ac:dyDescent="0.25">
      <c r="B15" s="38"/>
      <c r="C15" s="47"/>
      <c r="D15" s="20" t="s">
        <v>86</v>
      </c>
      <c r="E15" s="8" t="s">
        <v>84</v>
      </c>
      <c r="F15" s="3">
        <f>'Inversión Inicial'!$C$14</f>
        <v>3000000</v>
      </c>
      <c r="G15" s="3">
        <f t="shared" si="5"/>
        <v>600000</v>
      </c>
      <c r="H15" s="3">
        <f t="shared" si="5"/>
        <v>1200000</v>
      </c>
      <c r="I15" s="3">
        <f t="shared" si="5"/>
        <v>1800000</v>
      </c>
      <c r="J15" s="3">
        <f t="shared" si="5"/>
        <v>2400000</v>
      </c>
      <c r="K15" s="3">
        <f t="shared" si="5"/>
        <v>3000000</v>
      </c>
    </row>
    <row r="16" spans="1:16" x14ac:dyDescent="0.25">
      <c r="B16" s="38"/>
      <c r="D16" s="5" t="s">
        <v>87</v>
      </c>
      <c r="E16" s="8" t="s">
        <v>84</v>
      </c>
      <c r="F16" s="3">
        <f>'Inversión Inicial'!$C$16</f>
        <v>300000</v>
      </c>
      <c r="G16" s="3">
        <f t="shared" si="5"/>
        <v>60000</v>
      </c>
      <c r="H16" s="3">
        <f t="shared" si="5"/>
        <v>120000</v>
      </c>
      <c r="I16" s="3">
        <f t="shared" si="5"/>
        <v>180000</v>
      </c>
      <c r="J16" s="3">
        <f t="shared" si="5"/>
        <v>240000</v>
      </c>
      <c r="K16" s="3">
        <f t="shared" si="5"/>
        <v>300000</v>
      </c>
    </row>
    <row r="17" spans="1:16" x14ac:dyDescent="0.25">
      <c r="B17" s="38"/>
      <c r="D17" s="5" t="s">
        <v>255</v>
      </c>
      <c r="E17" s="8" t="s">
        <v>84</v>
      </c>
      <c r="F17" s="3">
        <f>'Inversión Inicial'!C15</f>
        <v>800000</v>
      </c>
      <c r="G17" s="3">
        <f t="shared" si="5"/>
        <v>160000</v>
      </c>
      <c r="H17" s="3">
        <f t="shared" si="5"/>
        <v>320000</v>
      </c>
      <c r="I17" s="3">
        <f t="shared" si="5"/>
        <v>480000</v>
      </c>
      <c r="J17" s="3">
        <f t="shared" si="5"/>
        <v>640000</v>
      </c>
      <c r="K17" s="3">
        <f t="shared" si="5"/>
        <v>800000</v>
      </c>
    </row>
    <row r="18" spans="1:16" x14ac:dyDescent="0.25">
      <c r="B18" s="38"/>
      <c r="D18" s="160" t="s">
        <v>88</v>
      </c>
      <c r="E18" s="161"/>
      <c r="F18" s="162"/>
      <c r="G18" s="10">
        <f>SUM(G12:G17)</f>
        <v>1640000</v>
      </c>
      <c r="H18" s="10">
        <f t="shared" ref="H18:K18" si="6">SUM(H12:H17)</f>
        <v>3280000</v>
      </c>
      <c r="I18" s="10">
        <f t="shared" si="6"/>
        <v>4920000</v>
      </c>
      <c r="J18" s="10">
        <f t="shared" si="6"/>
        <v>6560000</v>
      </c>
      <c r="K18" s="10">
        <f t="shared" si="6"/>
        <v>8200000</v>
      </c>
    </row>
    <row r="19" spans="1:16" x14ac:dyDescent="0.25">
      <c r="B19" s="38"/>
      <c r="D19" s="147" t="s">
        <v>89</v>
      </c>
      <c r="E19" s="148"/>
      <c r="F19" s="149"/>
      <c r="G19" s="65">
        <v>0.2</v>
      </c>
      <c r="H19" s="65">
        <v>0.4</v>
      </c>
      <c r="I19" s="65">
        <v>0.6</v>
      </c>
      <c r="J19" s="65">
        <v>0.8</v>
      </c>
      <c r="K19" s="65">
        <v>1</v>
      </c>
    </row>
    <row r="20" spans="1:16" ht="15.75" thickBot="1" x14ac:dyDescent="0.3">
      <c r="B20" s="38"/>
    </row>
    <row r="21" spans="1:16" ht="15.75" thickBot="1" x14ac:dyDescent="0.3">
      <c r="B21" s="38"/>
      <c r="D21" s="104" t="s">
        <v>79</v>
      </c>
      <c r="E21" s="105"/>
      <c r="F21" s="105"/>
      <c r="G21" s="105"/>
      <c r="H21" s="105"/>
      <c r="I21" s="105"/>
      <c r="J21" s="105"/>
      <c r="K21" s="106"/>
      <c r="M21" s="47"/>
      <c r="N21" s="47"/>
      <c r="O21" s="47"/>
      <c r="P21" s="47"/>
    </row>
    <row r="22" spans="1:16" x14ac:dyDescent="0.25">
      <c r="B22" s="38"/>
      <c r="D22" s="63" t="s">
        <v>80</v>
      </c>
      <c r="E22" s="63" t="s">
        <v>81</v>
      </c>
      <c r="F22" s="63" t="s">
        <v>82</v>
      </c>
      <c r="G22" s="63" t="s">
        <v>47</v>
      </c>
      <c r="H22" s="63" t="s">
        <v>48</v>
      </c>
      <c r="I22" s="63" t="s">
        <v>49</v>
      </c>
      <c r="J22" s="64" t="s">
        <v>50</v>
      </c>
      <c r="K22" s="63" t="s">
        <v>51</v>
      </c>
      <c r="M22" s="44"/>
      <c r="N22" s="44"/>
      <c r="O22" s="44"/>
      <c r="P22" s="44"/>
    </row>
    <row r="23" spans="1:16" x14ac:dyDescent="0.25">
      <c r="A23" s="18"/>
      <c r="B23" s="44"/>
      <c r="D23" s="100" t="s">
        <v>83</v>
      </c>
      <c r="E23" s="8" t="s">
        <v>84</v>
      </c>
      <c r="F23" s="3">
        <f>'Inversión Inicial'!$C$14</f>
        <v>3000000</v>
      </c>
      <c r="G23" s="3">
        <f t="shared" ref="G23:K28" si="7">$F23-($F23*G$30)</f>
        <v>2400000</v>
      </c>
      <c r="H23" s="3">
        <f t="shared" si="7"/>
        <v>1800000</v>
      </c>
      <c r="I23" s="3">
        <f t="shared" si="7"/>
        <v>1200000</v>
      </c>
      <c r="J23" s="3">
        <f t="shared" si="7"/>
        <v>600000</v>
      </c>
      <c r="K23" s="3">
        <f t="shared" si="7"/>
        <v>0</v>
      </c>
    </row>
    <row r="24" spans="1:16" x14ac:dyDescent="0.25">
      <c r="A24" s="179"/>
      <c r="B24" s="179"/>
      <c r="D24" s="5" t="s">
        <v>85</v>
      </c>
      <c r="E24" s="8" t="s">
        <v>84</v>
      </c>
      <c r="F24" s="3">
        <f>'Inversión Inicial'!$C$16</f>
        <v>300000</v>
      </c>
      <c r="G24" s="3">
        <f t="shared" si="7"/>
        <v>240000</v>
      </c>
      <c r="H24" s="3">
        <f t="shared" si="7"/>
        <v>180000</v>
      </c>
      <c r="I24" s="3">
        <f t="shared" si="7"/>
        <v>120000</v>
      </c>
      <c r="J24" s="3">
        <f t="shared" si="7"/>
        <v>60000</v>
      </c>
      <c r="K24" s="3">
        <f t="shared" si="7"/>
        <v>0</v>
      </c>
    </row>
    <row r="25" spans="1:16" x14ac:dyDescent="0.25">
      <c r="A25" s="41"/>
      <c r="B25" s="18"/>
      <c r="D25" s="100" t="s">
        <v>254</v>
      </c>
      <c r="E25" s="8" t="s">
        <v>84</v>
      </c>
      <c r="F25" s="3">
        <f>'Inversión Inicial'!C15</f>
        <v>800000</v>
      </c>
      <c r="G25" s="3">
        <f t="shared" si="7"/>
        <v>640000</v>
      </c>
      <c r="H25" s="3">
        <f t="shared" si="7"/>
        <v>480000</v>
      </c>
      <c r="I25" s="3">
        <f t="shared" si="7"/>
        <v>320000</v>
      </c>
      <c r="J25" s="3">
        <f t="shared" si="7"/>
        <v>160000</v>
      </c>
      <c r="K25" s="3">
        <f t="shared" si="7"/>
        <v>0</v>
      </c>
    </row>
    <row r="26" spans="1:16" x14ac:dyDescent="0.25">
      <c r="B26" s="38"/>
      <c r="D26" s="100" t="s">
        <v>86</v>
      </c>
      <c r="E26" s="8" t="s">
        <v>84</v>
      </c>
      <c r="F26" s="3">
        <f>'Inversión Inicial'!$C$14</f>
        <v>3000000</v>
      </c>
      <c r="G26" s="3">
        <f t="shared" si="7"/>
        <v>2400000</v>
      </c>
      <c r="H26" s="3">
        <f t="shared" si="7"/>
        <v>1800000</v>
      </c>
      <c r="I26" s="3">
        <f t="shared" si="7"/>
        <v>1200000</v>
      </c>
      <c r="J26" s="3">
        <f t="shared" si="7"/>
        <v>600000</v>
      </c>
      <c r="K26" s="3">
        <f t="shared" si="7"/>
        <v>0</v>
      </c>
    </row>
    <row r="27" spans="1:16" x14ac:dyDescent="0.25">
      <c r="B27" s="38"/>
      <c r="D27" s="5" t="s">
        <v>87</v>
      </c>
      <c r="E27" s="8" t="s">
        <v>84</v>
      </c>
      <c r="F27" s="3">
        <f>'Inversión Inicial'!$C$16</f>
        <v>300000</v>
      </c>
      <c r="G27" s="3">
        <f t="shared" si="7"/>
        <v>240000</v>
      </c>
      <c r="H27" s="3">
        <f t="shared" si="7"/>
        <v>180000</v>
      </c>
      <c r="I27" s="3">
        <f t="shared" si="7"/>
        <v>120000</v>
      </c>
      <c r="J27" s="3">
        <f t="shared" si="7"/>
        <v>60000</v>
      </c>
      <c r="K27" s="3">
        <f t="shared" si="7"/>
        <v>0</v>
      </c>
    </row>
    <row r="28" spans="1:16" x14ac:dyDescent="0.25">
      <c r="A28" s="18"/>
      <c r="B28" s="44"/>
      <c r="D28" s="5" t="s">
        <v>255</v>
      </c>
      <c r="E28" s="8" t="s">
        <v>84</v>
      </c>
      <c r="F28" s="3">
        <f>'Inversión Inicial'!$C$15</f>
        <v>800000</v>
      </c>
      <c r="G28" s="3">
        <f t="shared" si="7"/>
        <v>640000</v>
      </c>
      <c r="H28" s="3">
        <f t="shared" si="7"/>
        <v>480000</v>
      </c>
      <c r="I28" s="3">
        <f t="shared" si="7"/>
        <v>320000</v>
      </c>
      <c r="J28" s="3">
        <f t="shared" si="7"/>
        <v>160000</v>
      </c>
      <c r="K28" s="3">
        <f t="shared" si="7"/>
        <v>0</v>
      </c>
    </row>
    <row r="29" spans="1:16" x14ac:dyDescent="0.25">
      <c r="A29" s="179"/>
      <c r="B29" s="179"/>
      <c r="D29" s="160" t="s">
        <v>88</v>
      </c>
      <c r="E29" s="161"/>
      <c r="F29" s="162"/>
      <c r="G29" s="10">
        <f>SUM(G23:G28)</f>
        <v>6560000</v>
      </c>
      <c r="H29" s="10">
        <f>SUM(H23:H28)</f>
        <v>4920000</v>
      </c>
      <c r="I29" s="10">
        <f>SUM(I23:I28)</f>
        <v>3280000</v>
      </c>
      <c r="J29" s="10">
        <f>SUM(J23:J28)</f>
        <v>1640000</v>
      </c>
      <c r="K29" s="10">
        <f>SUM(K23:K28)</f>
        <v>0</v>
      </c>
    </row>
    <row r="30" spans="1:16" x14ac:dyDescent="0.25">
      <c r="A30" s="41"/>
      <c r="B30" s="18"/>
      <c r="D30" s="147" t="s">
        <v>89</v>
      </c>
      <c r="E30" s="148"/>
      <c r="F30" s="149"/>
      <c r="G30" s="65">
        <v>0.2</v>
      </c>
      <c r="H30" s="65">
        <v>0.4</v>
      </c>
      <c r="I30" s="65">
        <v>0.6</v>
      </c>
      <c r="J30" s="65">
        <v>0.8</v>
      </c>
      <c r="K30" s="65">
        <v>1</v>
      </c>
    </row>
    <row r="31" spans="1:16" x14ac:dyDescent="0.25">
      <c r="B31" s="38"/>
    </row>
    <row r="32" spans="1:16" x14ac:dyDescent="0.25">
      <c r="A32" s="18"/>
      <c r="B32" s="44"/>
    </row>
  </sheetData>
  <mergeCells count="10">
    <mergeCell ref="D30:F30"/>
    <mergeCell ref="A1:B1"/>
    <mergeCell ref="D1:I1"/>
    <mergeCell ref="A2:B2"/>
    <mergeCell ref="A24:B24"/>
    <mergeCell ref="A29:B29"/>
    <mergeCell ref="D10:K10"/>
    <mergeCell ref="D18:F18"/>
    <mergeCell ref="D19:F19"/>
    <mergeCell ref="D29:F29"/>
  </mergeCell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showGridLines="0" zoomScale="115" zoomScaleNormal="115" workbookViewId="0">
      <selection activeCell="C33" sqref="C33"/>
    </sheetView>
  </sheetViews>
  <sheetFormatPr baseColWidth="10" defaultRowHeight="15" x14ac:dyDescent="0.25"/>
  <cols>
    <col min="2" max="2" width="45.140625" customWidth="1"/>
    <col min="3" max="8" width="14.28515625" customWidth="1"/>
    <col min="10" max="10" width="12.5703125" bestFit="1" customWidth="1"/>
  </cols>
  <sheetData>
    <row r="1" spans="1:8" ht="30" customHeight="1" thickBot="1" x14ac:dyDescent="0.55000000000000004">
      <c r="A1" s="214" t="s">
        <v>91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297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307</v>
      </c>
      <c r="B4" s="219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0" t="s">
        <v>93</v>
      </c>
      <c r="B5" s="221"/>
    </row>
    <row r="6" spans="1:8" x14ac:dyDescent="0.25">
      <c r="A6" s="222" t="s">
        <v>94</v>
      </c>
      <c r="B6" s="222"/>
    </row>
    <row r="7" spans="1:8" ht="15.75" thickBot="1" x14ac:dyDescent="0.3">
      <c r="B7" s="67" t="s">
        <v>95</v>
      </c>
      <c r="C7" s="3">
        <f>'Proyección de Ventas e Incremen'!B18</f>
        <v>36091000</v>
      </c>
      <c r="D7" s="3">
        <f>'Proyección de Ventas e Incremen'!J7</f>
        <v>163296000</v>
      </c>
      <c r="E7" s="3">
        <f>'Proyección de Ventas e Incremen'!K7</f>
        <v>205589663.99999997</v>
      </c>
      <c r="F7" s="3">
        <f>'Proyección de Ventas e Incremen'!L7</f>
        <v>264593897.56799996</v>
      </c>
      <c r="G7" s="3">
        <f>'Proyección de Ventas e Incremen'!M7</f>
        <v>350586914.27759993</v>
      </c>
      <c r="H7" s="3">
        <f>'Proyección de Ventas e Incremen'!N7</f>
        <v>481706420.21742237</v>
      </c>
    </row>
    <row r="8" spans="1:8" ht="16.5" thickBot="1" x14ac:dyDescent="0.3">
      <c r="B8" s="70" t="s">
        <v>96</v>
      </c>
      <c r="C8" s="71">
        <f t="shared" ref="C8:H8" si="0">SUM(C7:C7)</f>
        <v>36091000</v>
      </c>
      <c r="D8" s="71">
        <f t="shared" si="0"/>
        <v>163296000</v>
      </c>
      <c r="E8" s="71">
        <f t="shared" si="0"/>
        <v>205589663.99999997</v>
      </c>
      <c r="F8" s="71">
        <f t="shared" si="0"/>
        <v>264593897.56799996</v>
      </c>
      <c r="G8" s="71">
        <f t="shared" si="0"/>
        <v>350586914.27759993</v>
      </c>
      <c r="H8" s="71">
        <f t="shared" si="0"/>
        <v>481706420.21742237</v>
      </c>
    </row>
    <row r="10" spans="1:8" x14ac:dyDescent="0.25">
      <c r="A10" s="212" t="s">
        <v>97</v>
      </c>
      <c r="B10" s="213"/>
    </row>
    <row r="11" spans="1:8" x14ac:dyDescent="0.25">
      <c r="B11" s="67" t="s">
        <v>308</v>
      </c>
      <c r="C11" s="3">
        <v>0</v>
      </c>
      <c r="D11" s="3">
        <v>8200000</v>
      </c>
      <c r="E11" s="3">
        <v>8200000</v>
      </c>
      <c r="F11" s="3">
        <v>8200000</v>
      </c>
      <c r="G11" s="3">
        <v>8200000</v>
      </c>
      <c r="H11" s="3">
        <v>8200000</v>
      </c>
    </row>
    <row r="12" spans="1:8" x14ac:dyDescent="0.25">
      <c r="B12" s="107" t="s">
        <v>98</v>
      </c>
      <c r="C12" s="108">
        <v>0</v>
      </c>
      <c r="D12" s="108">
        <f>'Amortización y Depreciación'!G18</f>
        <v>1640000</v>
      </c>
      <c r="E12" s="108">
        <v>1640000</v>
      </c>
      <c r="F12" s="108">
        <v>1640000</v>
      </c>
      <c r="G12" s="108">
        <v>1640000</v>
      </c>
      <c r="H12" s="108">
        <v>1640000</v>
      </c>
    </row>
    <row r="13" spans="1:8" ht="15.75" thickBot="1" x14ac:dyDescent="0.3">
      <c r="B13" s="67" t="s">
        <v>170</v>
      </c>
      <c r="C13" s="7">
        <v>0</v>
      </c>
      <c r="D13" s="7">
        <v>1451000</v>
      </c>
      <c r="E13" s="7">
        <f t="shared" ref="E13:H13" si="1">D13</f>
        <v>1451000</v>
      </c>
      <c r="F13" s="7">
        <f t="shared" si="1"/>
        <v>1451000</v>
      </c>
      <c r="G13" s="7">
        <f t="shared" si="1"/>
        <v>1451000</v>
      </c>
      <c r="H13" s="7">
        <f t="shared" si="1"/>
        <v>1451000</v>
      </c>
    </row>
    <row r="14" spans="1:8" ht="16.5" thickBot="1" x14ac:dyDescent="0.3">
      <c r="B14" s="70" t="s">
        <v>99</v>
      </c>
      <c r="C14" s="71">
        <f>C11+C13</f>
        <v>0</v>
      </c>
      <c r="D14" s="71">
        <f>SUM(D11:D13)</f>
        <v>11291000</v>
      </c>
      <c r="E14" s="71">
        <f t="shared" ref="E14:H14" si="2">SUM(E11:E13)</f>
        <v>11291000</v>
      </c>
      <c r="F14" s="71">
        <f t="shared" si="2"/>
        <v>11291000</v>
      </c>
      <c r="G14" s="71">
        <f t="shared" si="2"/>
        <v>11291000</v>
      </c>
      <c r="H14" s="71">
        <f t="shared" si="2"/>
        <v>11291000</v>
      </c>
    </row>
    <row r="15" spans="1:8" ht="15.75" thickBot="1" x14ac:dyDescent="0.3"/>
    <row r="16" spans="1:8" ht="22.5" customHeight="1" thickBot="1" x14ac:dyDescent="0.3">
      <c r="A16" s="210" t="s">
        <v>100</v>
      </c>
      <c r="B16" s="211"/>
      <c r="C16" s="73">
        <f t="shared" ref="C16:H16" si="3">C8+C14</f>
        <v>36091000</v>
      </c>
      <c r="D16" s="73">
        <f t="shared" si="3"/>
        <v>174587000</v>
      </c>
      <c r="E16" s="73">
        <f t="shared" si="3"/>
        <v>216880663.99999997</v>
      </c>
      <c r="F16" s="73">
        <f t="shared" si="3"/>
        <v>275884897.56799996</v>
      </c>
      <c r="G16" s="73">
        <f t="shared" si="3"/>
        <v>361877914.27759993</v>
      </c>
      <c r="H16" s="73">
        <f t="shared" si="3"/>
        <v>492997420.21742237</v>
      </c>
    </row>
    <row r="17" spans="1:8" ht="15.75" thickBot="1" x14ac:dyDescent="0.3">
      <c r="A17" s="223" t="s">
        <v>101</v>
      </c>
      <c r="B17" s="224"/>
    </row>
    <row r="18" spans="1:8" x14ac:dyDescent="0.25">
      <c r="A18" s="225" t="s">
        <v>102</v>
      </c>
      <c r="B18" s="226"/>
    </row>
    <row r="19" spans="1:8" x14ac:dyDescent="0.25">
      <c r="B19" s="67" t="s">
        <v>303</v>
      </c>
      <c r="C19" s="3">
        <v>0</v>
      </c>
      <c r="D19" s="3">
        <f>'Costos de Operación Gravables'!J10+'Costos de Operación Gravables'!J25+'Costos de Operación Gravables'!J13</f>
        <v>47687000</v>
      </c>
      <c r="E19" s="3">
        <f>'Costos de Operación Gravables'!K10+'Costos de Operación Gravables'!K25+'Costos de Operación Gravables'!K13</f>
        <v>49010160</v>
      </c>
      <c r="F19" s="3">
        <f>'Costos de Operación Gravables'!L10+'Costos de Operación Gravables'!L25+'Costos de Operación Gravables'!L13</f>
        <v>53843505.600000009</v>
      </c>
      <c r="G19" s="3">
        <f>'Costos de Operación Gravables'!M10+'Costos de Operación Gravables'!M25+'Costos de Operación Gravables'!M13</f>
        <v>59156125.536000013</v>
      </c>
      <c r="H19" s="3">
        <f>'Costos de Operación Gravables'!N10+'Costos de Operación Gravables'!N25+'Costos de Operación Gravables'!N13</f>
        <v>64995703.628160022</v>
      </c>
    </row>
    <row r="20" spans="1:8" x14ac:dyDescent="0.25">
      <c r="B20" s="67" t="s">
        <v>304</v>
      </c>
      <c r="C20" s="3">
        <f>'Costos de Operación Gravables'!I4</f>
        <v>0</v>
      </c>
      <c r="D20" s="3">
        <f>'Costos de Operación Gravables'!J4+'Costos de Operación Gravables'!J7</f>
        <v>93462936</v>
      </c>
      <c r="E20" s="3">
        <f>'Costos de Operación Gravables'!K4+'Costos de Operación Gravables'!K7</f>
        <v>102809229.59999999</v>
      </c>
      <c r="F20" s="3">
        <f>'Costos de Operación Gravables'!L4+'Costos de Operación Gravables'!L7</f>
        <v>113090152.56</v>
      </c>
      <c r="G20" s="3">
        <f>'Costos de Operación Gravables'!M4+'Costos de Operación Gravables'!M7</f>
        <v>124399167.81600001</v>
      </c>
      <c r="H20" s="3">
        <f>'Costos de Operación Gravables'!N4+'Costos de Operación Gravables'!N7</f>
        <v>136839084.59760004</v>
      </c>
    </row>
    <row r="21" spans="1:8" ht="15.75" thickBot="1" x14ac:dyDescent="0.3">
      <c r="B21" s="68" t="s">
        <v>305</v>
      </c>
      <c r="C21" s="69">
        <f>'Estado de Resultados'!C21</f>
        <v>0</v>
      </c>
      <c r="D21" s="69">
        <v>0</v>
      </c>
      <c r="E21" s="69">
        <v>0</v>
      </c>
      <c r="F21" s="69">
        <v>0</v>
      </c>
      <c r="G21" s="69">
        <v>0</v>
      </c>
      <c r="H21" s="69">
        <v>0</v>
      </c>
    </row>
    <row r="22" spans="1:8" ht="16.5" thickBot="1" x14ac:dyDescent="0.3">
      <c r="B22" s="70" t="s">
        <v>103</v>
      </c>
      <c r="C22" s="71">
        <f t="shared" ref="C22:H22" si="4">SUM(C19:C21)</f>
        <v>0</v>
      </c>
      <c r="D22" s="71">
        <f>SUM(D19:D21)</f>
        <v>141149936</v>
      </c>
      <c r="E22" s="71">
        <f t="shared" si="4"/>
        <v>151819389.59999999</v>
      </c>
      <c r="F22" s="71">
        <f t="shared" si="4"/>
        <v>166933658.16000003</v>
      </c>
      <c r="G22" s="71">
        <f t="shared" si="4"/>
        <v>183555293.35200003</v>
      </c>
      <c r="H22" s="71">
        <f t="shared" si="4"/>
        <v>201834788.22576007</v>
      </c>
    </row>
    <row r="24" spans="1:8" x14ac:dyDescent="0.25">
      <c r="A24" s="212" t="s">
        <v>104</v>
      </c>
      <c r="B24" s="213"/>
    </row>
    <row r="25" spans="1:8" ht="15.75" thickBot="1" x14ac:dyDescent="0.3">
      <c r="B25" s="68" t="s">
        <v>171</v>
      </c>
      <c r="C25" s="69">
        <f>'Estado de Resultados'!C16</f>
        <v>0</v>
      </c>
      <c r="D25" s="69">
        <f>'Estado de Resultados'!D16</f>
        <v>5878423.1864712453</v>
      </c>
      <c r="E25" s="69">
        <f>'Estado de Resultados'!E16</f>
        <v>5878423.1864712453</v>
      </c>
      <c r="F25" s="69">
        <f>'Estado de Resultados'!F16</f>
        <v>5878423.1864712453</v>
      </c>
      <c r="G25" s="69">
        <f>'Estado de Resultados'!G16</f>
        <v>5878423.1864712453</v>
      </c>
      <c r="H25" s="69">
        <f>'Estado de Resultados'!H16</f>
        <v>0</v>
      </c>
    </row>
    <row r="26" spans="1:8" ht="16.5" thickBot="1" x14ac:dyDescent="0.3">
      <c r="B26" s="70" t="s">
        <v>105</v>
      </c>
      <c r="C26" s="71">
        <f>SUM(C25)</f>
        <v>0</v>
      </c>
      <c r="D26" s="71">
        <f t="shared" ref="D26:H26" si="5">SUM(D25)</f>
        <v>5878423.1864712453</v>
      </c>
      <c r="E26" s="71">
        <f t="shared" si="5"/>
        <v>5878423.1864712453</v>
      </c>
      <c r="F26" s="71">
        <f t="shared" si="5"/>
        <v>5878423.1864712453</v>
      </c>
      <c r="G26" s="71">
        <f t="shared" si="5"/>
        <v>5878423.1864712453</v>
      </c>
      <c r="H26" s="71">
        <f t="shared" si="5"/>
        <v>0</v>
      </c>
    </row>
    <row r="27" spans="1:8" ht="15.75" thickBot="1" x14ac:dyDescent="0.3"/>
    <row r="28" spans="1:8" ht="22.5" customHeight="1" thickBot="1" x14ac:dyDescent="0.3">
      <c r="A28" s="210" t="s">
        <v>106</v>
      </c>
      <c r="B28" s="211"/>
      <c r="C28" s="73">
        <f>C22+C26</f>
        <v>0</v>
      </c>
      <c r="D28" s="73">
        <f>D22+D26</f>
        <v>147028359.18647125</v>
      </c>
      <c r="E28" s="73">
        <f>E22+E26</f>
        <v>157697812.78647125</v>
      </c>
      <c r="F28" s="73">
        <f t="shared" ref="F28:H28" si="6">F22+F26</f>
        <v>172812081.34647128</v>
      </c>
      <c r="G28" s="73">
        <f t="shared" si="6"/>
        <v>189433716.53847128</v>
      </c>
      <c r="H28" s="73">
        <f t="shared" si="6"/>
        <v>201834788.22576007</v>
      </c>
    </row>
    <row r="29" spans="1:8" ht="15.75" thickBot="1" x14ac:dyDescent="0.3"/>
    <row r="30" spans="1:8" ht="15.75" thickBot="1" x14ac:dyDescent="0.3">
      <c r="A30" s="223" t="s">
        <v>107</v>
      </c>
      <c r="B30" s="224"/>
    </row>
    <row r="31" spans="1:8" x14ac:dyDescent="0.25">
      <c r="B31" s="74" t="s">
        <v>12</v>
      </c>
      <c r="C31" s="7">
        <v>36091000</v>
      </c>
      <c r="D31" s="7">
        <v>36091000</v>
      </c>
      <c r="E31" s="7">
        <f>D31</f>
        <v>36091000</v>
      </c>
      <c r="F31" s="7">
        <f t="shared" ref="F31:H31" si="7">E31</f>
        <v>36091000</v>
      </c>
      <c r="G31" s="7">
        <f t="shared" si="7"/>
        <v>36091000</v>
      </c>
      <c r="H31" s="7">
        <f t="shared" si="7"/>
        <v>36091000</v>
      </c>
    </row>
    <row r="32" spans="1:8" x14ac:dyDescent="0.25">
      <c r="B32" s="74" t="s">
        <v>309</v>
      </c>
      <c r="C32" s="7">
        <v>0</v>
      </c>
      <c r="D32" s="7">
        <v>-19106325.715264946</v>
      </c>
      <c r="E32" s="140">
        <v>-8037852.0752649596</v>
      </c>
      <c r="F32" s="7">
        <v>7323635.6775350003</v>
      </c>
      <c r="G32" s="7">
        <v>31603619.208695099</v>
      </c>
      <c r="H32" s="7">
        <v>73155071.197081804</v>
      </c>
    </row>
    <row r="33" spans="1:10" x14ac:dyDescent="0.25">
      <c r="B33" s="67" t="s">
        <v>168</v>
      </c>
      <c r="C33" s="7">
        <v>0</v>
      </c>
      <c r="D33" s="3">
        <f>'Estado de Resultados'!D23</f>
        <v>10573966.528793691</v>
      </c>
      <c r="E33" s="3">
        <f>'Estado de Resultados'!E23</f>
        <v>31129703.288793676</v>
      </c>
      <c r="F33" s="3">
        <f>'Estado de Resultados'!F23</f>
        <v>59658180.543993674</v>
      </c>
      <c r="G33" s="3">
        <f>'Estado de Resultados'!G23</f>
        <v>104749578.5304336</v>
      </c>
      <c r="H33" s="3">
        <f>'Estado de Resultados'!H23</f>
        <v>181916560.79458046</v>
      </c>
    </row>
    <row r="34" spans="1:10" ht="15.75" thickBot="1" x14ac:dyDescent="0.3">
      <c r="B34" s="47"/>
    </row>
    <row r="35" spans="1:10" ht="22.5" customHeight="1" thickBot="1" x14ac:dyDescent="0.3">
      <c r="A35" s="210" t="s">
        <v>108</v>
      </c>
      <c r="B35" s="211"/>
      <c r="C35" s="73">
        <f>SUM(C31:C33)</f>
        <v>36091000</v>
      </c>
      <c r="D35" s="73">
        <f>SUM(D31:D33)</f>
        <v>27558640.813528746</v>
      </c>
      <c r="E35" s="73">
        <f t="shared" ref="E35:H35" si="8">SUM(E31:E33)</f>
        <v>59182851.213528715</v>
      </c>
      <c r="F35" s="73">
        <f t="shared" si="8"/>
        <v>103072816.22152868</v>
      </c>
      <c r="G35" s="73">
        <f t="shared" si="8"/>
        <v>172444197.73912871</v>
      </c>
      <c r="H35" s="73">
        <f t="shared" si="8"/>
        <v>291162631.99166226</v>
      </c>
    </row>
    <row r="36" spans="1:10" ht="15.75" thickBot="1" x14ac:dyDescent="0.3"/>
    <row r="37" spans="1:10" ht="22.5" customHeight="1" thickBot="1" x14ac:dyDescent="0.3">
      <c r="A37" s="210" t="s">
        <v>169</v>
      </c>
      <c r="B37" s="211"/>
      <c r="C37" s="73">
        <f t="shared" ref="C37:H37" si="9">C28+C35</f>
        <v>36091000</v>
      </c>
      <c r="D37" s="73">
        <f>D28+D35</f>
        <v>174587000</v>
      </c>
      <c r="E37" s="73">
        <f t="shared" si="9"/>
        <v>216880663.99999997</v>
      </c>
      <c r="F37" s="73">
        <f t="shared" si="9"/>
        <v>275884897.56799996</v>
      </c>
      <c r="G37" s="73">
        <f t="shared" si="9"/>
        <v>361877914.27759999</v>
      </c>
      <c r="H37" s="73">
        <f t="shared" si="9"/>
        <v>492997420.21742237</v>
      </c>
      <c r="J37" s="39"/>
    </row>
    <row r="39" spans="1:10" x14ac:dyDescent="0.25">
      <c r="D39" s="39"/>
    </row>
  </sheetData>
  <mergeCells count="14">
    <mergeCell ref="A35:B35"/>
    <mergeCell ref="A37:B37"/>
    <mergeCell ref="A10:B10"/>
    <mergeCell ref="A1:H1"/>
    <mergeCell ref="A2:H2"/>
    <mergeCell ref="A4:B4"/>
    <mergeCell ref="A5:B5"/>
    <mergeCell ref="A6:B6"/>
    <mergeCell ref="A30:B30"/>
    <mergeCell ref="A16:B16"/>
    <mergeCell ref="A17:B17"/>
    <mergeCell ref="A18:B18"/>
    <mergeCell ref="A24:B24"/>
    <mergeCell ref="A28:B28"/>
  </mergeCells>
  <phoneticPr fontId="4" type="noConversion"/>
  <pageMargins left="0.7" right="0.7" top="0.75" bottom="0.75" header="0.3" footer="0.3"/>
  <pageSetup orientation="portrait" horizontalDpi="4294967293" verticalDpi="0" r:id="rId1"/>
  <ignoredErrors>
    <ignoredError sqref="D1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showGridLines="0" zoomScale="115" zoomScaleNormal="115" workbookViewId="0">
      <selection activeCell="C27" sqref="C27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4" t="s">
        <v>231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297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92</v>
      </c>
      <c r="B4" s="219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0" t="s">
        <v>232</v>
      </c>
      <c r="B5" s="221"/>
    </row>
    <row r="6" spans="1:8" x14ac:dyDescent="0.25">
      <c r="B6" s="113" t="s">
        <v>260</v>
      </c>
      <c r="C6" s="7"/>
      <c r="D6" s="7">
        <f>'Proyección de Ventas e Incremen'!J7</f>
        <v>163296000</v>
      </c>
      <c r="E6" s="7">
        <f>'Proyección de Ventas e Incremen'!K7</f>
        <v>205589663.99999997</v>
      </c>
      <c r="F6" s="7">
        <f>'Proyección de Ventas e Incremen'!L7</f>
        <v>264593897.56799996</v>
      </c>
      <c r="G6" s="7">
        <f>'Proyección de Ventas e Incremen'!M7</f>
        <v>350586914.27759993</v>
      </c>
      <c r="H6" s="7">
        <f>'Proyección de Ventas e Incremen'!N7</f>
        <v>481706420.21742237</v>
      </c>
    </row>
    <row r="7" spans="1:8" x14ac:dyDescent="0.25">
      <c r="B7" s="113" t="s">
        <v>261</v>
      </c>
      <c r="C7" s="7"/>
      <c r="D7" s="7">
        <f>'Costos de Operación Gravables'!J15</f>
        <v>139553936</v>
      </c>
      <c r="E7" s="7">
        <f>'Costos de Operación Gravables'!K15</f>
        <v>150127629.59999999</v>
      </c>
      <c r="F7" s="7">
        <f>'Costos de Operación Gravables'!L15</f>
        <v>165140392.56</v>
      </c>
      <c r="G7" s="7">
        <f>'Costos de Operación Gravables'!M15</f>
        <v>181654431.81600004</v>
      </c>
      <c r="H7" s="7">
        <f>'Costos de Operación Gravables'!N15</f>
        <v>199819874.99760008</v>
      </c>
    </row>
    <row r="8" spans="1:8" ht="15.75" thickBot="1" x14ac:dyDescent="0.3">
      <c r="B8" s="244" t="s">
        <v>310</v>
      </c>
      <c r="C8" s="243">
        <f>'Costos de Operación Gravables'!B54</f>
        <v>36091000</v>
      </c>
      <c r="D8" s="243"/>
      <c r="E8" s="243"/>
      <c r="F8" s="243"/>
      <c r="G8" s="243"/>
      <c r="H8" s="243"/>
    </row>
    <row r="9" spans="1:8" ht="16.5" thickBot="1" x14ac:dyDescent="0.3">
      <c r="B9" s="70" t="s">
        <v>233</v>
      </c>
      <c r="C9" s="71">
        <f>SUM(C6:C7)-C8</f>
        <v>-36091000</v>
      </c>
      <c r="D9" s="71">
        <f>D6-D7-D8</f>
        <v>23742064</v>
      </c>
      <c r="E9" s="71">
        <f t="shared" ref="E9:H9" si="0">E6-E7-E8</f>
        <v>55462034.399999976</v>
      </c>
      <c r="F9" s="71">
        <f t="shared" si="0"/>
        <v>99453505.007999957</v>
      </c>
      <c r="G9" s="71">
        <f t="shared" si="0"/>
        <v>168932482.46159989</v>
      </c>
      <c r="H9" s="71">
        <f t="shared" si="0"/>
        <v>281886545.21982229</v>
      </c>
    </row>
    <row r="10" spans="1:8" ht="15.75" thickBot="1" x14ac:dyDescent="0.3"/>
    <row r="11" spans="1:8" ht="15.75" thickBot="1" x14ac:dyDescent="0.3">
      <c r="A11" s="223" t="s">
        <v>294</v>
      </c>
      <c r="B11" s="224"/>
    </row>
    <row r="12" spans="1:8" ht="15.75" thickBot="1" x14ac:dyDescent="0.3">
      <c r="B12" s="113" t="s">
        <v>292</v>
      </c>
      <c r="C12" s="7"/>
      <c r="D12" s="7">
        <f>'Costos de Operación Gravables'!J25</f>
        <v>1596000</v>
      </c>
      <c r="E12" s="7">
        <f>'Costos de Operación Gravables'!K25</f>
        <v>1691760</v>
      </c>
      <c r="F12" s="7">
        <f>'Costos de Operación Gravables'!L25</f>
        <v>1793265.6</v>
      </c>
      <c r="G12" s="7">
        <f>'Costos de Operación Gravables'!M25</f>
        <v>1900861.5360000001</v>
      </c>
      <c r="H12" s="7">
        <f>'Costos de Operación Gravables'!N25</f>
        <v>2014913.2281600002</v>
      </c>
    </row>
    <row r="13" spans="1:8" ht="16.5" thickBot="1" x14ac:dyDescent="0.3">
      <c r="B13" s="70" t="s">
        <v>293</v>
      </c>
      <c r="C13" s="71">
        <f>C9-C12</f>
        <v>-36091000</v>
      </c>
      <c r="D13" s="71">
        <f>D9-D12</f>
        <v>22146064</v>
      </c>
      <c r="E13" s="71">
        <f t="shared" ref="E13:H13" si="1">E9-E12</f>
        <v>53770274.399999976</v>
      </c>
      <c r="F13" s="71">
        <f t="shared" si="1"/>
        <v>97660239.407999963</v>
      </c>
      <c r="G13" s="71">
        <f t="shared" si="1"/>
        <v>167031620.92559987</v>
      </c>
      <c r="H13" s="71">
        <f t="shared" si="1"/>
        <v>279871631.99166226</v>
      </c>
    </row>
    <row r="14" spans="1:8" ht="15.75" thickBot="1" x14ac:dyDescent="0.3"/>
    <row r="15" spans="1:8" ht="15.75" thickBot="1" x14ac:dyDescent="0.3">
      <c r="A15" s="223" t="s">
        <v>295</v>
      </c>
      <c r="B15" s="224"/>
    </row>
    <row r="16" spans="1:8" x14ac:dyDescent="0.25">
      <c r="B16" s="113" t="s">
        <v>296</v>
      </c>
      <c r="C16" s="7"/>
      <c r="D16" s="7">
        <f>'Amortización y Depreciación'!G4</f>
        <v>5878423.1864712453</v>
      </c>
      <c r="E16" s="7">
        <f>'Amortización y Depreciación'!G5</f>
        <v>5878423.1864712453</v>
      </c>
      <c r="F16" s="7">
        <f>'Amortización y Depreciación'!G6</f>
        <v>5878423.1864712453</v>
      </c>
      <c r="G16" s="7">
        <f>'Amortización y Depreciación'!G7</f>
        <v>5878423.1864712453</v>
      </c>
      <c r="H16" s="7"/>
    </row>
    <row r="17" spans="1:8" ht="15.75" thickBot="1" x14ac:dyDescent="0.3">
      <c r="B17" s="113" t="s">
        <v>298</v>
      </c>
      <c r="C17" s="7"/>
      <c r="D17" s="7"/>
      <c r="E17" s="7"/>
      <c r="F17" s="7"/>
      <c r="G17" s="7"/>
      <c r="H17" s="7"/>
    </row>
    <row r="18" spans="1:8" ht="16.5" thickBot="1" x14ac:dyDescent="0.3">
      <c r="B18" s="70" t="s">
        <v>299</v>
      </c>
      <c r="C18" s="71">
        <f>C13-C16+C17</f>
        <v>-36091000</v>
      </c>
      <c r="D18" s="71">
        <f>D13-D16+D17</f>
        <v>16267640.813528754</v>
      </c>
      <c r="E18" s="71">
        <f t="shared" ref="E18:H18" si="2">E13-E16+E17</f>
        <v>47891851.21352873</v>
      </c>
      <c r="F18" s="71">
        <f t="shared" si="2"/>
        <v>91781816.221528724</v>
      </c>
      <c r="G18" s="71">
        <f t="shared" si="2"/>
        <v>161153197.73912862</v>
      </c>
      <c r="H18" s="71">
        <f t="shared" si="2"/>
        <v>279871631.99166226</v>
      </c>
    </row>
    <row r="19" spans="1:8" ht="15.75" thickBot="1" x14ac:dyDescent="0.3"/>
    <row r="20" spans="1:8" ht="15.75" thickBot="1" x14ac:dyDescent="0.3">
      <c r="A20" s="223" t="s">
        <v>300</v>
      </c>
      <c r="B20" s="224"/>
    </row>
    <row r="21" spans="1:8" x14ac:dyDescent="0.25">
      <c r="B21" s="113" t="s">
        <v>301</v>
      </c>
      <c r="C21" s="7"/>
      <c r="D21" s="7">
        <f>D18*0.35</f>
        <v>5693674.2847350631</v>
      </c>
      <c r="E21" s="7">
        <f>E18*0.35</f>
        <v>16762147.924735054</v>
      </c>
      <c r="F21" s="7">
        <f t="shared" ref="F21:H21" si="3">F18*0.35</f>
        <v>32123635.67753505</v>
      </c>
      <c r="G21" s="7">
        <f t="shared" si="3"/>
        <v>56403619.208695017</v>
      </c>
      <c r="H21" s="7">
        <f t="shared" si="3"/>
        <v>97955071.197081789</v>
      </c>
    </row>
    <row r="22" spans="1:8" ht="15.75" thickBot="1" x14ac:dyDescent="0.3"/>
    <row r="23" spans="1:8" ht="23.25" customHeight="1" thickBot="1" x14ac:dyDescent="0.3">
      <c r="A23" s="218" t="s">
        <v>302</v>
      </c>
      <c r="B23" s="219"/>
      <c r="C23" s="73">
        <f>C18-C21</f>
        <v>-36091000</v>
      </c>
      <c r="D23" s="73">
        <f>D18-D21</f>
        <v>10573966.528793691</v>
      </c>
      <c r="E23" s="73">
        <f t="shared" ref="E23:G23" si="4">E18-E21</f>
        <v>31129703.288793676</v>
      </c>
      <c r="F23" s="73">
        <f t="shared" si="4"/>
        <v>59658180.543993674</v>
      </c>
      <c r="G23" s="73">
        <f t="shared" si="4"/>
        <v>104749578.5304336</v>
      </c>
      <c r="H23" s="73">
        <f>H18-H21</f>
        <v>181916560.79458046</v>
      </c>
    </row>
    <row r="29" spans="1:8" ht="22.5" customHeight="1" x14ac:dyDescent="0.25"/>
  </sheetData>
  <mergeCells count="8">
    <mergeCell ref="A15:B15"/>
    <mergeCell ref="A20:B20"/>
    <mergeCell ref="A23:B23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5"/>
  <sheetViews>
    <sheetView showGridLines="0" zoomScaleNormal="100" workbookViewId="0">
      <selection activeCell="D6" sqref="D6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4" t="s">
        <v>239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297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92</v>
      </c>
      <c r="B4" s="219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3" t="s">
        <v>174</v>
      </c>
      <c r="B5" s="224"/>
    </row>
    <row r="6" spans="1:8" x14ac:dyDescent="0.25">
      <c r="B6" s="83" t="s">
        <v>175</v>
      </c>
      <c r="C6" s="7">
        <f>'Proyección de Ventas e Incremen'!B17</f>
        <v>19850050</v>
      </c>
      <c r="D6" s="7"/>
      <c r="E6" s="7"/>
      <c r="F6" s="7"/>
      <c r="G6" s="7"/>
      <c r="H6" s="7"/>
    </row>
    <row r="7" spans="1:8" x14ac:dyDescent="0.25">
      <c r="B7" s="83" t="s">
        <v>180</v>
      </c>
      <c r="C7" s="7">
        <f>'Proyección de Ventas e Incremen'!B16</f>
        <v>16240950</v>
      </c>
      <c r="D7" s="7"/>
      <c r="E7" s="7"/>
      <c r="F7" s="7"/>
      <c r="G7" s="7"/>
      <c r="H7" s="7"/>
    </row>
    <row r="8" spans="1:8" ht="15.75" thickBot="1" x14ac:dyDescent="0.3">
      <c r="B8" s="83" t="s">
        <v>226</v>
      </c>
      <c r="C8" s="7"/>
      <c r="D8" s="7">
        <f>'Proyección de Ventas e Incremen'!J7</f>
        <v>163296000</v>
      </c>
      <c r="E8" s="7">
        <f>'Proyección de Ventas e Incremen'!K7</f>
        <v>205589663.99999997</v>
      </c>
      <c r="F8" s="7">
        <f>'Proyección de Ventas e Incremen'!L7</f>
        <v>264593897.56799996</v>
      </c>
      <c r="G8" s="7">
        <f>'Proyección de Ventas e Incremen'!M7</f>
        <v>350586914.27759993</v>
      </c>
      <c r="H8" s="7">
        <f>'Proyección de Ventas e Incremen'!N7</f>
        <v>481706420.21742237</v>
      </c>
    </row>
    <row r="9" spans="1:8" ht="16.5" thickBot="1" x14ac:dyDescent="0.3">
      <c r="B9" s="70" t="s">
        <v>227</v>
      </c>
      <c r="C9" s="71">
        <f>SUM(C6:C8)</f>
        <v>36091000</v>
      </c>
      <c r="D9" s="71">
        <f t="shared" ref="D9:H9" si="0">SUM(D6:D8)</f>
        <v>163296000</v>
      </c>
      <c r="E9" s="71">
        <f t="shared" si="0"/>
        <v>205589663.99999997</v>
      </c>
      <c r="F9" s="71">
        <f t="shared" si="0"/>
        <v>264593897.56799996</v>
      </c>
      <c r="G9" s="71">
        <f t="shared" si="0"/>
        <v>350586914.27759993</v>
      </c>
      <c r="H9" s="71">
        <f t="shared" si="0"/>
        <v>481706420.21742237</v>
      </c>
    </row>
    <row r="10" spans="1:8" ht="15.75" thickBot="1" x14ac:dyDescent="0.3"/>
    <row r="11" spans="1:8" ht="15.75" thickBot="1" x14ac:dyDescent="0.3">
      <c r="A11" s="223" t="s">
        <v>228</v>
      </c>
      <c r="B11" s="224"/>
    </row>
    <row r="12" spans="1:8" x14ac:dyDescent="0.25">
      <c r="B12" s="83" t="s">
        <v>234</v>
      </c>
      <c r="C12" s="3">
        <f>SUM('Costos de Operación Gravables'!B46:B52)</f>
        <v>35091000</v>
      </c>
      <c r="D12" s="3"/>
      <c r="E12" s="3"/>
      <c r="F12" s="3"/>
      <c r="G12" s="3"/>
      <c r="H12" s="3"/>
    </row>
    <row r="13" spans="1:8" x14ac:dyDescent="0.25">
      <c r="B13" s="83" t="s">
        <v>235</v>
      </c>
      <c r="C13" s="3"/>
      <c r="D13" s="3">
        <f>'Costos de Operación Gravables'!J25+'Costos de Operación Gravables'!J10</f>
        <v>46236000</v>
      </c>
      <c r="E13" s="3">
        <f>'Costos de Operación Gravables'!K25+'Costos de Operación Gravables'!K10</f>
        <v>49010160</v>
      </c>
      <c r="F13" s="3">
        <f>'Costos de Operación Gravables'!L25+'Costos de Operación Gravables'!L10</f>
        <v>53843505.600000009</v>
      </c>
      <c r="G13" s="3">
        <f>'Costos de Operación Gravables'!M25+'Costos de Operación Gravables'!M10</f>
        <v>59156125.536000013</v>
      </c>
      <c r="H13" s="3">
        <f>'Costos de Operación Gravables'!N25+'Costos de Operación Gravables'!N10</f>
        <v>64995703.628160022</v>
      </c>
    </row>
    <row r="14" spans="1:8" x14ac:dyDescent="0.25">
      <c r="B14" s="83" t="s">
        <v>236</v>
      </c>
      <c r="C14" s="3"/>
      <c r="D14" s="3">
        <f>'Amortización y Depreciación'!G18</f>
        <v>1640000</v>
      </c>
      <c r="E14" s="3">
        <f>D14</f>
        <v>1640000</v>
      </c>
      <c r="F14" s="3">
        <f t="shared" ref="F14:H14" si="1">E14</f>
        <v>1640000</v>
      </c>
      <c r="G14" s="3">
        <f t="shared" si="1"/>
        <v>1640000</v>
      </c>
      <c r="H14" s="3">
        <f t="shared" si="1"/>
        <v>1640000</v>
      </c>
    </row>
    <row r="15" spans="1:8" x14ac:dyDescent="0.25">
      <c r="B15" s="83" t="s">
        <v>304</v>
      </c>
      <c r="C15" s="3"/>
      <c r="D15" s="3">
        <f>'Costos de Operación Gravables'!J4+'Costos de Operación Gravables'!J7</f>
        <v>93462936</v>
      </c>
      <c r="E15" s="3">
        <f>'Costos de Operación Gravables'!K4+'Costos de Operación Gravables'!K7</f>
        <v>102809229.59999999</v>
      </c>
      <c r="F15" s="3">
        <f>'Costos de Operación Gravables'!L4+'Costos de Operación Gravables'!L7</f>
        <v>113090152.56</v>
      </c>
      <c r="G15" s="3">
        <f>'Costos de Operación Gravables'!M4+'Costos de Operación Gravables'!M7</f>
        <v>124399167.81600001</v>
      </c>
      <c r="H15" s="3">
        <f>'Costos de Operación Gravables'!N4+'Costos de Operación Gravables'!N7</f>
        <v>136839084.59760004</v>
      </c>
    </row>
    <row r="16" spans="1:8" x14ac:dyDescent="0.25">
      <c r="B16" s="83" t="s">
        <v>230</v>
      </c>
      <c r="C16" s="3">
        <f>'Inversión Inicial'!B9</f>
        <v>1000000</v>
      </c>
      <c r="D16" s="3"/>
      <c r="E16" s="3"/>
      <c r="F16" s="3"/>
      <c r="G16" s="3"/>
      <c r="H16" s="3"/>
    </row>
    <row r="17" spans="1:8" x14ac:dyDescent="0.25">
      <c r="B17" s="83" t="s">
        <v>237</v>
      </c>
      <c r="C17" s="3"/>
      <c r="D17" s="3">
        <f>'Amortización y Depreciación'!F4</f>
        <v>2702494.08</v>
      </c>
      <c r="E17" s="3">
        <f>'Amortización y Depreciación'!F5</f>
        <v>2174019.476683185</v>
      </c>
      <c r="F17" s="3">
        <f>'Amortización y Depreciación'!F6</f>
        <v>1557606.6993744518</v>
      </c>
      <c r="G17" s="3">
        <f>'Amortización y Depreciación'!F7</f>
        <v>838622.83592154528</v>
      </c>
      <c r="H17" s="3"/>
    </row>
    <row r="18" spans="1:8" ht="15.75" thickBot="1" x14ac:dyDescent="0.3">
      <c r="B18" s="83" t="s">
        <v>301</v>
      </c>
      <c r="C18" s="3"/>
      <c r="D18" s="3">
        <f>'Estado de Resultados'!D21</f>
        <v>5693674.2847350631</v>
      </c>
      <c r="E18" s="3">
        <f>'Estado de Resultados'!E21</f>
        <v>16762147.924735054</v>
      </c>
      <c r="F18" s="3">
        <f>'Estado de Resultados'!F21</f>
        <v>32123635.67753505</v>
      </c>
      <c r="G18" s="3">
        <f>'Estado de Resultados'!G21</f>
        <v>56403619.208695017</v>
      </c>
      <c r="H18" s="3">
        <f>'Estado de Resultados'!H21</f>
        <v>97955071.197081789</v>
      </c>
    </row>
    <row r="19" spans="1:8" ht="16.5" thickBot="1" x14ac:dyDescent="0.3">
      <c r="B19" s="70" t="s">
        <v>238</v>
      </c>
      <c r="C19" s="71">
        <f t="shared" ref="C19:H19" si="2">SUM(C12:C18)</f>
        <v>36091000</v>
      </c>
      <c r="D19" s="71">
        <f t="shared" si="2"/>
        <v>149735104.36473507</v>
      </c>
      <c r="E19" s="71">
        <f t="shared" si="2"/>
        <v>172395557.00141823</v>
      </c>
      <c r="F19" s="71">
        <f t="shared" si="2"/>
        <v>202254900.53690952</v>
      </c>
      <c r="G19" s="71">
        <f t="shared" si="2"/>
        <v>242437535.39661661</v>
      </c>
      <c r="H19" s="71">
        <f t="shared" si="2"/>
        <v>301429859.42284185</v>
      </c>
    </row>
    <row r="20" spans="1:8" ht="15.75" thickBot="1" x14ac:dyDescent="0.3"/>
    <row r="21" spans="1:8" ht="15.75" customHeight="1" thickBot="1" x14ac:dyDescent="0.3">
      <c r="A21" s="227" t="s">
        <v>246</v>
      </c>
      <c r="B21" s="228"/>
      <c r="C21" s="117">
        <f>-C19</f>
        <v>-36091000</v>
      </c>
      <c r="D21" s="71">
        <f>D9-D19</f>
        <v>13560895.635264933</v>
      </c>
      <c r="E21" s="71">
        <f>E9-E19</f>
        <v>33194106.998581737</v>
      </c>
      <c r="F21" s="71">
        <f>F9-F19</f>
        <v>62338997.031090438</v>
      </c>
      <c r="G21" s="71">
        <f>G9-G19</f>
        <v>108149378.88098332</v>
      </c>
      <c r="H21" s="71">
        <f>H9-H19</f>
        <v>180276560.79458052</v>
      </c>
    </row>
    <row r="23" spans="1:8" x14ac:dyDescent="0.25">
      <c r="B23" s="15" t="s">
        <v>119</v>
      </c>
      <c r="C23" s="3"/>
      <c r="D23" s="3">
        <f>D14</f>
        <v>1640000</v>
      </c>
      <c r="E23" s="3">
        <f>D23</f>
        <v>1640000</v>
      </c>
      <c r="F23" s="3">
        <f t="shared" ref="F23:H23" si="3">E23</f>
        <v>1640000</v>
      </c>
      <c r="G23" s="3">
        <f t="shared" si="3"/>
        <v>1640000</v>
      </c>
      <c r="H23" s="3">
        <f t="shared" si="3"/>
        <v>1640000</v>
      </c>
    </row>
    <row r="24" spans="1:8" ht="15.75" thickBot="1" x14ac:dyDescent="0.3"/>
    <row r="25" spans="1:8" ht="22.5" customHeight="1" thickBot="1" x14ac:dyDescent="0.3">
      <c r="A25" s="210" t="s">
        <v>247</v>
      </c>
      <c r="B25" s="211"/>
      <c r="C25" s="73">
        <f>C21</f>
        <v>-36091000</v>
      </c>
      <c r="D25" s="73">
        <f>D21+D23</f>
        <v>15200895.635264933</v>
      </c>
      <c r="E25" s="73">
        <f t="shared" ref="E25:H25" si="4">E21+E23</f>
        <v>34834106.998581737</v>
      </c>
      <c r="F25" s="73">
        <f t="shared" si="4"/>
        <v>63978997.031090438</v>
      </c>
      <c r="G25" s="73">
        <f t="shared" si="4"/>
        <v>109789378.88098332</v>
      </c>
      <c r="H25" s="73">
        <f t="shared" si="4"/>
        <v>181916560.79458052</v>
      </c>
    </row>
    <row r="34" ht="22.5" customHeight="1" x14ac:dyDescent="0.25"/>
    <row r="35" ht="15" customHeight="1" x14ac:dyDescent="0.25"/>
  </sheetData>
  <mergeCells count="7">
    <mergeCell ref="A21:B21"/>
    <mergeCell ref="A25:B25"/>
    <mergeCell ref="A1:H1"/>
    <mergeCell ref="A2:H2"/>
    <mergeCell ref="A4:B4"/>
    <mergeCell ref="A5:B5"/>
    <mergeCell ref="A11:B11"/>
  </mergeCells>
  <pageMargins left="0.7" right="0.7" top="0.75" bottom="0.75" header="0.3" footer="0.3"/>
  <pageSetup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3"/>
  <sheetViews>
    <sheetView showGridLines="0" topLeftCell="A4" zoomScale="115" zoomScaleNormal="115" workbookViewId="0">
      <selection activeCell="A3" sqref="A3"/>
    </sheetView>
  </sheetViews>
  <sheetFormatPr baseColWidth="10" defaultRowHeight="15" x14ac:dyDescent="0.25"/>
  <cols>
    <col min="2" max="2" width="42.85546875" customWidth="1"/>
    <col min="3" max="8" width="14.28515625" customWidth="1"/>
  </cols>
  <sheetData>
    <row r="1" spans="1:8" ht="30" customHeight="1" thickBot="1" x14ac:dyDescent="0.55000000000000004">
      <c r="A1" s="214" t="s">
        <v>117</v>
      </c>
      <c r="B1" s="215"/>
      <c r="C1" s="215"/>
      <c r="D1" s="215"/>
      <c r="E1" s="215"/>
      <c r="F1" s="215"/>
      <c r="G1" s="215"/>
      <c r="H1" s="215"/>
    </row>
    <row r="2" spans="1:8" ht="22.5" customHeight="1" thickBot="1" x14ac:dyDescent="0.4">
      <c r="A2" s="216" t="s">
        <v>297</v>
      </c>
      <c r="B2" s="217"/>
      <c r="C2" s="217"/>
      <c r="D2" s="217"/>
      <c r="E2" s="217"/>
      <c r="F2" s="217"/>
      <c r="G2" s="217"/>
      <c r="H2" s="217"/>
    </row>
    <row r="3" spans="1:8" ht="15.75" thickBot="1" x14ac:dyDescent="0.3"/>
    <row r="4" spans="1:8" ht="22.5" customHeight="1" thickBot="1" x14ac:dyDescent="0.3">
      <c r="A4" s="218" t="s">
        <v>92</v>
      </c>
      <c r="B4" s="219"/>
      <c r="C4" s="66" t="s">
        <v>109</v>
      </c>
      <c r="D4" s="66" t="s">
        <v>110</v>
      </c>
      <c r="E4" s="66" t="s">
        <v>111</v>
      </c>
      <c r="F4" s="66" t="s">
        <v>112</v>
      </c>
      <c r="G4" s="66" t="s">
        <v>113</v>
      </c>
      <c r="H4" s="66" t="s">
        <v>114</v>
      </c>
    </row>
    <row r="5" spans="1:8" ht="15.75" thickBot="1" x14ac:dyDescent="0.3">
      <c r="A5" s="223" t="s">
        <v>118</v>
      </c>
      <c r="B5" s="224"/>
    </row>
    <row r="6" spans="1:8" x14ac:dyDescent="0.25">
      <c r="B6" s="74" t="s">
        <v>245</v>
      </c>
      <c r="C6" s="69">
        <f>'Flujo de Caja'!C25</f>
        <v>-36091000</v>
      </c>
      <c r="D6" s="69">
        <f>'Flujo de Caja'!D25</f>
        <v>15200895.635264933</v>
      </c>
      <c r="E6" s="69">
        <f>'Flujo de Caja'!E25</f>
        <v>34834106.998581737</v>
      </c>
      <c r="F6" s="69">
        <f>'Flujo de Caja'!F25</f>
        <v>63978997.031090438</v>
      </c>
      <c r="G6" s="69">
        <f>'Flujo de Caja'!G25</f>
        <v>109789378.88098332</v>
      </c>
      <c r="H6" s="69">
        <f>'Flujo de Caja'!H25</f>
        <v>181916560.79458052</v>
      </c>
    </row>
    <row r="7" spans="1:8" x14ac:dyDescent="0.25">
      <c r="B7" s="67" t="s">
        <v>315</v>
      </c>
      <c r="C7" s="7">
        <v>0</v>
      </c>
      <c r="D7" s="7">
        <f>'Flujo de Caja'!D14</f>
        <v>1640000</v>
      </c>
      <c r="E7" s="7">
        <f>'Flujo de Caja'!E14</f>
        <v>1640000</v>
      </c>
      <c r="F7" s="7">
        <f>'Flujo de Caja'!F14</f>
        <v>1640000</v>
      </c>
      <c r="G7" s="7">
        <f>'Flujo de Caja'!G14</f>
        <v>1640000</v>
      </c>
      <c r="H7" s="7">
        <f>'Flujo de Caja'!H14</f>
        <v>1640000</v>
      </c>
    </row>
    <row r="8" spans="1:8" x14ac:dyDescent="0.25">
      <c r="B8" s="68" t="s">
        <v>313</v>
      </c>
      <c r="C8" s="7">
        <v>0</v>
      </c>
      <c r="D8" s="7">
        <f>'Amortización y Depreciación'!H4</f>
        <v>3175929.1064712452</v>
      </c>
      <c r="E8" s="7">
        <f>'Amortización y Depreciación'!H5</f>
        <v>3704403.7097880603</v>
      </c>
      <c r="F8" s="7">
        <f>'Amortización y Depreciación'!H6</f>
        <v>4320816.4870967939</v>
      </c>
      <c r="G8" s="7">
        <f>'Amortización y Depreciación'!H7</f>
        <v>5039800.3505496997</v>
      </c>
      <c r="H8" s="7">
        <f>'Amortización y Depreciación'!H8</f>
        <v>-5.7590075254440307E-2</v>
      </c>
    </row>
    <row r="9" spans="1:8" x14ac:dyDescent="0.25">
      <c r="B9" s="68" t="s">
        <v>314</v>
      </c>
      <c r="C9" s="72">
        <v>0</v>
      </c>
      <c r="D9" s="7">
        <f>'Amortización y Depreciación'!F4</f>
        <v>2702494.08</v>
      </c>
      <c r="E9" s="7">
        <f>'Amortización y Depreciación'!F5</f>
        <v>2174019.476683185</v>
      </c>
      <c r="F9" s="7">
        <f>'Amortización y Depreciación'!F6</f>
        <v>1557606.6993744518</v>
      </c>
      <c r="G9" s="7">
        <f>'Amortización y Depreciación'!F7</f>
        <v>838622.83592154528</v>
      </c>
      <c r="H9" s="7">
        <f>'Amortización y Depreciación'!F8</f>
        <v>5.7590075254440307E-2</v>
      </c>
    </row>
    <row r="10" spans="1:8" ht="15.75" thickBot="1" x14ac:dyDescent="0.3">
      <c r="B10" s="68" t="s">
        <v>244</v>
      </c>
      <c r="C10" s="72">
        <f>'Flujo de Caja'!C18</f>
        <v>0</v>
      </c>
      <c r="D10" s="72">
        <f>'Flujo de Caja'!D18</f>
        <v>5693674.2847350631</v>
      </c>
      <c r="E10" s="72">
        <f>'Flujo de Caja'!E18</f>
        <v>16762147.924735054</v>
      </c>
      <c r="F10" s="72">
        <f>'Flujo de Caja'!F18</f>
        <v>32123635.67753505</v>
      </c>
      <c r="G10" s="72">
        <f>'Flujo de Caja'!G18</f>
        <v>56403619.208695017</v>
      </c>
      <c r="H10" s="72">
        <f>'Flujo de Caja'!H18</f>
        <v>97955071.197081789</v>
      </c>
    </row>
    <row r="11" spans="1:8" ht="16.5" thickBot="1" x14ac:dyDescent="0.3">
      <c r="B11" s="70" t="s">
        <v>120</v>
      </c>
      <c r="C11" s="71">
        <f>SUM(C6:C10)</f>
        <v>-36091000</v>
      </c>
      <c r="D11" s="71">
        <f>SUM(D6:D10)</f>
        <v>28412993.106471241</v>
      </c>
      <c r="E11" s="71">
        <f t="shared" ref="D11:H11" si="0">SUM(E6:E10)</f>
        <v>59114678.109788038</v>
      </c>
      <c r="F11" s="71">
        <f t="shared" si="0"/>
        <v>103621055.89509672</v>
      </c>
      <c r="G11" s="71">
        <f t="shared" si="0"/>
        <v>173711421.27614957</v>
      </c>
      <c r="H11" s="71">
        <f t="shared" si="0"/>
        <v>281511631.99166232</v>
      </c>
    </row>
    <row r="12" spans="1:8" ht="15.75" thickBot="1" x14ac:dyDescent="0.3"/>
    <row r="13" spans="1:8" ht="15.75" thickBot="1" x14ac:dyDescent="0.3">
      <c r="A13" s="223" t="s">
        <v>121</v>
      </c>
      <c r="B13" s="224"/>
    </row>
    <row r="14" spans="1:8" ht="15.75" thickBot="1" x14ac:dyDescent="0.3">
      <c r="B14" s="67" t="s">
        <v>240</v>
      </c>
      <c r="C14" s="69">
        <f>'Inversión Inicial'!B5</f>
        <v>8200000</v>
      </c>
      <c r="D14" s="3">
        <f>0</f>
        <v>0</v>
      </c>
      <c r="E14" s="3">
        <f>0</f>
        <v>0</v>
      </c>
      <c r="F14" s="3">
        <f>0</f>
        <v>0</v>
      </c>
      <c r="G14" s="3">
        <f>0</f>
        <v>0</v>
      </c>
      <c r="H14" s="3">
        <f>0</f>
        <v>0</v>
      </c>
    </row>
    <row r="15" spans="1:8" ht="16.5" thickBot="1" x14ac:dyDescent="0.3">
      <c r="B15" s="70" t="s">
        <v>122</v>
      </c>
      <c r="C15" s="71">
        <f>SUM(C14:C14)</f>
        <v>8200000</v>
      </c>
      <c r="D15" s="71">
        <f>SUM(D14:D14)</f>
        <v>0</v>
      </c>
      <c r="E15" s="71">
        <f>SUM(E14:E14)</f>
        <v>0</v>
      </c>
      <c r="F15" s="71">
        <f>SUM(F14:F14)</f>
        <v>0</v>
      </c>
      <c r="G15" s="71">
        <f>SUM(G14:G14)</f>
        <v>0</v>
      </c>
      <c r="H15" s="71">
        <f>SUM(H14:H14)</f>
        <v>0</v>
      </c>
    </row>
    <row r="16" spans="1:8" ht="15.75" thickBot="1" x14ac:dyDescent="0.3"/>
    <row r="17" spans="1:8" ht="15.75" thickBot="1" x14ac:dyDescent="0.3">
      <c r="A17" s="223" t="s">
        <v>123</v>
      </c>
      <c r="B17" s="224"/>
    </row>
    <row r="18" spans="1:8" x14ac:dyDescent="0.25">
      <c r="B18" s="74" t="s">
        <v>243</v>
      </c>
      <c r="C18" s="7">
        <f>'Proyección de Ventas e Incremen'!B17</f>
        <v>19850050</v>
      </c>
      <c r="D18" s="7">
        <f>0</f>
        <v>0</v>
      </c>
      <c r="E18" s="7">
        <f>0</f>
        <v>0</v>
      </c>
      <c r="F18" s="7">
        <f>0</f>
        <v>0</v>
      </c>
      <c r="G18" s="7">
        <f>0</f>
        <v>0</v>
      </c>
      <c r="H18" s="7">
        <f>0</f>
        <v>0</v>
      </c>
    </row>
    <row r="19" spans="1:8" x14ac:dyDescent="0.25">
      <c r="B19" s="67" t="s">
        <v>241</v>
      </c>
      <c r="C19" s="7">
        <f>'Proyección de Ventas e Incremen'!B16</f>
        <v>16240950</v>
      </c>
      <c r="D19" s="7">
        <f>0</f>
        <v>0</v>
      </c>
      <c r="E19" s="7">
        <f>0</f>
        <v>0</v>
      </c>
      <c r="F19" s="7">
        <f>0</f>
        <v>0</v>
      </c>
      <c r="G19" s="7">
        <f>0</f>
        <v>0</v>
      </c>
      <c r="H19" s="7">
        <f>0</f>
        <v>0</v>
      </c>
    </row>
    <row r="20" spans="1:8" x14ac:dyDescent="0.25">
      <c r="B20" s="67" t="s">
        <v>124</v>
      </c>
      <c r="C20" s="7">
        <f>C8</f>
        <v>0</v>
      </c>
      <c r="D20" s="7">
        <f>D8</f>
        <v>3175929.1064712452</v>
      </c>
      <c r="E20" s="7">
        <f>E8</f>
        <v>3704403.7097880603</v>
      </c>
      <c r="F20" s="7">
        <f>F8</f>
        <v>4320816.4870967939</v>
      </c>
      <c r="G20" s="7">
        <f>G8</f>
        <v>5039800.3505496997</v>
      </c>
      <c r="H20" s="7">
        <f>H8</f>
        <v>-5.7590075254440307E-2</v>
      </c>
    </row>
    <row r="21" spans="1:8" x14ac:dyDescent="0.25">
      <c r="B21" s="67" t="s">
        <v>116</v>
      </c>
      <c r="C21" s="7">
        <f>C9</f>
        <v>0</v>
      </c>
      <c r="D21" s="7">
        <f>D9</f>
        <v>2702494.08</v>
      </c>
      <c r="E21" s="7">
        <f>E9</f>
        <v>2174019.476683185</v>
      </c>
      <c r="F21" s="7">
        <f>F9</f>
        <v>1557606.6993744518</v>
      </c>
      <c r="G21" s="7">
        <f>G9</f>
        <v>838622.83592154528</v>
      </c>
      <c r="H21" s="7">
        <f>H9</f>
        <v>5.7590075254440307E-2</v>
      </c>
    </row>
    <row r="22" spans="1:8" ht="15.75" thickBot="1" x14ac:dyDescent="0.3">
      <c r="B22" s="67" t="s">
        <v>242</v>
      </c>
      <c r="C22" s="7">
        <v>0</v>
      </c>
      <c r="D22" s="7">
        <f>ABS('Balance General'!$D$32-'Balance General'!D32)</f>
        <v>0</v>
      </c>
      <c r="E22" s="7">
        <f>ABS('Balance General'!$D$32-'Balance General'!E32)</f>
        <v>11068473.639999986</v>
      </c>
      <c r="F22" s="7">
        <f>ABS('Balance General'!$D$32-'Balance General'!F32)</f>
        <v>26429961.392799947</v>
      </c>
      <c r="G22" s="7">
        <f>ABS('Balance General'!$D$32-'Balance General'!G32)</f>
        <v>50709944.923960045</v>
      </c>
      <c r="H22" s="7">
        <f>ABS('Balance General'!$D$32-'Balance General'!H32)</f>
        <v>92261396.91234675</v>
      </c>
    </row>
    <row r="23" spans="1:8" ht="16.5" thickBot="1" x14ac:dyDescent="0.3">
      <c r="B23" s="70" t="s">
        <v>125</v>
      </c>
      <c r="C23" s="71">
        <f>SUM(C18:C22)</f>
        <v>36091000</v>
      </c>
      <c r="D23" s="71">
        <f t="shared" ref="D23:H23" si="1">SUM(D18:D22)</f>
        <v>5878423.1864712453</v>
      </c>
      <c r="E23" s="71">
        <f t="shared" si="1"/>
        <v>16946896.826471232</v>
      </c>
      <c r="F23" s="71">
        <f t="shared" si="1"/>
        <v>32308384.579271194</v>
      </c>
      <c r="G23" s="71">
        <f t="shared" si="1"/>
        <v>56588368.110431291</v>
      </c>
      <c r="H23" s="71">
        <f t="shared" si="1"/>
        <v>92261396.91234675</v>
      </c>
    </row>
  </sheetData>
  <mergeCells count="6">
    <mergeCell ref="A17:B17"/>
    <mergeCell ref="A1:H1"/>
    <mergeCell ref="A2:H2"/>
    <mergeCell ref="A4:B4"/>
    <mergeCell ref="A5:B5"/>
    <mergeCell ref="A13:B13"/>
  </mergeCells>
  <pageMargins left="0.7" right="0.7" top="0.75" bottom="0.75" header="0.3" footer="0.3"/>
  <pageSetup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8"/>
  <sheetViews>
    <sheetView showGridLines="0" zoomScaleNormal="100" workbookViewId="0">
      <selection activeCell="C22" sqref="C22"/>
    </sheetView>
  </sheetViews>
  <sheetFormatPr baseColWidth="10" defaultRowHeight="15" x14ac:dyDescent="0.25"/>
  <cols>
    <col min="2" max="2" width="34.7109375" customWidth="1"/>
    <col min="3" max="3" width="22.7109375" customWidth="1"/>
    <col min="4" max="4" width="22.85546875" customWidth="1"/>
    <col min="5" max="5" width="14.7109375" customWidth="1"/>
    <col min="7" max="7" width="29.28515625" customWidth="1"/>
    <col min="8" max="8" width="17" customWidth="1"/>
    <col min="9" max="9" width="23.42578125" customWidth="1"/>
    <col min="10" max="10" width="16.140625" customWidth="1"/>
  </cols>
  <sheetData>
    <row r="1" spans="1:10" ht="15.75" thickBot="1" x14ac:dyDescent="0.3"/>
    <row r="2" spans="1:10" ht="15.75" thickBot="1" x14ac:dyDescent="0.3">
      <c r="B2" s="229" t="s">
        <v>140</v>
      </c>
      <c r="C2" s="230"/>
      <c r="G2" s="235" t="s">
        <v>147</v>
      </c>
      <c r="H2" s="236"/>
      <c r="I2" s="236"/>
      <c r="J2" s="237"/>
    </row>
    <row r="3" spans="1:10" x14ac:dyDescent="0.25">
      <c r="B3" s="15" t="s">
        <v>248</v>
      </c>
      <c r="C3" s="130">
        <f>'Proyección de Ventas e Incremen'!J21</f>
        <v>2752.2935779816517</v>
      </c>
      <c r="G3" s="247" t="s">
        <v>126</v>
      </c>
      <c r="H3" s="248"/>
      <c r="I3" s="136" t="s">
        <v>127</v>
      </c>
      <c r="J3" s="136" t="s">
        <v>128</v>
      </c>
    </row>
    <row r="4" spans="1:10" x14ac:dyDescent="0.25">
      <c r="A4" s="75"/>
      <c r="B4" s="15" t="s">
        <v>249</v>
      </c>
      <c r="C4" s="93">
        <f>SUM('Proyección de Ventas e Incremen'!J18:J19)*12</f>
        <v>59330.879999999997</v>
      </c>
      <c r="G4" s="249" t="s">
        <v>129</v>
      </c>
      <c r="H4" s="250"/>
      <c r="I4" s="78">
        <v>0</v>
      </c>
      <c r="J4" s="78">
        <f>'Costos de Operación Gravables'!J15</f>
        <v>139553936</v>
      </c>
    </row>
    <row r="5" spans="1:10" x14ac:dyDescent="0.25">
      <c r="B5" s="15" t="s">
        <v>250</v>
      </c>
      <c r="C5" s="130">
        <f>C3*C4</f>
        <v>163296000</v>
      </c>
      <c r="G5" s="139" t="s">
        <v>130</v>
      </c>
      <c r="H5" s="78">
        <f>J4</f>
        <v>139553936</v>
      </c>
      <c r="I5" s="78">
        <v>0</v>
      </c>
      <c r="J5" s="78">
        <v>0</v>
      </c>
    </row>
    <row r="6" spans="1:10" x14ac:dyDescent="0.25">
      <c r="B6" s="15" t="s">
        <v>251</v>
      </c>
      <c r="C6" s="130">
        <f>'Costos de Operación Gravables'!J28</f>
        <v>141149936</v>
      </c>
      <c r="G6" s="249" t="s">
        <v>131</v>
      </c>
      <c r="H6" s="250"/>
      <c r="I6" s="78">
        <f>'Costos de Operación Gravables'!J25</f>
        <v>1596000</v>
      </c>
      <c r="J6" s="78">
        <v>0</v>
      </c>
    </row>
    <row r="7" spans="1:10" x14ac:dyDescent="0.25">
      <c r="B7" s="15" t="s">
        <v>252</v>
      </c>
      <c r="C7" s="130">
        <f>C6/C4</f>
        <v>2379.0298744936872</v>
      </c>
      <c r="G7" s="249" t="s">
        <v>137</v>
      </c>
      <c r="H7" s="250"/>
      <c r="I7" s="78">
        <v>0</v>
      </c>
      <c r="J7" s="78">
        <f>'Amortización y Depreciación'!G18</f>
        <v>1640000</v>
      </c>
    </row>
    <row r="8" spans="1:10" x14ac:dyDescent="0.25">
      <c r="B8" s="15" t="s">
        <v>282</v>
      </c>
      <c r="C8" s="130"/>
      <c r="G8" s="249" t="s">
        <v>138</v>
      </c>
      <c r="H8" s="250"/>
      <c r="I8" s="78">
        <v>0</v>
      </c>
      <c r="J8" s="78">
        <v>0</v>
      </c>
    </row>
    <row r="9" spans="1:10" x14ac:dyDescent="0.25">
      <c r="B9" s="15" t="s">
        <v>253</v>
      </c>
      <c r="C9" s="15"/>
      <c r="G9" s="233" t="s">
        <v>132</v>
      </c>
      <c r="H9" s="234"/>
      <c r="I9" s="81">
        <f>SUM(I4:I8)</f>
        <v>1596000</v>
      </c>
      <c r="J9" s="81">
        <f>SUM(J4:J8)</f>
        <v>141193936</v>
      </c>
    </row>
    <row r="10" spans="1:10" x14ac:dyDescent="0.25">
      <c r="G10" s="80" t="s">
        <v>133</v>
      </c>
      <c r="H10" s="79">
        <v>0.1</v>
      </c>
      <c r="I10" s="78">
        <f>I9*$H$10</f>
        <v>159600</v>
      </c>
      <c r="J10" s="78">
        <f>J9*$H$10</f>
        <v>14119393.600000001</v>
      </c>
    </row>
    <row r="11" spans="1:10" x14ac:dyDescent="0.25">
      <c r="G11" s="137" t="s">
        <v>28</v>
      </c>
      <c r="H11" s="138"/>
      <c r="I11" s="82">
        <f>I9+I10</f>
        <v>1755600</v>
      </c>
      <c r="J11" s="82">
        <f>J9+J10</f>
        <v>155313329.59999999</v>
      </c>
    </row>
    <row r="16" spans="1:10" ht="15.75" thickBot="1" x14ac:dyDescent="0.3"/>
    <row r="17" spans="2:8" ht="15.75" thickBot="1" x14ac:dyDescent="0.3">
      <c r="B17" s="231" t="s">
        <v>134</v>
      </c>
      <c r="C17" s="232"/>
      <c r="G17" s="231" t="s">
        <v>134</v>
      </c>
      <c r="H17" s="232"/>
    </row>
    <row r="18" spans="2:8" x14ac:dyDescent="0.25">
      <c r="B18" s="84" t="s">
        <v>135</v>
      </c>
      <c r="C18" s="246">
        <f>C4</f>
        <v>59330.879999999997</v>
      </c>
      <c r="G18" s="84" t="s">
        <v>135</v>
      </c>
      <c r="H18" s="246">
        <f>'[1]Proyección de Ventas e Incremen'!J18</f>
        <v>408.24</v>
      </c>
    </row>
    <row r="19" spans="2:8" x14ac:dyDescent="0.25">
      <c r="B19" s="85" t="s">
        <v>136</v>
      </c>
      <c r="C19" s="78">
        <f>J11/C18</f>
        <v>2617.7486260106034</v>
      </c>
      <c r="G19" s="85" t="s">
        <v>136</v>
      </c>
      <c r="H19" s="78">
        <f>J11/H18</f>
        <v>380446.13364687434</v>
      </c>
    </row>
    <row r="20" spans="2:8" x14ac:dyDescent="0.25">
      <c r="B20" s="85" t="s">
        <v>141</v>
      </c>
      <c r="C20" s="78">
        <f>SUM(I11:J11)/C18</f>
        <v>2647.3386135516616</v>
      </c>
      <c r="G20" s="85" t="s">
        <v>141</v>
      </c>
      <c r="H20" s="78">
        <f>SUM(I11:J11)/H18</f>
        <v>384746.54516950808</v>
      </c>
    </row>
    <row r="21" spans="2:8" x14ac:dyDescent="0.25">
      <c r="B21" s="85" t="s">
        <v>139</v>
      </c>
      <c r="C21" s="78">
        <f>C20*0.19</f>
        <v>502.99433657481569</v>
      </c>
      <c r="G21" s="85" t="s">
        <v>139</v>
      </c>
      <c r="H21" s="78">
        <f>H20*0.19</f>
        <v>73101.843582206537</v>
      </c>
    </row>
    <row r="22" spans="2:8" x14ac:dyDescent="0.25">
      <c r="B22" s="85" t="s">
        <v>142</v>
      </c>
      <c r="C22" s="78">
        <f>C20+C21</f>
        <v>3150.3329501264775</v>
      </c>
      <c r="G22" s="85" t="s">
        <v>142</v>
      </c>
      <c r="H22" s="78">
        <f>SUM(H20:H21)</f>
        <v>457848.38875171461</v>
      </c>
    </row>
    <row r="23" spans="2:8" x14ac:dyDescent="0.25">
      <c r="B23" s="85" t="s">
        <v>140</v>
      </c>
      <c r="C23" s="118">
        <f>((C20-C19)*C18)/(C22-C20)</f>
        <v>3490.2977475948014</v>
      </c>
      <c r="G23" s="85" t="s">
        <v>140</v>
      </c>
      <c r="H23" s="118">
        <f>((H20-H19)*H18)/(H22-H20)</f>
        <v>24.015810189872216</v>
      </c>
    </row>
    <row r="24" spans="2:8" ht="15.75" thickBot="1" x14ac:dyDescent="0.3"/>
    <row r="25" spans="2:8" ht="15.75" thickBot="1" x14ac:dyDescent="0.3">
      <c r="B25" s="231" t="s">
        <v>143</v>
      </c>
      <c r="C25" s="232"/>
      <c r="G25" s="231" t="s">
        <v>143</v>
      </c>
      <c r="H25" s="232"/>
    </row>
    <row r="26" spans="2:8" x14ac:dyDescent="0.25">
      <c r="B26" s="84" t="s">
        <v>145</v>
      </c>
      <c r="C26" s="86">
        <f>C22</f>
        <v>3150.3329501264775</v>
      </c>
      <c r="G26" s="84" t="s">
        <v>145</v>
      </c>
      <c r="H26" s="86">
        <f>H22</f>
        <v>457848.38875171461</v>
      </c>
    </row>
    <row r="27" spans="2:8" x14ac:dyDescent="0.25">
      <c r="B27" s="85" t="s">
        <v>144</v>
      </c>
      <c r="C27" s="118">
        <f>C18</f>
        <v>59330.879999999997</v>
      </c>
      <c r="G27" s="85" t="s">
        <v>144</v>
      </c>
      <c r="H27" s="118">
        <f>H18</f>
        <v>408.24</v>
      </c>
    </row>
    <row r="28" spans="2:8" x14ac:dyDescent="0.25">
      <c r="B28" s="85" t="s">
        <v>146</v>
      </c>
      <c r="C28" s="78">
        <f>C26*C27</f>
        <v>186912026.22400001</v>
      </c>
      <c r="G28" s="85" t="s">
        <v>146</v>
      </c>
      <c r="H28" s="78">
        <f>H26*H27</f>
        <v>186912026.22399998</v>
      </c>
    </row>
  </sheetData>
  <mergeCells count="12">
    <mergeCell ref="B2:C2"/>
    <mergeCell ref="B25:C25"/>
    <mergeCell ref="G9:H9"/>
    <mergeCell ref="G3:H3"/>
    <mergeCell ref="B17:C17"/>
    <mergeCell ref="G2:J2"/>
    <mergeCell ref="G6:H6"/>
    <mergeCell ref="G4:H4"/>
    <mergeCell ref="G7:H7"/>
    <mergeCell ref="G8:H8"/>
    <mergeCell ref="G17:H17"/>
    <mergeCell ref="G25:H25"/>
  </mergeCells>
  <pageMargins left="0.7" right="0.7" top="0.75" bottom="0.75" header="0.3" footer="0.3"/>
  <pageSetup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5004"/>
  <sheetViews>
    <sheetView showGridLines="0" zoomScale="85" zoomScaleNormal="85" workbookViewId="0">
      <selection activeCell="V9" sqref="V9"/>
    </sheetView>
  </sheetViews>
  <sheetFormatPr baseColWidth="10" defaultRowHeight="15" x14ac:dyDescent="0.25"/>
  <cols>
    <col min="2" max="2" width="11.42578125" style="90"/>
    <col min="3" max="3" width="12.5703125" bestFit="1" customWidth="1"/>
    <col min="4" max="4" width="12.5703125" style="87" bestFit="1" customWidth="1"/>
  </cols>
  <sheetData>
    <row r="1" spans="2:4" x14ac:dyDescent="0.25">
      <c r="C1" s="88">
        <f>'Costos Fijos y Punto de Equil.'!I11</f>
        <v>1755600</v>
      </c>
      <c r="D1" s="60"/>
    </row>
    <row r="2" spans="2:4" x14ac:dyDescent="0.25">
      <c r="C2" s="89">
        <f>'Costos Fijos y Punto de Equil.'!C20</f>
        <v>2647.3386135516616</v>
      </c>
      <c r="D2" s="89">
        <f>'Costos Fijos y Punto de Equil.'!C22</f>
        <v>3150.3329501264775</v>
      </c>
    </row>
    <row r="3" spans="2:4" x14ac:dyDescent="0.25">
      <c r="C3" s="91" t="s">
        <v>148</v>
      </c>
      <c r="D3" s="92" t="s">
        <v>149</v>
      </c>
    </row>
    <row r="4" spans="2:4" x14ac:dyDescent="0.25">
      <c r="B4" s="90">
        <v>0</v>
      </c>
      <c r="C4" s="39">
        <f>($C$2*B4)+$C$1</f>
        <v>1755600</v>
      </c>
      <c r="D4" s="39">
        <f>$D$2*B4</f>
        <v>0</v>
      </c>
    </row>
    <row r="5" spans="2:4" x14ac:dyDescent="0.25">
      <c r="B5" s="90">
        <v>1</v>
      </c>
      <c r="C5" s="39">
        <f t="shared" ref="C5:C68" si="0">($C$2*B5)+$C$1</f>
        <v>1758247.3386135516</v>
      </c>
      <c r="D5" s="39">
        <f t="shared" ref="D5:D68" si="1">$D$2*B5</f>
        <v>3150.3329501264775</v>
      </c>
    </row>
    <row r="6" spans="2:4" x14ac:dyDescent="0.25">
      <c r="B6" s="90">
        <v>2</v>
      </c>
      <c r="C6" s="39">
        <f t="shared" si="0"/>
        <v>1760894.6772271034</v>
      </c>
      <c r="D6" s="39">
        <f t="shared" si="1"/>
        <v>6300.665900252955</v>
      </c>
    </row>
    <row r="7" spans="2:4" x14ac:dyDescent="0.25">
      <c r="B7" s="90">
        <v>3</v>
      </c>
      <c r="C7" s="39">
        <f t="shared" si="0"/>
        <v>1763542.015840655</v>
      </c>
      <c r="D7" s="39">
        <f t="shared" si="1"/>
        <v>9450.998850379432</v>
      </c>
    </row>
    <row r="8" spans="2:4" x14ac:dyDescent="0.25">
      <c r="B8" s="90">
        <v>4</v>
      </c>
      <c r="C8" s="39">
        <f t="shared" si="0"/>
        <v>1766189.3544542065</v>
      </c>
      <c r="D8" s="39">
        <f t="shared" si="1"/>
        <v>12601.33180050591</v>
      </c>
    </row>
    <row r="9" spans="2:4" x14ac:dyDescent="0.25">
      <c r="B9" s="90">
        <v>5</v>
      </c>
      <c r="C9" s="39">
        <f t="shared" si="0"/>
        <v>1768836.6930677583</v>
      </c>
      <c r="D9" s="39">
        <f t="shared" si="1"/>
        <v>15751.664750632388</v>
      </c>
    </row>
    <row r="10" spans="2:4" x14ac:dyDescent="0.25">
      <c r="B10" s="90">
        <v>6</v>
      </c>
      <c r="C10" s="39">
        <f t="shared" si="0"/>
        <v>1771484.0316813099</v>
      </c>
      <c r="D10" s="39">
        <f t="shared" si="1"/>
        <v>18901.997700758864</v>
      </c>
    </row>
    <row r="11" spans="2:4" x14ac:dyDescent="0.25">
      <c r="B11" s="90">
        <v>7</v>
      </c>
      <c r="C11" s="39">
        <f t="shared" si="0"/>
        <v>1774131.3702948617</v>
      </c>
      <c r="D11" s="39">
        <f t="shared" si="1"/>
        <v>22052.330650885342</v>
      </c>
    </row>
    <row r="12" spans="2:4" x14ac:dyDescent="0.25">
      <c r="B12" s="90">
        <v>8</v>
      </c>
      <c r="C12" s="39">
        <f t="shared" si="0"/>
        <v>1776778.7089084133</v>
      </c>
      <c r="D12" s="39">
        <f t="shared" si="1"/>
        <v>25202.66360101182</v>
      </c>
    </row>
    <row r="13" spans="2:4" x14ac:dyDescent="0.25">
      <c r="B13" s="90">
        <v>9</v>
      </c>
      <c r="C13" s="39">
        <f t="shared" si="0"/>
        <v>1779426.0475219649</v>
      </c>
      <c r="D13" s="39">
        <f t="shared" si="1"/>
        <v>28352.996551138298</v>
      </c>
    </row>
    <row r="14" spans="2:4" x14ac:dyDescent="0.25">
      <c r="B14" s="90">
        <v>10</v>
      </c>
      <c r="C14" s="39">
        <f t="shared" si="0"/>
        <v>1782073.3861355167</v>
      </c>
      <c r="D14" s="39">
        <f t="shared" si="1"/>
        <v>31503.329501264776</v>
      </c>
    </row>
    <row r="15" spans="2:4" x14ac:dyDescent="0.25">
      <c r="B15" s="90">
        <v>11</v>
      </c>
      <c r="C15" s="39">
        <f t="shared" si="0"/>
        <v>1784720.7247490683</v>
      </c>
      <c r="D15" s="39">
        <f t="shared" si="1"/>
        <v>34653.662451391254</v>
      </c>
    </row>
    <row r="16" spans="2:4" x14ac:dyDescent="0.25">
      <c r="B16" s="90">
        <v>12</v>
      </c>
      <c r="C16" s="39">
        <f t="shared" si="0"/>
        <v>1787368.0633626198</v>
      </c>
      <c r="D16" s="39">
        <f t="shared" si="1"/>
        <v>37803.995401517728</v>
      </c>
    </row>
    <row r="17" spans="2:4" x14ac:dyDescent="0.25">
      <c r="B17" s="90">
        <v>13</v>
      </c>
      <c r="C17" s="39">
        <f t="shared" si="0"/>
        <v>1790015.4019761716</v>
      </c>
      <c r="D17" s="39">
        <f t="shared" si="1"/>
        <v>40954.32835164421</v>
      </c>
    </row>
    <row r="18" spans="2:4" x14ac:dyDescent="0.25">
      <c r="B18" s="90">
        <v>14</v>
      </c>
      <c r="C18" s="39">
        <f t="shared" si="0"/>
        <v>1792662.7405897232</v>
      </c>
      <c r="D18" s="39">
        <f t="shared" si="1"/>
        <v>44104.661301770684</v>
      </c>
    </row>
    <row r="19" spans="2:4" x14ac:dyDescent="0.25">
      <c r="B19" s="90">
        <v>15</v>
      </c>
      <c r="C19" s="39">
        <f t="shared" si="0"/>
        <v>1795310.079203275</v>
      </c>
      <c r="D19" s="39">
        <f t="shared" si="1"/>
        <v>47254.994251897166</v>
      </c>
    </row>
    <row r="20" spans="2:4" x14ac:dyDescent="0.25">
      <c r="B20" s="90">
        <v>16</v>
      </c>
      <c r="C20" s="39">
        <f t="shared" si="0"/>
        <v>1797957.4178168266</v>
      </c>
      <c r="D20" s="39">
        <f t="shared" si="1"/>
        <v>50405.32720202364</v>
      </c>
    </row>
    <row r="21" spans="2:4" x14ac:dyDescent="0.25">
      <c r="B21" s="90">
        <v>17</v>
      </c>
      <c r="C21" s="39">
        <f t="shared" si="0"/>
        <v>1800604.7564303782</v>
      </c>
      <c r="D21" s="39">
        <f t="shared" si="1"/>
        <v>53555.660152150114</v>
      </c>
    </row>
    <row r="22" spans="2:4" x14ac:dyDescent="0.25">
      <c r="B22" s="90">
        <v>18</v>
      </c>
      <c r="C22" s="39">
        <f t="shared" si="0"/>
        <v>1803252.09504393</v>
      </c>
      <c r="D22" s="39">
        <f t="shared" si="1"/>
        <v>56705.993102276596</v>
      </c>
    </row>
    <row r="23" spans="2:4" x14ac:dyDescent="0.25">
      <c r="B23" s="90">
        <v>19</v>
      </c>
      <c r="C23" s="39">
        <f t="shared" si="0"/>
        <v>1805899.4336574816</v>
      </c>
      <c r="D23" s="39">
        <f t="shared" si="1"/>
        <v>59856.32605240307</v>
      </c>
    </row>
    <row r="24" spans="2:4" x14ac:dyDescent="0.25">
      <c r="B24" s="90">
        <v>20</v>
      </c>
      <c r="C24" s="39">
        <f t="shared" si="0"/>
        <v>1808546.7722710331</v>
      </c>
      <c r="D24" s="39">
        <f t="shared" si="1"/>
        <v>63006.659002529552</v>
      </c>
    </row>
    <row r="25" spans="2:4" x14ac:dyDescent="0.25">
      <c r="B25" s="90">
        <v>21</v>
      </c>
      <c r="C25" s="39">
        <f t="shared" si="0"/>
        <v>1811194.110884585</v>
      </c>
      <c r="D25" s="39">
        <f t="shared" si="1"/>
        <v>66156.991952656026</v>
      </c>
    </row>
    <row r="26" spans="2:4" x14ac:dyDescent="0.25">
      <c r="B26" s="90">
        <v>22</v>
      </c>
      <c r="C26" s="39">
        <f t="shared" si="0"/>
        <v>1813841.4494981365</v>
      </c>
      <c r="D26" s="39">
        <f t="shared" si="1"/>
        <v>69307.324902782508</v>
      </c>
    </row>
    <row r="27" spans="2:4" x14ac:dyDescent="0.25">
      <c r="B27" s="90">
        <v>23</v>
      </c>
      <c r="C27" s="39">
        <f t="shared" si="0"/>
        <v>1816488.7881116881</v>
      </c>
      <c r="D27" s="39">
        <f t="shared" si="1"/>
        <v>72457.657852908989</v>
      </c>
    </row>
    <row r="28" spans="2:4" x14ac:dyDescent="0.25">
      <c r="B28" s="90">
        <v>24</v>
      </c>
      <c r="C28" s="39">
        <f t="shared" si="0"/>
        <v>1819136.1267252399</v>
      </c>
      <c r="D28" s="39">
        <f t="shared" si="1"/>
        <v>75607.990803035456</v>
      </c>
    </row>
    <row r="29" spans="2:4" x14ac:dyDescent="0.25">
      <c r="B29" s="90">
        <v>25</v>
      </c>
      <c r="C29" s="39">
        <f t="shared" si="0"/>
        <v>1821783.4653387915</v>
      </c>
      <c r="D29" s="39">
        <f t="shared" si="1"/>
        <v>78758.323753161938</v>
      </c>
    </row>
    <row r="30" spans="2:4" x14ac:dyDescent="0.25">
      <c r="B30" s="90">
        <v>26</v>
      </c>
      <c r="C30" s="39">
        <f t="shared" si="0"/>
        <v>1824430.8039523433</v>
      </c>
      <c r="D30" s="39">
        <f t="shared" si="1"/>
        <v>81908.65670328842</v>
      </c>
    </row>
    <row r="31" spans="2:4" x14ac:dyDescent="0.25">
      <c r="B31" s="90">
        <v>27</v>
      </c>
      <c r="C31" s="39">
        <f t="shared" si="0"/>
        <v>1827078.1425658949</v>
      </c>
      <c r="D31" s="39">
        <f t="shared" si="1"/>
        <v>85058.989653414887</v>
      </c>
    </row>
    <row r="32" spans="2:4" x14ac:dyDescent="0.25">
      <c r="B32" s="90">
        <v>28</v>
      </c>
      <c r="C32" s="39">
        <f t="shared" si="0"/>
        <v>1829725.4811794464</v>
      </c>
      <c r="D32" s="39">
        <f t="shared" si="1"/>
        <v>88209.322603541368</v>
      </c>
    </row>
    <row r="33" spans="2:4" x14ac:dyDescent="0.25">
      <c r="B33" s="90">
        <v>29</v>
      </c>
      <c r="C33" s="39">
        <f t="shared" si="0"/>
        <v>1832372.8197929983</v>
      </c>
      <c r="D33" s="39">
        <f t="shared" si="1"/>
        <v>91359.65555366785</v>
      </c>
    </row>
    <row r="34" spans="2:4" x14ac:dyDescent="0.25">
      <c r="B34" s="90">
        <v>30</v>
      </c>
      <c r="C34" s="39">
        <f t="shared" si="0"/>
        <v>1835020.1584065498</v>
      </c>
      <c r="D34" s="39">
        <f t="shared" si="1"/>
        <v>94509.988503794331</v>
      </c>
    </row>
    <row r="35" spans="2:4" x14ac:dyDescent="0.25">
      <c r="B35" s="90">
        <v>31</v>
      </c>
      <c r="C35" s="39">
        <f t="shared" si="0"/>
        <v>1837667.4970201014</v>
      </c>
      <c r="D35" s="39">
        <f t="shared" si="1"/>
        <v>97660.321453920798</v>
      </c>
    </row>
    <row r="36" spans="2:4" x14ac:dyDescent="0.25">
      <c r="B36" s="90">
        <v>32</v>
      </c>
      <c r="C36" s="39">
        <f t="shared" si="0"/>
        <v>1840314.8356336532</v>
      </c>
      <c r="D36" s="39">
        <f t="shared" si="1"/>
        <v>100810.65440404728</v>
      </c>
    </row>
    <row r="37" spans="2:4" x14ac:dyDescent="0.25">
      <c r="B37" s="90">
        <v>33</v>
      </c>
      <c r="C37" s="39">
        <f t="shared" si="0"/>
        <v>1842962.1742472048</v>
      </c>
      <c r="D37" s="39">
        <f t="shared" si="1"/>
        <v>103960.98735417376</v>
      </c>
    </row>
    <row r="38" spans="2:4" x14ac:dyDescent="0.25">
      <c r="B38" s="90">
        <v>34</v>
      </c>
      <c r="C38" s="39">
        <f t="shared" si="0"/>
        <v>1845609.5128607566</v>
      </c>
      <c r="D38" s="39">
        <f t="shared" si="1"/>
        <v>107111.32030430023</v>
      </c>
    </row>
    <row r="39" spans="2:4" x14ac:dyDescent="0.25">
      <c r="B39" s="90">
        <v>35</v>
      </c>
      <c r="C39" s="39">
        <f t="shared" si="0"/>
        <v>1848256.8514743082</v>
      </c>
      <c r="D39" s="39">
        <f t="shared" si="1"/>
        <v>110261.65325442671</v>
      </c>
    </row>
    <row r="40" spans="2:4" x14ac:dyDescent="0.25">
      <c r="B40" s="90">
        <v>36</v>
      </c>
      <c r="C40" s="39">
        <f t="shared" si="0"/>
        <v>1850904.1900878598</v>
      </c>
      <c r="D40" s="39">
        <f t="shared" si="1"/>
        <v>113411.98620455319</v>
      </c>
    </row>
    <row r="41" spans="2:4" x14ac:dyDescent="0.25">
      <c r="B41" s="90">
        <v>37</v>
      </c>
      <c r="C41" s="39">
        <f t="shared" si="0"/>
        <v>1853551.5287014116</v>
      </c>
      <c r="D41" s="39">
        <f t="shared" si="1"/>
        <v>116562.31915467967</v>
      </c>
    </row>
    <row r="42" spans="2:4" x14ac:dyDescent="0.25">
      <c r="B42" s="90">
        <v>38</v>
      </c>
      <c r="C42" s="39">
        <f t="shared" si="0"/>
        <v>1856198.8673149631</v>
      </c>
      <c r="D42" s="39">
        <f t="shared" si="1"/>
        <v>119712.65210480614</v>
      </c>
    </row>
    <row r="43" spans="2:4" x14ac:dyDescent="0.25">
      <c r="B43" s="90">
        <v>39</v>
      </c>
      <c r="C43" s="39">
        <f t="shared" si="0"/>
        <v>1858846.2059285147</v>
      </c>
      <c r="D43" s="39">
        <f t="shared" si="1"/>
        <v>122862.98505493262</v>
      </c>
    </row>
    <row r="44" spans="2:4" x14ac:dyDescent="0.25">
      <c r="B44" s="90">
        <v>40</v>
      </c>
      <c r="C44" s="39">
        <f t="shared" si="0"/>
        <v>1861493.5445420665</v>
      </c>
      <c r="D44" s="39">
        <f t="shared" si="1"/>
        <v>126013.3180050591</v>
      </c>
    </row>
    <row r="45" spans="2:4" x14ac:dyDescent="0.25">
      <c r="B45" s="90">
        <v>41</v>
      </c>
      <c r="C45" s="39">
        <f t="shared" si="0"/>
        <v>1864140.8831556181</v>
      </c>
      <c r="D45" s="39">
        <f t="shared" si="1"/>
        <v>129163.65095518557</v>
      </c>
    </row>
    <row r="46" spans="2:4" x14ac:dyDescent="0.25">
      <c r="B46" s="90">
        <v>42</v>
      </c>
      <c r="C46" s="39">
        <f t="shared" si="0"/>
        <v>1866788.2217691699</v>
      </c>
      <c r="D46" s="39">
        <f t="shared" si="1"/>
        <v>132313.98390531205</v>
      </c>
    </row>
    <row r="47" spans="2:4" x14ac:dyDescent="0.25">
      <c r="B47" s="90">
        <v>43</v>
      </c>
      <c r="C47" s="39">
        <f t="shared" si="0"/>
        <v>1869435.5603827215</v>
      </c>
      <c r="D47" s="39">
        <f t="shared" si="1"/>
        <v>135464.31685543852</v>
      </c>
    </row>
    <row r="48" spans="2:4" x14ac:dyDescent="0.25">
      <c r="B48" s="90">
        <v>44</v>
      </c>
      <c r="C48" s="39">
        <f t="shared" si="0"/>
        <v>1872082.8989962731</v>
      </c>
      <c r="D48" s="39">
        <f t="shared" si="1"/>
        <v>138614.64980556502</v>
      </c>
    </row>
    <row r="49" spans="2:4" x14ac:dyDescent="0.25">
      <c r="B49" s="90">
        <v>45</v>
      </c>
      <c r="C49" s="39">
        <f t="shared" si="0"/>
        <v>1874730.2376098249</v>
      </c>
      <c r="D49" s="39">
        <f t="shared" si="1"/>
        <v>141764.98275569148</v>
      </c>
    </row>
    <row r="50" spans="2:4" x14ac:dyDescent="0.25">
      <c r="B50" s="90">
        <v>46</v>
      </c>
      <c r="C50" s="39">
        <f t="shared" si="0"/>
        <v>1877377.5762233764</v>
      </c>
      <c r="D50" s="39">
        <f t="shared" si="1"/>
        <v>144915.31570581798</v>
      </c>
    </row>
    <row r="51" spans="2:4" x14ac:dyDescent="0.25">
      <c r="B51" s="90">
        <v>47</v>
      </c>
      <c r="C51" s="39">
        <f t="shared" si="0"/>
        <v>1880024.914836928</v>
      </c>
      <c r="D51" s="39">
        <f t="shared" si="1"/>
        <v>148065.64865594445</v>
      </c>
    </row>
    <row r="52" spans="2:4" x14ac:dyDescent="0.25">
      <c r="B52" s="90">
        <v>48</v>
      </c>
      <c r="C52" s="39">
        <f t="shared" si="0"/>
        <v>1882672.2534504798</v>
      </c>
      <c r="D52" s="39">
        <f t="shared" si="1"/>
        <v>151215.98160607091</v>
      </c>
    </row>
    <row r="53" spans="2:4" x14ac:dyDescent="0.25">
      <c r="B53" s="90">
        <v>49</v>
      </c>
      <c r="C53" s="39">
        <f t="shared" si="0"/>
        <v>1885319.5920640314</v>
      </c>
      <c r="D53" s="39">
        <f t="shared" si="1"/>
        <v>154366.31455619741</v>
      </c>
    </row>
    <row r="54" spans="2:4" x14ac:dyDescent="0.25">
      <c r="B54" s="90">
        <v>50</v>
      </c>
      <c r="C54" s="39">
        <f t="shared" si="0"/>
        <v>1887966.930677583</v>
      </c>
      <c r="D54" s="39">
        <f t="shared" si="1"/>
        <v>157516.64750632388</v>
      </c>
    </row>
    <row r="55" spans="2:4" x14ac:dyDescent="0.25">
      <c r="B55" s="90">
        <v>51</v>
      </c>
      <c r="C55" s="39">
        <f t="shared" si="0"/>
        <v>1890614.2692911348</v>
      </c>
      <c r="D55" s="39">
        <f t="shared" si="1"/>
        <v>160666.98045645034</v>
      </c>
    </row>
    <row r="56" spans="2:4" x14ac:dyDescent="0.25">
      <c r="B56" s="90">
        <v>52</v>
      </c>
      <c r="C56" s="39">
        <f t="shared" si="0"/>
        <v>1893261.6079046864</v>
      </c>
      <c r="D56" s="39">
        <f t="shared" si="1"/>
        <v>163817.31340657684</v>
      </c>
    </row>
    <row r="57" spans="2:4" x14ac:dyDescent="0.25">
      <c r="B57" s="90">
        <v>53</v>
      </c>
      <c r="C57" s="39">
        <f t="shared" si="0"/>
        <v>1895908.9465182382</v>
      </c>
      <c r="D57" s="39">
        <f t="shared" si="1"/>
        <v>166967.64635670331</v>
      </c>
    </row>
    <row r="58" spans="2:4" x14ac:dyDescent="0.25">
      <c r="B58" s="90">
        <v>54</v>
      </c>
      <c r="C58" s="39">
        <f t="shared" si="0"/>
        <v>1898556.2851317897</v>
      </c>
      <c r="D58" s="39">
        <f t="shared" si="1"/>
        <v>170117.97930682977</v>
      </c>
    </row>
    <row r="59" spans="2:4" x14ac:dyDescent="0.25">
      <c r="B59" s="90">
        <v>55</v>
      </c>
      <c r="C59" s="39">
        <f t="shared" si="0"/>
        <v>1901203.6237453413</v>
      </c>
      <c r="D59" s="39">
        <f t="shared" si="1"/>
        <v>173268.31225695627</v>
      </c>
    </row>
    <row r="60" spans="2:4" x14ac:dyDescent="0.25">
      <c r="B60" s="90">
        <v>56</v>
      </c>
      <c r="C60" s="39">
        <f t="shared" si="0"/>
        <v>1903850.9623588931</v>
      </c>
      <c r="D60" s="39">
        <f t="shared" si="1"/>
        <v>176418.64520708274</v>
      </c>
    </row>
    <row r="61" spans="2:4" x14ac:dyDescent="0.25">
      <c r="B61" s="90">
        <v>57</v>
      </c>
      <c r="C61" s="39">
        <f t="shared" si="0"/>
        <v>1906498.3009724447</v>
      </c>
      <c r="D61" s="39">
        <f t="shared" si="1"/>
        <v>179568.9781572092</v>
      </c>
    </row>
    <row r="62" spans="2:4" x14ac:dyDescent="0.25">
      <c r="B62" s="90">
        <v>58</v>
      </c>
      <c r="C62" s="39">
        <f t="shared" si="0"/>
        <v>1909145.6395859963</v>
      </c>
      <c r="D62" s="39">
        <f t="shared" si="1"/>
        <v>182719.3111073357</v>
      </c>
    </row>
    <row r="63" spans="2:4" x14ac:dyDescent="0.25">
      <c r="B63" s="90">
        <v>59</v>
      </c>
      <c r="C63" s="39">
        <f t="shared" si="0"/>
        <v>1911792.9781995481</v>
      </c>
      <c r="D63" s="39">
        <f t="shared" si="1"/>
        <v>185869.64405746217</v>
      </c>
    </row>
    <row r="64" spans="2:4" x14ac:dyDescent="0.25">
      <c r="B64" s="90">
        <v>60</v>
      </c>
      <c r="C64" s="39">
        <f t="shared" si="0"/>
        <v>1914440.3168130997</v>
      </c>
      <c r="D64" s="39">
        <f t="shared" si="1"/>
        <v>189019.97700758866</v>
      </c>
    </row>
    <row r="65" spans="2:4" x14ac:dyDescent="0.25">
      <c r="B65" s="90">
        <v>61</v>
      </c>
      <c r="C65" s="39">
        <f t="shared" si="0"/>
        <v>1917087.6554266512</v>
      </c>
      <c r="D65" s="39">
        <f t="shared" si="1"/>
        <v>192170.30995771513</v>
      </c>
    </row>
    <row r="66" spans="2:4" x14ac:dyDescent="0.25">
      <c r="B66" s="90">
        <v>62</v>
      </c>
      <c r="C66" s="39">
        <f t="shared" si="0"/>
        <v>1919734.994040203</v>
      </c>
      <c r="D66" s="39">
        <f t="shared" si="1"/>
        <v>195320.6429078416</v>
      </c>
    </row>
    <row r="67" spans="2:4" x14ac:dyDescent="0.25">
      <c r="B67" s="90">
        <v>63</v>
      </c>
      <c r="C67" s="39">
        <f t="shared" si="0"/>
        <v>1922382.3326537546</v>
      </c>
      <c r="D67" s="39">
        <f t="shared" si="1"/>
        <v>198470.97585796809</v>
      </c>
    </row>
    <row r="68" spans="2:4" x14ac:dyDescent="0.25">
      <c r="B68" s="90">
        <v>64</v>
      </c>
      <c r="C68" s="39">
        <f t="shared" si="0"/>
        <v>1925029.6712673064</v>
      </c>
      <c r="D68" s="39">
        <f t="shared" si="1"/>
        <v>201621.30880809456</v>
      </c>
    </row>
    <row r="69" spans="2:4" x14ac:dyDescent="0.25">
      <c r="B69" s="90">
        <v>65</v>
      </c>
      <c r="C69" s="39">
        <f t="shared" ref="C69:C132" si="2">($C$2*B69)+$C$1</f>
        <v>1927677.009880858</v>
      </c>
      <c r="D69" s="39">
        <f t="shared" ref="D69:D132" si="3">$D$2*B69</f>
        <v>204771.64175822103</v>
      </c>
    </row>
    <row r="70" spans="2:4" x14ac:dyDescent="0.25">
      <c r="B70" s="90">
        <v>66</v>
      </c>
      <c r="C70" s="39">
        <f t="shared" si="2"/>
        <v>1930324.3484944096</v>
      </c>
      <c r="D70" s="39">
        <f t="shared" si="3"/>
        <v>207921.97470834752</v>
      </c>
    </row>
    <row r="71" spans="2:4" x14ac:dyDescent="0.25">
      <c r="B71" s="90">
        <v>67</v>
      </c>
      <c r="C71" s="39">
        <f t="shared" si="2"/>
        <v>1932971.6871079614</v>
      </c>
      <c r="D71" s="39">
        <f t="shared" si="3"/>
        <v>211072.30765847399</v>
      </c>
    </row>
    <row r="72" spans="2:4" x14ac:dyDescent="0.25">
      <c r="B72" s="90">
        <v>68</v>
      </c>
      <c r="C72" s="39">
        <f t="shared" si="2"/>
        <v>1935619.025721513</v>
      </c>
      <c r="D72" s="39">
        <f t="shared" si="3"/>
        <v>214222.64060860046</v>
      </c>
    </row>
    <row r="73" spans="2:4" x14ac:dyDescent="0.25">
      <c r="B73" s="90">
        <v>69</v>
      </c>
      <c r="C73" s="39">
        <f t="shared" si="2"/>
        <v>1938266.3643350648</v>
      </c>
      <c r="D73" s="39">
        <f t="shared" si="3"/>
        <v>217372.97355872695</v>
      </c>
    </row>
    <row r="74" spans="2:4" x14ac:dyDescent="0.25">
      <c r="B74" s="90">
        <v>70</v>
      </c>
      <c r="C74" s="39">
        <f t="shared" si="2"/>
        <v>1940913.7029486164</v>
      </c>
      <c r="D74" s="39">
        <f t="shared" si="3"/>
        <v>220523.30650885342</v>
      </c>
    </row>
    <row r="75" spans="2:4" x14ac:dyDescent="0.25">
      <c r="B75" s="90">
        <v>71</v>
      </c>
      <c r="C75" s="39">
        <f t="shared" si="2"/>
        <v>1943561.0415621679</v>
      </c>
      <c r="D75" s="39">
        <f t="shared" si="3"/>
        <v>223673.63945897992</v>
      </c>
    </row>
    <row r="76" spans="2:4" x14ac:dyDescent="0.25">
      <c r="B76" s="90">
        <v>72</v>
      </c>
      <c r="C76" s="39">
        <f t="shared" si="2"/>
        <v>1946208.3801757197</v>
      </c>
      <c r="D76" s="39">
        <f t="shared" si="3"/>
        <v>226823.97240910638</v>
      </c>
    </row>
    <row r="77" spans="2:4" x14ac:dyDescent="0.25">
      <c r="B77" s="90">
        <v>73</v>
      </c>
      <c r="C77" s="39">
        <f t="shared" si="2"/>
        <v>1948855.7187892713</v>
      </c>
      <c r="D77" s="39">
        <f t="shared" si="3"/>
        <v>229974.30535923285</v>
      </c>
    </row>
    <row r="78" spans="2:4" x14ac:dyDescent="0.25">
      <c r="B78" s="90">
        <v>74</v>
      </c>
      <c r="C78" s="39">
        <f t="shared" si="2"/>
        <v>1951503.0574028229</v>
      </c>
      <c r="D78" s="39">
        <f t="shared" si="3"/>
        <v>233124.63830935935</v>
      </c>
    </row>
    <row r="79" spans="2:4" x14ac:dyDescent="0.25">
      <c r="B79" s="90">
        <v>75</v>
      </c>
      <c r="C79" s="39">
        <f t="shared" si="2"/>
        <v>1954150.3960163747</v>
      </c>
      <c r="D79" s="39">
        <f t="shared" si="3"/>
        <v>236274.97125948581</v>
      </c>
    </row>
    <row r="80" spans="2:4" x14ac:dyDescent="0.25">
      <c r="B80" s="90">
        <v>76</v>
      </c>
      <c r="C80" s="39">
        <f t="shared" si="2"/>
        <v>1956797.7346299263</v>
      </c>
      <c r="D80" s="39">
        <f t="shared" si="3"/>
        <v>239425.30420961228</v>
      </c>
    </row>
    <row r="81" spans="2:4" x14ac:dyDescent="0.25">
      <c r="B81" s="90">
        <v>77</v>
      </c>
      <c r="C81" s="39">
        <f t="shared" si="2"/>
        <v>1959445.0732434778</v>
      </c>
      <c r="D81" s="39">
        <f t="shared" si="3"/>
        <v>242575.63715973878</v>
      </c>
    </row>
    <row r="82" spans="2:4" x14ac:dyDescent="0.25">
      <c r="B82" s="90">
        <v>78</v>
      </c>
      <c r="C82" s="39">
        <f t="shared" si="2"/>
        <v>1962092.4118570297</v>
      </c>
      <c r="D82" s="39">
        <f t="shared" si="3"/>
        <v>245725.97010986524</v>
      </c>
    </row>
    <row r="83" spans="2:4" x14ac:dyDescent="0.25">
      <c r="B83" s="90">
        <v>79</v>
      </c>
      <c r="C83" s="39">
        <f t="shared" si="2"/>
        <v>1964739.7504705812</v>
      </c>
      <c r="D83" s="39">
        <f t="shared" si="3"/>
        <v>248876.30305999171</v>
      </c>
    </row>
    <row r="84" spans="2:4" x14ac:dyDescent="0.25">
      <c r="B84" s="90">
        <v>80</v>
      </c>
      <c r="C84" s="39">
        <f t="shared" si="2"/>
        <v>1967387.089084133</v>
      </c>
      <c r="D84" s="39">
        <f t="shared" si="3"/>
        <v>252026.63601011821</v>
      </c>
    </row>
    <row r="85" spans="2:4" x14ac:dyDescent="0.25">
      <c r="B85" s="90">
        <v>81</v>
      </c>
      <c r="C85" s="39">
        <f t="shared" si="2"/>
        <v>1970034.4276976846</v>
      </c>
      <c r="D85" s="39">
        <f t="shared" si="3"/>
        <v>255176.96896024467</v>
      </c>
    </row>
    <row r="86" spans="2:4" x14ac:dyDescent="0.25">
      <c r="B86" s="90">
        <v>82</v>
      </c>
      <c r="C86" s="39">
        <f t="shared" si="2"/>
        <v>1972681.7663112362</v>
      </c>
      <c r="D86" s="39">
        <f t="shared" si="3"/>
        <v>258327.30191037114</v>
      </c>
    </row>
    <row r="87" spans="2:4" x14ac:dyDescent="0.25">
      <c r="B87" s="90">
        <v>83</v>
      </c>
      <c r="C87" s="39">
        <f t="shared" si="2"/>
        <v>1975329.104924788</v>
      </c>
      <c r="D87" s="39">
        <f t="shared" si="3"/>
        <v>261477.63486049764</v>
      </c>
    </row>
    <row r="88" spans="2:4" x14ac:dyDescent="0.25">
      <c r="B88" s="90">
        <v>84</v>
      </c>
      <c r="C88" s="39">
        <f t="shared" si="2"/>
        <v>1977976.4435383396</v>
      </c>
      <c r="D88" s="39">
        <f t="shared" si="3"/>
        <v>264627.9678106241</v>
      </c>
    </row>
    <row r="89" spans="2:4" x14ac:dyDescent="0.25">
      <c r="B89" s="90">
        <v>85</v>
      </c>
      <c r="C89" s="39">
        <f t="shared" si="2"/>
        <v>1980623.7821518912</v>
      </c>
      <c r="D89" s="39">
        <f t="shared" si="3"/>
        <v>267778.3007607506</v>
      </c>
    </row>
    <row r="90" spans="2:4" x14ac:dyDescent="0.25">
      <c r="B90" s="90">
        <v>86</v>
      </c>
      <c r="C90" s="39">
        <f t="shared" si="2"/>
        <v>1983271.120765443</v>
      </c>
      <c r="D90" s="39">
        <f t="shared" si="3"/>
        <v>270928.63371087704</v>
      </c>
    </row>
    <row r="91" spans="2:4" x14ac:dyDescent="0.25">
      <c r="B91" s="90">
        <v>87</v>
      </c>
      <c r="C91" s="39">
        <f t="shared" si="2"/>
        <v>1985918.4593789945</v>
      </c>
      <c r="D91" s="39">
        <f t="shared" si="3"/>
        <v>274078.96666100353</v>
      </c>
    </row>
    <row r="92" spans="2:4" x14ac:dyDescent="0.25">
      <c r="B92" s="90">
        <v>88</v>
      </c>
      <c r="C92" s="39">
        <f t="shared" si="2"/>
        <v>1988565.7979925461</v>
      </c>
      <c r="D92" s="39">
        <f t="shared" si="3"/>
        <v>277229.29961113003</v>
      </c>
    </row>
    <row r="93" spans="2:4" x14ac:dyDescent="0.25">
      <c r="B93" s="90">
        <v>89</v>
      </c>
      <c r="C93" s="39">
        <f t="shared" si="2"/>
        <v>1991213.1366060979</v>
      </c>
      <c r="D93" s="39">
        <f t="shared" si="3"/>
        <v>280379.63256125647</v>
      </c>
    </row>
    <row r="94" spans="2:4" x14ac:dyDescent="0.25">
      <c r="B94" s="90">
        <v>90</v>
      </c>
      <c r="C94" s="39">
        <f t="shared" si="2"/>
        <v>1993860.4752196495</v>
      </c>
      <c r="D94" s="39">
        <f t="shared" si="3"/>
        <v>283529.96551138296</v>
      </c>
    </row>
    <row r="95" spans="2:4" x14ac:dyDescent="0.25">
      <c r="B95" s="90">
        <v>91</v>
      </c>
      <c r="C95" s="39">
        <f t="shared" si="2"/>
        <v>1996507.8138332013</v>
      </c>
      <c r="D95" s="39">
        <f t="shared" si="3"/>
        <v>286680.29846150946</v>
      </c>
    </row>
    <row r="96" spans="2:4" x14ac:dyDescent="0.25">
      <c r="B96" s="90">
        <v>92</v>
      </c>
      <c r="C96" s="39">
        <f t="shared" si="2"/>
        <v>1999155.1524467529</v>
      </c>
      <c r="D96" s="39">
        <f t="shared" si="3"/>
        <v>289830.63141163596</v>
      </c>
    </row>
    <row r="97" spans="2:4" x14ac:dyDescent="0.25">
      <c r="B97" s="90">
        <v>93</v>
      </c>
      <c r="C97" s="39">
        <f t="shared" si="2"/>
        <v>2001802.4910603045</v>
      </c>
      <c r="D97" s="39">
        <f t="shared" si="3"/>
        <v>292980.9643617624</v>
      </c>
    </row>
    <row r="98" spans="2:4" x14ac:dyDescent="0.25">
      <c r="B98" s="90">
        <v>94</v>
      </c>
      <c r="C98" s="39">
        <f t="shared" si="2"/>
        <v>2004449.8296738563</v>
      </c>
      <c r="D98" s="39">
        <f t="shared" si="3"/>
        <v>296131.29731188889</v>
      </c>
    </row>
    <row r="99" spans="2:4" x14ac:dyDescent="0.25">
      <c r="B99" s="90">
        <v>95</v>
      </c>
      <c r="C99" s="39">
        <f t="shared" si="2"/>
        <v>2007097.1682874078</v>
      </c>
      <c r="D99" s="39">
        <f t="shared" si="3"/>
        <v>299281.63026201539</v>
      </c>
    </row>
    <row r="100" spans="2:4" x14ac:dyDescent="0.25">
      <c r="B100" s="90">
        <v>96</v>
      </c>
      <c r="C100" s="39">
        <f t="shared" si="2"/>
        <v>2009744.5069009596</v>
      </c>
      <c r="D100" s="39">
        <f t="shared" si="3"/>
        <v>302431.96321214183</v>
      </c>
    </row>
    <row r="101" spans="2:4" x14ac:dyDescent="0.25">
      <c r="B101" s="90">
        <v>97</v>
      </c>
      <c r="C101" s="39">
        <f t="shared" si="2"/>
        <v>2012391.8455145112</v>
      </c>
      <c r="D101" s="39">
        <f t="shared" si="3"/>
        <v>305582.29616226832</v>
      </c>
    </row>
    <row r="102" spans="2:4" x14ac:dyDescent="0.25">
      <c r="B102" s="90">
        <v>98</v>
      </c>
      <c r="C102" s="39">
        <f t="shared" si="2"/>
        <v>2015039.1841280628</v>
      </c>
      <c r="D102" s="39">
        <f t="shared" si="3"/>
        <v>308732.62911239482</v>
      </c>
    </row>
    <row r="103" spans="2:4" x14ac:dyDescent="0.25">
      <c r="B103" s="90">
        <v>99</v>
      </c>
      <c r="C103" s="39">
        <f t="shared" si="2"/>
        <v>2017686.5227416144</v>
      </c>
      <c r="D103" s="39">
        <f t="shared" si="3"/>
        <v>311882.96206252126</v>
      </c>
    </row>
    <row r="104" spans="2:4" x14ac:dyDescent="0.25">
      <c r="B104" s="90">
        <v>100</v>
      </c>
      <c r="C104" s="39">
        <f t="shared" si="2"/>
        <v>2020333.8613551662</v>
      </c>
      <c r="D104" s="39">
        <f t="shared" si="3"/>
        <v>315033.29501264775</v>
      </c>
    </row>
    <row r="105" spans="2:4" x14ac:dyDescent="0.25">
      <c r="B105" s="90">
        <v>101</v>
      </c>
      <c r="C105" s="39">
        <f t="shared" si="2"/>
        <v>2022981.1999687178</v>
      </c>
      <c r="D105" s="39">
        <f t="shared" si="3"/>
        <v>318183.62796277425</v>
      </c>
    </row>
    <row r="106" spans="2:4" x14ac:dyDescent="0.25">
      <c r="B106" s="90">
        <v>102</v>
      </c>
      <c r="C106" s="39">
        <f t="shared" si="2"/>
        <v>2025628.5385822696</v>
      </c>
      <c r="D106" s="39">
        <f t="shared" si="3"/>
        <v>321333.96091290069</v>
      </c>
    </row>
    <row r="107" spans="2:4" x14ac:dyDescent="0.25">
      <c r="B107" s="90">
        <v>103</v>
      </c>
      <c r="C107" s="39">
        <f t="shared" si="2"/>
        <v>2028275.8771958211</v>
      </c>
      <c r="D107" s="39">
        <f t="shared" si="3"/>
        <v>324484.29386302718</v>
      </c>
    </row>
    <row r="108" spans="2:4" x14ac:dyDescent="0.25">
      <c r="B108" s="90">
        <v>104</v>
      </c>
      <c r="C108" s="39">
        <f t="shared" si="2"/>
        <v>2030923.2158093727</v>
      </c>
      <c r="D108" s="39">
        <f t="shared" si="3"/>
        <v>327634.62681315368</v>
      </c>
    </row>
    <row r="109" spans="2:4" x14ac:dyDescent="0.25">
      <c r="B109" s="90">
        <v>105</v>
      </c>
      <c r="C109" s="39">
        <f t="shared" si="2"/>
        <v>2033570.5544229245</v>
      </c>
      <c r="D109" s="39">
        <f t="shared" si="3"/>
        <v>330784.95976328012</v>
      </c>
    </row>
    <row r="110" spans="2:4" x14ac:dyDescent="0.25">
      <c r="B110" s="90">
        <v>106</v>
      </c>
      <c r="C110" s="39">
        <f t="shared" si="2"/>
        <v>2036217.8930364761</v>
      </c>
      <c r="D110" s="39">
        <f t="shared" si="3"/>
        <v>333935.29271340661</v>
      </c>
    </row>
    <row r="111" spans="2:4" x14ac:dyDescent="0.25">
      <c r="B111" s="90">
        <v>107</v>
      </c>
      <c r="C111" s="39">
        <f t="shared" si="2"/>
        <v>2038865.2316500279</v>
      </c>
      <c r="D111" s="39">
        <f t="shared" si="3"/>
        <v>337085.62566353311</v>
      </c>
    </row>
    <row r="112" spans="2:4" x14ac:dyDescent="0.25">
      <c r="B112" s="90">
        <v>108</v>
      </c>
      <c r="C112" s="39">
        <f t="shared" si="2"/>
        <v>2041512.5702635795</v>
      </c>
      <c r="D112" s="39">
        <f t="shared" si="3"/>
        <v>340235.95861365955</v>
      </c>
    </row>
    <row r="113" spans="2:4" x14ac:dyDescent="0.25">
      <c r="B113" s="90">
        <v>109</v>
      </c>
      <c r="C113" s="39">
        <f t="shared" si="2"/>
        <v>2044159.9088771311</v>
      </c>
      <c r="D113" s="39">
        <f t="shared" si="3"/>
        <v>343386.29156378604</v>
      </c>
    </row>
    <row r="114" spans="2:4" x14ac:dyDescent="0.25">
      <c r="B114" s="90">
        <v>110</v>
      </c>
      <c r="C114" s="39">
        <f t="shared" si="2"/>
        <v>2046807.2474906826</v>
      </c>
      <c r="D114" s="39">
        <f t="shared" si="3"/>
        <v>346536.62451391254</v>
      </c>
    </row>
    <row r="115" spans="2:4" x14ac:dyDescent="0.25">
      <c r="B115" s="90">
        <v>111</v>
      </c>
      <c r="C115" s="39">
        <f t="shared" si="2"/>
        <v>2049454.5861042344</v>
      </c>
      <c r="D115" s="39">
        <f t="shared" si="3"/>
        <v>349686.95746403898</v>
      </c>
    </row>
    <row r="116" spans="2:4" x14ac:dyDescent="0.25">
      <c r="B116" s="90">
        <v>112</v>
      </c>
      <c r="C116" s="39">
        <f t="shared" si="2"/>
        <v>2052101.924717786</v>
      </c>
      <c r="D116" s="39">
        <f t="shared" si="3"/>
        <v>352837.29041416547</v>
      </c>
    </row>
    <row r="117" spans="2:4" x14ac:dyDescent="0.25">
      <c r="B117" s="90">
        <v>113</v>
      </c>
      <c r="C117" s="39">
        <f t="shared" si="2"/>
        <v>2054749.2633313378</v>
      </c>
      <c r="D117" s="39">
        <f t="shared" si="3"/>
        <v>355987.62336429197</v>
      </c>
    </row>
    <row r="118" spans="2:4" x14ac:dyDescent="0.25">
      <c r="B118" s="90">
        <v>114</v>
      </c>
      <c r="C118" s="39">
        <f t="shared" si="2"/>
        <v>2057396.6019448894</v>
      </c>
      <c r="D118" s="39">
        <f t="shared" si="3"/>
        <v>359137.95631441841</v>
      </c>
    </row>
    <row r="119" spans="2:4" x14ac:dyDescent="0.25">
      <c r="B119" s="90">
        <v>115</v>
      </c>
      <c r="C119" s="39">
        <f t="shared" si="2"/>
        <v>2060043.940558441</v>
      </c>
      <c r="D119" s="39">
        <f t="shared" si="3"/>
        <v>362288.2892645449</v>
      </c>
    </row>
    <row r="120" spans="2:4" x14ac:dyDescent="0.25">
      <c r="B120" s="90">
        <v>116</v>
      </c>
      <c r="C120" s="39">
        <f t="shared" si="2"/>
        <v>2062691.2791719928</v>
      </c>
      <c r="D120" s="39">
        <f t="shared" si="3"/>
        <v>365438.6222146714</v>
      </c>
    </row>
    <row r="121" spans="2:4" x14ac:dyDescent="0.25">
      <c r="B121" s="90">
        <v>117</v>
      </c>
      <c r="C121" s="39">
        <f t="shared" si="2"/>
        <v>2065338.6177855444</v>
      </c>
      <c r="D121" s="39">
        <f t="shared" si="3"/>
        <v>368588.9551647979</v>
      </c>
    </row>
    <row r="122" spans="2:4" x14ac:dyDescent="0.25">
      <c r="B122" s="90">
        <v>118</v>
      </c>
      <c r="C122" s="39">
        <f t="shared" si="2"/>
        <v>2067985.9563990962</v>
      </c>
      <c r="D122" s="39">
        <f t="shared" si="3"/>
        <v>371739.28811492433</v>
      </c>
    </row>
    <row r="123" spans="2:4" x14ac:dyDescent="0.25">
      <c r="B123" s="90">
        <v>119</v>
      </c>
      <c r="C123" s="39">
        <f t="shared" si="2"/>
        <v>2070633.2950126478</v>
      </c>
      <c r="D123" s="39">
        <f t="shared" si="3"/>
        <v>374889.62106505083</v>
      </c>
    </row>
    <row r="124" spans="2:4" x14ac:dyDescent="0.25">
      <c r="B124" s="90">
        <v>120</v>
      </c>
      <c r="C124" s="39">
        <f t="shared" si="2"/>
        <v>2073280.6336261993</v>
      </c>
      <c r="D124" s="39">
        <f t="shared" si="3"/>
        <v>378039.95401517733</v>
      </c>
    </row>
    <row r="125" spans="2:4" x14ac:dyDescent="0.25">
      <c r="B125" s="90">
        <v>121</v>
      </c>
      <c r="C125" s="39">
        <f t="shared" si="2"/>
        <v>2075927.9722397511</v>
      </c>
      <c r="D125" s="39">
        <f t="shared" si="3"/>
        <v>381190.28696530376</v>
      </c>
    </row>
    <row r="126" spans="2:4" x14ac:dyDescent="0.25">
      <c r="B126" s="90">
        <v>122</v>
      </c>
      <c r="C126" s="39">
        <f t="shared" si="2"/>
        <v>2078575.3108533027</v>
      </c>
      <c r="D126" s="39">
        <f t="shared" si="3"/>
        <v>384340.61991543026</v>
      </c>
    </row>
    <row r="127" spans="2:4" x14ac:dyDescent="0.25">
      <c r="B127" s="90">
        <v>123</v>
      </c>
      <c r="C127" s="39">
        <f t="shared" si="2"/>
        <v>2081222.6494668545</v>
      </c>
      <c r="D127" s="39">
        <f t="shared" si="3"/>
        <v>387490.95286555676</v>
      </c>
    </row>
    <row r="128" spans="2:4" x14ac:dyDescent="0.25">
      <c r="B128" s="90">
        <v>124</v>
      </c>
      <c r="C128" s="39">
        <f t="shared" si="2"/>
        <v>2083869.9880804061</v>
      </c>
      <c r="D128" s="39">
        <f t="shared" si="3"/>
        <v>390641.28581568319</v>
      </c>
    </row>
    <row r="129" spans="2:4" x14ac:dyDescent="0.25">
      <c r="B129" s="90">
        <v>125</v>
      </c>
      <c r="C129" s="39">
        <f t="shared" si="2"/>
        <v>2086517.3266939577</v>
      </c>
      <c r="D129" s="39">
        <f t="shared" si="3"/>
        <v>393791.61876580969</v>
      </c>
    </row>
    <row r="130" spans="2:4" x14ac:dyDescent="0.25">
      <c r="B130" s="90">
        <v>126</v>
      </c>
      <c r="C130" s="39">
        <f t="shared" si="2"/>
        <v>2089164.6653075092</v>
      </c>
      <c r="D130" s="39">
        <f t="shared" si="3"/>
        <v>396941.95171593619</v>
      </c>
    </row>
    <row r="131" spans="2:4" x14ac:dyDescent="0.25">
      <c r="B131" s="90">
        <v>127</v>
      </c>
      <c r="C131" s="39">
        <f t="shared" si="2"/>
        <v>2091812.0039210611</v>
      </c>
      <c r="D131" s="39">
        <f t="shared" si="3"/>
        <v>400092.28466606262</v>
      </c>
    </row>
    <row r="132" spans="2:4" x14ac:dyDescent="0.25">
      <c r="B132" s="90">
        <v>128</v>
      </c>
      <c r="C132" s="39">
        <f t="shared" si="2"/>
        <v>2094459.3425346126</v>
      </c>
      <c r="D132" s="39">
        <f t="shared" si="3"/>
        <v>403242.61761618912</v>
      </c>
    </row>
    <row r="133" spans="2:4" x14ac:dyDescent="0.25">
      <c r="B133" s="90">
        <v>129</v>
      </c>
      <c r="C133" s="39">
        <f t="shared" ref="C133:C196" si="4">($C$2*B133)+$C$1</f>
        <v>2097106.6811481644</v>
      </c>
      <c r="D133" s="39">
        <f t="shared" ref="D133:D196" si="5">$D$2*B133</f>
        <v>406392.95056631562</v>
      </c>
    </row>
    <row r="134" spans="2:4" x14ac:dyDescent="0.25">
      <c r="B134" s="90">
        <v>130</v>
      </c>
      <c r="C134" s="39">
        <f t="shared" si="4"/>
        <v>2099754.019761716</v>
      </c>
      <c r="D134" s="39">
        <f t="shared" si="5"/>
        <v>409543.28351644205</v>
      </c>
    </row>
    <row r="135" spans="2:4" x14ac:dyDescent="0.25">
      <c r="B135" s="90">
        <v>131</v>
      </c>
      <c r="C135" s="39">
        <f t="shared" si="4"/>
        <v>2102401.3583752676</v>
      </c>
      <c r="D135" s="39">
        <f t="shared" si="5"/>
        <v>412693.61646656855</v>
      </c>
    </row>
    <row r="136" spans="2:4" x14ac:dyDescent="0.25">
      <c r="B136" s="90">
        <v>132</v>
      </c>
      <c r="C136" s="39">
        <f t="shared" si="4"/>
        <v>2105048.6969888192</v>
      </c>
      <c r="D136" s="39">
        <f t="shared" si="5"/>
        <v>415843.94941669505</v>
      </c>
    </row>
    <row r="137" spans="2:4" x14ac:dyDescent="0.25">
      <c r="B137" s="90">
        <v>133</v>
      </c>
      <c r="C137" s="39">
        <f t="shared" si="4"/>
        <v>2107696.0356023712</v>
      </c>
      <c r="D137" s="39">
        <f t="shared" si="5"/>
        <v>418994.28236682148</v>
      </c>
    </row>
    <row r="138" spans="2:4" x14ac:dyDescent="0.25">
      <c r="B138" s="90">
        <v>134</v>
      </c>
      <c r="C138" s="39">
        <f t="shared" si="4"/>
        <v>2110343.3742159228</v>
      </c>
      <c r="D138" s="39">
        <f t="shared" si="5"/>
        <v>422144.61531694798</v>
      </c>
    </row>
    <row r="139" spans="2:4" x14ac:dyDescent="0.25">
      <c r="B139" s="90">
        <v>135</v>
      </c>
      <c r="C139" s="39">
        <f t="shared" si="4"/>
        <v>2112990.7128294744</v>
      </c>
      <c r="D139" s="39">
        <f t="shared" si="5"/>
        <v>425294.94826707448</v>
      </c>
    </row>
    <row r="140" spans="2:4" x14ac:dyDescent="0.25">
      <c r="B140" s="90">
        <v>136</v>
      </c>
      <c r="C140" s="39">
        <f t="shared" si="4"/>
        <v>2115638.0514430259</v>
      </c>
      <c r="D140" s="39">
        <f t="shared" si="5"/>
        <v>428445.28121720091</v>
      </c>
    </row>
    <row r="141" spans="2:4" x14ac:dyDescent="0.25">
      <c r="B141" s="90">
        <v>137</v>
      </c>
      <c r="C141" s="39">
        <f t="shared" si="4"/>
        <v>2118285.3900565775</v>
      </c>
      <c r="D141" s="39">
        <f t="shared" si="5"/>
        <v>431595.61416732741</v>
      </c>
    </row>
    <row r="142" spans="2:4" x14ac:dyDescent="0.25">
      <c r="B142" s="90">
        <v>138</v>
      </c>
      <c r="C142" s="39">
        <f t="shared" si="4"/>
        <v>2120932.7286701296</v>
      </c>
      <c r="D142" s="39">
        <f t="shared" si="5"/>
        <v>434745.94711745391</v>
      </c>
    </row>
    <row r="143" spans="2:4" x14ac:dyDescent="0.25">
      <c r="B143" s="90">
        <v>139</v>
      </c>
      <c r="C143" s="39">
        <f t="shared" si="4"/>
        <v>2123580.0672836811</v>
      </c>
      <c r="D143" s="39">
        <f t="shared" si="5"/>
        <v>437896.28006758034</v>
      </c>
    </row>
    <row r="144" spans="2:4" x14ac:dyDescent="0.25">
      <c r="B144" s="90">
        <v>140</v>
      </c>
      <c r="C144" s="39">
        <f t="shared" si="4"/>
        <v>2126227.4058972327</v>
      </c>
      <c r="D144" s="39">
        <f t="shared" si="5"/>
        <v>441046.61301770684</v>
      </c>
    </row>
    <row r="145" spans="2:4" x14ac:dyDescent="0.25">
      <c r="B145" s="90">
        <v>141</v>
      </c>
      <c r="C145" s="39">
        <f t="shared" si="4"/>
        <v>2128874.7445107843</v>
      </c>
      <c r="D145" s="39">
        <f t="shared" si="5"/>
        <v>444196.94596783334</v>
      </c>
    </row>
    <row r="146" spans="2:4" x14ac:dyDescent="0.25">
      <c r="B146" s="90">
        <v>142</v>
      </c>
      <c r="C146" s="39">
        <f t="shared" si="4"/>
        <v>2131522.0831243359</v>
      </c>
      <c r="D146" s="39">
        <f t="shared" si="5"/>
        <v>447347.27891795983</v>
      </c>
    </row>
    <row r="147" spans="2:4" x14ac:dyDescent="0.25">
      <c r="B147" s="90">
        <v>143</v>
      </c>
      <c r="C147" s="39">
        <f t="shared" si="4"/>
        <v>2134169.4217378874</v>
      </c>
      <c r="D147" s="39">
        <f t="shared" si="5"/>
        <v>450497.61186808627</v>
      </c>
    </row>
    <row r="148" spans="2:4" x14ac:dyDescent="0.25">
      <c r="B148" s="90">
        <v>144</v>
      </c>
      <c r="C148" s="39">
        <f t="shared" si="4"/>
        <v>2136816.7603514395</v>
      </c>
      <c r="D148" s="39">
        <f t="shared" si="5"/>
        <v>453647.94481821277</v>
      </c>
    </row>
    <row r="149" spans="2:4" x14ac:dyDescent="0.25">
      <c r="B149" s="90">
        <v>145</v>
      </c>
      <c r="C149" s="39">
        <f t="shared" si="4"/>
        <v>2139464.098964991</v>
      </c>
      <c r="D149" s="39">
        <f t="shared" si="5"/>
        <v>456798.27776833926</v>
      </c>
    </row>
    <row r="150" spans="2:4" x14ac:dyDescent="0.25">
      <c r="B150" s="90">
        <v>146</v>
      </c>
      <c r="C150" s="39">
        <f t="shared" si="4"/>
        <v>2142111.4375785426</v>
      </c>
      <c r="D150" s="39">
        <f t="shared" si="5"/>
        <v>459948.6107184657</v>
      </c>
    </row>
    <row r="151" spans="2:4" x14ac:dyDescent="0.25">
      <c r="B151" s="90">
        <v>147</v>
      </c>
      <c r="C151" s="39">
        <f t="shared" si="4"/>
        <v>2144758.7761920942</v>
      </c>
      <c r="D151" s="39">
        <f t="shared" si="5"/>
        <v>463098.9436685922</v>
      </c>
    </row>
    <row r="152" spans="2:4" x14ac:dyDescent="0.25">
      <c r="B152" s="90">
        <v>148</v>
      </c>
      <c r="C152" s="39">
        <f t="shared" si="4"/>
        <v>2147406.1148056458</v>
      </c>
      <c r="D152" s="39">
        <f t="shared" si="5"/>
        <v>466249.27661871869</v>
      </c>
    </row>
    <row r="153" spans="2:4" x14ac:dyDescent="0.25">
      <c r="B153" s="90">
        <v>149</v>
      </c>
      <c r="C153" s="39">
        <f t="shared" si="4"/>
        <v>2150053.4534191974</v>
      </c>
      <c r="D153" s="39">
        <f t="shared" si="5"/>
        <v>469399.60956884513</v>
      </c>
    </row>
    <row r="154" spans="2:4" x14ac:dyDescent="0.25">
      <c r="B154" s="90">
        <v>150</v>
      </c>
      <c r="C154" s="39">
        <f t="shared" si="4"/>
        <v>2152700.7920327494</v>
      </c>
      <c r="D154" s="39">
        <f t="shared" si="5"/>
        <v>472549.94251897163</v>
      </c>
    </row>
    <row r="155" spans="2:4" x14ac:dyDescent="0.25">
      <c r="B155" s="90">
        <v>151</v>
      </c>
      <c r="C155" s="39">
        <f t="shared" si="4"/>
        <v>2155348.130646301</v>
      </c>
      <c r="D155" s="39">
        <f t="shared" si="5"/>
        <v>475700.27546909812</v>
      </c>
    </row>
    <row r="156" spans="2:4" x14ac:dyDescent="0.25">
      <c r="B156" s="90">
        <v>152</v>
      </c>
      <c r="C156" s="39">
        <f t="shared" si="4"/>
        <v>2157995.4692598525</v>
      </c>
      <c r="D156" s="39">
        <f t="shared" si="5"/>
        <v>478850.60841922456</v>
      </c>
    </row>
    <row r="157" spans="2:4" x14ac:dyDescent="0.25">
      <c r="B157" s="90">
        <v>153</v>
      </c>
      <c r="C157" s="39">
        <f t="shared" si="4"/>
        <v>2160642.8078734041</v>
      </c>
      <c r="D157" s="39">
        <f t="shared" si="5"/>
        <v>482000.94136935106</v>
      </c>
    </row>
    <row r="158" spans="2:4" x14ac:dyDescent="0.25">
      <c r="B158" s="90">
        <v>154</v>
      </c>
      <c r="C158" s="39">
        <f t="shared" si="4"/>
        <v>2163290.1464869557</v>
      </c>
      <c r="D158" s="39">
        <f t="shared" si="5"/>
        <v>485151.27431947755</v>
      </c>
    </row>
    <row r="159" spans="2:4" x14ac:dyDescent="0.25">
      <c r="B159" s="90">
        <v>155</v>
      </c>
      <c r="C159" s="39">
        <f t="shared" si="4"/>
        <v>2165937.4851005077</v>
      </c>
      <c r="D159" s="39">
        <f t="shared" si="5"/>
        <v>488301.60726960399</v>
      </c>
    </row>
    <row r="160" spans="2:4" x14ac:dyDescent="0.25">
      <c r="B160" s="90">
        <v>156</v>
      </c>
      <c r="C160" s="39">
        <f t="shared" si="4"/>
        <v>2168584.8237140593</v>
      </c>
      <c r="D160" s="39">
        <f t="shared" si="5"/>
        <v>491451.94021973049</v>
      </c>
    </row>
    <row r="161" spans="2:4" x14ac:dyDescent="0.25">
      <c r="B161" s="90">
        <v>157</v>
      </c>
      <c r="C161" s="39">
        <f t="shared" si="4"/>
        <v>2171232.1623276109</v>
      </c>
      <c r="D161" s="39">
        <f t="shared" si="5"/>
        <v>494602.27316985698</v>
      </c>
    </row>
    <row r="162" spans="2:4" x14ac:dyDescent="0.25">
      <c r="B162" s="90">
        <v>158</v>
      </c>
      <c r="C162" s="39">
        <f t="shared" si="4"/>
        <v>2173879.5009411625</v>
      </c>
      <c r="D162" s="39">
        <f t="shared" si="5"/>
        <v>497752.60611998342</v>
      </c>
    </row>
    <row r="163" spans="2:4" x14ac:dyDescent="0.25">
      <c r="B163" s="90">
        <v>159</v>
      </c>
      <c r="C163" s="39">
        <f t="shared" si="4"/>
        <v>2176526.839554714</v>
      </c>
      <c r="D163" s="39">
        <f t="shared" si="5"/>
        <v>500902.93907010992</v>
      </c>
    </row>
    <row r="164" spans="2:4" x14ac:dyDescent="0.25">
      <c r="B164" s="90">
        <v>160</v>
      </c>
      <c r="C164" s="39">
        <f t="shared" si="4"/>
        <v>2179174.1781682661</v>
      </c>
      <c r="D164" s="39">
        <f t="shared" si="5"/>
        <v>504053.27202023641</v>
      </c>
    </row>
    <row r="165" spans="2:4" x14ac:dyDescent="0.25">
      <c r="B165" s="90">
        <v>161</v>
      </c>
      <c r="C165" s="39">
        <f t="shared" si="4"/>
        <v>2181821.5167818177</v>
      </c>
      <c r="D165" s="39">
        <f t="shared" si="5"/>
        <v>507203.60497036285</v>
      </c>
    </row>
    <row r="166" spans="2:4" x14ac:dyDescent="0.25">
      <c r="B166" s="90">
        <v>162</v>
      </c>
      <c r="C166" s="39">
        <f t="shared" si="4"/>
        <v>2184468.8553953692</v>
      </c>
      <c r="D166" s="39">
        <f t="shared" si="5"/>
        <v>510353.93792048935</v>
      </c>
    </row>
    <row r="167" spans="2:4" x14ac:dyDescent="0.25">
      <c r="B167" s="90">
        <v>163</v>
      </c>
      <c r="C167" s="39">
        <f t="shared" si="4"/>
        <v>2187116.1940089208</v>
      </c>
      <c r="D167" s="39">
        <f t="shared" si="5"/>
        <v>513504.27087061584</v>
      </c>
    </row>
    <row r="168" spans="2:4" x14ac:dyDescent="0.25">
      <c r="B168" s="90">
        <v>164</v>
      </c>
      <c r="C168" s="39">
        <f t="shared" si="4"/>
        <v>2189763.5326224724</v>
      </c>
      <c r="D168" s="39">
        <f t="shared" si="5"/>
        <v>516654.60382074228</v>
      </c>
    </row>
    <row r="169" spans="2:4" x14ac:dyDescent="0.25">
      <c r="B169" s="90">
        <v>165</v>
      </c>
      <c r="C169" s="39">
        <f t="shared" si="4"/>
        <v>2192410.8712360244</v>
      </c>
      <c r="D169" s="39">
        <f t="shared" si="5"/>
        <v>519804.93677086878</v>
      </c>
    </row>
    <row r="170" spans="2:4" x14ac:dyDescent="0.25">
      <c r="B170" s="90">
        <v>166</v>
      </c>
      <c r="C170" s="39">
        <f t="shared" si="4"/>
        <v>2195058.209849576</v>
      </c>
      <c r="D170" s="39">
        <f t="shared" si="5"/>
        <v>522955.26972099527</v>
      </c>
    </row>
    <row r="171" spans="2:4" x14ac:dyDescent="0.25">
      <c r="B171" s="90">
        <v>167</v>
      </c>
      <c r="C171" s="39">
        <f t="shared" si="4"/>
        <v>2197705.5484631276</v>
      </c>
      <c r="D171" s="39">
        <f t="shared" si="5"/>
        <v>526105.60267112171</v>
      </c>
    </row>
    <row r="172" spans="2:4" x14ac:dyDescent="0.25">
      <c r="B172" s="90">
        <v>168</v>
      </c>
      <c r="C172" s="39">
        <f t="shared" si="4"/>
        <v>2200352.8870766792</v>
      </c>
      <c r="D172" s="39">
        <f t="shared" si="5"/>
        <v>529255.93562124821</v>
      </c>
    </row>
    <row r="173" spans="2:4" x14ac:dyDescent="0.25">
      <c r="B173" s="90">
        <v>169</v>
      </c>
      <c r="C173" s="39">
        <f t="shared" si="4"/>
        <v>2203000.2256902307</v>
      </c>
      <c r="D173" s="39">
        <f t="shared" si="5"/>
        <v>532406.26857137471</v>
      </c>
    </row>
    <row r="174" spans="2:4" x14ac:dyDescent="0.25">
      <c r="B174" s="90">
        <v>170</v>
      </c>
      <c r="C174" s="39">
        <f t="shared" si="4"/>
        <v>2205647.5643037823</v>
      </c>
      <c r="D174" s="39">
        <f t="shared" si="5"/>
        <v>535556.6015215012</v>
      </c>
    </row>
    <row r="175" spans="2:4" x14ac:dyDescent="0.25">
      <c r="B175" s="90">
        <v>171</v>
      </c>
      <c r="C175" s="39">
        <f t="shared" si="4"/>
        <v>2208294.9029173339</v>
      </c>
      <c r="D175" s="39">
        <f t="shared" si="5"/>
        <v>538706.9344716277</v>
      </c>
    </row>
    <row r="176" spans="2:4" x14ac:dyDescent="0.25">
      <c r="B176" s="90">
        <v>172</v>
      </c>
      <c r="C176" s="39">
        <f t="shared" si="4"/>
        <v>2210942.2415308859</v>
      </c>
      <c r="D176" s="39">
        <f t="shared" si="5"/>
        <v>541857.26742175408</v>
      </c>
    </row>
    <row r="177" spans="2:4" x14ac:dyDescent="0.25">
      <c r="B177" s="90">
        <v>173</v>
      </c>
      <c r="C177" s="39">
        <f t="shared" si="4"/>
        <v>2213589.5801444375</v>
      </c>
      <c r="D177" s="39">
        <f t="shared" si="5"/>
        <v>545007.60037188057</v>
      </c>
    </row>
    <row r="178" spans="2:4" x14ac:dyDescent="0.25">
      <c r="B178" s="90">
        <v>174</v>
      </c>
      <c r="C178" s="39">
        <f t="shared" si="4"/>
        <v>2216236.9187579891</v>
      </c>
      <c r="D178" s="39">
        <f t="shared" si="5"/>
        <v>548157.93332200707</v>
      </c>
    </row>
    <row r="179" spans="2:4" x14ac:dyDescent="0.25">
      <c r="B179" s="90">
        <v>175</v>
      </c>
      <c r="C179" s="39">
        <f t="shared" si="4"/>
        <v>2218884.2573715406</v>
      </c>
      <c r="D179" s="39">
        <f t="shared" si="5"/>
        <v>551308.26627213357</v>
      </c>
    </row>
    <row r="180" spans="2:4" x14ac:dyDescent="0.25">
      <c r="B180" s="90">
        <v>176</v>
      </c>
      <c r="C180" s="39">
        <f t="shared" si="4"/>
        <v>2221531.5959850922</v>
      </c>
      <c r="D180" s="39">
        <f t="shared" si="5"/>
        <v>554458.59922226006</v>
      </c>
    </row>
    <row r="181" spans="2:4" x14ac:dyDescent="0.25">
      <c r="B181" s="90">
        <v>177</v>
      </c>
      <c r="C181" s="39">
        <f t="shared" si="4"/>
        <v>2224178.9345986443</v>
      </c>
      <c r="D181" s="39">
        <f t="shared" si="5"/>
        <v>557608.93217238656</v>
      </c>
    </row>
    <row r="182" spans="2:4" x14ac:dyDescent="0.25">
      <c r="B182" s="90">
        <v>178</v>
      </c>
      <c r="C182" s="39">
        <f t="shared" si="4"/>
        <v>2226826.2732121958</v>
      </c>
      <c r="D182" s="39">
        <f t="shared" si="5"/>
        <v>560759.26512251294</v>
      </c>
    </row>
    <row r="183" spans="2:4" x14ac:dyDescent="0.25">
      <c r="B183" s="90">
        <v>179</v>
      </c>
      <c r="C183" s="39">
        <f t="shared" si="4"/>
        <v>2229473.6118257474</v>
      </c>
      <c r="D183" s="39">
        <f t="shared" si="5"/>
        <v>563909.59807263943</v>
      </c>
    </row>
    <row r="184" spans="2:4" x14ac:dyDescent="0.25">
      <c r="B184" s="90">
        <v>180</v>
      </c>
      <c r="C184" s="39">
        <f t="shared" si="4"/>
        <v>2232120.950439299</v>
      </c>
      <c r="D184" s="39">
        <f t="shared" si="5"/>
        <v>567059.93102276593</v>
      </c>
    </row>
    <row r="185" spans="2:4" x14ac:dyDescent="0.25">
      <c r="B185" s="90">
        <v>181</v>
      </c>
      <c r="C185" s="39">
        <f t="shared" si="4"/>
        <v>2234768.2890528506</v>
      </c>
      <c r="D185" s="39">
        <f t="shared" si="5"/>
        <v>570210.26397289243</v>
      </c>
    </row>
    <row r="186" spans="2:4" x14ac:dyDescent="0.25">
      <c r="B186" s="90">
        <v>182</v>
      </c>
      <c r="C186" s="39">
        <f t="shared" si="4"/>
        <v>2237415.6276664026</v>
      </c>
      <c r="D186" s="39">
        <f t="shared" si="5"/>
        <v>573360.59692301892</v>
      </c>
    </row>
    <row r="187" spans="2:4" x14ac:dyDescent="0.25">
      <c r="B187" s="90">
        <v>183</v>
      </c>
      <c r="C187" s="39">
        <f t="shared" si="4"/>
        <v>2240062.9662799542</v>
      </c>
      <c r="D187" s="39">
        <f t="shared" si="5"/>
        <v>576510.92987314542</v>
      </c>
    </row>
    <row r="188" spans="2:4" x14ac:dyDescent="0.25">
      <c r="B188" s="90">
        <v>184</v>
      </c>
      <c r="C188" s="39">
        <f t="shared" si="4"/>
        <v>2242710.3048935058</v>
      </c>
      <c r="D188" s="39">
        <f t="shared" si="5"/>
        <v>579661.26282327191</v>
      </c>
    </row>
    <row r="189" spans="2:4" x14ac:dyDescent="0.25">
      <c r="B189" s="90">
        <v>185</v>
      </c>
      <c r="C189" s="39">
        <f t="shared" si="4"/>
        <v>2245357.6435070573</v>
      </c>
      <c r="D189" s="39">
        <f t="shared" si="5"/>
        <v>582811.59577339829</v>
      </c>
    </row>
    <row r="190" spans="2:4" x14ac:dyDescent="0.25">
      <c r="B190" s="90">
        <v>186</v>
      </c>
      <c r="C190" s="39">
        <f t="shared" si="4"/>
        <v>2248004.9821206089</v>
      </c>
      <c r="D190" s="39">
        <f t="shared" si="5"/>
        <v>585961.92872352479</v>
      </c>
    </row>
    <row r="191" spans="2:4" x14ac:dyDescent="0.25">
      <c r="B191" s="90">
        <v>187</v>
      </c>
      <c r="C191" s="39">
        <f t="shared" si="4"/>
        <v>2250652.320734161</v>
      </c>
      <c r="D191" s="39">
        <f t="shared" si="5"/>
        <v>589112.26167365129</v>
      </c>
    </row>
    <row r="192" spans="2:4" x14ac:dyDescent="0.25">
      <c r="B192" s="90">
        <v>188</v>
      </c>
      <c r="C192" s="39">
        <f t="shared" si="4"/>
        <v>2253299.6593477125</v>
      </c>
      <c r="D192" s="39">
        <f t="shared" si="5"/>
        <v>592262.59462377778</v>
      </c>
    </row>
    <row r="193" spans="2:4" x14ac:dyDescent="0.25">
      <c r="B193" s="90">
        <v>189</v>
      </c>
      <c r="C193" s="39">
        <f t="shared" si="4"/>
        <v>2255946.9979612641</v>
      </c>
      <c r="D193" s="39">
        <f t="shared" si="5"/>
        <v>595412.92757390428</v>
      </c>
    </row>
    <row r="194" spans="2:4" x14ac:dyDescent="0.25">
      <c r="B194" s="90">
        <v>190</v>
      </c>
      <c r="C194" s="39">
        <f t="shared" si="4"/>
        <v>2258594.3365748157</v>
      </c>
      <c r="D194" s="39">
        <f t="shared" si="5"/>
        <v>598563.26052403077</v>
      </c>
    </row>
    <row r="195" spans="2:4" x14ac:dyDescent="0.25">
      <c r="B195" s="90">
        <v>191</v>
      </c>
      <c r="C195" s="39">
        <f t="shared" si="4"/>
        <v>2261241.6751883673</v>
      </c>
      <c r="D195" s="39">
        <f t="shared" si="5"/>
        <v>601713.59347415715</v>
      </c>
    </row>
    <row r="196" spans="2:4" x14ac:dyDescent="0.25">
      <c r="B196" s="90">
        <v>192</v>
      </c>
      <c r="C196" s="39">
        <f t="shared" si="4"/>
        <v>2263889.0138019193</v>
      </c>
      <c r="D196" s="39">
        <f t="shared" si="5"/>
        <v>604863.92642428365</v>
      </c>
    </row>
    <row r="197" spans="2:4" x14ac:dyDescent="0.25">
      <c r="B197" s="90">
        <v>193</v>
      </c>
      <c r="C197" s="39">
        <f t="shared" ref="C197:C260" si="6">($C$2*B197)+$C$1</f>
        <v>2266536.3524154709</v>
      </c>
      <c r="D197" s="39">
        <f t="shared" ref="D197:D260" si="7">$D$2*B197</f>
        <v>608014.25937441015</v>
      </c>
    </row>
    <row r="198" spans="2:4" x14ac:dyDescent="0.25">
      <c r="B198" s="90">
        <v>194</v>
      </c>
      <c r="C198" s="39">
        <f t="shared" si="6"/>
        <v>2269183.6910290224</v>
      </c>
      <c r="D198" s="39">
        <f t="shared" si="7"/>
        <v>611164.59232453664</v>
      </c>
    </row>
    <row r="199" spans="2:4" x14ac:dyDescent="0.25">
      <c r="B199" s="90">
        <v>195</v>
      </c>
      <c r="C199" s="39">
        <f t="shared" si="6"/>
        <v>2271831.029642574</v>
      </c>
      <c r="D199" s="39">
        <f t="shared" si="7"/>
        <v>614314.92527466314</v>
      </c>
    </row>
    <row r="200" spans="2:4" x14ac:dyDescent="0.25">
      <c r="B200" s="90">
        <v>196</v>
      </c>
      <c r="C200" s="39">
        <f t="shared" si="6"/>
        <v>2274478.3682561256</v>
      </c>
      <c r="D200" s="39">
        <f t="shared" si="7"/>
        <v>617465.25822478964</v>
      </c>
    </row>
    <row r="201" spans="2:4" x14ac:dyDescent="0.25">
      <c r="B201" s="90">
        <v>197</v>
      </c>
      <c r="C201" s="39">
        <f t="shared" si="6"/>
        <v>2277125.7068696772</v>
      </c>
      <c r="D201" s="39">
        <f t="shared" si="7"/>
        <v>620615.59117491602</v>
      </c>
    </row>
    <row r="202" spans="2:4" x14ac:dyDescent="0.25">
      <c r="B202" s="90">
        <v>198</v>
      </c>
      <c r="C202" s="39">
        <f t="shared" si="6"/>
        <v>2279773.0454832288</v>
      </c>
      <c r="D202" s="39">
        <f t="shared" si="7"/>
        <v>623765.92412504251</v>
      </c>
    </row>
    <row r="203" spans="2:4" x14ac:dyDescent="0.25">
      <c r="B203" s="90">
        <v>199</v>
      </c>
      <c r="C203" s="39">
        <f t="shared" si="6"/>
        <v>2282420.3840967808</v>
      </c>
      <c r="D203" s="39">
        <f t="shared" si="7"/>
        <v>626916.25707516901</v>
      </c>
    </row>
    <row r="204" spans="2:4" x14ac:dyDescent="0.25">
      <c r="B204" s="90">
        <v>200</v>
      </c>
      <c r="C204" s="39">
        <f t="shared" si="6"/>
        <v>2285067.7227103324</v>
      </c>
      <c r="D204" s="39">
        <f t="shared" si="7"/>
        <v>630066.5900252955</v>
      </c>
    </row>
    <row r="205" spans="2:4" x14ac:dyDescent="0.25">
      <c r="B205" s="90">
        <v>201</v>
      </c>
      <c r="C205" s="39">
        <f t="shared" si="6"/>
        <v>2287715.0613238839</v>
      </c>
      <c r="D205" s="39">
        <f t="shared" si="7"/>
        <v>633216.922975422</v>
      </c>
    </row>
    <row r="206" spans="2:4" x14ac:dyDescent="0.25">
      <c r="B206" s="90">
        <v>202</v>
      </c>
      <c r="C206" s="39">
        <f t="shared" si="6"/>
        <v>2290362.3999374355</v>
      </c>
      <c r="D206" s="39">
        <f t="shared" si="7"/>
        <v>636367.2559255485</v>
      </c>
    </row>
    <row r="207" spans="2:4" x14ac:dyDescent="0.25">
      <c r="B207" s="90">
        <v>203</v>
      </c>
      <c r="C207" s="39">
        <f t="shared" si="6"/>
        <v>2293009.7385509871</v>
      </c>
      <c r="D207" s="39">
        <f t="shared" si="7"/>
        <v>639517.58887567488</v>
      </c>
    </row>
    <row r="208" spans="2:4" x14ac:dyDescent="0.25">
      <c r="B208" s="90">
        <v>204</v>
      </c>
      <c r="C208" s="39">
        <f t="shared" si="6"/>
        <v>2295657.0771645391</v>
      </c>
      <c r="D208" s="39">
        <f t="shared" si="7"/>
        <v>642667.92182580137</v>
      </c>
    </row>
    <row r="209" spans="2:4" x14ac:dyDescent="0.25">
      <c r="B209" s="90">
        <v>205</v>
      </c>
      <c r="C209" s="39">
        <f t="shared" si="6"/>
        <v>2298304.4157780907</v>
      </c>
      <c r="D209" s="39">
        <f t="shared" si="7"/>
        <v>645818.25477592787</v>
      </c>
    </row>
    <row r="210" spans="2:4" x14ac:dyDescent="0.25">
      <c r="B210" s="90">
        <v>206</v>
      </c>
      <c r="C210" s="39">
        <f t="shared" si="6"/>
        <v>2300951.7543916423</v>
      </c>
      <c r="D210" s="39">
        <f t="shared" si="7"/>
        <v>648968.58772605436</v>
      </c>
    </row>
    <row r="211" spans="2:4" x14ac:dyDescent="0.25">
      <c r="B211" s="90">
        <v>207</v>
      </c>
      <c r="C211" s="39">
        <f t="shared" si="6"/>
        <v>2303599.0930051939</v>
      </c>
      <c r="D211" s="39">
        <f t="shared" si="7"/>
        <v>652118.92067618086</v>
      </c>
    </row>
    <row r="212" spans="2:4" x14ac:dyDescent="0.25">
      <c r="B212" s="90">
        <v>208</v>
      </c>
      <c r="C212" s="39">
        <f t="shared" si="6"/>
        <v>2306246.4316187454</v>
      </c>
      <c r="D212" s="39">
        <f t="shared" si="7"/>
        <v>655269.25362630736</v>
      </c>
    </row>
    <row r="213" spans="2:4" x14ac:dyDescent="0.25">
      <c r="B213" s="90">
        <v>209</v>
      </c>
      <c r="C213" s="39">
        <f t="shared" si="6"/>
        <v>2308893.7702322975</v>
      </c>
      <c r="D213" s="39">
        <f t="shared" si="7"/>
        <v>658419.58657643385</v>
      </c>
    </row>
    <row r="214" spans="2:4" x14ac:dyDescent="0.25">
      <c r="B214" s="90">
        <v>210</v>
      </c>
      <c r="C214" s="39">
        <f t="shared" si="6"/>
        <v>2311541.1088458491</v>
      </c>
      <c r="D214" s="39">
        <f t="shared" si="7"/>
        <v>661569.91952656023</v>
      </c>
    </row>
    <row r="215" spans="2:4" x14ac:dyDescent="0.25">
      <c r="B215" s="90">
        <v>211</v>
      </c>
      <c r="C215" s="39">
        <f t="shared" si="6"/>
        <v>2314188.4474594006</v>
      </c>
      <c r="D215" s="39">
        <f t="shared" si="7"/>
        <v>664720.25247668673</v>
      </c>
    </row>
    <row r="216" spans="2:4" x14ac:dyDescent="0.25">
      <c r="B216" s="90">
        <v>212</v>
      </c>
      <c r="C216" s="39">
        <f t="shared" si="6"/>
        <v>2316835.7860729522</v>
      </c>
      <c r="D216" s="39">
        <f t="shared" si="7"/>
        <v>667870.58542681322</v>
      </c>
    </row>
    <row r="217" spans="2:4" x14ac:dyDescent="0.25">
      <c r="B217" s="90">
        <v>213</v>
      </c>
      <c r="C217" s="39">
        <f t="shared" si="6"/>
        <v>2319483.1246865038</v>
      </c>
      <c r="D217" s="39">
        <f t="shared" si="7"/>
        <v>671020.91837693972</v>
      </c>
    </row>
    <row r="218" spans="2:4" x14ac:dyDescent="0.25">
      <c r="B218" s="90">
        <v>214</v>
      </c>
      <c r="C218" s="39">
        <f t="shared" si="6"/>
        <v>2322130.4633000558</v>
      </c>
      <c r="D218" s="39">
        <f t="shared" si="7"/>
        <v>674171.25132706622</v>
      </c>
    </row>
    <row r="219" spans="2:4" x14ac:dyDescent="0.25">
      <c r="B219" s="90">
        <v>215</v>
      </c>
      <c r="C219" s="39">
        <f t="shared" si="6"/>
        <v>2324777.8019136074</v>
      </c>
      <c r="D219" s="39">
        <f t="shared" si="7"/>
        <v>677321.58427719271</v>
      </c>
    </row>
    <row r="220" spans="2:4" x14ac:dyDescent="0.25">
      <c r="B220" s="90">
        <v>216</v>
      </c>
      <c r="C220" s="39">
        <f t="shared" si="6"/>
        <v>2327425.140527159</v>
      </c>
      <c r="D220" s="39">
        <f t="shared" si="7"/>
        <v>680471.91722731909</v>
      </c>
    </row>
    <row r="221" spans="2:4" x14ac:dyDescent="0.25">
      <c r="B221" s="90">
        <v>217</v>
      </c>
      <c r="C221" s="39">
        <f t="shared" si="6"/>
        <v>2330072.4791407106</v>
      </c>
      <c r="D221" s="39">
        <f t="shared" si="7"/>
        <v>683622.25017744559</v>
      </c>
    </row>
    <row r="222" spans="2:4" x14ac:dyDescent="0.25">
      <c r="B222" s="90">
        <v>218</v>
      </c>
      <c r="C222" s="39">
        <f t="shared" si="6"/>
        <v>2332719.8177542621</v>
      </c>
      <c r="D222" s="39">
        <f t="shared" si="7"/>
        <v>686772.58312757208</v>
      </c>
    </row>
    <row r="223" spans="2:4" x14ac:dyDescent="0.25">
      <c r="B223" s="90">
        <v>219</v>
      </c>
      <c r="C223" s="39">
        <f t="shared" si="6"/>
        <v>2335367.1563678142</v>
      </c>
      <c r="D223" s="39">
        <f t="shared" si="7"/>
        <v>689922.91607769858</v>
      </c>
    </row>
    <row r="224" spans="2:4" x14ac:dyDescent="0.25">
      <c r="B224" s="90">
        <v>220</v>
      </c>
      <c r="C224" s="39">
        <f t="shared" si="6"/>
        <v>2338014.4949813653</v>
      </c>
      <c r="D224" s="39">
        <f t="shared" si="7"/>
        <v>693073.24902782508</v>
      </c>
    </row>
    <row r="225" spans="2:4" x14ac:dyDescent="0.25">
      <c r="B225" s="90">
        <v>221</v>
      </c>
      <c r="C225" s="39">
        <f t="shared" si="6"/>
        <v>2340661.8335949173</v>
      </c>
      <c r="D225" s="39">
        <f t="shared" si="7"/>
        <v>696223.58197795157</v>
      </c>
    </row>
    <row r="226" spans="2:4" x14ac:dyDescent="0.25">
      <c r="B226" s="90">
        <v>222</v>
      </c>
      <c r="C226" s="39">
        <f t="shared" si="6"/>
        <v>2343309.1722084689</v>
      </c>
      <c r="D226" s="39">
        <f t="shared" si="7"/>
        <v>699373.91492807795</v>
      </c>
    </row>
    <row r="227" spans="2:4" x14ac:dyDescent="0.25">
      <c r="B227" s="90">
        <v>223</v>
      </c>
      <c r="C227" s="39">
        <f t="shared" si="6"/>
        <v>2345956.5108220205</v>
      </c>
      <c r="D227" s="39">
        <f t="shared" si="7"/>
        <v>702524.24787820445</v>
      </c>
    </row>
    <row r="228" spans="2:4" x14ac:dyDescent="0.25">
      <c r="B228" s="90">
        <v>224</v>
      </c>
      <c r="C228" s="39">
        <f t="shared" si="6"/>
        <v>2348603.849435572</v>
      </c>
      <c r="D228" s="39">
        <f t="shared" si="7"/>
        <v>705674.58082833095</v>
      </c>
    </row>
    <row r="229" spans="2:4" x14ac:dyDescent="0.25">
      <c r="B229" s="90">
        <v>225</v>
      </c>
      <c r="C229" s="39">
        <f t="shared" si="6"/>
        <v>2351251.1880491236</v>
      </c>
      <c r="D229" s="39">
        <f t="shared" si="7"/>
        <v>708824.91377845744</v>
      </c>
    </row>
    <row r="230" spans="2:4" x14ac:dyDescent="0.25">
      <c r="B230" s="90">
        <v>226</v>
      </c>
      <c r="C230" s="39">
        <f t="shared" si="6"/>
        <v>2353898.5266626757</v>
      </c>
      <c r="D230" s="39">
        <f t="shared" si="7"/>
        <v>711975.24672858394</v>
      </c>
    </row>
    <row r="231" spans="2:4" x14ac:dyDescent="0.25">
      <c r="B231" s="90">
        <v>227</v>
      </c>
      <c r="C231" s="39">
        <f t="shared" si="6"/>
        <v>2356545.8652762272</v>
      </c>
      <c r="D231" s="39">
        <f t="shared" si="7"/>
        <v>715125.57967871043</v>
      </c>
    </row>
    <row r="232" spans="2:4" x14ac:dyDescent="0.25">
      <c r="B232" s="90">
        <v>228</v>
      </c>
      <c r="C232" s="39">
        <f t="shared" si="6"/>
        <v>2359193.2038897788</v>
      </c>
      <c r="D232" s="39">
        <f t="shared" si="7"/>
        <v>718275.91262883681</v>
      </c>
    </row>
    <row r="233" spans="2:4" x14ac:dyDescent="0.25">
      <c r="B233" s="90">
        <v>229</v>
      </c>
      <c r="C233" s="39">
        <f t="shared" si="6"/>
        <v>2361840.5425033304</v>
      </c>
      <c r="D233" s="39">
        <f t="shared" si="7"/>
        <v>721426.24557896331</v>
      </c>
    </row>
    <row r="234" spans="2:4" x14ac:dyDescent="0.25">
      <c r="B234" s="90">
        <v>230</v>
      </c>
      <c r="C234" s="39">
        <f t="shared" si="6"/>
        <v>2364487.881116882</v>
      </c>
      <c r="D234" s="39">
        <f t="shared" si="7"/>
        <v>724576.57852908981</v>
      </c>
    </row>
    <row r="235" spans="2:4" x14ac:dyDescent="0.25">
      <c r="B235" s="90">
        <v>231</v>
      </c>
      <c r="C235" s="39">
        <f t="shared" si="6"/>
        <v>2367135.219730434</v>
      </c>
      <c r="D235" s="39">
        <f t="shared" si="7"/>
        <v>727726.9114792163</v>
      </c>
    </row>
    <row r="236" spans="2:4" x14ac:dyDescent="0.25">
      <c r="B236" s="90">
        <v>232</v>
      </c>
      <c r="C236" s="39">
        <f t="shared" si="6"/>
        <v>2369782.5583439856</v>
      </c>
      <c r="D236" s="39">
        <f t="shared" si="7"/>
        <v>730877.2444293428</v>
      </c>
    </row>
    <row r="237" spans="2:4" x14ac:dyDescent="0.25">
      <c r="B237" s="90">
        <v>233</v>
      </c>
      <c r="C237" s="39">
        <f t="shared" si="6"/>
        <v>2372429.8969575372</v>
      </c>
      <c r="D237" s="39">
        <f t="shared" si="7"/>
        <v>734027.57737946929</v>
      </c>
    </row>
    <row r="238" spans="2:4" x14ac:dyDescent="0.25">
      <c r="B238" s="90">
        <v>234</v>
      </c>
      <c r="C238" s="39">
        <f t="shared" si="6"/>
        <v>2375077.2355710887</v>
      </c>
      <c r="D238" s="39">
        <f t="shared" si="7"/>
        <v>737177.91032959579</v>
      </c>
    </row>
    <row r="239" spans="2:4" x14ac:dyDescent="0.25">
      <c r="B239" s="90">
        <v>235</v>
      </c>
      <c r="C239" s="39">
        <f t="shared" si="6"/>
        <v>2377724.5741846403</v>
      </c>
      <c r="D239" s="39">
        <f t="shared" si="7"/>
        <v>740328.24327972217</v>
      </c>
    </row>
    <row r="240" spans="2:4" x14ac:dyDescent="0.25">
      <c r="B240" s="90">
        <v>236</v>
      </c>
      <c r="C240" s="39">
        <f t="shared" si="6"/>
        <v>2380371.9127981924</v>
      </c>
      <c r="D240" s="39">
        <f t="shared" si="7"/>
        <v>743478.57622984867</v>
      </c>
    </row>
    <row r="241" spans="2:4" x14ac:dyDescent="0.25">
      <c r="B241" s="90">
        <v>237</v>
      </c>
      <c r="C241" s="39">
        <f t="shared" si="6"/>
        <v>2383019.2514117439</v>
      </c>
      <c r="D241" s="39">
        <f t="shared" si="7"/>
        <v>746628.90917997516</v>
      </c>
    </row>
    <row r="242" spans="2:4" x14ac:dyDescent="0.25">
      <c r="B242" s="90">
        <v>238</v>
      </c>
      <c r="C242" s="39">
        <f t="shared" si="6"/>
        <v>2385666.5900252955</v>
      </c>
      <c r="D242" s="39">
        <f t="shared" si="7"/>
        <v>749779.24213010166</v>
      </c>
    </row>
    <row r="243" spans="2:4" x14ac:dyDescent="0.25">
      <c r="B243" s="90">
        <v>239</v>
      </c>
      <c r="C243" s="39">
        <f t="shared" si="6"/>
        <v>2388313.9286388471</v>
      </c>
      <c r="D243" s="39">
        <f t="shared" si="7"/>
        <v>752929.57508022815</v>
      </c>
    </row>
    <row r="244" spans="2:4" x14ac:dyDescent="0.25">
      <c r="B244" s="90">
        <v>240</v>
      </c>
      <c r="C244" s="39">
        <f t="shared" si="6"/>
        <v>2390961.2672523987</v>
      </c>
      <c r="D244" s="39">
        <f t="shared" si="7"/>
        <v>756079.90803035465</v>
      </c>
    </row>
    <row r="245" spans="2:4" x14ac:dyDescent="0.25">
      <c r="B245" s="90">
        <v>241</v>
      </c>
      <c r="C245" s="39">
        <f t="shared" si="6"/>
        <v>2393608.6058659507</v>
      </c>
      <c r="D245" s="39">
        <f t="shared" si="7"/>
        <v>759230.24098048103</v>
      </c>
    </row>
    <row r="246" spans="2:4" x14ac:dyDescent="0.25">
      <c r="B246" s="90">
        <v>242</v>
      </c>
      <c r="C246" s="39">
        <f t="shared" si="6"/>
        <v>2396255.9444795023</v>
      </c>
      <c r="D246" s="39">
        <f t="shared" si="7"/>
        <v>762380.57393060753</v>
      </c>
    </row>
    <row r="247" spans="2:4" x14ac:dyDescent="0.25">
      <c r="B247" s="90">
        <v>243</v>
      </c>
      <c r="C247" s="39">
        <f t="shared" si="6"/>
        <v>2398903.2830930538</v>
      </c>
      <c r="D247" s="39">
        <f t="shared" si="7"/>
        <v>765530.90688073402</v>
      </c>
    </row>
    <row r="248" spans="2:4" x14ac:dyDescent="0.25">
      <c r="B248" s="90">
        <v>244</v>
      </c>
      <c r="C248" s="39">
        <f t="shared" si="6"/>
        <v>2401550.6217066054</v>
      </c>
      <c r="D248" s="39">
        <f t="shared" si="7"/>
        <v>768681.23983086052</v>
      </c>
    </row>
    <row r="249" spans="2:4" x14ac:dyDescent="0.25">
      <c r="B249" s="90">
        <v>245</v>
      </c>
      <c r="C249" s="39">
        <f t="shared" si="6"/>
        <v>2404197.960320157</v>
      </c>
      <c r="D249" s="39">
        <f t="shared" si="7"/>
        <v>771831.57278098701</v>
      </c>
    </row>
    <row r="250" spans="2:4" x14ac:dyDescent="0.25">
      <c r="B250" s="90">
        <v>246</v>
      </c>
      <c r="C250" s="39">
        <f t="shared" si="6"/>
        <v>2406845.298933709</v>
      </c>
      <c r="D250" s="39">
        <f t="shared" si="7"/>
        <v>774981.90573111351</v>
      </c>
    </row>
    <row r="251" spans="2:4" x14ac:dyDescent="0.25">
      <c r="B251" s="90">
        <v>247</v>
      </c>
      <c r="C251" s="39">
        <f t="shared" si="6"/>
        <v>2409492.6375472602</v>
      </c>
      <c r="D251" s="39">
        <f t="shared" si="7"/>
        <v>778132.23868123989</v>
      </c>
    </row>
    <row r="252" spans="2:4" x14ac:dyDescent="0.25">
      <c r="B252" s="90">
        <v>248</v>
      </c>
      <c r="C252" s="39">
        <f t="shared" si="6"/>
        <v>2412139.9761608122</v>
      </c>
      <c r="D252" s="39">
        <f t="shared" si="7"/>
        <v>781282.57163136639</v>
      </c>
    </row>
    <row r="253" spans="2:4" x14ac:dyDescent="0.25">
      <c r="B253" s="90">
        <v>249</v>
      </c>
      <c r="C253" s="39">
        <f t="shared" si="6"/>
        <v>2414787.3147743638</v>
      </c>
      <c r="D253" s="39">
        <f t="shared" si="7"/>
        <v>784432.90458149288</v>
      </c>
    </row>
    <row r="254" spans="2:4" x14ac:dyDescent="0.25">
      <c r="B254" s="90">
        <v>250</v>
      </c>
      <c r="C254" s="39">
        <f t="shared" si="6"/>
        <v>2417434.6533879153</v>
      </c>
      <c r="D254" s="39">
        <f t="shared" si="7"/>
        <v>787583.23753161938</v>
      </c>
    </row>
    <row r="255" spans="2:4" x14ac:dyDescent="0.25">
      <c r="B255" s="90">
        <v>251</v>
      </c>
      <c r="C255" s="39">
        <f t="shared" si="6"/>
        <v>2420081.9920014669</v>
      </c>
      <c r="D255" s="39">
        <f t="shared" si="7"/>
        <v>790733.57048174588</v>
      </c>
    </row>
    <row r="256" spans="2:4" x14ac:dyDescent="0.25">
      <c r="B256" s="90">
        <v>252</v>
      </c>
      <c r="C256" s="39">
        <f t="shared" si="6"/>
        <v>2422729.3306150185</v>
      </c>
      <c r="D256" s="39">
        <f t="shared" si="7"/>
        <v>793883.90343187237</v>
      </c>
    </row>
    <row r="257" spans="2:4" x14ac:dyDescent="0.25">
      <c r="B257" s="90">
        <v>253</v>
      </c>
      <c r="C257" s="39">
        <f t="shared" si="6"/>
        <v>2425376.6692285705</v>
      </c>
      <c r="D257" s="39">
        <f t="shared" si="7"/>
        <v>797034.23638199875</v>
      </c>
    </row>
    <row r="258" spans="2:4" x14ac:dyDescent="0.25">
      <c r="B258" s="90">
        <v>254</v>
      </c>
      <c r="C258" s="39">
        <f t="shared" si="6"/>
        <v>2428024.0078421221</v>
      </c>
      <c r="D258" s="39">
        <f t="shared" si="7"/>
        <v>800184.56933212525</v>
      </c>
    </row>
    <row r="259" spans="2:4" x14ac:dyDescent="0.25">
      <c r="B259" s="90">
        <v>255</v>
      </c>
      <c r="C259" s="39">
        <f t="shared" si="6"/>
        <v>2430671.3464556737</v>
      </c>
      <c r="D259" s="39">
        <f t="shared" si="7"/>
        <v>803334.90228225174</v>
      </c>
    </row>
    <row r="260" spans="2:4" x14ac:dyDescent="0.25">
      <c r="B260" s="90">
        <v>256</v>
      </c>
      <c r="C260" s="39">
        <f t="shared" si="6"/>
        <v>2433318.6850692253</v>
      </c>
      <c r="D260" s="39">
        <f t="shared" si="7"/>
        <v>806485.23523237824</v>
      </c>
    </row>
    <row r="261" spans="2:4" x14ac:dyDescent="0.25">
      <c r="B261" s="90">
        <v>257</v>
      </c>
      <c r="C261" s="39">
        <f t="shared" ref="C261:C304" si="8">($C$2*B261)+$C$1</f>
        <v>2435966.0236827768</v>
      </c>
      <c r="D261" s="39">
        <f t="shared" ref="D261:D304" si="9">$D$2*B261</f>
        <v>809635.56818250474</v>
      </c>
    </row>
    <row r="262" spans="2:4" x14ac:dyDescent="0.25">
      <c r="B262" s="90">
        <v>258</v>
      </c>
      <c r="C262" s="39">
        <f t="shared" si="8"/>
        <v>2438613.3622963289</v>
      </c>
      <c r="D262" s="39">
        <f t="shared" si="9"/>
        <v>812785.90113263123</v>
      </c>
    </row>
    <row r="263" spans="2:4" x14ac:dyDescent="0.25">
      <c r="B263" s="90">
        <v>259</v>
      </c>
      <c r="C263" s="39">
        <f t="shared" si="8"/>
        <v>2441260.7009098805</v>
      </c>
      <c r="D263" s="39">
        <f t="shared" si="9"/>
        <v>815936.23408275773</v>
      </c>
    </row>
    <row r="264" spans="2:4" x14ac:dyDescent="0.25">
      <c r="B264" s="90">
        <v>260</v>
      </c>
      <c r="C264" s="39">
        <f t="shared" si="8"/>
        <v>2443908.039523432</v>
      </c>
      <c r="D264" s="39">
        <f t="shared" si="9"/>
        <v>819086.56703288411</v>
      </c>
    </row>
    <row r="265" spans="2:4" x14ac:dyDescent="0.25">
      <c r="B265" s="90">
        <v>261</v>
      </c>
      <c r="C265" s="39">
        <f t="shared" si="8"/>
        <v>2446555.3781369836</v>
      </c>
      <c r="D265" s="39">
        <f t="shared" si="9"/>
        <v>822236.8999830106</v>
      </c>
    </row>
    <row r="266" spans="2:4" x14ac:dyDescent="0.25">
      <c r="B266" s="90">
        <v>262</v>
      </c>
      <c r="C266" s="39">
        <f t="shared" si="8"/>
        <v>2449202.7167505352</v>
      </c>
      <c r="D266" s="39">
        <f t="shared" si="9"/>
        <v>825387.2329331371</v>
      </c>
    </row>
    <row r="267" spans="2:4" x14ac:dyDescent="0.25">
      <c r="B267" s="90">
        <v>263</v>
      </c>
      <c r="C267" s="39">
        <f t="shared" si="8"/>
        <v>2451850.0553640872</v>
      </c>
      <c r="D267" s="39">
        <f t="shared" si="9"/>
        <v>828537.5658832636</v>
      </c>
    </row>
    <row r="268" spans="2:4" x14ac:dyDescent="0.25">
      <c r="B268" s="90">
        <v>264</v>
      </c>
      <c r="C268" s="39">
        <f t="shared" si="8"/>
        <v>2454497.3939776388</v>
      </c>
      <c r="D268" s="39">
        <f t="shared" si="9"/>
        <v>831687.89883339009</v>
      </c>
    </row>
    <row r="269" spans="2:4" x14ac:dyDescent="0.25">
      <c r="B269" s="90">
        <v>265</v>
      </c>
      <c r="C269" s="39">
        <f t="shared" si="8"/>
        <v>2457144.7325911904</v>
      </c>
      <c r="D269" s="39">
        <f t="shared" si="9"/>
        <v>834838.23178351659</v>
      </c>
    </row>
    <row r="270" spans="2:4" x14ac:dyDescent="0.25">
      <c r="B270" s="90">
        <v>266</v>
      </c>
      <c r="C270" s="39">
        <f t="shared" si="8"/>
        <v>2459792.071204742</v>
      </c>
      <c r="D270" s="39">
        <f t="shared" si="9"/>
        <v>837988.56473364297</v>
      </c>
    </row>
    <row r="271" spans="2:4" x14ac:dyDescent="0.25">
      <c r="B271" s="90">
        <v>267</v>
      </c>
      <c r="C271" s="39">
        <f t="shared" si="8"/>
        <v>2462439.4098182935</v>
      </c>
      <c r="D271" s="39">
        <f t="shared" si="9"/>
        <v>841138.89768376946</v>
      </c>
    </row>
    <row r="272" spans="2:4" x14ac:dyDescent="0.25">
      <c r="B272" s="90">
        <v>268</v>
      </c>
      <c r="C272" s="39">
        <f t="shared" si="8"/>
        <v>2465086.7484318456</v>
      </c>
      <c r="D272" s="39">
        <f t="shared" si="9"/>
        <v>844289.23063389596</v>
      </c>
    </row>
    <row r="273" spans="2:4" x14ac:dyDescent="0.25">
      <c r="B273" s="90">
        <v>269</v>
      </c>
      <c r="C273" s="39">
        <f t="shared" si="8"/>
        <v>2467734.0870453971</v>
      </c>
      <c r="D273" s="39">
        <f t="shared" si="9"/>
        <v>847439.56358402246</v>
      </c>
    </row>
    <row r="274" spans="2:4" x14ac:dyDescent="0.25">
      <c r="B274" s="90">
        <v>270</v>
      </c>
      <c r="C274" s="39">
        <f t="shared" si="8"/>
        <v>2470381.4256589487</v>
      </c>
      <c r="D274" s="39">
        <f t="shared" si="9"/>
        <v>850589.89653414895</v>
      </c>
    </row>
    <row r="275" spans="2:4" x14ac:dyDescent="0.25">
      <c r="B275" s="90">
        <v>271</v>
      </c>
      <c r="C275" s="39">
        <f t="shared" si="8"/>
        <v>2473028.7642725003</v>
      </c>
      <c r="D275" s="39">
        <f t="shared" si="9"/>
        <v>853740.22948427545</v>
      </c>
    </row>
    <row r="276" spans="2:4" x14ac:dyDescent="0.25">
      <c r="B276" s="90">
        <v>272</v>
      </c>
      <c r="C276" s="39">
        <f t="shared" si="8"/>
        <v>2475676.1028860519</v>
      </c>
      <c r="D276" s="39">
        <f t="shared" si="9"/>
        <v>856890.56243440183</v>
      </c>
    </row>
    <row r="277" spans="2:4" x14ac:dyDescent="0.25">
      <c r="B277" s="90">
        <v>273</v>
      </c>
      <c r="C277" s="39">
        <f t="shared" si="8"/>
        <v>2478323.4414996039</v>
      </c>
      <c r="D277" s="39">
        <f t="shared" si="9"/>
        <v>860040.89538452832</v>
      </c>
    </row>
    <row r="278" spans="2:4" x14ac:dyDescent="0.25">
      <c r="B278" s="90">
        <v>274</v>
      </c>
      <c r="C278" s="39">
        <f t="shared" si="8"/>
        <v>2480970.780113155</v>
      </c>
      <c r="D278" s="39">
        <f t="shared" si="9"/>
        <v>863191.22833465482</v>
      </c>
    </row>
    <row r="279" spans="2:4" x14ac:dyDescent="0.25">
      <c r="B279" s="90">
        <v>275</v>
      </c>
      <c r="C279" s="39">
        <f t="shared" si="8"/>
        <v>2483618.1187267071</v>
      </c>
      <c r="D279" s="39">
        <f t="shared" si="9"/>
        <v>866341.56128478132</v>
      </c>
    </row>
    <row r="280" spans="2:4" x14ac:dyDescent="0.25">
      <c r="B280" s="90">
        <v>276</v>
      </c>
      <c r="C280" s="39">
        <f t="shared" si="8"/>
        <v>2486265.4573402586</v>
      </c>
      <c r="D280" s="39">
        <f t="shared" si="9"/>
        <v>869491.89423490781</v>
      </c>
    </row>
    <row r="281" spans="2:4" x14ac:dyDescent="0.25">
      <c r="B281" s="90">
        <v>277</v>
      </c>
      <c r="C281" s="39">
        <f t="shared" si="8"/>
        <v>2488912.7959538102</v>
      </c>
      <c r="D281" s="39">
        <f t="shared" si="9"/>
        <v>872642.22718503431</v>
      </c>
    </row>
    <row r="282" spans="2:4" x14ac:dyDescent="0.25">
      <c r="B282" s="90">
        <v>278</v>
      </c>
      <c r="C282" s="39">
        <f t="shared" si="8"/>
        <v>2491560.1345673618</v>
      </c>
      <c r="D282" s="39">
        <f t="shared" si="9"/>
        <v>875792.56013516069</v>
      </c>
    </row>
    <row r="283" spans="2:4" x14ac:dyDescent="0.25">
      <c r="B283" s="90">
        <v>279</v>
      </c>
      <c r="C283" s="39">
        <f t="shared" si="8"/>
        <v>2494207.4731809134</v>
      </c>
      <c r="D283" s="39">
        <f t="shared" si="9"/>
        <v>878942.89308528719</v>
      </c>
    </row>
    <row r="284" spans="2:4" x14ac:dyDescent="0.25">
      <c r="B284" s="90">
        <v>280</v>
      </c>
      <c r="C284" s="39">
        <f t="shared" si="8"/>
        <v>2496854.8117944654</v>
      </c>
      <c r="D284" s="39">
        <f t="shared" si="9"/>
        <v>882093.22603541368</v>
      </c>
    </row>
    <row r="285" spans="2:4" x14ac:dyDescent="0.25">
      <c r="B285" s="90">
        <v>281</v>
      </c>
      <c r="C285" s="39">
        <f t="shared" si="8"/>
        <v>2499502.150408017</v>
      </c>
      <c r="D285" s="39">
        <f t="shared" si="9"/>
        <v>885243.55898554018</v>
      </c>
    </row>
    <row r="286" spans="2:4" x14ac:dyDescent="0.25">
      <c r="B286" s="90">
        <v>282</v>
      </c>
      <c r="C286" s="39">
        <f t="shared" si="8"/>
        <v>2502149.4890215686</v>
      </c>
      <c r="D286" s="39">
        <f t="shared" si="9"/>
        <v>888393.89193566667</v>
      </c>
    </row>
    <row r="287" spans="2:4" x14ac:dyDescent="0.25">
      <c r="B287" s="90">
        <v>283</v>
      </c>
      <c r="C287" s="39">
        <f t="shared" si="8"/>
        <v>2504796.8276351201</v>
      </c>
      <c r="D287" s="39">
        <f t="shared" si="9"/>
        <v>891544.22488579317</v>
      </c>
    </row>
    <row r="288" spans="2:4" x14ac:dyDescent="0.25">
      <c r="B288" s="90">
        <v>284</v>
      </c>
      <c r="C288" s="39">
        <f t="shared" si="8"/>
        <v>2507444.1662486717</v>
      </c>
      <c r="D288" s="39">
        <f t="shared" si="9"/>
        <v>894694.55783591967</v>
      </c>
    </row>
    <row r="289" spans="2:4" x14ac:dyDescent="0.25">
      <c r="B289" s="90">
        <v>285</v>
      </c>
      <c r="C289" s="39">
        <f t="shared" si="8"/>
        <v>2510091.5048622238</v>
      </c>
      <c r="D289" s="39">
        <f t="shared" si="9"/>
        <v>897844.89078604605</v>
      </c>
    </row>
    <row r="290" spans="2:4" x14ac:dyDescent="0.25">
      <c r="B290" s="90">
        <v>286</v>
      </c>
      <c r="C290" s="39">
        <f t="shared" si="8"/>
        <v>2512738.8434757753</v>
      </c>
      <c r="D290" s="39">
        <f t="shared" si="9"/>
        <v>900995.22373617254</v>
      </c>
    </row>
    <row r="291" spans="2:4" x14ac:dyDescent="0.25">
      <c r="B291" s="90">
        <v>287</v>
      </c>
      <c r="C291" s="39">
        <f t="shared" si="8"/>
        <v>2515386.1820893269</v>
      </c>
      <c r="D291" s="39">
        <f t="shared" si="9"/>
        <v>904145.55668629904</v>
      </c>
    </row>
    <row r="292" spans="2:4" x14ac:dyDescent="0.25">
      <c r="B292" s="90">
        <v>288</v>
      </c>
      <c r="C292" s="39">
        <f t="shared" si="8"/>
        <v>2518033.5207028785</v>
      </c>
      <c r="D292" s="39">
        <f t="shared" si="9"/>
        <v>907295.88963642553</v>
      </c>
    </row>
    <row r="293" spans="2:4" x14ac:dyDescent="0.25">
      <c r="B293" s="90">
        <v>289</v>
      </c>
      <c r="C293" s="39">
        <f t="shared" si="8"/>
        <v>2520680.8593164301</v>
      </c>
      <c r="D293" s="39">
        <f t="shared" si="9"/>
        <v>910446.22258655203</v>
      </c>
    </row>
    <row r="294" spans="2:4" x14ac:dyDescent="0.25">
      <c r="B294" s="90">
        <v>290</v>
      </c>
      <c r="C294" s="39">
        <f t="shared" si="8"/>
        <v>2523328.1979299821</v>
      </c>
      <c r="D294" s="39">
        <f t="shared" si="9"/>
        <v>913596.55553667853</v>
      </c>
    </row>
    <row r="295" spans="2:4" x14ac:dyDescent="0.25">
      <c r="B295" s="90">
        <v>291</v>
      </c>
      <c r="C295" s="39">
        <f t="shared" si="8"/>
        <v>2525975.5365435337</v>
      </c>
      <c r="D295" s="39">
        <f t="shared" si="9"/>
        <v>916746.88848680491</v>
      </c>
    </row>
    <row r="296" spans="2:4" x14ac:dyDescent="0.25">
      <c r="B296" s="90">
        <v>292</v>
      </c>
      <c r="C296" s="39">
        <f t="shared" si="8"/>
        <v>2528622.8751570852</v>
      </c>
      <c r="D296" s="39">
        <f t="shared" si="9"/>
        <v>919897.2214369314</v>
      </c>
    </row>
    <row r="297" spans="2:4" x14ac:dyDescent="0.25">
      <c r="B297" s="90">
        <v>293</v>
      </c>
      <c r="C297" s="39">
        <f t="shared" si="8"/>
        <v>2531270.2137706368</v>
      </c>
      <c r="D297" s="39">
        <f t="shared" si="9"/>
        <v>923047.5543870579</v>
      </c>
    </row>
    <row r="298" spans="2:4" x14ac:dyDescent="0.25">
      <c r="B298" s="90">
        <v>294</v>
      </c>
      <c r="C298" s="39">
        <f t="shared" si="8"/>
        <v>2533917.5523841884</v>
      </c>
      <c r="D298" s="39">
        <f t="shared" si="9"/>
        <v>926197.88733718439</v>
      </c>
    </row>
    <row r="299" spans="2:4" x14ac:dyDescent="0.25">
      <c r="B299" s="90">
        <v>295</v>
      </c>
      <c r="C299" s="39">
        <f t="shared" si="8"/>
        <v>2536564.8909977404</v>
      </c>
      <c r="D299" s="39">
        <f t="shared" si="9"/>
        <v>929348.22028731089</v>
      </c>
    </row>
    <row r="300" spans="2:4" x14ac:dyDescent="0.25">
      <c r="B300" s="90">
        <v>296</v>
      </c>
      <c r="C300" s="39">
        <f t="shared" si="8"/>
        <v>2539212.229611292</v>
      </c>
      <c r="D300" s="39">
        <f t="shared" si="9"/>
        <v>932498.55323743739</v>
      </c>
    </row>
    <row r="301" spans="2:4" x14ac:dyDescent="0.25">
      <c r="B301" s="90">
        <v>297</v>
      </c>
      <c r="C301" s="39">
        <f t="shared" si="8"/>
        <v>2541859.5682248436</v>
      </c>
      <c r="D301" s="39">
        <f t="shared" si="9"/>
        <v>935648.88618756377</v>
      </c>
    </row>
    <row r="302" spans="2:4" x14ac:dyDescent="0.25">
      <c r="B302" s="90">
        <v>298</v>
      </c>
      <c r="C302" s="39">
        <f t="shared" si="8"/>
        <v>2544506.9068383952</v>
      </c>
      <c r="D302" s="39">
        <f t="shared" si="9"/>
        <v>938799.21913769026</v>
      </c>
    </row>
    <row r="303" spans="2:4" x14ac:dyDescent="0.25">
      <c r="B303" s="90">
        <v>299</v>
      </c>
      <c r="C303" s="39">
        <f t="shared" si="8"/>
        <v>2547154.2454519467</v>
      </c>
      <c r="D303" s="39">
        <f t="shared" si="9"/>
        <v>941949.55208781676</v>
      </c>
    </row>
    <row r="304" spans="2:4" x14ac:dyDescent="0.25">
      <c r="B304" s="90">
        <v>300</v>
      </c>
      <c r="C304" s="39">
        <f t="shared" si="8"/>
        <v>2549801.5840654983</v>
      </c>
      <c r="D304" s="39">
        <f t="shared" si="9"/>
        <v>945099.88503794326</v>
      </c>
    </row>
    <row r="305" spans="2:4" x14ac:dyDescent="0.25">
      <c r="B305" s="90">
        <v>301</v>
      </c>
      <c r="C305" s="39">
        <f t="shared" ref="C305:C368" si="10">($C$2*B305)+$C$1</f>
        <v>2552448.9226790499</v>
      </c>
      <c r="D305" s="39">
        <f t="shared" ref="D305:D368" si="11">$D$2*B305</f>
        <v>948250.21798806975</v>
      </c>
    </row>
    <row r="306" spans="2:4" x14ac:dyDescent="0.25">
      <c r="B306" s="90">
        <v>302</v>
      </c>
      <c r="C306" s="39">
        <f t="shared" si="10"/>
        <v>2555096.2612926019</v>
      </c>
      <c r="D306" s="39">
        <f t="shared" si="11"/>
        <v>951400.55093819625</v>
      </c>
    </row>
    <row r="307" spans="2:4" x14ac:dyDescent="0.25">
      <c r="B307" s="90">
        <v>303</v>
      </c>
      <c r="C307" s="39">
        <f t="shared" si="10"/>
        <v>2557743.5999061535</v>
      </c>
      <c r="D307" s="39">
        <f t="shared" si="11"/>
        <v>954550.88388832263</v>
      </c>
    </row>
    <row r="308" spans="2:4" x14ac:dyDescent="0.25">
      <c r="B308" s="90">
        <v>304</v>
      </c>
      <c r="C308" s="39">
        <f t="shared" si="10"/>
        <v>2560390.9385197051</v>
      </c>
      <c r="D308" s="39">
        <f t="shared" si="11"/>
        <v>957701.21683844912</v>
      </c>
    </row>
    <row r="309" spans="2:4" x14ac:dyDescent="0.25">
      <c r="B309" s="90">
        <v>305</v>
      </c>
      <c r="C309" s="39">
        <f t="shared" si="10"/>
        <v>2563038.2771332567</v>
      </c>
      <c r="D309" s="39">
        <f t="shared" si="11"/>
        <v>960851.54978857562</v>
      </c>
    </row>
    <row r="310" spans="2:4" x14ac:dyDescent="0.25">
      <c r="B310" s="90">
        <v>306</v>
      </c>
      <c r="C310" s="39">
        <f t="shared" si="10"/>
        <v>2565685.6157468082</v>
      </c>
      <c r="D310" s="39">
        <f t="shared" si="11"/>
        <v>964001.88273870212</v>
      </c>
    </row>
    <row r="311" spans="2:4" x14ac:dyDescent="0.25">
      <c r="B311" s="90">
        <v>307</v>
      </c>
      <c r="C311" s="39">
        <f t="shared" si="10"/>
        <v>2568332.9543603603</v>
      </c>
      <c r="D311" s="39">
        <f t="shared" si="11"/>
        <v>967152.21568882861</v>
      </c>
    </row>
    <row r="312" spans="2:4" x14ac:dyDescent="0.25">
      <c r="B312" s="90">
        <v>308</v>
      </c>
      <c r="C312" s="39">
        <f t="shared" si="10"/>
        <v>2570980.2929739119</v>
      </c>
      <c r="D312" s="39">
        <f t="shared" si="11"/>
        <v>970302.54863895511</v>
      </c>
    </row>
    <row r="313" spans="2:4" x14ac:dyDescent="0.25">
      <c r="B313" s="90">
        <v>309</v>
      </c>
      <c r="C313" s="39">
        <f t="shared" si="10"/>
        <v>2573627.6315874634</v>
      </c>
      <c r="D313" s="39">
        <f t="shared" si="11"/>
        <v>973452.8815890816</v>
      </c>
    </row>
    <row r="314" spans="2:4" x14ac:dyDescent="0.25">
      <c r="B314" s="90">
        <v>310</v>
      </c>
      <c r="C314" s="39">
        <f t="shared" si="10"/>
        <v>2576274.970201015</v>
      </c>
      <c r="D314" s="39">
        <f t="shared" si="11"/>
        <v>976603.21453920798</v>
      </c>
    </row>
    <row r="315" spans="2:4" x14ac:dyDescent="0.25">
      <c r="B315" s="90">
        <v>311</v>
      </c>
      <c r="C315" s="39">
        <f t="shared" si="10"/>
        <v>2578922.3088145666</v>
      </c>
      <c r="D315" s="39">
        <f t="shared" si="11"/>
        <v>979753.54748933448</v>
      </c>
    </row>
    <row r="316" spans="2:4" x14ac:dyDescent="0.25">
      <c r="B316" s="90">
        <v>312</v>
      </c>
      <c r="C316" s="39">
        <f t="shared" si="10"/>
        <v>2581569.6474281186</v>
      </c>
      <c r="D316" s="39">
        <f t="shared" si="11"/>
        <v>982903.88043946098</v>
      </c>
    </row>
    <row r="317" spans="2:4" x14ac:dyDescent="0.25">
      <c r="B317" s="90">
        <v>313</v>
      </c>
      <c r="C317" s="39">
        <f t="shared" si="10"/>
        <v>2584216.9860416702</v>
      </c>
      <c r="D317" s="39">
        <f t="shared" si="11"/>
        <v>986054.21338958747</v>
      </c>
    </row>
    <row r="318" spans="2:4" x14ac:dyDescent="0.25">
      <c r="B318" s="90">
        <v>314</v>
      </c>
      <c r="C318" s="39">
        <f t="shared" si="10"/>
        <v>2586864.3246552218</v>
      </c>
      <c r="D318" s="39">
        <f t="shared" si="11"/>
        <v>989204.54633971397</v>
      </c>
    </row>
    <row r="319" spans="2:4" x14ac:dyDescent="0.25">
      <c r="B319" s="90">
        <v>315</v>
      </c>
      <c r="C319" s="39">
        <f t="shared" si="10"/>
        <v>2589511.6632687734</v>
      </c>
      <c r="D319" s="39">
        <f t="shared" si="11"/>
        <v>992354.87928984046</v>
      </c>
    </row>
    <row r="320" spans="2:4" x14ac:dyDescent="0.25">
      <c r="B320" s="90">
        <v>316</v>
      </c>
      <c r="C320" s="39">
        <f t="shared" si="10"/>
        <v>2592159.0018823249</v>
      </c>
      <c r="D320" s="39">
        <f t="shared" si="11"/>
        <v>995505.21223996684</v>
      </c>
    </row>
    <row r="321" spans="2:4" x14ac:dyDescent="0.25">
      <c r="B321" s="90">
        <v>317</v>
      </c>
      <c r="C321" s="39">
        <f t="shared" si="10"/>
        <v>2594806.340495877</v>
      </c>
      <c r="D321" s="39">
        <f t="shared" si="11"/>
        <v>998655.54519009334</v>
      </c>
    </row>
    <row r="322" spans="2:4" x14ac:dyDescent="0.25">
      <c r="B322" s="90">
        <v>318</v>
      </c>
      <c r="C322" s="39">
        <f t="shared" si="10"/>
        <v>2597453.6791094285</v>
      </c>
      <c r="D322" s="39">
        <f t="shared" si="11"/>
        <v>1001805.8781402198</v>
      </c>
    </row>
    <row r="323" spans="2:4" x14ac:dyDescent="0.25">
      <c r="B323" s="90">
        <v>319</v>
      </c>
      <c r="C323" s="39">
        <f t="shared" si="10"/>
        <v>2600101.0177229801</v>
      </c>
      <c r="D323" s="39">
        <f t="shared" si="11"/>
        <v>1004956.2110903463</v>
      </c>
    </row>
    <row r="324" spans="2:4" x14ac:dyDescent="0.25">
      <c r="B324" s="90">
        <v>320</v>
      </c>
      <c r="C324" s="39">
        <f t="shared" si="10"/>
        <v>2602748.3563365317</v>
      </c>
      <c r="D324" s="39">
        <f t="shared" si="11"/>
        <v>1008106.5440404728</v>
      </c>
    </row>
    <row r="325" spans="2:4" x14ac:dyDescent="0.25">
      <c r="B325" s="90">
        <v>321</v>
      </c>
      <c r="C325" s="39">
        <f t="shared" si="10"/>
        <v>2605395.6949500833</v>
      </c>
      <c r="D325" s="39">
        <f t="shared" si="11"/>
        <v>1011256.8769905993</v>
      </c>
    </row>
    <row r="326" spans="2:4" x14ac:dyDescent="0.25">
      <c r="B326" s="90">
        <v>322</v>
      </c>
      <c r="C326" s="39">
        <f t="shared" si="10"/>
        <v>2608043.0335636353</v>
      </c>
      <c r="D326" s="39">
        <f t="shared" si="11"/>
        <v>1014407.2099407257</v>
      </c>
    </row>
    <row r="327" spans="2:4" x14ac:dyDescent="0.25">
      <c r="B327" s="90">
        <v>323</v>
      </c>
      <c r="C327" s="39">
        <f t="shared" si="10"/>
        <v>2610690.3721771864</v>
      </c>
      <c r="D327" s="39">
        <f t="shared" si="11"/>
        <v>1017557.5428908522</v>
      </c>
    </row>
    <row r="328" spans="2:4" x14ac:dyDescent="0.25">
      <c r="B328" s="90">
        <v>324</v>
      </c>
      <c r="C328" s="39">
        <f t="shared" si="10"/>
        <v>2613337.7107907385</v>
      </c>
      <c r="D328" s="39">
        <f t="shared" si="11"/>
        <v>1020707.8758409787</v>
      </c>
    </row>
    <row r="329" spans="2:4" x14ac:dyDescent="0.25">
      <c r="B329" s="90">
        <v>325</v>
      </c>
      <c r="C329" s="39">
        <f t="shared" si="10"/>
        <v>2615985.04940429</v>
      </c>
      <c r="D329" s="39">
        <f t="shared" si="11"/>
        <v>1023858.2087911052</v>
      </c>
    </row>
    <row r="330" spans="2:4" x14ac:dyDescent="0.25">
      <c r="B330" s="90">
        <v>326</v>
      </c>
      <c r="C330" s="39">
        <f t="shared" si="10"/>
        <v>2618632.3880178416</v>
      </c>
      <c r="D330" s="39">
        <f t="shared" si="11"/>
        <v>1027008.5417412317</v>
      </c>
    </row>
    <row r="331" spans="2:4" x14ac:dyDescent="0.25">
      <c r="B331" s="90">
        <v>327</v>
      </c>
      <c r="C331" s="39">
        <f t="shared" si="10"/>
        <v>2621279.7266313932</v>
      </c>
      <c r="D331" s="39">
        <f t="shared" si="11"/>
        <v>1030158.8746913582</v>
      </c>
    </row>
    <row r="332" spans="2:4" x14ac:dyDescent="0.25">
      <c r="B332" s="90">
        <v>328</v>
      </c>
      <c r="C332" s="39">
        <f t="shared" si="10"/>
        <v>2623927.0652449448</v>
      </c>
      <c r="D332" s="39">
        <f t="shared" si="11"/>
        <v>1033309.2076414846</v>
      </c>
    </row>
    <row r="333" spans="2:4" x14ac:dyDescent="0.25">
      <c r="B333" s="90">
        <v>329</v>
      </c>
      <c r="C333" s="39">
        <f t="shared" si="10"/>
        <v>2626574.4038584968</v>
      </c>
      <c r="D333" s="39">
        <f t="shared" si="11"/>
        <v>1036459.5405916111</v>
      </c>
    </row>
    <row r="334" spans="2:4" x14ac:dyDescent="0.25">
      <c r="B334" s="90">
        <v>330</v>
      </c>
      <c r="C334" s="39">
        <f t="shared" si="10"/>
        <v>2629221.7424720484</v>
      </c>
      <c r="D334" s="39">
        <f t="shared" si="11"/>
        <v>1039609.8735417376</v>
      </c>
    </row>
    <row r="335" spans="2:4" x14ac:dyDescent="0.25">
      <c r="B335" s="90">
        <v>331</v>
      </c>
      <c r="C335" s="39">
        <f t="shared" si="10"/>
        <v>2631869.0810856</v>
      </c>
      <c r="D335" s="39">
        <f t="shared" si="11"/>
        <v>1042760.2064918641</v>
      </c>
    </row>
    <row r="336" spans="2:4" x14ac:dyDescent="0.25">
      <c r="B336" s="90">
        <v>332</v>
      </c>
      <c r="C336" s="39">
        <f t="shared" si="10"/>
        <v>2634516.4196991515</v>
      </c>
      <c r="D336" s="39">
        <f t="shared" si="11"/>
        <v>1045910.5394419905</v>
      </c>
    </row>
    <row r="337" spans="2:4" x14ac:dyDescent="0.25">
      <c r="B337" s="90">
        <v>333</v>
      </c>
      <c r="C337" s="39">
        <f t="shared" si="10"/>
        <v>2637163.7583127031</v>
      </c>
      <c r="D337" s="39">
        <f t="shared" si="11"/>
        <v>1049060.872392117</v>
      </c>
    </row>
    <row r="338" spans="2:4" x14ac:dyDescent="0.25">
      <c r="B338" s="90">
        <v>334</v>
      </c>
      <c r="C338" s="39">
        <f t="shared" si="10"/>
        <v>2639811.0969262552</v>
      </c>
      <c r="D338" s="39">
        <f t="shared" si="11"/>
        <v>1052211.2053422434</v>
      </c>
    </row>
    <row r="339" spans="2:4" x14ac:dyDescent="0.25">
      <c r="B339" s="90">
        <v>335</v>
      </c>
      <c r="C339" s="39">
        <f t="shared" si="10"/>
        <v>2642458.4355398067</v>
      </c>
      <c r="D339" s="39">
        <f t="shared" si="11"/>
        <v>1055361.53829237</v>
      </c>
    </row>
    <row r="340" spans="2:4" x14ac:dyDescent="0.25">
      <c r="B340" s="90">
        <v>336</v>
      </c>
      <c r="C340" s="39">
        <f t="shared" si="10"/>
        <v>2645105.7741533583</v>
      </c>
      <c r="D340" s="39">
        <f t="shared" si="11"/>
        <v>1058511.8712424964</v>
      </c>
    </row>
    <row r="341" spans="2:4" x14ac:dyDescent="0.25">
      <c r="B341" s="90">
        <v>337</v>
      </c>
      <c r="C341" s="39">
        <f t="shared" si="10"/>
        <v>2647753.1127669099</v>
      </c>
      <c r="D341" s="39">
        <f t="shared" si="11"/>
        <v>1061662.204192623</v>
      </c>
    </row>
    <row r="342" spans="2:4" x14ac:dyDescent="0.25">
      <c r="B342" s="90">
        <v>338</v>
      </c>
      <c r="C342" s="39">
        <f t="shared" si="10"/>
        <v>2650400.4513804615</v>
      </c>
      <c r="D342" s="39">
        <f t="shared" si="11"/>
        <v>1064812.5371427494</v>
      </c>
    </row>
    <row r="343" spans="2:4" x14ac:dyDescent="0.25">
      <c r="B343" s="90">
        <v>339</v>
      </c>
      <c r="C343" s="39">
        <f t="shared" si="10"/>
        <v>2653047.7899940135</v>
      </c>
      <c r="D343" s="39">
        <f t="shared" si="11"/>
        <v>1067962.8700928758</v>
      </c>
    </row>
    <row r="344" spans="2:4" x14ac:dyDescent="0.25">
      <c r="B344" s="90">
        <v>340</v>
      </c>
      <c r="C344" s="39">
        <f t="shared" si="10"/>
        <v>2655695.1286075651</v>
      </c>
      <c r="D344" s="39">
        <f t="shared" si="11"/>
        <v>1071113.2030430024</v>
      </c>
    </row>
    <row r="345" spans="2:4" x14ac:dyDescent="0.25">
      <c r="B345" s="90">
        <v>341</v>
      </c>
      <c r="C345" s="39">
        <f t="shared" si="10"/>
        <v>2658342.4672211166</v>
      </c>
      <c r="D345" s="39">
        <f t="shared" si="11"/>
        <v>1074263.5359931288</v>
      </c>
    </row>
    <row r="346" spans="2:4" x14ac:dyDescent="0.25">
      <c r="B346" s="90">
        <v>342</v>
      </c>
      <c r="C346" s="39">
        <f t="shared" si="10"/>
        <v>2660989.8058346682</v>
      </c>
      <c r="D346" s="39">
        <f t="shared" si="11"/>
        <v>1077413.8689432554</v>
      </c>
    </row>
    <row r="347" spans="2:4" x14ac:dyDescent="0.25">
      <c r="B347" s="90">
        <v>343</v>
      </c>
      <c r="C347" s="39">
        <f t="shared" si="10"/>
        <v>2663637.1444482198</v>
      </c>
      <c r="D347" s="39">
        <f t="shared" si="11"/>
        <v>1080564.2018933818</v>
      </c>
    </row>
    <row r="348" spans="2:4" x14ac:dyDescent="0.25">
      <c r="B348" s="90">
        <v>344</v>
      </c>
      <c r="C348" s="39">
        <f t="shared" si="10"/>
        <v>2666284.4830617718</v>
      </c>
      <c r="D348" s="39">
        <f t="shared" si="11"/>
        <v>1083714.5348435082</v>
      </c>
    </row>
    <row r="349" spans="2:4" x14ac:dyDescent="0.25">
      <c r="B349" s="90">
        <v>345</v>
      </c>
      <c r="C349" s="39">
        <f t="shared" si="10"/>
        <v>2668931.8216753234</v>
      </c>
      <c r="D349" s="39">
        <f t="shared" si="11"/>
        <v>1086864.8677936348</v>
      </c>
    </row>
    <row r="350" spans="2:4" x14ac:dyDescent="0.25">
      <c r="B350" s="90">
        <v>346</v>
      </c>
      <c r="C350" s="39">
        <f t="shared" si="10"/>
        <v>2671579.160288875</v>
      </c>
      <c r="D350" s="39">
        <f t="shared" si="11"/>
        <v>1090015.2007437611</v>
      </c>
    </row>
    <row r="351" spans="2:4" x14ac:dyDescent="0.25">
      <c r="B351" s="90">
        <v>347</v>
      </c>
      <c r="C351" s="39">
        <f t="shared" si="10"/>
        <v>2674226.4989024266</v>
      </c>
      <c r="D351" s="39">
        <f t="shared" si="11"/>
        <v>1093165.5336938878</v>
      </c>
    </row>
    <row r="352" spans="2:4" x14ac:dyDescent="0.25">
      <c r="B352" s="90">
        <v>348</v>
      </c>
      <c r="C352" s="39">
        <f t="shared" si="10"/>
        <v>2676873.8375159781</v>
      </c>
      <c r="D352" s="39">
        <f t="shared" si="11"/>
        <v>1096315.8666440141</v>
      </c>
    </row>
    <row r="353" spans="2:4" x14ac:dyDescent="0.25">
      <c r="B353" s="90">
        <v>349</v>
      </c>
      <c r="C353" s="39">
        <f t="shared" si="10"/>
        <v>2679521.1761295302</v>
      </c>
      <c r="D353" s="39">
        <f t="shared" si="11"/>
        <v>1099466.1995941408</v>
      </c>
    </row>
    <row r="354" spans="2:4" x14ac:dyDescent="0.25">
      <c r="B354" s="90">
        <v>350</v>
      </c>
      <c r="C354" s="39">
        <f t="shared" si="10"/>
        <v>2682168.5147430813</v>
      </c>
      <c r="D354" s="39">
        <f t="shared" si="11"/>
        <v>1102616.5325442671</v>
      </c>
    </row>
    <row r="355" spans="2:4" x14ac:dyDescent="0.25">
      <c r="B355" s="90">
        <v>351</v>
      </c>
      <c r="C355" s="39">
        <f t="shared" si="10"/>
        <v>2684815.8533566333</v>
      </c>
      <c r="D355" s="39">
        <f t="shared" si="11"/>
        <v>1105766.8654943935</v>
      </c>
    </row>
    <row r="356" spans="2:4" x14ac:dyDescent="0.25">
      <c r="B356" s="90">
        <v>352</v>
      </c>
      <c r="C356" s="39">
        <f t="shared" si="10"/>
        <v>2687463.1919701849</v>
      </c>
      <c r="D356" s="39">
        <f t="shared" si="11"/>
        <v>1108917.1984445201</v>
      </c>
    </row>
    <row r="357" spans="2:4" x14ac:dyDescent="0.25">
      <c r="B357" s="90">
        <v>353</v>
      </c>
      <c r="C357" s="39">
        <f t="shared" si="10"/>
        <v>2690110.5305837365</v>
      </c>
      <c r="D357" s="39">
        <f t="shared" si="11"/>
        <v>1112067.5313946465</v>
      </c>
    </row>
    <row r="358" spans="2:4" x14ac:dyDescent="0.25">
      <c r="B358" s="90">
        <v>354</v>
      </c>
      <c r="C358" s="39">
        <f t="shared" si="10"/>
        <v>2692757.8691972881</v>
      </c>
      <c r="D358" s="39">
        <f t="shared" si="11"/>
        <v>1115217.8643447731</v>
      </c>
    </row>
    <row r="359" spans="2:4" x14ac:dyDescent="0.25">
      <c r="B359" s="90">
        <v>355</v>
      </c>
      <c r="C359" s="39">
        <f t="shared" si="10"/>
        <v>2695405.2078108396</v>
      </c>
      <c r="D359" s="39">
        <f t="shared" si="11"/>
        <v>1118368.1972948995</v>
      </c>
    </row>
    <row r="360" spans="2:4" x14ac:dyDescent="0.25">
      <c r="B360" s="90">
        <v>356</v>
      </c>
      <c r="C360" s="39">
        <f t="shared" si="10"/>
        <v>2698052.5464243917</v>
      </c>
      <c r="D360" s="39">
        <f t="shared" si="11"/>
        <v>1121518.5302450259</v>
      </c>
    </row>
    <row r="361" spans="2:4" x14ac:dyDescent="0.25">
      <c r="B361" s="90">
        <v>357</v>
      </c>
      <c r="C361" s="39">
        <f t="shared" si="10"/>
        <v>2700699.8850379433</v>
      </c>
      <c r="D361" s="39">
        <f t="shared" si="11"/>
        <v>1124668.8631951525</v>
      </c>
    </row>
    <row r="362" spans="2:4" x14ac:dyDescent="0.25">
      <c r="B362" s="90">
        <v>358</v>
      </c>
      <c r="C362" s="39">
        <f t="shared" si="10"/>
        <v>2703347.2236514948</v>
      </c>
      <c r="D362" s="39">
        <f t="shared" si="11"/>
        <v>1127819.1961452789</v>
      </c>
    </row>
    <row r="363" spans="2:4" x14ac:dyDescent="0.25">
      <c r="B363" s="90">
        <v>359</v>
      </c>
      <c r="C363" s="39">
        <f t="shared" si="10"/>
        <v>2705994.5622650464</v>
      </c>
      <c r="D363" s="39">
        <f t="shared" si="11"/>
        <v>1130969.5290954055</v>
      </c>
    </row>
    <row r="364" spans="2:4" x14ac:dyDescent="0.25">
      <c r="B364" s="90">
        <v>360</v>
      </c>
      <c r="C364" s="39">
        <f t="shared" si="10"/>
        <v>2708641.900878598</v>
      </c>
      <c r="D364" s="39">
        <f t="shared" si="11"/>
        <v>1134119.8620455319</v>
      </c>
    </row>
    <row r="365" spans="2:4" x14ac:dyDescent="0.25">
      <c r="B365" s="90">
        <v>361</v>
      </c>
      <c r="C365" s="39">
        <f t="shared" si="10"/>
        <v>2711289.23949215</v>
      </c>
      <c r="D365" s="39">
        <f t="shared" si="11"/>
        <v>1137270.1949956585</v>
      </c>
    </row>
    <row r="366" spans="2:4" x14ac:dyDescent="0.25">
      <c r="B366" s="90">
        <v>362</v>
      </c>
      <c r="C366" s="39">
        <f t="shared" si="10"/>
        <v>2713936.5781057016</v>
      </c>
      <c r="D366" s="39">
        <f t="shared" si="11"/>
        <v>1140420.5279457849</v>
      </c>
    </row>
    <row r="367" spans="2:4" x14ac:dyDescent="0.25">
      <c r="B367" s="90">
        <v>363</v>
      </c>
      <c r="C367" s="39">
        <f t="shared" si="10"/>
        <v>2716583.9167192532</v>
      </c>
      <c r="D367" s="39">
        <f t="shared" si="11"/>
        <v>1143570.8608959112</v>
      </c>
    </row>
    <row r="368" spans="2:4" x14ac:dyDescent="0.25">
      <c r="B368" s="90">
        <v>364</v>
      </c>
      <c r="C368" s="39">
        <f t="shared" si="10"/>
        <v>2719231.2553328048</v>
      </c>
      <c r="D368" s="39">
        <f t="shared" si="11"/>
        <v>1146721.1938460378</v>
      </c>
    </row>
    <row r="369" spans="2:4" x14ac:dyDescent="0.25">
      <c r="B369" s="90">
        <v>365</v>
      </c>
      <c r="C369" s="39">
        <f t="shared" ref="C369:C432" si="12">($C$2*B369)+$C$1</f>
        <v>2721878.5939463563</v>
      </c>
      <c r="D369" s="39">
        <f t="shared" ref="D369:D432" si="13">$D$2*B369</f>
        <v>1149871.5267961642</v>
      </c>
    </row>
    <row r="370" spans="2:4" x14ac:dyDescent="0.25">
      <c r="B370" s="90">
        <v>366</v>
      </c>
      <c r="C370" s="39">
        <f t="shared" si="12"/>
        <v>2724525.9325599084</v>
      </c>
      <c r="D370" s="39">
        <f t="shared" si="13"/>
        <v>1153021.8597462908</v>
      </c>
    </row>
    <row r="371" spans="2:4" x14ac:dyDescent="0.25">
      <c r="B371" s="90">
        <v>367</v>
      </c>
      <c r="C371" s="39">
        <f t="shared" si="12"/>
        <v>2727173.2711734599</v>
      </c>
      <c r="D371" s="39">
        <f t="shared" si="13"/>
        <v>1156172.1926964172</v>
      </c>
    </row>
    <row r="372" spans="2:4" x14ac:dyDescent="0.25">
      <c r="B372" s="90">
        <v>368</v>
      </c>
      <c r="C372" s="39">
        <f t="shared" si="12"/>
        <v>2729820.6097870115</v>
      </c>
      <c r="D372" s="39">
        <f t="shared" si="13"/>
        <v>1159322.5256465438</v>
      </c>
    </row>
    <row r="373" spans="2:4" x14ac:dyDescent="0.25">
      <c r="B373" s="90">
        <v>369</v>
      </c>
      <c r="C373" s="39">
        <f t="shared" si="12"/>
        <v>2732467.9484005631</v>
      </c>
      <c r="D373" s="39">
        <f t="shared" si="13"/>
        <v>1162472.8585966702</v>
      </c>
    </row>
    <row r="374" spans="2:4" x14ac:dyDescent="0.25">
      <c r="B374" s="90">
        <v>370</v>
      </c>
      <c r="C374" s="39">
        <f t="shared" si="12"/>
        <v>2735115.2870141147</v>
      </c>
      <c r="D374" s="39">
        <f t="shared" si="13"/>
        <v>1165623.1915467966</v>
      </c>
    </row>
    <row r="375" spans="2:4" x14ac:dyDescent="0.25">
      <c r="B375" s="90">
        <v>371</v>
      </c>
      <c r="C375" s="39">
        <f t="shared" si="12"/>
        <v>2737762.6256276667</v>
      </c>
      <c r="D375" s="39">
        <f t="shared" si="13"/>
        <v>1168773.5244969232</v>
      </c>
    </row>
    <row r="376" spans="2:4" x14ac:dyDescent="0.25">
      <c r="B376" s="90">
        <v>372</v>
      </c>
      <c r="C376" s="39">
        <f t="shared" si="12"/>
        <v>2740409.9642412183</v>
      </c>
      <c r="D376" s="39">
        <f t="shared" si="13"/>
        <v>1171923.8574470496</v>
      </c>
    </row>
    <row r="377" spans="2:4" x14ac:dyDescent="0.25">
      <c r="B377" s="90">
        <v>373</v>
      </c>
      <c r="C377" s="39">
        <f t="shared" si="12"/>
        <v>2743057.3028547699</v>
      </c>
      <c r="D377" s="39">
        <f t="shared" si="13"/>
        <v>1175074.1903971762</v>
      </c>
    </row>
    <row r="378" spans="2:4" x14ac:dyDescent="0.25">
      <c r="B378" s="90">
        <v>374</v>
      </c>
      <c r="C378" s="39">
        <f t="shared" si="12"/>
        <v>2745704.6414683214</v>
      </c>
      <c r="D378" s="39">
        <f t="shared" si="13"/>
        <v>1178224.5233473026</v>
      </c>
    </row>
    <row r="379" spans="2:4" x14ac:dyDescent="0.25">
      <c r="B379" s="90">
        <v>375</v>
      </c>
      <c r="C379" s="39">
        <f t="shared" si="12"/>
        <v>2748351.980081873</v>
      </c>
      <c r="D379" s="39">
        <f t="shared" si="13"/>
        <v>1181374.856297429</v>
      </c>
    </row>
    <row r="380" spans="2:4" x14ac:dyDescent="0.25">
      <c r="B380" s="90">
        <v>376</v>
      </c>
      <c r="C380" s="39">
        <f t="shared" si="12"/>
        <v>2750999.3186954251</v>
      </c>
      <c r="D380" s="39">
        <f t="shared" si="13"/>
        <v>1184525.1892475556</v>
      </c>
    </row>
    <row r="381" spans="2:4" x14ac:dyDescent="0.25">
      <c r="B381" s="90">
        <v>377</v>
      </c>
      <c r="C381" s="39">
        <f t="shared" si="12"/>
        <v>2753646.6573089762</v>
      </c>
      <c r="D381" s="39">
        <f t="shared" si="13"/>
        <v>1187675.5221976819</v>
      </c>
    </row>
    <row r="382" spans="2:4" x14ac:dyDescent="0.25">
      <c r="B382" s="90">
        <v>378</v>
      </c>
      <c r="C382" s="39">
        <f t="shared" si="12"/>
        <v>2756293.9959225282</v>
      </c>
      <c r="D382" s="39">
        <f t="shared" si="13"/>
        <v>1190825.8551478086</v>
      </c>
    </row>
    <row r="383" spans="2:4" x14ac:dyDescent="0.25">
      <c r="B383" s="90">
        <v>379</v>
      </c>
      <c r="C383" s="39">
        <f t="shared" si="12"/>
        <v>2758941.3345360798</v>
      </c>
      <c r="D383" s="39">
        <f t="shared" si="13"/>
        <v>1193976.1880979349</v>
      </c>
    </row>
    <row r="384" spans="2:4" x14ac:dyDescent="0.25">
      <c r="B384" s="90">
        <v>380</v>
      </c>
      <c r="C384" s="39">
        <f t="shared" si="12"/>
        <v>2761588.6731496314</v>
      </c>
      <c r="D384" s="39">
        <f t="shared" si="13"/>
        <v>1197126.5210480615</v>
      </c>
    </row>
    <row r="385" spans="2:4" x14ac:dyDescent="0.25">
      <c r="B385" s="90">
        <v>381</v>
      </c>
      <c r="C385" s="39">
        <f t="shared" si="12"/>
        <v>2764236.0117631829</v>
      </c>
      <c r="D385" s="39">
        <f t="shared" si="13"/>
        <v>1200276.8539981879</v>
      </c>
    </row>
    <row r="386" spans="2:4" x14ac:dyDescent="0.25">
      <c r="B386" s="90">
        <v>382</v>
      </c>
      <c r="C386" s="39">
        <f t="shared" si="12"/>
        <v>2766883.3503767345</v>
      </c>
      <c r="D386" s="39">
        <f t="shared" si="13"/>
        <v>1203427.1869483143</v>
      </c>
    </row>
    <row r="387" spans="2:4" x14ac:dyDescent="0.25">
      <c r="B387" s="90">
        <v>383</v>
      </c>
      <c r="C387" s="39">
        <f t="shared" si="12"/>
        <v>2769530.6889902866</v>
      </c>
      <c r="D387" s="39">
        <f t="shared" si="13"/>
        <v>1206577.5198984409</v>
      </c>
    </row>
    <row r="388" spans="2:4" x14ac:dyDescent="0.25">
      <c r="B388" s="90">
        <v>384</v>
      </c>
      <c r="C388" s="39">
        <f t="shared" si="12"/>
        <v>2772178.0276038381</v>
      </c>
      <c r="D388" s="39">
        <f t="shared" si="13"/>
        <v>1209727.8528485673</v>
      </c>
    </row>
    <row r="389" spans="2:4" x14ac:dyDescent="0.25">
      <c r="B389" s="90">
        <v>385</v>
      </c>
      <c r="C389" s="39">
        <f t="shared" si="12"/>
        <v>2774825.3662173897</v>
      </c>
      <c r="D389" s="39">
        <f t="shared" si="13"/>
        <v>1212878.1857986939</v>
      </c>
    </row>
    <row r="390" spans="2:4" x14ac:dyDescent="0.25">
      <c r="B390" s="90">
        <v>386</v>
      </c>
      <c r="C390" s="39">
        <f t="shared" si="12"/>
        <v>2777472.7048309413</v>
      </c>
      <c r="D390" s="39">
        <f t="shared" si="13"/>
        <v>1216028.5187488203</v>
      </c>
    </row>
    <row r="391" spans="2:4" x14ac:dyDescent="0.25">
      <c r="B391" s="90">
        <v>387</v>
      </c>
      <c r="C391" s="39">
        <f t="shared" si="12"/>
        <v>2780120.0434444929</v>
      </c>
      <c r="D391" s="39">
        <f t="shared" si="13"/>
        <v>1219178.8516989469</v>
      </c>
    </row>
    <row r="392" spans="2:4" x14ac:dyDescent="0.25">
      <c r="B392" s="90">
        <v>388</v>
      </c>
      <c r="C392" s="39">
        <f t="shared" si="12"/>
        <v>2782767.3820580449</v>
      </c>
      <c r="D392" s="39">
        <f t="shared" si="13"/>
        <v>1222329.1846490733</v>
      </c>
    </row>
    <row r="393" spans="2:4" x14ac:dyDescent="0.25">
      <c r="B393" s="90">
        <v>389</v>
      </c>
      <c r="C393" s="39">
        <f t="shared" si="12"/>
        <v>2785414.7206715965</v>
      </c>
      <c r="D393" s="39">
        <f t="shared" si="13"/>
        <v>1225479.5175991997</v>
      </c>
    </row>
    <row r="394" spans="2:4" x14ac:dyDescent="0.25">
      <c r="B394" s="90">
        <v>390</v>
      </c>
      <c r="C394" s="39">
        <f t="shared" si="12"/>
        <v>2788062.059285148</v>
      </c>
      <c r="D394" s="39">
        <f t="shared" si="13"/>
        <v>1228629.8505493263</v>
      </c>
    </row>
    <row r="395" spans="2:4" x14ac:dyDescent="0.25">
      <c r="B395" s="90">
        <v>391</v>
      </c>
      <c r="C395" s="39">
        <f t="shared" si="12"/>
        <v>2790709.3978986996</v>
      </c>
      <c r="D395" s="39">
        <f t="shared" si="13"/>
        <v>1231780.1834994527</v>
      </c>
    </row>
    <row r="396" spans="2:4" x14ac:dyDescent="0.25">
      <c r="B396" s="90">
        <v>392</v>
      </c>
      <c r="C396" s="39">
        <f t="shared" si="12"/>
        <v>2793356.7365122512</v>
      </c>
      <c r="D396" s="39">
        <f t="shared" si="13"/>
        <v>1234930.5164495793</v>
      </c>
    </row>
    <row r="397" spans="2:4" x14ac:dyDescent="0.25">
      <c r="B397" s="90">
        <v>393</v>
      </c>
      <c r="C397" s="39">
        <f t="shared" si="12"/>
        <v>2796004.0751258032</v>
      </c>
      <c r="D397" s="39">
        <f t="shared" si="13"/>
        <v>1238080.8493997057</v>
      </c>
    </row>
    <row r="398" spans="2:4" x14ac:dyDescent="0.25">
      <c r="B398" s="90">
        <v>394</v>
      </c>
      <c r="C398" s="39">
        <f t="shared" si="12"/>
        <v>2798651.4137393548</v>
      </c>
      <c r="D398" s="39">
        <f t="shared" si="13"/>
        <v>1241231.182349832</v>
      </c>
    </row>
    <row r="399" spans="2:4" x14ac:dyDescent="0.25">
      <c r="B399" s="90">
        <v>395</v>
      </c>
      <c r="C399" s="39">
        <f t="shared" si="12"/>
        <v>2801298.7523529064</v>
      </c>
      <c r="D399" s="39">
        <f t="shared" si="13"/>
        <v>1244381.5152999586</v>
      </c>
    </row>
    <row r="400" spans="2:4" x14ac:dyDescent="0.25">
      <c r="B400" s="90">
        <v>396</v>
      </c>
      <c r="C400" s="39">
        <f t="shared" si="12"/>
        <v>2803946.090966458</v>
      </c>
      <c r="D400" s="39">
        <f t="shared" si="13"/>
        <v>1247531.848250085</v>
      </c>
    </row>
    <row r="401" spans="2:4" x14ac:dyDescent="0.25">
      <c r="B401" s="90">
        <v>397</v>
      </c>
      <c r="C401" s="39">
        <f t="shared" si="12"/>
        <v>2806593.4295800095</v>
      </c>
      <c r="D401" s="39">
        <f t="shared" si="13"/>
        <v>1250682.1812002116</v>
      </c>
    </row>
    <row r="402" spans="2:4" x14ac:dyDescent="0.25">
      <c r="B402" s="90">
        <v>398</v>
      </c>
      <c r="C402" s="39">
        <f t="shared" si="12"/>
        <v>2809240.7681935616</v>
      </c>
      <c r="D402" s="39">
        <f t="shared" si="13"/>
        <v>1253832.514150338</v>
      </c>
    </row>
    <row r="403" spans="2:4" x14ac:dyDescent="0.25">
      <c r="B403" s="90">
        <v>399</v>
      </c>
      <c r="C403" s="39">
        <f t="shared" si="12"/>
        <v>2811888.1068071127</v>
      </c>
      <c r="D403" s="39">
        <f t="shared" si="13"/>
        <v>1256982.8471004646</v>
      </c>
    </row>
    <row r="404" spans="2:4" x14ac:dyDescent="0.25">
      <c r="B404" s="90">
        <v>400</v>
      </c>
      <c r="C404" s="39">
        <f t="shared" si="12"/>
        <v>2814535.4454206647</v>
      </c>
      <c r="D404" s="39">
        <f t="shared" si="13"/>
        <v>1260133.180050591</v>
      </c>
    </row>
    <row r="405" spans="2:4" x14ac:dyDescent="0.25">
      <c r="B405" s="90">
        <v>401</v>
      </c>
      <c r="C405" s="39">
        <f t="shared" si="12"/>
        <v>2817182.7840342163</v>
      </c>
      <c r="D405" s="39">
        <f t="shared" si="13"/>
        <v>1263283.5130007174</v>
      </c>
    </row>
    <row r="406" spans="2:4" x14ac:dyDescent="0.25">
      <c r="B406" s="90">
        <v>402</v>
      </c>
      <c r="C406" s="39">
        <f t="shared" si="12"/>
        <v>2819830.1226477679</v>
      </c>
      <c r="D406" s="39">
        <f t="shared" si="13"/>
        <v>1266433.845950844</v>
      </c>
    </row>
    <row r="407" spans="2:4" x14ac:dyDescent="0.25">
      <c r="B407" s="90">
        <v>403</v>
      </c>
      <c r="C407" s="39">
        <f t="shared" si="12"/>
        <v>2822477.4612613199</v>
      </c>
      <c r="D407" s="39">
        <f t="shared" si="13"/>
        <v>1269584.1789009704</v>
      </c>
    </row>
    <row r="408" spans="2:4" x14ac:dyDescent="0.25">
      <c r="B408" s="90">
        <v>404</v>
      </c>
      <c r="C408" s="39">
        <f t="shared" si="12"/>
        <v>2825124.799874871</v>
      </c>
      <c r="D408" s="39">
        <f t="shared" si="13"/>
        <v>1272734.511851097</v>
      </c>
    </row>
    <row r="409" spans="2:4" x14ac:dyDescent="0.25">
      <c r="B409" s="90">
        <v>405</v>
      </c>
      <c r="C409" s="39">
        <f t="shared" si="12"/>
        <v>2827772.1384884231</v>
      </c>
      <c r="D409" s="39">
        <f t="shared" si="13"/>
        <v>1275884.8448012234</v>
      </c>
    </row>
    <row r="410" spans="2:4" x14ac:dyDescent="0.25">
      <c r="B410" s="90">
        <v>406</v>
      </c>
      <c r="C410" s="39">
        <f t="shared" si="12"/>
        <v>2830419.4771019747</v>
      </c>
      <c r="D410" s="39">
        <f t="shared" si="13"/>
        <v>1279035.1777513498</v>
      </c>
    </row>
    <row r="411" spans="2:4" x14ac:dyDescent="0.25">
      <c r="B411" s="90">
        <v>407</v>
      </c>
      <c r="C411" s="39">
        <f t="shared" si="12"/>
        <v>2833066.8157155262</v>
      </c>
      <c r="D411" s="39">
        <f t="shared" si="13"/>
        <v>1282185.5107014764</v>
      </c>
    </row>
    <row r="412" spans="2:4" x14ac:dyDescent="0.25">
      <c r="B412" s="90">
        <v>408</v>
      </c>
      <c r="C412" s="39">
        <f t="shared" si="12"/>
        <v>2835714.1543290783</v>
      </c>
      <c r="D412" s="39">
        <f t="shared" si="13"/>
        <v>1285335.8436516027</v>
      </c>
    </row>
    <row r="413" spans="2:4" x14ac:dyDescent="0.25">
      <c r="B413" s="90">
        <v>409</v>
      </c>
      <c r="C413" s="39">
        <f t="shared" si="12"/>
        <v>2838361.4929426294</v>
      </c>
      <c r="D413" s="39">
        <f t="shared" si="13"/>
        <v>1288486.1766017294</v>
      </c>
    </row>
    <row r="414" spans="2:4" x14ac:dyDescent="0.25">
      <c r="B414" s="90">
        <v>410</v>
      </c>
      <c r="C414" s="39">
        <f t="shared" si="12"/>
        <v>2841008.8315561814</v>
      </c>
      <c r="D414" s="39">
        <f t="shared" si="13"/>
        <v>1291636.5095518557</v>
      </c>
    </row>
    <row r="415" spans="2:4" x14ac:dyDescent="0.25">
      <c r="B415" s="90">
        <v>411</v>
      </c>
      <c r="C415" s="39">
        <f t="shared" si="12"/>
        <v>2843656.170169733</v>
      </c>
      <c r="D415" s="39">
        <f t="shared" si="13"/>
        <v>1294786.8425019823</v>
      </c>
    </row>
    <row r="416" spans="2:4" x14ac:dyDescent="0.25">
      <c r="B416" s="90">
        <v>412</v>
      </c>
      <c r="C416" s="39">
        <f t="shared" si="12"/>
        <v>2846303.5087832846</v>
      </c>
      <c r="D416" s="39">
        <f t="shared" si="13"/>
        <v>1297937.1754521087</v>
      </c>
    </row>
    <row r="417" spans="2:4" x14ac:dyDescent="0.25">
      <c r="B417" s="90">
        <v>413</v>
      </c>
      <c r="C417" s="39">
        <f t="shared" si="12"/>
        <v>2848950.8473968362</v>
      </c>
      <c r="D417" s="39">
        <f t="shared" si="13"/>
        <v>1301087.5084022351</v>
      </c>
    </row>
    <row r="418" spans="2:4" x14ac:dyDescent="0.25">
      <c r="B418" s="90">
        <v>414</v>
      </c>
      <c r="C418" s="39">
        <f t="shared" si="12"/>
        <v>2851598.1860103877</v>
      </c>
      <c r="D418" s="39">
        <f t="shared" si="13"/>
        <v>1304237.8413523617</v>
      </c>
    </row>
    <row r="419" spans="2:4" x14ac:dyDescent="0.25">
      <c r="B419" s="90">
        <v>415</v>
      </c>
      <c r="C419" s="39">
        <f t="shared" si="12"/>
        <v>2854245.5246239398</v>
      </c>
      <c r="D419" s="39">
        <f t="shared" si="13"/>
        <v>1307388.1743024881</v>
      </c>
    </row>
    <row r="420" spans="2:4" x14ac:dyDescent="0.25">
      <c r="B420" s="90">
        <v>416</v>
      </c>
      <c r="C420" s="39">
        <f t="shared" si="12"/>
        <v>2856892.8632374913</v>
      </c>
      <c r="D420" s="39">
        <f t="shared" si="13"/>
        <v>1310538.5072526147</v>
      </c>
    </row>
    <row r="421" spans="2:4" x14ac:dyDescent="0.25">
      <c r="B421" s="90">
        <v>417</v>
      </c>
      <c r="C421" s="39">
        <f t="shared" si="12"/>
        <v>2859540.2018510429</v>
      </c>
      <c r="D421" s="39">
        <f t="shared" si="13"/>
        <v>1313688.8402027411</v>
      </c>
    </row>
    <row r="422" spans="2:4" x14ac:dyDescent="0.25">
      <c r="B422" s="90">
        <v>418</v>
      </c>
      <c r="C422" s="39">
        <f t="shared" si="12"/>
        <v>2862187.5404645945</v>
      </c>
      <c r="D422" s="39">
        <f t="shared" si="13"/>
        <v>1316839.1731528677</v>
      </c>
    </row>
    <row r="423" spans="2:4" x14ac:dyDescent="0.25">
      <c r="B423" s="90">
        <v>419</v>
      </c>
      <c r="C423" s="39">
        <f t="shared" si="12"/>
        <v>2864834.8790781461</v>
      </c>
      <c r="D423" s="39">
        <f t="shared" si="13"/>
        <v>1319989.5061029941</v>
      </c>
    </row>
    <row r="424" spans="2:4" x14ac:dyDescent="0.25">
      <c r="B424" s="90">
        <v>420</v>
      </c>
      <c r="C424" s="39">
        <f t="shared" si="12"/>
        <v>2867482.2176916981</v>
      </c>
      <c r="D424" s="39">
        <f t="shared" si="13"/>
        <v>1323139.8390531205</v>
      </c>
    </row>
    <row r="425" spans="2:4" x14ac:dyDescent="0.25">
      <c r="B425" s="90">
        <v>421</v>
      </c>
      <c r="C425" s="39">
        <f t="shared" si="12"/>
        <v>2870129.5563052492</v>
      </c>
      <c r="D425" s="39">
        <f t="shared" si="13"/>
        <v>1326290.1720032471</v>
      </c>
    </row>
    <row r="426" spans="2:4" x14ac:dyDescent="0.25">
      <c r="B426" s="90">
        <v>422</v>
      </c>
      <c r="C426" s="39">
        <f t="shared" si="12"/>
        <v>2872776.8949188013</v>
      </c>
      <c r="D426" s="39">
        <f t="shared" si="13"/>
        <v>1329440.5049533735</v>
      </c>
    </row>
    <row r="427" spans="2:4" x14ac:dyDescent="0.25">
      <c r="B427" s="90">
        <v>423</v>
      </c>
      <c r="C427" s="39">
        <f t="shared" si="12"/>
        <v>2875424.2335323528</v>
      </c>
      <c r="D427" s="39">
        <f t="shared" si="13"/>
        <v>1332590.8379035001</v>
      </c>
    </row>
    <row r="428" spans="2:4" x14ac:dyDescent="0.25">
      <c r="B428" s="90">
        <v>424</v>
      </c>
      <c r="C428" s="39">
        <f t="shared" si="12"/>
        <v>2878071.5721459044</v>
      </c>
      <c r="D428" s="39">
        <f t="shared" si="13"/>
        <v>1335741.1708536264</v>
      </c>
    </row>
    <row r="429" spans="2:4" x14ac:dyDescent="0.25">
      <c r="B429" s="90">
        <v>425</v>
      </c>
      <c r="C429" s="39">
        <f t="shared" si="12"/>
        <v>2880718.9107594565</v>
      </c>
      <c r="D429" s="39">
        <f t="shared" si="13"/>
        <v>1338891.5038037528</v>
      </c>
    </row>
    <row r="430" spans="2:4" x14ac:dyDescent="0.25">
      <c r="B430" s="90">
        <v>426</v>
      </c>
      <c r="C430" s="39">
        <f t="shared" si="12"/>
        <v>2883366.2493730076</v>
      </c>
      <c r="D430" s="39">
        <f t="shared" si="13"/>
        <v>1342041.8367538794</v>
      </c>
    </row>
    <row r="431" spans="2:4" x14ac:dyDescent="0.25">
      <c r="B431" s="90">
        <v>427</v>
      </c>
      <c r="C431" s="39">
        <f t="shared" si="12"/>
        <v>2886013.5879865596</v>
      </c>
      <c r="D431" s="39">
        <f t="shared" si="13"/>
        <v>1345192.1697040058</v>
      </c>
    </row>
    <row r="432" spans="2:4" x14ac:dyDescent="0.25">
      <c r="B432" s="90">
        <v>428</v>
      </c>
      <c r="C432" s="39">
        <f t="shared" si="12"/>
        <v>2888660.9266001112</v>
      </c>
      <c r="D432" s="39">
        <f t="shared" si="13"/>
        <v>1348342.5026541324</v>
      </c>
    </row>
    <row r="433" spans="2:4" x14ac:dyDescent="0.25">
      <c r="B433" s="90">
        <v>429</v>
      </c>
      <c r="C433" s="39">
        <f t="shared" ref="C433:C496" si="14">($C$2*B433)+$C$1</f>
        <v>2891308.2652136628</v>
      </c>
      <c r="D433" s="39">
        <f t="shared" ref="D433:D496" si="15">$D$2*B433</f>
        <v>1351492.8356042588</v>
      </c>
    </row>
    <row r="434" spans="2:4" x14ac:dyDescent="0.25">
      <c r="B434" s="90">
        <v>430</v>
      </c>
      <c r="C434" s="39">
        <f t="shared" si="14"/>
        <v>2893955.6038272148</v>
      </c>
      <c r="D434" s="39">
        <f t="shared" si="15"/>
        <v>1354643.1685543854</v>
      </c>
    </row>
    <row r="435" spans="2:4" x14ac:dyDescent="0.25">
      <c r="B435" s="90">
        <v>431</v>
      </c>
      <c r="C435" s="39">
        <f t="shared" si="14"/>
        <v>2896602.9424407659</v>
      </c>
      <c r="D435" s="39">
        <f t="shared" si="15"/>
        <v>1357793.5015045118</v>
      </c>
    </row>
    <row r="436" spans="2:4" x14ac:dyDescent="0.25">
      <c r="B436" s="90">
        <v>432</v>
      </c>
      <c r="C436" s="39">
        <f t="shared" si="14"/>
        <v>2899250.281054318</v>
      </c>
      <c r="D436" s="39">
        <f t="shared" si="15"/>
        <v>1360943.8344546382</v>
      </c>
    </row>
    <row r="437" spans="2:4" x14ac:dyDescent="0.25">
      <c r="B437" s="90">
        <v>433</v>
      </c>
      <c r="C437" s="39">
        <f t="shared" si="14"/>
        <v>2901897.6196678695</v>
      </c>
      <c r="D437" s="39">
        <f t="shared" si="15"/>
        <v>1364094.1674047648</v>
      </c>
    </row>
    <row r="438" spans="2:4" x14ac:dyDescent="0.25">
      <c r="B438" s="90">
        <v>434</v>
      </c>
      <c r="C438" s="39">
        <f t="shared" si="14"/>
        <v>2904544.9582814211</v>
      </c>
      <c r="D438" s="39">
        <f t="shared" si="15"/>
        <v>1367244.5003548912</v>
      </c>
    </row>
    <row r="439" spans="2:4" x14ac:dyDescent="0.25">
      <c r="B439" s="90">
        <v>435</v>
      </c>
      <c r="C439" s="39">
        <f t="shared" si="14"/>
        <v>2907192.2968949731</v>
      </c>
      <c r="D439" s="39">
        <f t="shared" si="15"/>
        <v>1370394.8333050178</v>
      </c>
    </row>
    <row r="440" spans="2:4" x14ac:dyDescent="0.25">
      <c r="B440" s="90">
        <v>436</v>
      </c>
      <c r="C440" s="39">
        <f t="shared" si="14"/>
        <v>2909839.6355085243</v>
      </c>
      <c r="D440" s="39">
        <f t="shared" si="15"/>
        <v>1373545.1662551442</v>
      </c>
    </row>
    <row r="441" spans="2:4" x14ac:dyDescent="0.25">
      <c r="B441" s="90">
        <v>437</v>
      </c>
      <c r="C441" s="39">
        <f t="shared" si="14"/>
        <v>2912486.9741220763</v>
      </c>
      <c r="D441" s="39">
        <f t="shared" si="15"/>
        <v>1376695.4992052708</v>
      </c>
    </row>
    <row r="442" spans="2:4" x14ac:dyDescent="0.25">
      <c r="B442" s="90">
        <v>438</v>
      </c>
      <c r="C442" s="39">
        <f t="shared" si="14"/>
        <v>2915134.3127356279</v>
      </c>
      <c r="D442" s="39">
        <f t="shared" si="15"/>
        <v>1379845.8321553972</v>
      </c>
    </row>
    <row r="443" spans="2:4" x14ac:dyDescent="0.25">
      <c r="B443" s="90">
        <v>439</v>
      </c>
      <c r="C443" s="39">
        <f t="shared" si="14"/>
        <v>2917781.6513491794</v>
      </c>
      <c r="D443" s="39">
        <f t="shared" si="15"/>
        <v>1382996.1651055235</v>
      </c>
    </row>
    <row r="444" spans="2:4" x14ac:dyDescent="0.25">
      <c r="B444" s="90">
        <v>440</v>
      </c>
      <c r="C444" s="39">
        <f t="shared" si="14"/>
        <v>2920428.989962731</v>
      </c>
      <c r="D444" s="39">
        <f t="shared" si="15"/>
        <v>1386146.4980556502</v>
      </c>
    </row>
    <row r="445" spans="2:4" x14ac:dyDescent="0.25">
      <c r="B445" s="90">
        <v>441</v>
      </c>
      <c r="C445" s="39">
        <f t="shared" si="14"/>
        <v>2923076.3285762826</v>
      </c>
      <c r="D445" s="39">
        <f t="shared" si="15"/>
        <v>1389296.8310057765</v>
      </c>
    </row>
    <row r="446" spans="2:4" x14ac:dyDescent="0.25">
      <c r="B446" s="90">
        <v>442</v>
      </c>
      <c r="C446" s="39">
        <f t="shared" si="14"/>
        <v>2925723.6671898346</v>
      </c>
      <c r="D446" s="39">
        <f t="shared" si="15"/>
        <v>1392447.1639559031</v>
      </c>
    </row>
    <row r="447" spans="2:4" x14ac:dyDescent="0.25">
      <c r="B447" s="90">
        <v>443</v>
      </c>
      <c r="C447" s="39">
        <f t="shared" si="14"/>
        <v>2928371.0058033862</v>
      </c>
      <c r="D447" s="39">
        <f t="shared" si="15"/>
        <v>1395597.4969060295</v>
      </c>
    </row>
    <row r="448" spans="2:4" x14ac:dyDescent="0.25">
      <c r="B448" s="90">
        <v>444</v>
      </c>
      <c r="C448" s="39">
        <f t="shared" si="14"/>
        <v>2931018.3444169378</v>
      </c>
      <c r="D448" s="39">
        <f t="shared" si="15"/>
        <v>1398747.8298561559</v>
      </c>
    </row>
    <row r="449" spans="2:4" x14ac:dyDescent="0.25">
      <c r="B449" s="90">
        <v>445</v>
      </c>
      <c r="C449" s="39">
        <f t="shared" si="14"/>
        <v>2933665.6830304894</v>
      </c>
      <c r="D449" s="39">
        <f t="shared" si="15"/>
        <v>1401898.1628062825</v>
      </c>
    </row>
    <row r="450" spans="2:4" x14ac:dyDescent="0.25">
      <c r="B450" s="90">
        <v>446</v>
      </c>
      <c r="C450" s="39">
        <f t="shared" si="14"/>
        <v>2936313.0216440409</v>
      </c>
      <c r="D450" s="39">
        <f t="shared" si="15"/>
        <v>1405048.4957564089</v>
      </c>
    </row>
    <row r="451" spans="2:4" x14ac:dyDescent="0.25">
      <c r="B451" s="90">
        <v>447</v>
      </c>
      <c r="C451" s="39">
        <f t="shared" si="14"/>
        <v>2938960.360257593</v>
      </c>
      <c r="D451" s="39">
        <f t="shared" si="15"/>
        <v>1408198.8287065355</v>
      </c>
    </row>
    <row r="452" spans="2:4" x14ac:dyDescent="0.25">
      <c r="B452" s="90">
        <v>448</v>
      </c>
      <c r="C452" s="39">
        <f t="shared" si="14"/>
        <v>2941607.6988711441</v>
      </c>
      <c r="D452" s="39">
        <f t="shared" si="15"/>
        <v>1411349.1616566619</v>
      </c>
    </row>
    <row r="453" spans="2:4" x14ac:dyDescent="0.25">
      <c r="B453" s="90">
        <v>449</v>
      </c>
      <c r="C453" s="39">
        <f t="shared" si="14"/>
        <v>2944255.0374846961</v>
      </c>
      <c r="D453" s="39">
        <f t="shared" si="15"/>
        <v>1414499.4946067885</v>
      </c>
    </row>
    <row r="454" spans="2:4" x14ac:dyDescent="0.25">
      <c r="B454" s="90">
        <v>450</v>
      </c>
      <c r="C454" s="39">
        <f t="shared" si="14"/>
        <v>2946902.3760982477</v>
      </c>
      <c r="D454" s="39">
        <f t="shared" si="15"/>
        <v>1417649.8275569149</v>
      </c>
    </row>
    <row r="455" spans="2:4" x14ac:dyDescent="0.25">
      <c r="B455" s="90">
        <v>451</v>
      </c>
      <c r="C455" s="39">
        <f t="shared" si="14"/>
        <v>2949549.7147117993</v>
      </c>
      <c r="D455" s="39">
        <f t="shared" si="15"/>
        <v>1420800.1605070413</v>
      </c>
    </row>
    <row r="456" spans="2:4" x14ac:dyDescent="0.25">
      <c r="B456" s="90">
        <v>452</v>
      </c>
      <c r="C456" s="39">
        <f t="shared" si="14"/>
        <v>2952197.0533253513</v>
      </c>
      <c r="D456" s="39">
        <f t="shared" si="15"/>
        <v>1423950.4934571679</v>
      </c>
    </row>
    <row r="457" spans="2:4" x14ac:dyDescent="0.25">
      <c r="B457" s="90">
        <v>453</v>
      </c>
      <c r="C457" s="39">
        <f t="shared" si="14"/>
        <v>2954844.3919389024</v>
      </c>
      <c r="D457" s="39">
        <f t="shared" si="15"/>
        <v>1427100.8264072943</v>
      </c>
    </row>
    <row r="458" spans="2:4" x14ac:dyDescent="0.25">
      <c r="B458" s="90">
        <v>454</v>
      </c>
      <c r="C458" s="39">
        <f t="shared" si="14"/>
        <v>2957491.7305524545</v>
      </c>
      <c r="D458" s="39">
        <f t="shared" si="15"/>
        <v>1430251.1593574209</v>
      </c>
    </row>
    <row r="459" spans="2:4" x14ac:dyDescent="0.25">
      <c r="B459" s="90">
        <v>455</v>
      </c>
      <c r="C459" s="39">
        <f t="shared" si="14"/>
        <v>2960139.0691660061</v>
      </c>
      <c r="D459" s="39">
        <f t="shared" si="15"/>
        <v>1433401.4923075472</v>
      </c>
    </row>
    <row r="460" spans="2:4" x14ac:dyDescent="0.25">
      <c r="B460" s="90">
        <v>456</v>
      </c>
      <c r="C460" s="39">
        <f t="shared" si="14"/>
        <v>2962786.4077795576</v>
      </c>
      <c r="D460" s="39">
        <f t="shared" si="15"/>
        <v>1436551.8252576736</v>
      </c>
    </row>
    <row r="461" spans="2:4" x14ac:dyDescent="0.25">
      <c r="B461" s="90">
        <v>457</v>
      </c>
      <c r="C461" s="39">
        <f t="shared" si="14"/>
        <v>2965433.7463931097</v>
      </c>
      <c r="D461" s="39">
        <f t="shared" si="15"/>
        <v>1439702.1582078002</v>
      </c>
    </row>
    <row r="462" spans="2:4" x14ac:dyDescent="0.25">
      <c r="B462" s="90">
        <v>458</v>
      </c>
      <c r="C462" s="39">
        <f t="shared" si="14"/>
        <v>2968081.0850066608</v>
      </c>
      <c r="D462" s="39">
        <f t="shared" si="15"/>
        <v>1442852.4911579266</v>
      </c>
    </row>
    <row r="463" spans="2:4" x14ac:dyDescent="0.25">
      <c r="B463" s="90">
        <v>459</v>
      </c>
      <c r="C463" s="39">
        <f t="shared" si="14"/>
        <v>2970728.4236202128</v>
      </c>
      <c r="D463" s="39">
        <f t="shared" si="15"/>
        <v>1446002.8241080532</v>
      </c>
    </row>
    <row r="464" spans="2:4" x14ac:dyDescent="0.25">
      <c r="B464" s="90">
        <v>460</v>
      </c>
      <c r="C464" s="39">
        <f t="shared" si="14"/>
        <v>2973375.7622337644</v>
      </c>
      <c r="D464" s="39">
        <f t="shared" si="15"/>
        <v>1449153.1570581796</v>
      </c>
    </row>
    <row r="465" spans="2:4" x14ac:dyDescent="0.25">
      <c r="B465" s="90">
        <v>461</v>
      </c>
      <c r="C465" s="39">
        <f t="shared" si="14"/>
        <v>2976023.100847316</v>
      </c>
      <c r="D465" s="39">
        <f t="shared" si="15"/>
        <v>1452303.4900083062</v>
      </c>
    </row>
    <row r="466" spans="2:4" x14ac:dyDescent="0.25">
      <c r="B466" s="90">
        <v>462</v>
      </c>
      <c r="C466" s="39">
        <f t="shared" si="14"/>
        <v>2978670.439460868</v>
      </c>
      <c r="D466" s="39">
        <f t="shared" si="15"/>
        <v>1455453.8229584326</v>
      </c>
    </row>
    <row r="467" spans="2:4" x14ac:dyDescent="0.25">
      <c r="B467" s="90">
        <v>463</v>
      </c>
      <c r="C467" s="39">
        <f t="shared" si="14"/>
        <v>2981317.7780744191</v>
      </c>
      <c r="D467" s="39">
        <f t="shared" si="15"/>
        <v>1458604.155908559</v>
      </c>
    </row>
    <row r="468" spans="2:4" x14ac:dyDescent="0.25">
      <c r="B468" s="90">
        <v>464</v>
      </c>
      <c r="C468" s="39">
        <f t="shared" si="14"/>
        <v>2983965.1166879712</v>
      </c>
      <c r="D468" s="39">
        <f t="shared" si="15"/>
        <v>1461754.4888586856</v>
      </c>
    </row>
    <row r="469" spans="2:4" x14ac:dyDescent="0.25">
      <c r="B469" s="90">
        <v>465</v>
      </c>
      <c r="C469" s="39">
        <f t="shared" si="14"/>
        <v>2986612.4553015227</v>
      </c>
      <c r="D469" s="39">
        <f t="shared" si="15"/>
        <v>1464904.821808812</v>
      </c>
    </row>
    <row r="470" spans="2:4" x14ac:dyDescent="0.25">
      <c r="B470" s="90">
        <v>466</v>
      </c>
      <c r="C470" s="39">
        <f t="shared" si="14"/>
        <v>2989259.7939150743</v>
      </c>
      <c r="D470" s="39">
        <f t="shared" si="15"/>
        <v>1468055.1547589386</v>
      </c>
    </row>
    <row r="471" spans="2:4" x14ac:dyDescent="0.25">
      <c r="B471" s="90">
        <v>467</v>
      </c>
      <c r="C471" s="39">
        <f t="shared" si="14"/>
        <v>2991907.1325286259</v>
      </c>
      <c r="D471" s="39">
        <f t="shared" si="15"/>
        <v>1471205.487709065</v>
      </c>
    </row>
    <row r="472" spans="2:4" x14ac:dyDescent="0.25">
      <c r="B472" s="90">
        <v>468</v>
      </c>
      <c r="C472" s="39">
        <f t="shared" si="14"/>
        <v>2994554.4711421775</v>
      </c>
      <c r="D472" s="39">
        <f t="shared" si="15"/>
        <v>1474355.8206591916</v>
      </c>
    </row>
    <row r="473" spans="2:4" x14ac:dyDescent="0.25">
      <c r="B473" s="90">
        <v>469</v>
      </c>
      <c r="C473" s="39">
        <f t="shared" si="14"/>
        <v>2997201.8097557295</v>
      </c>
      <c r="D473" s="39">
        <f t="shared" si="15"/>
        <v>1477506.153609318</v>
      </c>
    </row>
    <row r="474" spans="2:4" x14ac:dyDescent="0.25">
      <c r="B474" s="90">
        <v>470</v>
      </c>
      <c r="C474" s="39">
        <f t="shared" si="14"/>
        <v>2999849.1483692806</v>
      </c>
      <c r="D474" s="39">
        <f t="shared" si="15"/>
        <v>1480656.4865594443</v>
      </c>
    </row>
    <row r="475" spans="2:4" x14ac:dyDescent="0.25">
      <c r="B475" s="90">
        <v>471</v>
      </c>
      <c r="C475" s="39">
        <f t="shared" si="14"/>
        <v>3002496.4869828327</v>
      </c>
      <c r="D475" s="39">
        <f t="shared" si="15"/>
        <v>1483806.819509571</v>
      </c>
    </row>
    <row r="476" spans="2:4" x14ac:dyDescent="0.25">
      <c r="B476" s="90">
        <v>472</v>
      </c>
      <c r="C476" s="39">
        <f t="shared" si="14"/>
        <v>3005143.8255963842</v>
      </c>
      <c r="D476" s="39">
        <f t="shared" si="15"/>
        <v>1486957.1524596973</v>
      </c>
    </row>
    <row r="477" spans="2:4" x14ac:dyDescent="0.25">
      <c r="B477" s="90">
        <v>473</v>
      </c>
      <c r="C477" s="39">
        <f t="shared" si="14"/>
        <v>3007791.1642099358</v>
      </c>
      <c r="D477" s="39">
        <f t="shared" si="15"/>
        <v>1490107.4854098239</v>
      </c>
    </row>
    <row r="478" spans="2:4" x14ac:dyDescent="0.25">
      <c r="B478" s="90">
        <v>474</v>
      </c>
      <c r="C478" s="39">
        <f t="shared" si="14"/>
        <v>3010438.5028234879</v>
      </c>
      <c r="D478" s="39">
        <f t="shared" si="15"/>
        <v>1493257.8183599503</v>
      </c>
    </row>
    <row r="479" spans="2:4" x14ac:dyDescent="0.25">
      <c r="B479" s="90">
        <v>475</v>
      </c>
      <c r="C479" s="39">
        <f t="shared" si="14"/>
        <v>3013085.841437039</v>
      </c>
      <c r="D479" s="39">
        <f t="shared" si="15"/>
        <v>1496408.1513100767</v>
      </c>
    </row>
    <row r="480" spans="2:4" x14ac:dyDescent="0.25">
      <c r="B480" s="90">
        <v>476</v>
      </c>
      <c r="C480" s="39">
        <f t="shared" si="14"/>
        <v>3015733.180050591</v>
      </c>
      <c r="D480" s="39">
        <f t="shared" si="15"/>
        <v>1499558.4842602033</v>
      </c>
    </row>
    <row r="481" spans="2:4" x14ac:dyDescent="0.25">
      <c r="B481" s="90">
        <v>477</v>
      </c>
      <c r="C481" s="39">
        <f t="shared" si="14"/>
        <v>3018380.5186641426</v>
      </c>
      <c r="D481" s="39">
        <f t="shared" si="15"/>
        <v>1502708.8172103297</v>
      </c>
    </row>
    <row r="482" spans="2:4" x14ac:dyDescent="0.25">
      <c r="B482" s="90">
        <v>478</v>
      </c>
      <c r="C482" s="39">
        <f t="shared" si="14"/>
        <v>3021027.8572776942</v>
      </c>
      <c r="D482" s="39">
        <f t="shared" si="15"/>
        <v>1505859.1501604563</v>
      </c>
    </row>
    <row r="483" spans="2:4" x14ac:dyDescent="0.25">
      <c r="B483" s="90">
        <v>479</v>
      </c>
      <c r="C483" s="39">
        <f t="shared" si="14"/>
        <v>3023675.1958912462</v>
      </c>
      <c r="D483" s="39">
        <f t="shared" si="15"/>
        <v>1509009.4831105827</v>
      </c>
    </row>
    <row r="484" spans="2:4" x14ac:dyDescent="0.25">
      <c r="B484" s="90">
        <v>480</v>
      </c>
      <c r="C484" s="39">
        <f t="shared" si="14"/>
        <v>3026322.5345047973</v>
      </c>
      <c r="D484" s="39">
        <f t="shared" si="15"/>
        <v>1512159.8160607093</v>
      </c>
    </row>
    <row r="485" spans="2:4" x14ac:dyDescent="0.25">
      <c r="B485" s="90">
        <v>481</v>
      </c>
      <c r="C485" s="39">
        <f t="shared" si="14"/>
        <v>3028969.8731183494</v>
      </c>
      <c r="D485" s="39">
        <f t="shared" si="15"/>
        <v>1515310.1490108357</v>
      </c>
    </row>
    <row r="486" spans="2:4" x14ac:dyDescent="0.25">
      <c r="B486" s="90">
        <v>482</v>
      </c>
      <c r="C486" s="39">
        <f t="shared" si="14"/>
        <v>3031617.2117319009</v>
      </c>
      <c r="D486" s="39">
        <f t="shared" si="15"/>
        <v>1518460.4819609621</v>
      </c>
    </row>
    <row r="487" spans="2:4" x14ac:dyDescent="0.25">
      <c r="B487" s="90">
        <v>483</v>
      </c>
      <c r="C487" s="39">
        <f t="shared" si="14"/>
        <v>3034264.5503454525</v>
      </c>
      <c r="D487" s="39">
        <f t="shared" si="15"/>
        <v>1521610.8149110887</v>
      </c>
    </row>
    <row r="488" spans="2:4" x14ac:dyDescent="0.25">
      <c r="B488" s="90">
        <v>484</v>
      </c>
      <c r="C488" s="39">
        <f t="shared" si="14"/>
        <v>3036911.8889590045</v>
      </c>
      <c r="D488" s="39">
        <f t="shared" si="15"/>
        <v>1524761.1478612151</v>
      </c>
    </row>
    <row r="489" spans="2:4" x14ac:dyDescent="0.25">
      <c r="B489" s="90">
        <v>485</v>
      </c>
      <c r="C489" s="39">
        <f t="shared" si="14"/>
        <v>3039559.2275725557</v>
      </c>
      <c r="D489" s="39">
        <f t="shared" si="15"/>
        <v>1527911.4808113417</v>
      </c>
    </row>
    <row r="490" spans="2:4" x14ac:dyDescent="0.25">
      <c r="B490" s="90">
        <v>486</v>
      </c>
      <c r="C490" s="39">
        <f t="shared" si="14"/>
        <v>3042206.5661861077</v>
      </c>
      <c r="D490" s="39">
        <f t="shared" si="15"/>
        <v>1531061.813761468</v>
      </c>
    </row>
    <row r="491" spans="2:4" x14ac:dyDescent="0.25">
      <c r="B491" s="90">
        <v>487</v>
      </c>
      <c r="C491" s="39">
        <f t="shared" si="14"/>
        <v>3044853.9047996593</v>
      </c>
      <c r="D491" s="39">
        <f t="shared" si="15"/>
        <v>1534212.1467115947</v>
      </c>
    </row>
    <row r="492" spans="2:4" x14ac:dyDescent="0.25">
      <c r="B492" s="90">
        <v>488</v>
      </c>
      <c r="C492" s="39">
        <f t="shared" si="14"/>
        <v>3047501.2434132108</v>
      </c>
      <c r="D492" s="39">
        <f t="shared" si="15"/>
        <v>1537362.479661721</v>
      </c>
    </row>
    <row r="493" spans="2:4" x14ac:dyDescent="0.25">
      <c r="B493" s="90">
        <v>489</v>
      </c>
      <c r="C493" s="39">
        <f t="shared" si="14"/>
        <v>3050148.5820267629</v>
      </c>
      <c r="D493" s="39">
        <f t="shared" si="15"/>
        <v>1540512.8126118474</v>
      </c>
    </row>
    <row r="494" spans="2:4" x14ac:dyDescent="0.25">
      <c r="B494" s="90">
        <v>490</v>
      </c>
      <c r="C494" s="39">
        <f t="shared" si="14"/>
        <v>3052795.920640314</v>
      </c>
      <c r="D494" s="39">
        <f t="shared" si="15"/>
        <v>1543663.145561974</v>
      </c>
    </row>
    <row r="495" spans="2:4" x14ac:dyDescent="0.25">
      <c r="B495" s="90">
        <v>491</v>
      </c>
      <c r="C495" s="39">
        <f t="shared" si="14"/>
        <v>3055443.259253866</v>
      </c>
      <c r="D495" s="39">
        <f t="shared" si="15"/>
        <v>1546813.4785121004</v>
      </c>
    </row>
    <row r="496" spans="2:4" x14ac:dyDescent="0.25">
      <c r="B496" s="90">
        <v>492</v>
      </c>
      <c r="C496" s="39">
        <f t="shared" si="14"/>
        <v>3058090.5978674176</v>
      </c>
      <c r="D496" s="39">
        <f t="shared" si="15"/>
        <v>1549963.811462227</v>
      </c>
    </row>
    <row r="497" spans="2:4" x14ac:dyDescent="0.25">
      <c r="B497" s="90">
        <v>493</v>
      </c>
      <c r="C497" s="39">
        <f t="shared" ref="C497:C560" si="16">($C$2*B497)+$C$1</f>
        <v>3060737.9364809692</v>
      </c>
      <c r="D497" s="39">
        <f t="shared" ref="D497:D560" si="17">$D$2*B497</f>
        <v>1553114.1444123534</v>
      </c>
    </row>
    <row r="498" spans="2:4" x14ac:dyDescent="0.25">
      <c r="B498" s="90">
        <v>494</v>
      </c>
      <c r="C498" s="39">
        <f t="shared" si="16"/>
        <v>3063385.2750945208</v>
      </c>
      <c r="D498" s="39">
        <f t="shared" si="17"/>
        <v>1556264.4773624798</v>
      </c>
    </row>
    <row r="499" spans="2:4" x14ac:dyDescent="0.25">
      <c r="B499" s="90">
        <v>495</v>
      </c>
      <c r="C499" s="39">
        <f t="shared" si="16"/>
        <v>3066032.6137080723</v>
      </c>
      <c r="D499" s="39">
        <f t="shared" si="17"/>
        <v>1559414.8103126064</v>
      </c>
    </row>
    <row r="500" spans="2:4" x14ac:dyDescent="0.25">
      <c r="B500" s="90">
        <v>496</v>
      </c>
      <c r="C500" s="39">
        <f t="shared" si="16"/>
        <v>3068679.9523216244</v>
      </c>
      <c r="D500" s="39">
        <f t="shared" si="17"/>
        <v>1562565.1432627328</v>
      </c>
    </row>
    <row r="501" spans="2:4" x14ac:dyDescent="0.25">
      <c r="B501" s="90">
        <v>497</v>
      </c>
      <c r="C501" s="39">
        <f t="shared" si="16"/>
        <v>3071327.2909351755</v>
      </c>
      <c r="D501" s="39">
        <f t="shared" si="17"/>
        <v>1565715.4762128594</v>
      </c>
    </row>
    <row r="502" spans="2:4" x14ac:dyDescent="0.25">
      <c r="B502" s="90">
        <v>498</v>
      </c>
      <c r="C502" s="39">
        <f t="shared" si="16"/>
        <v>3073974.6295487275</v>
      </c>
      <c r="D502" s="39">
        <f t="shared" si="17"/>
        <v>1568865.8091629858</v>
      </c>
    </row>
    <row r="503" spans="2:4" x14ac:dyDescent="0.25">
      <c r="B503" s="90">
        <v>499</v>
      </c>
      <c r="C503" s="39">
        <f t="shared" si="16"/>
        <v>3076621.9681622791</v>
      </c>
      <c r="D503" s="39">
        <f t="shared" si="17"/>
        <v>1572016.1421131124</v>
      </c>
    </row>
    <row r="504" spans="2:4" x14ac:dyDescent="0.25">
      <c r="B504" s="90">
        <v>500</v>
      </c>
      <c r="C504" s="39">
        <f t="shared" si="16"/>
        <v>3079269.3067758307</v>
      </c>
      <c r="D504" s="39">
        <f t="shared" si="17"/>
        <v>1575166.4750632388</v>
      </c>
    </row>
    <row r="505" spans="2:4" x14ac:dyDescent="0.25">
      <c r="B505" s="90">
        <v>501</v>
      </c>
      <c r="C505" s="39">
        <f t="shared" si="16"/>
        <v>3081916.6453893827</v>
      </c>
      <c r="D505" s="39">
        <f t="shared" si="17"/>
        <v>1578316.8080133651</v>
      </c>
    </row>
    <row r="506" spans="2:4" x14ac:dyDescent="0.25">
      <c r="B506" s="90">
        <v>502</v>
      </c>
      <c r="C506" s="39">
        <f t="shared" si="16"/>
        <v>3084563.9840029338</v>
      </c>
      <c r="D506" s="39">
        <f t="shared" si="17"/>
        <v>1581467.1409634918</v>
      </c>
    </row>
    <row r="507" spans="2:4" x14ac:dyDescent="0.25">
      <c r="B507" s="90">
        <v>503</v>
      </c>
      <c r="C507" s="39">
        <f t="shared" si="16"/>
        <v>3087211.3226164859</v>
      </c>
      <c r="D507" s="39">
        <f t="shared" si="17"/>
        <v>1584617.4739136181</v>
      </c>
    </row>
    <row r="508" spans="2:4" x14ac:dyDescent="0.25">
      <c r="B508" s="90">
        <v>504</v>
      </c>
      <c r="C508" s="39">
        <f t="shared" si="16"/>
        <v>3089858.6612300375</v>
      </c>
      <c r="D508" s="39">
        <f t="shared" si="17"/>
        <v>1587767.8068637447</v>
      </c>
    </row>
    <row r="509" spans="2:4" x14ac:dyDescent="0.25">
      <c r="B509" s="90">
        <v>505</v>
      </c>
      <c r="C509" s="39">
        <f t="shared" si="16"/>
        <v>3092505.999843589</v>
      </c>
      <c r="D509" s="39">
        <f t="shared" si="17"/>
        <v>1590918.1398138711</v>
      </c>
    </row>
    <row r="510" spans="2:4" x14ac:dyDescent="0.25">
      <c r="B510" s="90">
        <v>506</v>
      </c>
      <c r="C510" s="39">
        <f t="shared" si="16"/>
        <v>3095153.3384571411</v>
      </c>
      <c r="D510" s="39">
        <f t="shared" si="17"/>
        <v>1594068.4727639975</v>
      </c>
    </row>
    <row r="511" spans="2:4" x14ac:dyDescent="0.25">
      <c r="B511" s="90">
        <v>507</v>
      </c>
      <c r="C511" s="39">
        <f t="shared" si="16"/>
        <v>3097800.6770706922</v>
      </c>
      <c r="D511" s="39">
        <f t="shared" si="17"/>
        <v>1597218.8057141241</v>
      </c>
    </row>
    <row r="512" spans="2:4" x14ac:dyDescent="0.25">
      <c r="B512" s="90">
        <v>508</v>
      </c>
      <c r="C512" s="39">
        <f t="shared" si="16"/>
        <v>3100448.0156842442</v>
      </c>
      <c r="D512" s="39">
        <f t="shared" si="17"/>
        <v>1600369.1386642505</v>
      </c>
    </row>
    <row r="513" spans="2:4" x14ac:dyDescent="0.25">
      <c r="B513" s="90">
        <v>509</v>
      </c>
      <c r="C513" s="39">
        <f t="shared" si="16"/>
        <v>3103095.3542977958</v>
      </c>
      <c r="D513" s="39">
        <f t="shared" si="17"/>
        <v>1603519.4716143771</v>
      </c>
    </row>
    <row r="514" spans="2:4" x14ac:dyDescent="0.25">
      <c r="B514" s="90">
        <v>510</v>
      </c>
      <c r="C514" s="39">
        <f t="shared" si="16"/>
        <v>3105742.6929113474</v>
      </c>
      <c r="D514" s="39">
        <f t="shared" si="17"/>
        <v>1606669.8045645035</v>
      </c>
    </row>
    <row r="515" spans="2:4" x14ac:dyDescent="0.25">
      <c r="B515" s="90">
        <v>511</v>
      </c>
      <c r="C515" s="39">
        <f t="shared" si="16"/>
        <v>3108390.0315248994</v>
      </c>
      <c r="D515" s="39">
        <f t="shared" si="17"/>
        <v>1609820.1375146301</v>
      </c>
    </row>
    <row r="516" spans="2:4" x14ac:dyDescent="0.25">
      <c r="B516" s="90">
        <v>512</v>
      </c>
      <c r="C516" s="39">
        <f t="shared" si="16"/>
        <v>3111037.3701384505</v>
      </c>
      <c r="D516" s="39">
        <f t="shared" si="17"/>
        <v>1612970.4704647565</v>
      </c>
    </row>
    <row r="517" spans="2:4" x14ac:dyDescent="0.25">
      <c r="B517" s="90">
        <v>513</v>
      </c>
      <c r="C517" s="39">
        <f t="shared" si="16"/>
        <v>3113684.7087520026</v>
      </c>
      <c r="D517" s="39">
        <f t="shared" si="17"/>
        <v>1616120.8034148829</v>
      </c>
    </row>
    <row r="518" spans="2:4" x14ac:dyDescent="0.25">
      <c r="B518" s="90">
        <v>514</v>
      </c>
      <c r="C518" s="39">
        <f t="shared" si="16"/>
        <v>3116332.0473655541</v>
      </c>
      <c r="D518" s="39">
        <f t="shared" si="17"/>
        <v>1619271.1363650095</v>
      </c>
    </row>
    <row r="519" spans="2:4" x14ac:dyDescent="0.25">
      <c r="B519" s="90">
        <v>515</v>
      </c>
      <c r="C519" s="39">
        <f t="shared" si="16"/>
        <v>3118979.3859791057</v>
      </c>
      <c r="D519" s="39">
        <f t="shared" si="17"/>
        <v>1622421.4693151359</v>
      </c>
    </row>
    <row r="520" spans="2:4" x14ac:dyDescent="0.25">
      <c r="B520" s="90">
        <v>516</v>
      </c>
      <c r="C520" s="39">
        <f t="shared" si="16"/>
        <v>3121626.7245926573</v>
      </c>
      <c r="D520" s="39">
        <f t="shared" si="17"/>
        <v>1625571.8022652625</v>
      </c>
    </row>
    <row r="521" spans="2:4" x14ac:dyDescent="0.25">
      <c r="B521" s="90">
        <v>517</v>
      </c>
      <c r="C521" s="39">
        <f t="shared" si="16"/>
        <v>3124274.0632062089</v>
      </c>
      <c r="D521" s="39">
        <f t="shared" si="17"/>
        <v>1628722.1352153888</v>
      </c>
    </row>
    <row r="522" spans="2:4" x14ac:dyDescent="0.25">
      <c r="B522" s="90">
        <v>518</v>
      </c>
      <c r="C522" s="39">
        <f t="shared" si="16"/>
        <v>3126921.4018197609</v>
      </c>
      <c r="D522" s="39">
        <f t="shared" si="17"/>
        <v>1631872.4681655155</v>
      </c>
    </row>
    <row r="523" spans="2:4" x14ac:dyDescent="0.25">
      <c r="B523" s="90">
        <v>519</v>
      </c>
      <c r="C523" s="39">
        <f t="shared" si="16"/>
        <v>3129568.7404333125</v>
      </c>
      <c r="D523" s="39">
        <f t="shared" si="17"/>
        <v>1635022.8011156418</v>
      </c>
    </row>
    <row r="524" spans="2:4" x14ac:dyDescent="0.25">
      <c r="B524" s="90">
        <v>520</v>
      </c>
      <c r="C524" s="39">
        <f t="shared" si="16"/>
        <v>3132216.0790468641</v>
      </c>
      <c r="D524" s="39">
        <f t="shared" si="17"/>
        <v>1638173.1340657682</v>
      </c>
    </row>
    <row r="525" spans="2:4" x14ac:dyDescent="0.25">
      <c r="B525" s="90">
        <v>521</v>
      </c>
      <c r="C525" s="39">
        <f t="shared" si="16"/>
        <v>3134863.4176604156</v>
      </c>
      <c r="D525" s="39">
        <f t="shared" si="17"/>
        <v>1641323.4670158948</v>
      </c>
    </row>
    <row r="526" spans="2:4" x14ac:dyDescent="0.25">
      <c r="B526" s="90">
        <v>522</v>
      </c>
      <c r="C526" s="39">
        <f t="shared" si="16"/>
        <v>3137510.7562739672</v>
      </c>
      <c r="D526" s="39">
        <f t="shared" si="17"/>
        <v>1644473.7999660212</v>
      </c>
    </row>
    <row r="527" spans="2:4" x14ac:dyDescent="0.25">
      <c r="B527" s="90">
        <v>523</v>
      </c>
      <c r="C527" s="39">
        <f t="shared" si="16"/>
        <v>3140158.0948875193</v>
      </c>
      <c r="D527" s="39">
        <f t="shared" si="17"/>
        <v>1647624.1329161478</v>
      </c>
    </row>
    <row r="528" spans="2:4" x14ac:dyDescent="0.25">
      <c r="B528" s="90">
        <v>524</v>
      </c>
      <c r="C528" s="39">
        <f t="shared" si="16"/>
        <v>3142805.4335010704</v>
      </c>
      <c r="D528" s="39">
        <f t="shared" si="17"/>
        <v>1650774.4658662742</v>
      </c>
    </row>
    <row r="529" spans="2:4" x14ac:dyDescent="0.25">
      <c r="B529" s="90">
        <v>525</v>
      </c>
      <c r="C529" s="39">
        <f t="shared" si="16"/>
        <v>3145452.7721146224</v>
      </c>
      <c r="D529" s="39">
        <f t="shared" si="17"/>
        <v>1653924.7988164006</v>
      </c>
    </row>
    <row r="530" spans="2:4" x14ac:dyDescent="0.25">
      <c r="B530" s="90">
        <v>526</v>
      </c>
      <c r="C530" s="39">
        <f t="shared" si="16"/>
        <v>3148100.110728174</v>
      </c>
      <c r="D530" s="39">
        <f t="shared" si="17"/>
        <v>1657075.1317665272</v>
      </c>
    </row>
    <row r="531" spans="2:4" x14ac:dyDescent="0.25">
      <c r="B531" s="90">
        <v>527</v>
      </c>
      <c r="C531" s="39">
        <f t="shared" si="16"/>
        <v>3150747.4493417256</v>
      </c>
      <c r="D531" s="39">
        <f t="shared" si="17"/>
        <v>1660225.4647166536</v>
      </c>
    </row>
    <row r="532" spans="2:4" x14ac:dyDescent="0.25">
      <c r="B532" s="90">
        <v>528</v>
      </c>
      <c r="C532" s="39">
        <f t="shared" si="16"/>
        <v>3153394.7879552776</v>
      </c>
      <c r="D532" s="39">
        <f t="shared" si="17"/>
        <v>1663375.7976667802</v>
      </c>
    </row>
    <row r="533" spans="2:4" x14ac:dyDescent="0.25">
      <c r="B533" s="90">
        <v>529</v>
      </c>
      <c r="C533" s="39">
        <f t="shared" si="16"/>
        <v>3156042.1265688287</v>
      </c>
      <c r="D533" s="39">
        <f t="shared" si="17"/>
        <v>1666526.1306169066</v>
      </c>
    </row>
    <row r="534" spans="2:4" x14ac:dyDescent="0.25">
      <c r="B534" s="90">
        <v>530</v>
      </c>
      <c r="C534" s="39">
        <f t="shared" si="16"/>
        <v>3158689.4651823808</v>
      </c>
      <c r="D534" s="39">
        <f t="shared" si="17"/>
        <v>1669676.4635670332</v>
      </c>
    </row>
    <row r="535" spans="2:4" x14ac:dyDescent="0.25">
      <c r="B535" s="90">
        <v>531</v>
      </c>
      <c r="C535" s="39">
        <f t="shared" si="16"/>
        <v>3161336.8037959323</v>
      </c>
      <c r="D535" s="39">
        <f t="shared" si="17"/>
        <v>1672826.7965171596</v>
      </c>
    </row>
    <row r="536" spans="2:4" x14ac:dyDescent="0.25">
      <c r="B536" s="90">
        <v>532</v>
      </c>
      <c r="C536" s="39">
        <f t="shared" si="16"/>
        <v>3163984.1424094839</v>
      </c>
      <c r="D536" s="39">
        <f t="shared" si="17"/>
        <v>1675977.1294672859</v>
      </c>
    </row>
    <row r="537" spans="2:4" x14ac:dyDescent="0.25">
      <c r="B537" s="90">
        <v>533</v>
      </c>
      <c r="C537" s="39">
        <f t="shared" si="16"/>
        <v>3166631.4810230359</v>
      </c>
      <c r="D537" s="39">
        <f t="shared" si="17"/>
        <v>1679127.4624174125</v>
      </c>
    </row>
    <row r="538" spans="2:4" x14ac:dyDescent="0.25">
      <c r="B538" s="90">
        <v>534</v>
      </c>
      <c r="C538" s="39">
        <f t="shared" si="16"/>
        <v>3169278.8196365871</v>
      </c>
      <c r="D538" s="39">
        <f t="shared" si="17"/>
        <v>1682277.7953675389</v>
      </c>
    </row>
    <row r="539" spans="2:4" x14ac:dyDescent="0.25">
      <c r="B539" s="90">
        <v>535</v>
      </c>
      <c r="C539" s="39">
        <f t="shared" si="16"/>
        <v>3171926.1582501391</v>
      </c>
      <c r="D539" s="39">
        <f t="shared" si="17"/>
        <v>1685428.1283176655</v>
      </c>
    </row>
    <row r="540" spans="2:4" x14ac:dyDescent="0.25">
      <c r="B540" s="90">
        <v>536</v>
      </c>
      <c r="C540" s="39">
        <f t="shared" si="16"/>
        <v>3174573.4968636907</v>
      </c>
      <c r="D540" s="39">
        <f t="shared" si="17"/>
        <v>1688578.4612677919</v>
      </c>
    </row>
    <row r="541" spans="2:4" x14ac:dyDescent="0.25">
      <c r="B541" s="90">
        <v>537</v>
      </c>
      <c r="C541" s="39">
        <f t="shared" si="16"/>
        <v>3177220.8354772422</v>
      </c>
      <c r="D541" s="39">
        <f t="shared" si="17"/>
        <v>1691728.7942179183</v>
      </c>
    </row>
    <row r="542" spans="2:4" x14ac:dyDescent="0.25">
      <c r="B542" s="90">
        <v>538</v>
      </c>
      <c r="C542" s="39">
        <f t="shared" si="16"/>
        <v>3179868.1740907943</v>
      </c>
      <c r="D542" s="39">
        <f t="shared" si="17"/>
        <v>1694879.1271680449</v>
      </c>
    </row>
    <row r="543" spans="2:4" x14ac:dyDescent="0.25">
      <c r="B543" s="90">
        <v>539</v>
      </c>
      <c r="C543" s="39">
        <f t="shared" si="16"/>
        <v>3182515.5127043454</v>
      </c>
      <c r="D543" s="39">
        <f t="shared" si="17"/>
        <v>1698029.4601181713</v>
      </c>
    </row>
    <row r="544" spans="2:4" x14ac:dyDescent="0.25">
      <c r="B544" s="90">
        <v>540</v>
      </c>
      <c r="C544" s="39">
        <f t="shared" si="16"/>
        <v>3185162.8513178974</v>
      </c>
      <c r="D544" s="39">
        <f t="shared" si="17"/>
        <v>1701179.7930682979</v>
      </c>
    </row>
    <row r="545" spans="2:4" x14ac:dyDescent="0.25">
      <c r="B545" s="90">
        <v>541</v>
      </c>
      <c r="C545" s="39">
        <f t="shared" si="16"/>
        <v>3187810.189931449</v>
      </c>
      <c r="D545" s="39">
        <f t="shared" si="17"/>
        <v>1704330.1260184243</v>
      </c>
    </row>
    <row r="546" spans="2:4" x14ac:dyDescent="0.25">
      <c r="B546" s="90">
        <v>542</v>
      </c>
      <c r="C546" s="39">
        <f t="shared" si="16"/>
        <v>3190457.5285450006</v>
      </c>
      <c r="D546" s="39">
        <f t="shared" si="17"/>
        <v>1707480.4589685509</v>
      </c>
    </row>
    <row r="547" spans="2:4" x14ac:dyDescent="0.25">
      <c r="B547" s="90">
        <v>543</v>
      </c>
      <c r="C547" s="39">
        <f t="shared" si="16"/>
        <v>3193104.8671585522</v>
      </c>
      <c r="D547" s="39">
        <f t="shared" si="17"/>
        <v>1710630.7919186773</v>
      </c>
    </row>
    <row r="548" spans="2:4" x14ac:dyDescent="0.25">
      <c r="B548" s="90">
        <v>544</v>
      </c>
      <c r="C548" s="39">
        <f t="shared" si="16"/>
        <v>3195752.2057721037</v>
      </c>
      <c r="D548" s="39">
        <f t="shared" si="17"/>
        <v>1713781.1248688037</v>
      </c>
    </row>
    <row r="549" spans="2:4" x14ac:dyDescent="0.25">
      <c r="B549" s="90">
        <v>545</v>
      </c>
      <c r="C549" s="39">
        <f t="shared" si="16"/>
        <v>3198399.5443856558</v>
      </c>
      <c r="D549" s="39">
        <f t="shared" si="17"/>
        <v>1716931.4578189303</v>
      </c>
    </row>
    <row r="550" spans="2:4" x14ac:dyDescent="0.25">
      <c r="B550" s="90">
        <v>546</v>
      </c>
      <c r="C550" s="39">
        <f t="shared" si="16"/>
        <v>3201046.8829992074</v>
      </c>
      <c r="D550" s="39">
        <f t="shared" si="17"/>
        <v>1720081.7907690566</v>
      </c>
    </row>
    <row r="551" spans="2:4" x14ac:dyDescent="0.25">
      <c r="B551" s="90">
        <v>547</v>
      </c>
      <c r="C551" s="39">
        <f t="shared" si="16"/>
        <v>3203694.2216127589</v>
      </c>
      <c r="D551" s="39">
        <f t="shared" si="17"/>
        <v>1723232.1237191833</v>
      </c>
    </row>
    <row r="552" spans="2:4" x14ac:dyDescent="0.25">
      <c r="B552" s="90">
        <v>548</v>
      </c>
      <c r="C552" s="39">
        <f t="shared" si="16"/>
        <v>3206341.5602263105</v>
      </c>
      <c r="D552" s="39">
        <f t="shared" si="17"/>
        <v>1726382.4566693096</v>
      </c>
    </row>
    <row r="553" spans="2:4" x14ac:dyDescent="0.25">
      <c r="B553" s="90">
        <v>549</v>
      </c>
      <c r="C553" s="39">
        <f t="shared" si="16"/>
        <v>3208988.8988398621</v>
      </c>
      <c r="D553" s="39">
        <f t="shared" si="17"/>
        <v>1729532.7896194363</v>
      </c>
    </row>
    <row r="554" spans="2:4" x14ac:dyDescent="0.25">
      <c r="B554" s="90">
        <v>550</v>
      </c>
      <c r="C554" s="39">
        <f t="shared" si="16"/>
        <v>3211636.2374534141</v>
      </c>
      <c r="D554" s="39">
        <f t="shared" si="17"/>
        <v>1732683.1225695626</v>
      </c>
    </row>
    <row r="555" spans="2:4" x14ac:dyDescent="0.25">
      <c r="B555" s="90">
        <v>551</v>
      </c>
      <c r="C555" s="39">
        <f t="shared" si="16"/>
        <v>3214283.5760669652</v>
      </c>
      <c r="D555" s="39">
        <f t="shared" si="17"/>
        <v>1735833.455519689</v>
      </c>
    </row>
    <row r="556" spans="2:4" x14ac:dyDescent="0.25">
      <c r="B556" s="90">
        <v>552</v>
      </c>
      <c r="C556" s="39">
        <f t="shared" si="16"/>
        <v>3216930.9146805173</v>
      </c>
      <c r="D556" s="39">
        <f t="shared" si="17"/>
        <v>1738983.7884698156</v>
      </c>
    </row>
    <row r="557" spans="2:4" x14ac:dyDescent="0.25">
      <c r="B557" s="90">
        <v>553</v>
      </c>
      <c r="C557" s="39">
        <f t="shared" si="16"/>
        <v>3219578.2532940689</v>
      </c>
      <c r="D557" s="39">
        <f t="shared" si="17"/>
        <v>1742134.121419942</v>
      </c>
    </row>
    <row r="558" spans="2:4" x14ac:dyDescent="0.25">
      <c r="B558" s="90">
        <v>554</v>
      </c>
      <c r="C558" s="39">
        <f t="shared" si="16"/>
        <v>3222225.5919076204</v>
      </c>
      <c r="D558" s="39">
        <f t="shared" si="17"/>
        <v>1745284.4543700686</v>
      </c>
    </row>
    <row r="559" spans="2:4" x14ac:dyDescent="0.25">
      <c r="B559" s="90">
        <v>555</v>
      </c>
      <c r="C559" s="39">
        <f t="shared" si="16"/>
        <v>3224872.9305211725</v>
      </c>
      <c r="D559" s="39">
        <f t="shared" si="17"/>
        <v>1748434.787320195</v>
      </c>
    </row>
    <row r="560" spans="2:4" x14ac:dyDescent="0.25">
      <c r="B560" s="90">
        <v>556</v>
      </c>
      <c r="C560" s="39">
        <f t="shared" si="16"/>
        <v>3227520.2691347236</v>
      </c>
      <c r="D560" s="39">
        <f t="shared" si="17"/>
        <v>1751585.1202703214</v>
      </c>
    </row>
    <row r="561" spans="2:4" x14ac:dyDescent="0.25">
      <c r="B561" s="90">
        <v>557</v>
      </c>
      <c r="C561" s="39">
        <f t="shared" ref="C561:C624" si="18">($C$2*B561)+$C$1</f>
        <v>3230167.6077482756</v>
      </c>
      <c r="D561" s="39">
        <f t="shared" ref="D561:D624" si="19">$D$2*B561</f>
        <v>1754735.453220448</v>
      </c>
    </row>
    <row r="562" spans="2:4" x14ac:dyDescent="0.25">
      <c r="B562" s="90">
        <v>558</v>
      </c>
      <c r="C562" s="39">
        <f t="shared" si="18"/>
        <v>3232814.9463618272</v>
      </c>
      <c r="D562" s="39">
        <f t="shared" si="19"/>
        <v>1757885.7861705744</v>
      </c>
    </row>
    <row r="563" spans="2:4" x14ac:dyDescent="0.25">
      <c r="B563" s="90">
        <v>559</v>
      </c>
      <c r="C563" s="39">
        <f t="shared" si="18"/>
        <v>3235462.2849753788</v>
      </c>
      <c r="D563" s="39">
        <f t="shared" si="19"/>
        <v>1761036.119120701</v>
      </c>
    </row>
    <row r="564" spans="2:4" x14ac:dyDescent="0.25">
      <c r="B564" s="90">
        <v>560</v>
      </c>
      <c r="C564" s="39">
        <f t="shared" si="18"/>
        <v>3238109.6235889308</v>
      </c>
      <c r="D564" s="39">
        <f t="shared" si="19"/>
        <v>1764186.4520708274</v>
      </c>
    </row>
    <row r="565" spans="2:4" x14ac:dyDescent="0.25">
      <c r="B565" s="90">
        <v>561</v>
      </c>
      <c r="C565" s="39">
        <f t="shared" si="18"/>
        <v>3240756.9622024819</v>
      </c>
      <c r="D565" s="39">
        <f t="shared" si="19"/>
        <v>1767336.785020954</v>
      </c>
    </row>
    <row r="566" spans="2:4" x14ac:dyDescent="0.25">
      <c r="B566" s="90">
        <v>562</v>
      </c>
      <c r="C566" s="39">
        <f t="shared" si="18"/>
        <v>3243404.300816034</v>
      </c>
      <c r="D566" s="39">
        <f t="shared" si="19"/>
        <v>1770487.1179710804</v>
      </c>
    </row>
    <row r="567" spans="2:4" x14ac:dyDescent="0.25">
      <c r="B567" s="90">
        <v>563</v>
      </c>
      <c r="C567" s="39">
        <f t="shared" si="18"/>
        <v>3246051.6394295855</v>
      </c>
      <c r="D567" s="39">
        <f t="shared" si="19"/>
        <v>1773637.4509212067</v>
      </c>
    </row>
    <row r="568" spans="2:4" x14ac:dyDescent="0.25">
      <c r="B568" s="90">
        <v>564</v>
      </c>
      <c r="C568" s="39">
        <f t="shared" si="18"/>
        <v>3248698.9780431371</v>
      </c>
      <c r="D568" s="39">
        <f t="shared" si="19"/>
        <v>1776787.7838713333</v>
      </c>
    </row>
    <row r="569" spans="2:4" x14ac:dyDescent="0.25">
      <c r="B569" s="90">
        <v>565</v>
      </c>
      <c r="C569" s="39">
        <f t="shared" si="18"/>
        <v>3251346.3166566892</v>
      </c>
      <c r="D569" s="39">
        <f t="shared" si="19"/>
        <v>1779938.1168214597</v>
      </c>
    </row>
    <row r="570" spans="2:4" x14ac:dyDescent="0.25">
      <c r="B570" s="90">
        <v>566</v>
      </c>
      <c r="C570" s="39">
        <f t="shared" si="18"/>
        <v>3253993.6552702403</v>
      </c>
      <c r="D570" s="39">
        <f t="shared" si="19"/>
        <v>1783088.4497715863</v>
      </c>
    </row>
    <row r="571" spans="2:4" x14ac:dyDescent="0.25">
      <c r="B571" s="90">
        <v>567</v>
      </c>
      <c r="C571" s="39">
        <f t="shared" si="18"/>
        <v>3256640.9938837923</v>
      </c>
      <c r="D571" s="39">
        <f t="shared" si="19"/>
        <v>1786238.7827217127</v>
      </c>
    </row>
    <row r="572" spans="2:4" x14ac:dyDescent="0.25">
      <c r="B572" s="90">
        <v>568</v>
      </c>
      <c r="C572" s="39">
        <f t="shared" si="18"/>
        <v>3259288.3324973439</v>
      </c>
      <c r="D572" s="39">
        <f t="shared" si="19"/>
        <v>1789389.1156718393</v>
      </c>
    </row>
    <row r="573" spans="2:4" x14ac:dyDescent="0.25">
      <c r="B573" s="90">
        <v>569</v>
      </c>
      <c r="C573" s="39">
        <f t="shared" si="18"/>
        <v>3261935.6711108955</v>
      </c>
      <c r="D573" s="39">
        <f t="shared" si="19"/>
        <v>1792539.4486219657</v>
      </c>
    </row>
    <row r="574" spans="2:4" x14ac:dyDescent="0.25">
      <c r="B574" s="90">
        <v>570</v>
      </c>
      <c r="C574" s="39">
        <f t="shared" si="18"/>
        <v>3264583.009724447</v>
      </c>
      <c r="D574" s="39">
        <f t="shared" si="19"/>
        <v>1795689.7815720921</v>
      </c>
    </row>
    <row r="575" spans="2:4" x14ac:dyDescent="0.25">
      <c r="B575" s="90">
        <v>571</v>
      </c>
      <c r="C575" s="39">
        <f t="shared" si="18"/>
        <v>3267230.3483379986</v>
      </c>
      <c r="D575" s="39">
        <f t="shared" si="19"/>
        <v>1798840.1145222187</v>
      </c>
    </row>
    <row r="576" spans="2:4" x14ac:dyDescent="0.25">
      <c r="B576" s="90">
        <v>572</v>
      </c>
      <c r="C576" s="39">
        <f t="shared" si="18"/>
        <v>3269877.6869515507</v>
      </c>
      <c r="D576" s="39">
        <f t="shared" si="19"/>
        <v>1801990.4474723451</v>
      </c>
    </row>
    <row r="577" spans="2:4" x14ac:dyDescent="0.25">
      <c r="B577" s="90">
        <v>573</v>
      </c>
      <c r="C577" s="39">
        <f t="shared" si="18"/>
        <v>3272525.0255651022</v>
      </c>
      <c r="D577" s="39">
        <f t="shared" si="19"/>
        <v>1805140.7804224717</v>
      </c>
    </row>
    <row r="578" spans="2:4" x14ac:dyDescent="0.25">
      <c r="B578" s="90">
        <v>574</v>
      </c>
      <c r="C578" s="39">
        <f t="shared" si="18"/>
        <v>3275172.3641786538</v>
      </c>
      <c r="D578" s="39">
        <f t="shared" si="19"/>
        <v>1808291.1133725981</v>
      </c>
    </row>
    <row r="579" spans="2:4" x14ac:dyDescent="0.25">
      <c r="B579" s="90">
        <v>575</v>
      </c>
      <c r="C579" s="39">
        <f t="shared" si="18"/>
        <v>3277819.7027922054</v>
      </c>
      <c r="D579" s="39">
        <f t="shared" si="19"/>
        <v>1811441.4463227245</v>
      </c>
    </row>
    <row r="580" spans="2:4" x14ac:dyDescent="0.25">
      <c r="B580" s="90">
        <v>576</v>
      </c>
      <c r="C580" s="39">
        <f t="shared" si="18"/>
        <v>3280467.041405757</v>
      </c>
      <c r="D580" s="39">
        <f t="shared" si="19"/>
        <v>1814591.7792728511</v>
      </c>
    </row>
    <row r="581" spans="2:4" x14ac:dyDescent="0.25">
      <c r="B581" s="90">
        <v>577</v>
      </c>
      <c r="C581" s="39">
        <f t="shared" si="18"/>
        <v>3283114.380019309</v>
      </c>
      <c r="D581" s="39">
        <f t="shared" si="19"/>
        <v>1817742.1122229774</v>
      </c>
    </row>
    <row r="582" spans="2:4" x14ac:dyDescent="0.25">
      <c r="B582" s="90">
        <v>578</v>
      </c>
      <c r="C582" s="39">
        <f t="shared" si="18"/>
        <v>3285761.7186328601</v>
      </c>
      <c r="D582" s="39">
        <f t="shared" si="19"/>
        <v>1820892.4451731041</v>
      </c>
    </row>
    <row r="583" spans="2:4" x14ac:dyDescent="0.25">
      <c r="B583" s="90">
        <v>579</v>
      </c>
      <c r="C583" s="39">
        <f t="shared" si="18"/>
        <v>3288409.0572464122</v>
      </c>
      <c r="D583" s="39">
        <f t="shared" si="19"/>
        <v>1824042.7781232304</v>
      </c>
    </row>
    <row r="584" spans="2:4" x14ac:dyDescent="0.25">
      <c r="B584" s="90">
        <v>580</v>
      </c>
      <c r="C584" s="39">
        <f t="shared" si="18"/>
        <v>3291056.3958599637</v>
      </c>
      <c r="D584" s="39">
        <f t="shared" si="19"/>
        <v>1827193.1110733571</v>
      </c>
    </row>
    <row r="585" spans="2:4" x14ac:dyDescent="0.25">
      <c r="B585" s="90">
        <v>581</v>
      </c>
      <c r="C585" s="39">
        <f t="shared" si="18"/>
        <v>3293703.7344735153</v>
      </c>
      <c r="D585" s="39">
        <f t="shared" si="19"/>
        <v>1830343.4440234834</v>
      </c>
    </row>
    <row r="586" spans="2:4" x14ac:dyDescent="0.25">
      <c r="B586" s="90">
        <v>582</v>
      </c>
      <c r="C586" s="39">
        <f t="shared" si="18"/>
        <v>3296351.0730870673</v>
      </c>
      <c r="D586" s="39">
        <f t="shared" si="19"/>
        <v>1833493.7769736098</v>
      </c>
    </row>
    <row r="587" spans="2:4" x14ac:dyDescent="0.25">
      <c r="B587" s="90">
        <v>583</v>
      </c>
      <c r="C587" s="39">
        <f t="shared" si="18"/>
        <v>3298998.4117006185</v>
      </c>
      <c r="D587" s="39">
        <f t="shared" si="19"/>
        <v>1836644.1099237364</v>
      </c>
    </row>
    <row r="588" spans="2:4" x14ac:dyDescent="0.25">
      <c r="B588" s="90">
        <v>584</v>
      </c>
      <c r="C588" s="39">
        <f t="shared" si="18"/>
        <v>3301645.7503141705</v>
      </c>
      <c r="D588" s="39">
        <f t="shared" si="19"/>
        <v>1839794.4428738628</v>
      </c>
    </row>
    <row r="589" spans="2:4" x14ac:dyDescent="0.25">
      <c r="B589" s="90">
        <v>585</v>
      </c>
      <c r="C589" s="39">
        <f t="shared" si="18"/>
        <v>3304293.0889277221</v>
      </c>
      <c r="D589" s="39">
        <f t="shared" si="19"/>
        <v>1842944.7758239894</v>
      </c>
    </row>
    <row r="590" spans="2:4" x14ac:dyDescent="0.25">
      <c r="B590" s="90">
        <v>586</v>
      </c>
      <c r="C590" s="39">
        <f t="shared" si="18"/>
        <v>3306940.4275412736</v>
      </c>
      <c r="D590" s="39">
        <f t="shared" si="19"/>
        <v>1846095.1087741158</v>
      </c>
    </row>
    <row r="591" spans="2:4" x14ac:dyDescent="0.25">
      <c r="B591" s="90">
        <v>587</v>
      </c>
      <c r="C591" s="39">
        <f t="shared" si="18"/>
        <v>3309587.7661548257</v>
      </c>
      <c r="D591" s="39">
        <f t="shared" si="19"/>
        <v>1849245.4417242422</v>
      </c>
    </row>
    <row r="592" spans="2:4" x14ac:dyDescent="0.25">
      <c r="B592" s="90">
        <v>588</v>
      </c>
      <c r="C592" s="39">
        <f t="shared" si="18"/>
        <v>3312235.1047683768</v>
      </c>
      <c r="D592" s="39">
        <f t="shared" si="19"/>
        <v>1852395.7746743688</v>
      </c>
    </row>
    <row r="593" spans="2:4" x14ac:dyDescent="0.25">
      <c r="B593" s="90">
        <v>589</v>
      </c>
      <c r="C593" s="39">
        <f t="shared" si="18"/>
        <v>3314882.4433819288</v>
      </c>
      <c r="D593" s="39">
        <f t="shared" si="19"/>
        <v>1855546.1076244952</v>
      </c>
    </row>
    <row r="594" spans="2:4" x14ac:dyDescent="0.25">
      <c r="B594" s="90">
        <v>590</v>
      </c>
      <c r="C594" s="39">
        <f t="shared" si="18"/>
        <v>3317529.7819954804</v>
      </c>
      <c r="D594" s="39">
        <f t="shared" si="19"/>
        <v>1858696.4405746218</v>
      </c>
    </row>
    <row r="595" spans="2:4" x14ac:dyDescent="0.25">
      <c r="B595" s="90">
        <v>591</v>
      </c>
      <c r="C595" s="39">
        <f t="shared" si="18"/>
        <v>3320177.120609032</v>
      </c>
      <c r="D595" s="39">
        <f t="shared" si="19"/>
        <v>1861846.7735247482</v>
      </c>
    </row>
    <row r="596" spans="2:4" x14ac:dyDescent="0.25">
      <c r="B596" s="90">
        <v>592</v>
      </c>
      <c r="C596" s="39">
        <f t="shared" si="18"/>
        <v>3322824.459222584</v>
      </c>
      <c r="D596" s="39">
        <f t="shared" si="19"/>
        <v>1864997.1064748748</v>
      </c>
    </row>
    <row r="597" spans="2:4" x14ac:dyDescent="0.25">
      <c r="B597" s="90">
        <v>593</v>
      </c>
      <c r="C597" s="39">
        <f t="shared" si="18"/>
        <v>3325471.7978361351</v>
      </c>
      <c r="D597" s="39">
        <f t="shared" si="19"/>
        <v>1868147.4394250012</v>
      </c>
    </row>
    <row r="598" spans="2:4" x14ac:dyDescent="0.25">
      <c r="B598" s="90">
        <v>594</v>
      </c>
      <c r="C598" s="39">
        <f t="shared" si="18"/>
        <v>3328119.1364496872</v>
      </c>
      <c r="D598" s="39">
        <f t="shared" si="19"/>
        <v>1871297.7723751275</v>
      </c>
    </row>
    <row r="599" spans="2:4" x14ac:dyDescent="0.25">
      <c r="B599" s="90">
        <v>595</v>
      </c>
      <c r="C599" s="39">
        <f t="shared" si="18"/>
        <v>3330766.4750632388</v>
      </c>
      <c r="D599" s="39">
        <f t="shared" si="19"/>
        <v>1874448.1053252541</v>
      </c>
    </row>
    <row r="600" spans="2:4" x14ac:dyDescent="0.25">
      <c r="B600" s="90">
        <v>596</v>
      </c>
      <c r="C600" s="39">
        <f t="shared" si="18"/>
        <v>3333413.8136767903</v>
      </c>
      <c r="D600" s="39">
        <f t="shared" si="19"/>
        <v>1877598.4382753805</v>
      </c>
    </row>
    <row r="601" spans="2:4" x14ac:dyDescent="0.25">
      <c r="B601" s="90">
        <v>597</v>
      </c>
      <c r="C601" s="39">
        <f t="shared" si="18"/>
        <v>3336061.1522903419</v>
      </c>
      <c r="D601" s="39">
        <f t="shared" si="19"/>
        <v>1880748.7712255071</v>
      </c>
    </row>
    <row r="602" spans="2:4" x14ac:dyDescent="0.25">
      <c r="B602" s="90">
        <v>598</v>
      </c>
      <c r="C602" s="39">
        <f t="shared" si="18"/>
        <v>3338708.4909038935</v>
      </c>
      <c r="D602" s="39">
        <f t="shared" si="19"/>
        <v>1883899.1041756335</v>
      </c>
    </row>
    <row r="603" spans="2:4" x14ac:dyDescent="0.25">
      <c r="B603" s="90">
        <v>599</v>
      </c>
      <c r="C603" s="39">
        <f t="shared" si="18"/>
        <v>3341355.8295174455</v>
      </c>
      <c r="D603" s="39">
        <f t="shared" si="19"/>
        <v>1887049.4371257601</v>
      </c>
    </row>
    <row r="604" spans="2:4" x14ac:dyDescent="0.25">
      <c r="B604" s="90">
        <v>600</v>
      </c>
      <c r="C604" s="39">
        <f t="shared" si="18"/>
        <v>3344003.1681309966</v>
      </c>
      <c r="D604" s="39">
        <f t="shared" si="19"/>
        <v>1890199.7700758865</v>
      </c>
    </row>
    <row r="605" spans="2:4" x14ac:dyDescent="0.25">
      <c r="B605" s="90">
        <v>601</v>
      </c>
      <c r="C605" s="39">
        <f t="shared" si="18"/>
        <v>3346650.5067445487</v>
      </c>
      <c r="D605" s="39">
        <f t="shared" si="19"/>
        <v>1893350.1030260129</v>
      </c>
    </row>
    <row r="606" spans="2:4" x14ac:dyDescent="0.25">
      <c r="B606" s="90">
        <v>602</v>
      </c>
      <c r="C606" s="39">
        <f t="shared" si="18"/>
        <v>3349297.8453581003</v>
      </c>
      <c r="D606" s="39">
        <f t="shared" si="19"/>
        <v>1896500.4359761395</v>
      </c>
    </row>
    <row r="607" spans="2:4" x14ac:dyDescent="0.25">
      <c r="B607" s="90">
        <v>603</v>
      </c>
      <c r="C607" s="39">
        <f t="shared" si="18"/>
        <v>3351945.1839716518</v>
      </c>
      <c r="D607" s="39">
        <f t="shared" si="19"/>
        <v>1899650.7689262659</v>
      </c>
    </row>
    <row r="608" spans="2:4" x14ac:dyDescent="0.25">
      <c r="B608" s="90">
        <v>604</v>
      </c>
      <c r="C608" s="39">
        <f t="shared" si="18"/>
        <v>3354592.5225852039</v>
      </c>
      <c r="D608" s="39">
        <f t="shared" si="19"/>
        <v>1902801.1018763925</v>
      </c>
    </row>
    <row r="609" spans="2:4" x14ac:dyDescent="0.25">
      <c r="B609" s="90">
        <v>605</v>
      </c>
      <c r="C609" s="39">
        <f t="shared" si="18"/>
        <v>3357239.861198755</v>
      </c>
      <c r="D609" s="39">
        <f t="shared" si="19"/>
        <v>1905951.4348265189</v>
      </c>
    </row>
    <row r="610" spans="2:4" x14ac:dyDescent="0.25">
      <c r="B610" s="90">
        <v>606</v>
      </c>
      <c r="C610" s="39">
        <f t="shared" si="18"/>
        <v>3359887.199812307</v>
      </c>
      <c r="D610" s="39">
        <f t="shared" si="19"/>
        <v>1909101.7677766453</v>
      </c>
    </row>
    <row r="611" spans="2:4" x14ac:dyDescent="0.25">
      <c r="B611" s="90">
        <v>607</v>
      </c>
      <c r="C611" s="39">
        <f t="shared" si="18"/>
        <v>3362534.5384258586</v>
      </c>
      <c r="D611" s="39">
        <f t="shared" si="19"/>
        <v>1912252.1007267719</v>
      </c>
    </row>
    <row r="612" spans="2:4" x14ac:dyDescent="0.25">
      <c r="B612" s="90">
        <v>608</v>
      </c>
      <c r="C612" s="39">
        <f t="shared" si="18"/>
        <v>3365181.8770394102</v>
      </c>
      <c r="D612" s="39">
        <f t="shared" si="19"/>
        <v>1915402.4336768982</v>
      </c>
    </row>
    <row r="613" spans="2:4" x14ac:dyDescent="0.25">
      <c r="B613" s="90">
        <v>609</v>
      </c>
      <c r="C613" s="39">
        <f t="shared" si="18"/>
        <v>3367829.2156529622</v>
      </c>
      <c r="D613" s="39">
        <f t="shared" si="19"/>
        <v>1918552.7666270249</v>
      </c>
    </row>
    <row r="614" spans="2:4" x14ac:dyDescent="0.25">
      <c r="B614" s="90">
        <v>610</v>
      </c>
      <c r="C614" s="39">
        <f t="shared" si="18"/>
        <v>3370476.5542665133</v>
      </c>
      <c r="D614" s="39">
        <f t="shared" si="19"/>
        <v>1921703.0995771512</v>
      </c>
    </row>
    <row r="615" spans="2:4" x14ac:dyDescent="0.25">
      <c r="B615" s="90">
        <v>611</v>
      </c>
      <c r="C615" s="39">
        <f t="shared" si="18"/>
        <v>3373123.8928800654</v>
      </c>
      <c r="D615" s="39">
        <f t="shared" si="19"/>
        <v>1924853.4325272779</v>
      </c>
    </row>
    <row r="616" spans="2:4" x14ac:dyDescent="0.25">
      <c r="B616" s="90">
        <v>612</v>
      </c>
      <c r="C616" s="39">
        <f t="shared" si="18"/>
        <v>3375771.2314936169</v>
      </c>
      <c r="D616" s="39">
        <f t="shared" si="19"/>
        <v>1928003.7654774042</v>
      </c>
    </row>
    <row r="617" spans="2:4" x14ac:dyDescent="0.25">
      <c r="B617" s="90">
        <v>613</v>
      </c>
      <c r="C617" s="39">
        <f t="shared" si="18"/>
        <v>3378418.5701071685</v>
      </c>
      <c r="D617" s="39">
        <f t="shared" si="19"/>
        <v>1931154.0984275306</v>
      </c>
    </row>
    <row r="618" spans="2:4" x14ac:dyDescent="0.25">
      <c r="B618" s="90">
        <v>614</v>
      </c>
      <c r="C618" s="39">
        <f t="shared" si="18"/>
        <v>3381065.9087207206</v>
      </c>
      <c r="D618" s="39">
        <f t="shared" si="19"/>
        <v>1934304.4313776572</v>
      </c>
    </row>
    <row r="619" spans="2:4" x14ac:dyDescent="0.25">
      <c r="B619" s="90">
        <v>615</v>
      </c>
      <c r="C619" s="39">
        <f t="shared" si="18"/>
        <v>3383713.2473342717</v>
      </c>
      <c r="D619" s="39">
        <f t="shared" si="19"/>
        <v>1937454.7643277836</v>
      </c>
    </row>
    <row r="620" spans="2:4" x14ac:dyDescent="0.25">
      <c r="B620" s="90">
        <v>616</v>
      </c>
      <c r="C620" s="39">
        <f t="shared" si="18"/>
        <v>3386360.5859478237</v>
      </c>
      <c r="D620" s="39">
        <f t="shared" si="19"/>
        <v>1940605.0972779102</v>
      </c>
    </row>
    <row r="621" spans="2:4" x14ac:dyDescent="0.25">
      <c r="B621" s="90">
        <v>617</v>
      </c>
      <c r="C621" s="39">
        <f t="shared" si="18"/>
        <v>3389007.9245613753</v>
      </c>
      <c r="D621" s="39">
        <f t="shared" si="19"/>
        <v>1943755.4302280366</v>
      </c>
    </row>
    <row r="622" spans="2:4" x14ac:dyDescent="0.25">
      <c r="B622" s="90">
        <v>618</v>
      </c>
      <c r="C622" s="39">
        <f t="shared" si="18"/>
        <v>3391655.2631749269</v>
      </c>
      <c r="D622" s="39">
        <f t="shared" si="19"/>
        <v>1946905.7631781632</v>
      </c>
    </row>
    <row r="623" spans="2:4" x14ac:dyDescent="0.25">
      <c r="B623" s="90">
        <v>619</v>
      </c>
      <c r="C623" s="39">
        <f t="shared" si="18"/>
        <v>3394302.6017884784</v>
      </c>
      <c r="D623" s="39">
        <f t="shared" si="19"/>
        <v>1950056.0961282896</v>
      </c>
    </row>
    <row r="624" spans="2:4" x14ac:dyDescent="0.25">
      <c r="B624" s="90">
        <v>620</v>
      </c>
      <c r="C624" s="39">
        <f t="shared" si="18"/>
        <v>3396949.94040203</v>
      </c>
      <c r="D624" s="39">
        <f t="shared" si="19"/>
        <v>1953206.429078416</v>
      </c>
    </row>
    <row r="625" spans="2:4" x14ac:dyDescent="0.25">
      <c r="B625" s="90">
        <v>621</v>
      </c>
      <c r="C625" s="39">
        <f t="shared" ref="C625:C688" si="20">($C$2*B625)+$C$1</f>
        <v>3399597.2790155821</v>
      </c>
      <c r="D625" s="39">
        <f t="shared" ref="D625:D688" si="21">$D$2*B625</f>
        <v>1956356.7620285426</v>
      </c>
    </row>
    <row r="626" spans="2:4" x14ac:dyDescent="0.25">
      <c r="B626" s="90">
        <v>622</v>
      </c>
      <c r="C626" s="39">
        <f t="shared" si="20"/>
        <v>3402244.6176291336</v>
      </c>
      <c r="D626" s="39">
        <f t="shared" si="21"/>
        <v>1959507.094978669</v>
      </c>
    </row>
    <row r="627" spans="2:4" x14ac:dyDescent="0.25">
      <c r="B627" s="90">
        <v>623</v>
      </c>
      <c r="C627" s="39">
        <f t="shared" si="20"/>
        <v>3404891.9562426852</v>
      </c>
      <c r="D627" s="39">
        <f t="shared" si="21"/>
        <v>1962657.4279287956</v>
      </c>
    </row>
    <row r="628" spans="2:4" x14ac:dyDescent="0.25">
      <c r="B628" s="90">
        <v>624</v>
      </c>
      <c r="C628" s="39">
        <f t="shared" si="20"/>
        <v>3407539.2948562368</v>
      </c>
      <c r="D628" s="39">
        <f t="shared" si="21"/>
        <v>1965807.760878922</v>
      </c>
    </row>
    <row r="629" spans="2:4" x14ac:dyDescent="0.25">
      <c r="B629" s="90">
        <v>625</v>
      </c>
      <c r="C629" s="39">
        <f t="shared" si="20"/>
        <v>3410186.6334697884</v>
      </c>
      <c r="D629" s="39">
        <f t="shared" si="21"/>
        <v>1968958.0938290483</v>
      </c>
    </row>
    <row r="630" spans="2:4" x14ac:dyDescent="0.25">
      <c r="B630" s="90">
        <v>626</v>
      </c>
      <c r="C630" s="39">
        <f t="shared" si="20"/>
        <v>3412833.9720833404</v>
      </c>
      <c r="D630" s="39">
        <f t="shared" si="21"/>
        <v>1972108.4267791749</v>
      </c>
    </row>
    <row r="631" spans="2:4" x14ac:dyDescent="0.25">
      <c r="B631" s="90">
        <v>627</v>
      </c>
      <c r="C631" s="39">
        <f t="shared" si="20"/>
        <v>3415481.3106968915</v>
      </c>
      <c r="D631" s="39">
        <f t="shared" si="21"/>
        <v>1975258.7597293013</v>
      </c>
    </row>
    <row r="632" spans="2:4" x14ac:dyDescent="0.25">
      <c r="B632" s="90">
        <v>628</v>
      </c>
      <c r="C632" s="39">
        <f t="shared" si="20"/>
        <v>3418128.6493104436</v>
      </c>
      <c r="D632" s="39">
        <f t="shared" si="21"/>
        <v>1978409.0926794279</v>
      </c>
    </row>
    <row r="633" spans="2:4" x14ac:dyDescent="0.25">
      <c r="B633" s="90">
        <v>629</v>
      </c>
      <c r="C633" s="39">
        <f t="shared" si="20"/>
        <v>3420775.9879239951</v>
      </c>
      <c r="D633" s="39">
        <f t="shared" si="21"/>
        <v>1981559.4256295543</v>
      </c>
    </row>
    <row r="634" spans="2:4" x14ac:dyDescent="0.25">
      <c r="B634" s="90">
        <v>630</v>
      </c>
      <c r="C634" s="39">
        <f t="shared" si="20"/>
        <v>3423423.3265375467</v>
      </c>
      <c r="D634" s="39">
        <f t="shared" si="21"/>
        <v>1984709.7585796809</v>
      </c>
    </row>
    <row r="635" spans="2:4" x14ac:dyDescent="0.25">
      <c r="B635" s="90">
        <v>631</v>
      </c>
      <c r="C635" s="39">
        <f t="shared" si="20"/>
        <v>3426070.6651510987</v>
      </c>
      <c r="D635" s="39">
        <f t="shared" si="21"/>
        <v>1987860.0915298073</v>
      </c>
    </row>
    <row r="636" spans="2:4" x14ac:dyDescent="0.25">
      <c r="B636" s="90">
        <v>632</v>
      </c>
      <c r="C636" s="39">
        <f t="shared" si="20"/>
        <v>3428718.0037646499</v>
      </c>
      <c r="D636" s="39">
        <f t="shared" si="21"/>
        <v>1991010.4244799337</v>
      </c>
    </row>
    <row r="637" spans="2:4" x14ac:dyDescent="0.25">
      <c r="B637" s="90">
        <v>633</v>
      </c>
      <c r="C637" s="39">
        <f t="shared" si="20"/>
        <v>3431365.3423782019</v>
      </c>
      <c r="D637" s="39">
        <f t="shared" si="21"/>
        <v>1994160.7574300603</v>
      </c>
    </row>
    <row r="638" spans="2:4" x14ac:dyDescent="0.25">
      <c r="B638" s="90">
        <v>634</v>
      </c>
      <c r="C638" s="39">
        <f t="shared" si="20"/>
        <v>3434012.6809917535</v>
      </c>
      <c r="D638" s="39">
        <f t="shared" si="21"/>
        <v>1997311.0903801867</v>
      </c>
    </row>
    <row r="639" spans="2:4" x14ac:dyDescent="0.25">
      <c r="B639" s="90">
        <v>635</v>
      </c>
      <c r="C639" s="39">
        <f t="shared" si="20"/>
        <v>3436660.019605305</v>
      </c>
      <c r="D639" s="39">
        <f t="shared" si="21"/>
        <v>2000461.4233303133</v>
      </c>
    </row>
    <row r="640" spans="2:4" x14ac:dyDescent="0.25">
      <c r="B640" s="90">
        <v>636</v>
      </c>
      <c r="C640" s="39">
        <f t="shared" si="20"/>
        <v>3439307.3582188571</v>
      </c>
      <c r="D640" s="39">
        <f t="shared" si="21"/>
        <v>2003611.7562804397</v>
      </c>
    </row>
    <row r="641" spans="2:4" x14ac:dyDescent="0.25">
      <c r="B641" s="90">
        <v>637</v>
      </c>
      <c r="C641" s="39">
        <f t="shared" si="20"/>
        <v>3441954.6968324082</v>
      </c>
      <c r="D641" s="39">
        <f t="shared" si="21"/>
        <v>2006762.0892305661</v>
      </c>
    </row>
    <row r="642" spans="2:4" x14ac:dyDescent="0.25">
      <c r="B642" s="90">
        <v>638</v>
      </c>
      <c r="C642" s="39">
        <f t="shared" si="20"/>
        <v>3444602.0354459602</v>
      </c>
      <c r="D642" s="39">
        <f t="shared" si="21"/>
        <v>2009912.4221806927</v>
      </c>
    </row>
    <row r="643" spans="2:4" x14ac:dyDescent="0.25">
      <c r="B643" s="90">
        <v>639</v>
      </c>
      <c r="C643" s="39">
        <f t="shared" si="20"/>
        <v>3447249.3740595118</v>
      </c>
      <c r="D643" s="39">
        <f t="shared" si="21"/>
        <v>2013062.755130819</v>
      </c>
    </row>
    <row r="644" spans="2:4" x14ac:dyDescent="0.25">
      <c r="B644" s="90">
        <v>640</v>
      </c>
      <c r="C644" s="39">
        <f t="shared" si="20"/>
        <v>3449896.7126730634</v>
      </c>
      <c r="D644" s="39">
        <f t="shared" si="21"/>
        <v>2016213.0880809457</v>
      </c>
    </row>
    <row r="645" spans="2:4" x14ac:dyDescent="0.25">
      <c r="B645" s="90">
        <v>641</v>
      </c>
      <c r="C645" s="39">
        <f t="shared" si="20"/>
        <v>3452544.0512866154</v>
      </c>
      <c r="D645" s="39">
        <f t="shared" si="21"/>
        <v>2019363.421031072</v>
      </c>
    </row>
    <row r="646" spans="2:4" x14ac:dyDescent="0.25">
      <c r="B646" s="90">
        <v>642</v>
      </c>
      <c r="C646" s="39">
        <f t="shared" si="20"/>
        <v>3455191.3899001665</v>
      </c>
      <c r="D646" s="39">
        <f t="shared" si="21"/>
        <v>2022513.7539811986</v>
      </c>
    </row>
    <row r="647" spans="2:4" x14ac:dyDescent="0.25">
      <c r="B647" s="90">
        <v>643</v>
      </c>
      <c r="C647" s="39">
        <f t="shared" si="20"/>
        <v>3457838.7285137186</v>
      </c>
      <c r="D647" s="39">
        <f t="shared" si="21"/>
        <v>2025664.086931325</v>
      </c>
    </row>
    <row r="648" spans="2:4" x14ac:dyDescent="0.25">
      <c r="B648" s="90">
        <v>644</v>
      </c>
      <c r="C648" s="39">
        <f t="shared" si="20"/>
        <v>3460486.0671272702</v>
      </c>
      <c r="D648" s="39">
        <f t="shared" si="21"/>
        <v>2028814.4198814514</v>
      </c>
    </row>
    <row r="649" spans="2:4" x14ac:dyDescent="0.25">
      <c r="B649" s="90">
        <v>645</v>
      </c>
      <c r="C649" s="39">
        <f t="shared" si="20"/>
        <v>3463133.4057408217</v>
      </c>
      <c r="D649" s="39">
        <f t="shared" si="21"/>
        <v>2031964.752831578</v>
      </c>
    </row>
    <row r="650" spans="2:4" x14ac:dyDescent="0.25">
      <c r="B650" s="90">
        <v>646</v>
      </c>
      <c r="C650" s="39">
        <f t="shared" si="20"/>
        <v>3465780.7443543733</v>
      </c>
      <c r="D650" s="39">
        <f t="shared" si="21"/>
        <v>2035115.0857817044</v>
      </c>
    </row>
    <row r="651" spans="2:4" x14ac:dyDescent="0.25">
      <c r="B651" s="90">
        <v>647</v>
      </c>
      <c r="C651" s="39">
        <f t="shared" si="20"/>
        <v>3468428.0829679249</v>
      </c>
      <c r="D651" s="39">
        <f t="shared" si="21"/>
        <v>2038265.418731831</v>
      </c>
    </row>
    <row r="652" spans="2:4" x14ac:dyDescent="0.25">
      <c r="B652" s="90">
        <v>648</v>
      </c>
      <c r="C652" s="39">
        <f t="shared" si="20"/>
        <v>3471075.4215814769</v>
      </c>
      <c r="D652" s="39">
        <f t="shared" si="21"/>
        <v>2041415.7516819574</v>
      </c>
    </row>
    <row r="653" spans="2:4" x14ac:dyDescent="0.25">
      <c r="B653" s="90">
        <v>649</v>
      </c>
      <c r="C653" s="39">
        <f t="shared" si="20"/>
        <v>3473722.7601950285</v>
      </c>
      <c r="D653" s="39">
        <f t="shared" si="21"/>
        <v>2044566.084632084</v>
      </c>
    </row>
    <row r="654" spans="2:4" x14ac:dyDescent="0.25">
      <c r="B654" s="90">
        <v>650</v>
      </c>
      <c r="C654" s="39">
        <f t="shared" si="20"/>
        <v>3476370.0988085801</v>
      </c>
      <c r="D654" s="39">
        <f t="shared" si="21"/>
        <v>2047716.4175822104</v>
      </c>
    </row>
    <row r="655" spans="2:4" x14ac:dyDescent="0.25">
      <c r="B655" s="90">
        <v>651</v>
      </c>
      <c r="C655" s="39">
        <f t="shared" si="20"/>
        <v>3479017.4374221317</v>
      </c>
      <c r="D655" s="39">
        <f t="shared" si="21"/>
        <v>2050866.7505323368</v>
      </c>
    </row>
    <row r="656" spans="2:4" x14ac:dyDescent="0.25">
      <c r="B656" s="90">
        <v>652</v>
      </c>
      <c r="C656" s="39">
        <f t="shared" si="20"/>
        <v>3481664.7760356832</v>
      </c>
      <c r="D656" s="39">
        <f t="shared" si="21"/>
        <v>2054017.0834824634</v>
      </c>
    </row>
    <row r="657" spans="2:4" x14ac:dyDescent="0.25">
      <c r="B657" s="90">
        <v>653</v>
      </c>
      <c r="C657" s="39">
        <f t="shared" si="20"/>
        <v>3484312.1146492353</v>
      </c>
      <c r="D657" s="39">
        <f t="shared" si="21"/>
        <v>2057167.4164325898</v>
      </c>
    </row>
    <row r="658" spans="2:4" x14ac:dyDescent="0.25">
      <c r="B658" s="90">
        <v>654</v>
      </c>
      <c r="C658" s="39">
        <f t="shared" si="20"/>
        <v>3486959.4532627864</v>
      </c>
      <c r="D658" s="39">
        <f t="shared" si="21"/>
        <v>2060317.7493827164</v>
      </c>
    </row>
    <row r="659" spans="2:4" x14ac:dyDescent="0.25">
      <c r="B659" s="90">
        <v>655</v>
      </c>
      <c r="C659" s="39">
        <f t="shared" si="20"/>
        <v>3489606.7918763384</v>
      </c>
      <c r="D659" s="39">
        <f t="shared" si="21"/>
        <v>2063468.0823328428</v>
      </c>
    </row>
    <row r="660" spans="2:4" x14ac:dyDescent="0.25">
      <c r="B660" s="90">
        <v>656</v>
      </c>
      <c r="C660" s="39">
        <f t="shared" si="20"/>
        <v>3492254.13048989</v>
      </c>
      <c r="D660" s="39">
        <f t="shared" si="21"/>
        <v>2066618.4152829691</v>
      </c>
    </row>
    <row r="661" spans="2:4" x14ac:dyDescent="0.25">
      <c r="B661" s="90">
        <v>657</v>
      </c>
      <c r="C661" s="39">
        <f t="shared" si="20"/>
        <v>3494901.4691034416</v>
      </c>
      <c r="D661" s="39">
        <f t="shared" si="21"/>
        <v>2069768.7482330957</v>
      </c>
    </row>
    <row r="662" spans="2:4" x14ac:dyDescent="0.25">
      <c r="B662" s="90">
        <v>658</v>
      </c>
      <c r="C662" s="39">
        <f t="shared" si="20"/>
        <v>3497548.8077169936</v>
      </c>
      <c r="D662" s="39">
        <f t="shared" si="21"/>
        <v>2072919.0811832221</v>
      </c>
    </row>
    <row r="663" spans="2:4" x14ac:dyDescent="0.25">
      <c r="B663" s="90">
        <v>659</v>
      </c>
      <c r="C663" s="39">
        <f t="shared" si="20"/>
        <v>3500196.1463305447</v>
      </c>
      <c r="D663" s="39">
        <f t="shared" si="21"/>
        <v>2076069.4141333487</v>
      </c>
    </row>
    <row r="664" spans="2:4" x14ac:dyDescent="0.25">
      <c r="B664" s="90">
        <v>660</v>
      </c>
      <c r="C664" s="39">
        <f t="shared" si="20"/>
        <v>3502843.4849440968</v>
      </c>
      <c r="D664" s="39">
        <f t="shared" si="21"/>
        <v>2079219.7470834751</v>
      </c>
    </row>
    <row r="665" spans="2:4" x14ac:dyDescent="0.25">
      <c r="B665" s="90">
        <v>661</v>
      </c>
      <c r="C665" s="39">
        <f t="shared" si="20"/>
        <v>3505490.8235576483</v>
      </c>
      <c r="D665" s="39">
        <f t="shared" si="21"/>
        <v>2082370.0800336017</v>
      </c>
    </row>
    <row r="666" spans="2:4" x14ac:dyDescent="0.25">
      <c r="B666" s="90">
        <v>662</v>
      </c>
      <c r="C666" s="39">
        <f t="shared" si="20"/>
        <v>3508138.1621711999</v>
      </c>
      <c r="D666" s="39">
        <f t="shared" si="21"/>
        <v>2085520.4129837281</v>
      </c>
    </row>
    <row r="667" spans="2:4" x14ac:dyDescent="0.25">
      <c r="B667" s="90">
        <v>663</v>
      </c>
      <c r="C667" s="39">
        <f t="shared" si="20"/>
        <v>3510785.500784752</v>
      </c>
      <c r="D667" s="39">
        <f t="shared" si="21"/>
        <v>2088670.7459338545</v>
      </c>
    </row>
    <row r="668" spans="2:4" x14ac:dyDescent="0.25">
      <c r="B668" s="90">
        <v>664</v>
      </c>
      <c r="C668" s="39">
        <f t="shared" si="20"/>
        <v>3513432.8393983031</v>
      </c>
      <c r="D668" s="39">
        <f t="shared" si="21"/>
        <v>2091821.0788839811</v>
      </c>
    </row>
    <row r="669" spans="2:4" x14ac:dyDescent="0.25">
      <c r="B669" s="90">
        <v>665</v>
      </c>
      <c r="C669" s="39">
        <f t="shared" si="20"/>
        <v>3516080.1780118551</v>
      </c>
      <c r="D669" s="39">
        <f t="shared" si="21"/>
        <v>2094971.4118341075</v>
      </c>
    </row>
    <row r="670" spans="2:4" x14ac:dyDescent="0.25">
      <c r="B670" s="90">
        <v>666</v>
      </c>
      <c r="C670" s="39">
        <f t="shared" si="20"/>
        <v>3518727.5166254067</v>
      </c>
      <c r="D670" s="39">
        <f t="shared" si="21"/>
        <v>2098121.7447842341</v>
      </c>
    </row>
    <row r="671" spans="2:4" x14ac:dyDescent="0.25">
      <c r="B671" s="90">
        <v>667</v>
      </c>
      <c r="C671" s="39">
        <f t="shared" si="20"/>
        <v>3521374.8552389583</v>
      </c>
      <c r="D671" s="39">
        <f t="shared" si="21"/>
        <v>2101272.0777343605</v>
      </c>
    </row>
    <row r="672" spans="2:4" x14ac:dyDescent="0.25">
      <c r="B672" s="90">
        <v>668</v>
      </c>
      <c r="C672" s="39">
        <f t="shared" si="20"/>
        <v>3524022.1938525103</v>
      </c>
      <c r="D672" s="39">
        <f t="shared" si="21"/>
        <v>2104422.4106844869</v>
      </c>
    </row>
    <row r="673" spans="2:4" x14ac:dyDescent="0.25">
      <c r="B673" s="90">
        <v>669</v>
      </c>
      <c r="C673" s="39">
        <f t="shared" si="20"/>
        <v>3526669.5324660614</v>
      </c>
      <c r="D673" s="39">
        <f t="shared" si="21"/>
        <v>2107572.7436346132</v>
      </c>
    </row>
    <row r="674" spans="2:4" x14ac:dyDescent="0.25">
      <c r="B674" s="90">
        <v>670</v>
      </c>
      <c r="C674" s="39">
        <f t="shared" si="20"/>
        <v>3529316.8710796135</v>
      </c>
      <c r="D674" s="39">
        <f t="shared" si="21"/>
        <v>2110723.0765847401</v>
      </c>
    </row>
    <row r="675" spans="2:4" x14ac:dyDescent="0.25">
      <c r="B675" s="90">
        <v>671</v>
      </c>
      <c r="C675" s="39">
        <f t="shared" si="20"/>
        <v>3531964.209693165</v>
      </c>
      <c r="D675" s="39">
        <f t="shared" si="21"/>
        <v>2113873.4095348665</v>
      </c>
    </row>
    <row r="676" spans="2:4" x14ac:dyDescent="0.25">
      <c r="B676" s="90">
        <v>672</v>
      </c>
      <c r="C676" s="39">
        <f t="shared" si="20"/>
        <v>3534611.5483067166</v>
      </c>
      <c r="D676" s="39">
        <f t="shared" si="21"/>
        <v>2117023.7424849928</v>
      </c>
    </row>
    <row r="677" spans="2:4" x14ac:dyDescent="0.25">
      <c r="B677" s="90">
        <v>673</v>
      </c>
      <c r="C677" s="39">
        <f t="shared" si="20"/>
        <v>3537258.8869202682</v>
      </c>
      <c r="D677" s="39">
        <f t="shared" si="21"/>
        <v>2120174.0754351192</v>
      </c>
    </row>
    <row r="678" spans="2:4" x14ac:dyDescent="0.25">
      <c r="B678" s="90">
        <v>674</v>
      </c>
      <c r="C678" s="39">
        <f t="shared" si="20"/>
        <v>3539906.2255338198</v>
      </c>
      <c r="D678" s="39">
        <f t="shared" si="21"/>
        <v>2123324.4083852461</v>
      </c>
    </row>
    <row r="679" spans="2:4" x14ac:dyDescent="0.25">
      <c r="B679" s="90">
        <v>675</v>
      </c>
      <c r="C679" s="39">
        <f t="shared" si="20"/>
        <v>3542553.5641473718</v>
      </c>
      <c r="D679" s="39">
        <f t="shared" si="21"/>
        <v>2126474.7413353724</v>
      </c>
    </row>
    <row r="680" spans="2:4" x14ac:dyDescent="0.25">
      <c r="B680" s="90">
        <v>676</v>
      </c>
      <c r="C680" s="39">
        <f t="shared" si="20"/>
        <v>3545200.9027609234</v>
      </c>
      <c r="D680" s="39">
        <f t="shared" si="21"/>
        <v>2129625.0742854988</v>
      </c>
    </row>
    <row r="681" spans="2:4" x14ac:dyDescent="0.25">
      <c r="B681" s="90">
        <v>677</v>
      </c>
      <c r="C681" s="39">
        <f t="shared" si="20"/>
        <v>3547848.241374475</v>
      </c>
      <c r="D681" s="39">
        <f t="shared" si="21"/>
        <v>2132775.4072356252</v>
      </c>
    </row>
    <row r="682" spans="2:4" x14ac:dyDescent="0.25">
      <c r="B682" s="90">
        <v>678</v>
      </c>
      <c r="C682" s="39">
        <f t="shared" si="20"/>
        <v>3550495.5799880265</v>
      </c>
      <c r="D682" s="39">
        <f t="shared" si="21"/>
        <v>2135925.7401857516</v>
      </c>
    </row>
    <row r="683" spans="2:4" x14ac:dyDescent="0.25">
      <c r="B683" s="90">
        <v>679</v>
      </c>
      <c r="C683" s="39">
        <f t="shared" si="20"/>
        <v>3553142.9186015781</v>
      </c>
      <c r="D683" s="39">
        <f t="shared" si="21"/>
        <v>2139076.0731358784</v>
      </c>
    </row>
    <row r="684" spans="2:4" x14ac:dyDescent="0.25">
      <c r="B684" s="90">
        <v>680</v>
      </c>
      <c r="C684" s="39">
        <f t="shared" si="20"/>
        <v>3555790.2572151301</v>
      </c>
      <c r="D684" s="39">
        <f t="shared" si="21"/>
        <v>2142226.4060860048</v>
      </c>
    </row>
    <row r="685" spans="2:4" x14ac:dyDescent="0.25">
      <c r="B685" s="90">
        <v>681</v>
      </c>
      <c r="C685" s="39">
        <f t="shared" si="20"/>
        <v>3558437.5958286813</v>
      </c>
      <c r="D685" s="39">
        <f t="shared" si="21"/>
        <v>2145376.7390361312</v>
      </c>
    </row>
    <row r="686" spans="2:4" x14ac:dyDescent="0.25">
      <c r="B686" s="90">
        <v>682</v>
      </c>
      <c r="C686" s="39">
        <f t="shared" si="20"/>
        <v>3561084.9344422333</v>
      </c>
      <c r="D686" s="39">
        <f t="shared" si="21"/>
        <v>2148527.0719862576</v>
      </c>
    </row>
    <row r="687" spans="2:4" x14ac:dyDescent="0.25">
      <c r="B687" s="90">
        <v>683</v>
      </c>
      <c r="C687" s="39">
        <f t="shared" si="20"/>
        <v>3563732.2730557849</v>
      </c>
      <c r="D687" s="39">
        <f t="shared" si="21"/>
        <v>2151677.4049363839</v>
      </c>
    </row>
    <row r="688" spans="2:4" x14ac:dyDescent="0.25">
      <c r="B688" s="90">
        <v>684</v>
      </c>
      <c r="C688" s="39">
        <f t="shared" si="20"/>
        <v>3566379.6116693364</v>
      </c>
      <c r="D688" s="39">
        <f t="shared" si="21"/>
        <v>2154827.7378865108</v>
      </c>
    </row>
    <row r="689" spans="2:4" x14ac:dyDescent="0.25">
      <c r="B689" s="90">
        <v>685</v>
      </c>
      <c r="C689" s="39">
        <f t="shared" ref="C689:C752" si="22">($C$2*B689)+$C$1</f>
        <v>3569026.9502828885</v>
      </c>
      <c r="D689" s="39">
        <f t="shared" ref="D689:D752" si="23">$D$2*B689</f>
        <v>2157978.0708366372</v>
      </c>
    </row>
    <row r="690" spans="2:4" x14ac:dyDescent="0.25">
      <c r="B690" s="90">
        <v>686</v>
      </c>
      <c r="C690" s="39">
        <f t="shared" si="22"/>
        <v>3571674.2888964396</v>
      </c>
      <c r="D690" s="39">
        <f t="shared" si="23"/>
        <v>2161128.4037867635</v>
      </c>
    </row>
    <row r="691" spans="2:4" x14ac:dyDescent="0.25">
      <c r="B691" s="90">
        <v>687</v>
      </c>
      <c r="C691" s="39">
        <f t="shared" si="22"/>
        <v>3574321.6275099916</v>
      </c>
      <c r="D691" s="39">
        <f t="shared" si="23"/>
        <v>2164278.7367368899</v>
      </c>
    </row>
    <row r="692" spans="2:4" x14ac:dyDescent="0.25">
      <c r="B692" s="90">
        <v>688</v>
      </c>
      <c r="C692" s="39">
        <f t="shared" si="22"/>
        <v>3576968.9661235432</v>
      </c>
      <c r="D692" s="39">
        <f t="shared" si="23"/>
        <v>2167429.0696870163</v>
      </c>
    </row>
    <row r="693" spans="2:4" x14ac:dyDescent="0.25">
      <c r="B693" s="90">
        <v>689</v>
      </c>
      <c r="C693" s="39">
        <f t="shared" si="22"/>
        <v>3579616.3047370948</v>
      </c>
      <c r="D693" s="39">
        <f t="shared" si="23"/>
        <v>2170579.4026371432</v>
      </c>
    </row>
    <row r="694" spans="2:4" x14ac:dyDescent="0.25">
      <c r="B694" s="90">
        <v>690</v>
      </c>
      <c r="C694" s="39">
        <f t="shared" si="22"/>
        <v>3582263.6433506468</v>
      </c>
      <c r="D694" s="39">
        <f t="shared" si="23"/>
        <v>2173729.7355872695</v>
      </c>
    </row>
    <row r="695" spans="2:4" x14ac:dyDescent="0.25">
      <c r="B695" s="90">
        <v>691</v>
      </c>
      <c r="C695" s="39">
        <f t="shared" si="22"/>
        <v>3584910.9819641979</v>
      </c>
      <c r="D695" s="39">
        <f t="shared" si="23"/>
        <v>2176880.0685373959</v>
      </c>
    </row>
    <row r="696" spans="2:4" x14ac:dyDescent="0.25">
      <c r="B696" s="90">
        <v>692</v>
      </c>
      <c r="C696" s="39">
        <f t="shared" si="22"/>
        <v>3587558.32057775</v>
      </c>
      <c r="D696" s="39">
        <f t="shared" si="23"/>
        <v>2180030.4014875223</v>
      </c>
    </row>
    <row r="697" spans="2:4" x14ac:dyDescent="0.25">
      <c r="B697" s="90">
        <v>693</v>
      </c>
      <c r="C697" s="39">
        <f t="shared" si="22"/>
        <v>3590205.6591913016</v>
      </c>
      <c r="D697" s="39">
        <f t="shared" si="23"/>
        <v>2183180.7344376491</v>
      </c>
    </row>
    <row r="698" spans="2:4" x14ac:dyDescent="0.25">
      <c r="B698" s="90">
        <v>694</v>
      </c>
      <c r="C698" s="39">
        <f t="shared" si="22"/>
        <v>3592852.9978048531</v>
      </c>
      <c r="D698" s="39">
        <f t="shared" si="23"/>
        <v>2186331.0673877755</v>
      </c>
    </row>
    <row r="699" spans="2:4" x14ac:dyDescent="0.25">
      <c r="B699" s="90">
        <v>695</v>
      </c>
      <c r="C699" s="39">
        <f t="shared" si="22"/>
        <v>3595500.3364184052</v>
      </c>
      <c r="D699" s="39">
        <f t="shared" si="23"/>
        <v>2189481.4003379019</v>
      </c>
    </row>
    <row r="700" spans="2:4" x14ac:dyDescent="0.25">
      <c r="B700" s="90">
        <v>696</v>
      </c>
      <c r="C700" s="39">
        <f t="shared" si="22"/>
        <v>3598147.6750319563</v>
      </c>
      <c r="D700" s="39">
        <f t="shared" si="23"/>
        <v>2192631.7332880283</v>
      </c>
    </row>
    <row r="701" spans="2:4" x14ac:dyDescent="0.25">
      <c r="B701" s="90">
        <v>697</v>
      </c>
      <c r="C701" s="39">
        <f t="shared" si="22"/>
        <v>3600795.0136455083</v>
      </c>
      <c r="D701" s="39">
        <f t="shared" si="23"/>
        <v>2195782.0662381547</v>
      </c>
    </row>
    <row r="702" spans="2:4" x14ac:dyDescent="0.25">
      <c r="B702" s="90">
        <v>698</v>
      </c>
      <c r="C702" s="39">
        <f t="shared" si="22"/>
        <v>3603442.3522590599</v>
      </c>
      <c r="D702" s="39">
        <f t="shared" si="23"/>
        <v>2198932.3991882815</v>
      </c>
    </row>
    <row r="703" spans="2:4" x14ac:dyDescent="0.25">
      <c r="B703" s="90">
        <v>699</v>
      </c>
      <c r="C703" s="39">
        <f t="shared" si="22"/>
        <v>3606089.6908726115</v>
      </c>
      <c r="D703" s="39">
        <f t="shared" si="23"/>
        <v>2202082.7321384079</v>
      </c>
    </row>
    <row r="704" spans="2:4" x14ac:dyDescent="0.25">
      <c r="B704" s="90">
        <v>700</v>
      </c>
      <c r="C704" s="39">
        <f t="shared" si="22"/>
        <v>3608737.0294861631</v>
      </c>
      <c r="D704" s="39">
        <f t="shared" si="23"/>
        <v>2205233.0650885343</v>
      </c>
    </row>
    <row r="705" spans="2:4" x14ac:dyDescent="0.25">
      <c r="B705" s="90">
        <v>701</v>
      </c>
      <c r="C705" s="39">
        <f t="shared" si="22"/>
        <v>3611384.3680997146</v>
      </c>
      <c r="D705" s="39">
        <f t="shared" si="23"/>
        <v>2208383.3980386606</v>
      </c>
    </row>
    <row r="706" spans="2:4" x14ac:dyDescent="0.25">
      <c r="B706" s="90">
        <v>702</v>
      </c>
      <c r="C706" s="39">
        <f t="shared" si="22"/>
        <v>3614031.7067132667</v>
      </c>
      <c r="D706" s="39">
        <f t="shared" si="23"/>
        <v>2211533.730988787</v>
      </c>
    </row>
    <row r="707" spans="2:4" x14ac:dyDescent="0.25">
      <c r="B707" s="90">
        <v>703</v>
      </c>
      <c r="C707" s="39">
        <f t="shared" si="22"/>
        <v>3616679.0453268182</v>
      </c>
      <c r="D707" s="39">
        <f t="shared" si="23"/>
        <v>2214684.0639389139</v>
      </c>
    </row>
    <row r="708" spans="2:4" x14ac:dyDescent="0.25">
      <c r="B708" s="90">
        <v>704</v>
      </c>
      <c r="C708" s="39">
        <f t="shared" si="22"/>
        <v>3619326.3839403698</v>
      </c>
      <c r="D708" s="39">
        <f t="shared" si="23"/>
        <v>2217834.3968890402</v>
      </c>
    </row>
    <row r="709" spans="2:4" x14ac:dyDescent="0.25">
      <c r="B709" s="90">
        <v>705</v>
      </c>
      <c r="C709" s="39">
        <f t="shared" si="22"/>
        <v>3621973.7225539214</v>
      </c>
      <c r="D709" s="39">
        <f t="shared" si="23"/>
        <v>2220984.7298391666</v>
      </c>
    </row>
    <row r="710" spans="2:4" x14ac:dyDescent="0.25">
      <c r="B710" s="90">
        <v>706</v>
      </c>
      <c r="C710" s="39">
        <f t="shared" si="22"/>
        <v>3624621.061167473</v>
      </c>
      <c r="D710" s="39">
        <f t="shared" si="23"/>
        <v>2224135.062789293</v>
      </c>
    </row>
    <row r="711" spans="2:4" x14ac:dyDescent="0.25">
      <c r="B711" s="90">
        <v>707</v>
      </c>
      <c r="C711" s="39">
        <f t="shared" si="22"/>
        <v>3627268.399781025</v>
      </c>
      <c r="D711" s="39">
        <f t="shared" si="23"/>
        <v>2227285.3957394194</v>
      </c>
    </row>
    <row r="712" spans="2:4" x14ac:dyDescent="0.25">
      <c r="B712" s="90">
        <v>708</v>
      </c>
      <c r="C712" s="39">
        <f t="shared" si="22"/>
        <v>3629915.7383945761</v>
      </c>
      <c r="D712" s="39">
        <f t="shared" si="23"/>
        <v>2230435.7286895462</v>
      </c>
    </row>
    <row r="713" spans="2:4" x14ac:dyDescent="0.25">
      <c r="B713" s="90">
        <v>709</v>
      </c>
      <c r="C713" s="39">
        <f t="shared" si="22"/>
        <v>3632563.0770081282</v>
      </c>
      <c r="D713" s="39">
        <f t="shared" si="23"/>
        <v>2233586.0616396726</v>
      </c>
    </row>
    <row r="714" spans="2:4" x14ac:dyDescent="0.25">
      <c r="B714" s="90">
        <v>710</v>
      </c>
      <c r="C714" s="39">
        <f t="shared" si="22"/>
        <v>3635210.4156216797</v>
      </c>
      <c r="D714" s="39">
        <f t="shared" si="23"/>
        <v>2236736.394589799</v>
      </c>
    </row>
    <row r="715" spans="2:4" x14ac:dyDescent="0.25">
      <c r="B715" s="90">
        <v>711</v>
      </c>
      <c r="C715" s="39">
        <f t="shared" si="22"/>
        <v>3637857.7542352313</v>
      </c>
      <c r="D715" s="39">
        <f t="shared" si="23"/>
        <v>2239886.7275399254</v>
      </c>
    </row>
    <row r="716" spans="2:4" x14ac:dyDescent="0.25">
      <c r="B716" s="90">
        <v>712</v>
      </c>
      <c r="C716" s="39">
        <f t="shared" si="22"/>
        <v>3640505.0928487834</v>
      </c>
      <c r="D716" s="39">
        <f t="shared" si="23"/>
        <v>2243037.0604900518</v>
      </c>
    </row>
    <row r="717" spans="2:4" x14ac:dyDescent="0.25">
      <c r="B717" s="90">
        <v>713</v>
      </c>
      <c r="C717" s="39">
        <f t="shared" si="22"/>
        <v>3643152.4314623345</v>
      </c>
      <c r="D717" s="39">
        <f t="shared" si="23"/>
        <v>2246187.3934401786</v>
      </c>
    </row>
    <row r="718" spans="2:4" x14ac:dyDescent="0.25">
      <c r="B718" s="90">
        <v>714</v>
      </c>
      <c r="C718" s="39">
        <f t="shared" si="22"/>
        <v>3645799.7700758865</v>
      </c>
      <c r="D718" s="39">
        <f t="shared" si="23"/>
        <v>2249337.726390305</v>
      </c>
    </row>
    <row r="719" spans="2:4" x14ac:dyDescent="0.25">
      <c r="B719" s="90">
        <v>715</v>
      </c>
      <c r="C719" s="39">
        <f t="shared" si="22"/>
        <v>3648447.1086894381</v>
      </c>
      <c r="D719" s="39">
        <f t="shared" si="23"/>
        <v>2252488.0593404314</v>
      </c>
    </row>
    <row r="720" spans="2:4" x14ac:dyDescent="0.25">
      <c r="B720" s="90">
        <v>716</v>
      </c>
      <c r="C720" s="39">
        <f t="shared" si="22"/>
        <v>3651094.4473029897</v>
      </c>
      <c r="D720" s="39">
        <f t="shared" si="23"/>
        <v>2255638.3922905577</v>
      </c>
    </row>
    <row r="721" spans="2:4" x14ac:dyDescent="0.25">
      <c r="B721" s="90">
        <v>717</v>
      </c>
      <c r="C721" s="39">
        <f t="shared" si="22"/>
        <v>3653741.7859165417</v>
      </c>
      <c r="D721" s="39">
        <f t="shared" si="23"/>
        <v>2258788.7252406846</v>
      </c>
    </row>
    <row r="722" spans="2:4" x14ac:dyDescent="0.25">
      <c r="B722" s="90">
        <v>718</v>
      </c>
      <c r="C722" s="39">
        <f t="shared" si="22"/>
        <v>3656389.1245300928</v>
      </c>
      <c r="D722" s="39">
        <f t="shared" si="23"/>
        <v>2261939.058190811</v>
      </c>
    </row>
    <row r="723" spans="2:4" x14ac:dyDescent="0.25">
      <c r="B723" s="90">
        <v>719</v>
      </c>
      <c r="C723" s="39">
        <f t="shared" si="22"/>
        <v>3659036.4631436449</v>
      </c>
      <c r="D723" s="39">
        <f t="shared" si="23"/>
        <v>2265089.3911409373</v>
      </c>
    </row>
    <row r="724" spans="2:4" x14ac:dyDescent="0.25">
      <c r="B724" s="90">
        <v>720</v>
      </c>
      <c r="C724" s="39">
        <f t="shared" si="22"/>
        <v>3661683.8017571964</v>
      </c>
      <c r="D724" s="39">
        <f t="shared" si="23"/>
        <v>2268239.7240910637</v>
      </c>
    </row>
    <row r="725" spans="2:4" x14ac:dyDescent="0.25">
      <c r="B725" s="90">
        <v>721</v>
      </c>
      <c r="C725" s="39">
        <f t="shared" si="22"/>
        <v>3664331.140370748</v>
      </c>
      <c r="D725" s="39">
        <f t="shared" si="23"/>
        <v>2271390.0570411901</v>
      </c>
    </row>
    <row r="726" spans="2:4" x14ac:dyDescent="0.25">
      <c r="B726" s="90">
        <v>722</v>
      </c>
      <c r="C726" s="39">
        <f t="shared" si="22"/>
        <v>3666978.4789843</v>
      </c>
      <c r="D726" s="39">
        <f t="shared" si="23"/>
        <v>2274540.3899913169</v>
      </c>
    </row>
    <row r="727" spans="2:4" x14ac:dyDescent="0.25">
      <c r="B727" s="90">
        <v>723</v>
      </c>
      <c r="C727" s="39">
        <f t="shared" si="22"/>
        <v>3669625.8175978512</v>
      </c>
      <c r="D727" s="39">
        <f t="shared" si="23"/>
        <v>2277690.7229414433</v>
      </c>
    </row>
    <row r="728" spans="2:4" x14ac:dyDescent="0.25">
      <c r="B728" s="90">
        <v>724</v>
      </c>
      <c r="C728" s="39">
        <f t="shared" si="22"/>
        <v>3672273.1562114032</v>
      </c>
      <c r="D728" s="39">
        <f t="shared" si="23"/>
        <v>2280841.0558915697</v>
      </c>
    </row>
    <row r="729" spans="2:4" x14ac:dyDescent="0.25">
      <c r="B729" s="90">
        <v>725</v>
      </c>
      <c r="C729" s="39">
        <f t="shared" si="22"/>
        <v>3674920.4948249548</v>
      </c>
      <c r="D729" s="39">
        <f t="shared" si="23"/>
        <v>2283991.3888416961</v>
      </c>
    </row>
    <row r="730" spans="2:4" x14ac:dyDescent="0.25">
      <c r="B730" s="90">
        <v>726</v>
      </c>
      <c r="C730" s="39">
        <f t="shared" si="22"/>
        <v>3677567.8334385063</v>
      </c>
      <c r="D730" s="39">
        <f t="shared" si="23"/>
        <v>2287141.7217918225</v>
      </c>
    </row>
    <row r="731" spans="2:4" x14ac:dyDescent="0.25">
      <c r="B731" s="90">
        <v>727</v>
      </c>
      <c r="C731" s="39">
        <f t="shared" si="22"/>
        <v>3680215.1720520579</v>
      </c>
      <c r="D731" s="39">
        <f t="shared" si="23"/>
        <v>2290292.0547419493</v>
      </c>
    </row>
    <row r="732" spans="2:4" x14ac:dyDescent="0.25">
      <c r="B732" s="90">
        <v>728</v>
      </c>
      <c r="C732" s="39">
        <f t="shared" si="22"/>
        <v>3682862.5106656095</v>
      </c>
      <c r="D732" s="39">
        <f t="shared" si="23"/>
        <v>2293442.3876920757</v>
      </c>
    </row>
    <row r="733" spans="2:4" x14ac:dyDescent="0.25">
      <c r="B733" s="90">
        <v>729</v>
      </c>
      <c r="C733" s="39">
        <f t="shared" si="22"/>
        <v>3685509.8492791615</v>
      </c>
      <c r="D733" s="39">
        <f t="shared" si="23"/>
        <v>2296592.7206422021</v>
      </c>
    </row>
    <row r="734" spans="2:4" x14ac:dyDescent="0.25">
      <c r="B734" s="90">
        <v>730</v>
      </c>
      <c r="C734" s="39">
        <f t="shared" si="22"/>
        <v>3688157.1878927127</v>
      </c>
      <c r="D734" s="39">
        <f t="shared" si="23"/>
        <v>2299743.0535923284</v>
      </c>
    </row>
    <row r="735" spans="2:4" x14ac:dyDescent="0.25">
      <c r="B735" s="90">
        <v>731</v>
      </c>
      <c r="C735" s="39">
        <f t="shared" si="22"/>
        <v>3690804.5265062647</v>
      </c>
      <c r="D735" s="39">
        <f t="shared" si="23"/>
        <v>2302893.3865424548</v>
      </c>
    </row>
    <row r="736" spans="2:4" x14ac:dyDescent="0.25">
      <c r="B736" s="90">
        <v>732</v>
      </c>
      <c r="C736" s="39">
        <f t="shared" si="22"/>
        <v>3693451.8651198163</v>
      </c>
      <c r="D736" s="39">
        <f t="shared" si="23"/>
        <v>2306043.7194925817</v>
      </c>
    </row>
    <row r="737" spans="2:4" x14ac:dyDescent="0.25">
      <c r="B737" s="90">
        <v>733</v>
      </c>
      <c r="C737" s="39">
        <f t="shared" si="22"/>
        <v>3696099.2037333678</v>
      </c>
      <c r="D737" s="39">
        <f t="shared" si="23"/>
        <v>2309194.0524427081</v>
      </c>
    </row>
    <row r="738" spans="2:4" x14ac:dyDescent="0.25">
      <c r="B738" s="90">
        <v>734</v>
      </c>
      <c r="C738" s="39">
        <f t="shared" si="22"/>
        <v>3698746.5423469199</v>
      </c>
      <c r="D738" s="39">
        <f t="shared" si="23"/>
        <v>2312344.3853928344</v>
      </c>
    </row>
    <row r="739" spans="2:4" x14ac:dyDescent="0.25">
      <c r="B739" s="90">
        <v>735</v>
      </c>
      <c r="C739" s="39">
        <f t="shared" si="22"/>
        <v>3701393.880960471</v>
      </c>
      <c r="D739" s="39">
        <f t="shared" si="23"/>
        <v>2315494.7183429608</v>
      </c>
    </row>
    <row r="740" spans="2:4" x14ac:dyDescent="0.25">
      <c r="B740" s="90">
        <v>736</v>
      </c>
      <c r="C740" s="39">
        <f t="shared" si="22"/>
        <v>3704041.219574023</v>
      </c>
      <c r="D740" s="39">
        <f t="shared" si="23"/>
        <v>2318645.0512930877</v>
      </c>
    </row>
    <row r="741" spans="2:4" x14ac:dyDescent="0.25">
      <c r="B741" s="90">
        <v>737</v>
      </c>
      <c r="C741" s="39">
        <f t="shared" si="22"/>
        <v>3706688.5581875746</v>
      </c>
      <c r="D741" s="39">
        <f t="shared" si="23"/>
        <v>2321795.384243214</v>
      </c>
    </row>
    <row r="742" spans="2:4" x14ac:dyDescent="0.25">
      <c r="B742" s="90">
        <v>738</v>
      </c>
      <c r="C742" s="39">
        <f t="shared" si="22"/>
        <v>3709335.8968011262</v>
      </c>
      <c r="D742" s="39">
        <f t="shared" si="23"/>
        <v>2324945.7171933404</v>
      </c>
    </row>
    <row r="743" spans="2:4" x14ac:dyDescent="0.25">
      <c r="B743" s="90">
        <v>739</v>
      </c>
      <c r="C743" s="39">
        <f t="shared" si="22"/>
        <v>3711983.2354146782</v>
      </c>
      <c r="D743" s="39">
        <f t="shared" si="23"/>
        <v>2328096.0501434668</v>
      </c>
    </row>
    <row r="744" spans="2:4" x14ac:dyDescent="0.25">
      <c r="B744" s="90">
        <v>740</v>
      </c>
      <c r="C744" s="39">
        <f t="shared" si="22"/>
        <v>3714630.5740282293</v>
      </c>
      <c r="D744" s="39">
        <f t="shared" si="23"/>
        <v>2331246.3830935932</v>
      </c>
    </row>
    <row r="745" spans="2:4" x14ac:dyDescent="0.25">
      <c r="B745" s="90">
        <v>741</v>
      </c>
      <c r="C745" s="39">
        <f t="shared" si="22"/>
        <v>3717277.9126417814</v>
      </c>
      <c r="D745" s="39">
        <f t="shared" si="23"/>
        <v>2334396.71604372</v>
      </c>
    </row>
    <row r="746" spans="2:4" x14ac:dyDescent="0.25">
      <c r="B746" s="90">
        <v>742</v>
      </c>
      <c r="C746" s="39">
        <f t="shared" si="22"/>
        <v>3719925.251255333</v>
      </c>
      <c r="D746" s="39">
        <f t="shared" si="23"/>
        <v>2337547.0489938464</v>
      </c>
    </row>
    <row r="747" spans="2:4" x14ac:dyDescent="0.25">
      <c r="B747" s="90">
        <v>743</v>
      </c>
      <c r="C747" s="39">
        <f t="shared" si="22"/>
        <v>3722572.5898688845</v>
      </c>
      <c r="D747" s="39">
        <f t="shared" si="23"/>
        <v>2340697.3819439728</v>
      </c>
    </row>
    <row r="748" spans="2:4" x14ac:dyDescent="0.25">
      <c r="B748" s="90">
        <v>744</v>
      </c>
      <c r="C748" s="39">
        <f t="shared" si="22"/>
        <v>3725219.9284824366</v>
      </c>
      <c r="D748" s="39">
        <f t="shared" si="23"/>
        <v>2343847.7148940992</v>
      </c>
    </row>
    <row r="749" spans="2:4" x14ac:dyDescent="0.25">
      <c r="B749" s="90">
        <v>745</v>
      </c>
      <c r="C749" s="39">
        <f t="shared" si="22"/>
        <v>3727867.2670959877</v>
      </c>
      <c r="D749" s="39">
        <f t="shared" si="23"/>
        <v>2346998.0478442255</v>
      </c>
    </row>
    <row r="750" spans="2:4" x14ac:dyDescent="0.25">
      <c r="B750" s="90">
        <v>746</v>
      </c>
      <c r="C750" s="39">
        <f t="shared" si="22"/>
        <v>3730514.6057095397</v>
      </c>
      <c r="D750" s="39">
        <f t="shared" si="23"/>
        <v>2350148.3807943524</v>
      </c>
    </row>
    <row r="751" spans="2:4" x14ac:dyDescent="0.25">
      <c r="B751" s="90">
        <v>747</v>
      </c>
      <c r="C751" s="39">
        <f t="shared" si="22"/>
        <v>3733161.9443230913</v>
      </c>
      <c r="D751" s="39">
        <f t="shared" si="23"/>
        <v>2353298.7137444788</v>
      </c>
    </row>
    <row r="752" spans="2:4" x14ac:dyDescent="0.25">
      <c r="B752" s="90">
        <v>748</v>
      </c>
      <c r="C752" s="39">
        <f t="shared" si="22"/>
        <v>3735809.2829366429</v>
      </c>
      <c r="D752" s="39">
        <f t="shared" si="23"/>
        <v>2356449.0466946051</v>
      </c>
    </row>
    <row r="753" spans="2:4" x14ac:dyDescent="0.25">
      <c r="B753" s="90">
        <v>749</v>
      </c>
      <c r="C753" s="39">
        <f t="shared" ref="C753:C816" si="24">($C$2*B753)+$C$1</f>
        <v>3738456.6215501945</v>
      </c>
      <c r="D753" s="39">
        <f t="shared" ref="D753:D816" si="25">$D$2*B753</f>
        <v>2359599.3796447315</v>
      </c>
    </row>
    <row r="754" spans="2:4" x14ac:dyDescent="0.25">
      <c r="B754" s="90">
        <v>750</v>
      </c>
      <c r="C754" s="39">
        <f t="shared" si="24"/>
        <v>3741103.960163746</v>
      </c>
      <c r="D754" s="39">
        <f t="shared" si="25"/>
        <v>2362749.7125948579</v>
      </c>
    </row>
    <row r="755" spans="2:4" x14ac:dyDescent="0.25">
      <c r="B755" s="90">
        <v>751</v>
      </c>
      <c r="C755" s="39">
        <f t="shared" si="24"/>
        <v>3743751.2987772981</v>
      </c>
      <c r="D755" s="39">
        <f t="shared" si="25"/>
        <v>2365900.0455449848</v>
      </c>
    </row>
    <row r="756" spans="2:4" x14ac:dyDescent="0.25">
      <c r="B756" s="90">
        <v>752</v>
      </c>
      <c r="C756" s="39">
        <f t="shared" si="24"/>
        <v>3746398.6373908496</v>
      </c>
      <c r="D756" s="39">
        <f t="shared" si="25"/>
        <v>2369050.3784951111</v>
      </c>
    </row>
    <row r="757" spans="2:4" x14ac:dyDescent="0.25">
      <c r="B757" s="90">
        <v>753</v>
      </c>
      <c r="C757" s="39">
        <f t="shared" si="24"/>
        <v>3749045.9760044012</v>
      </c>
      <c r="D757" s="39">
        <f t="shared" si="25"/>
        <v>2372200.7114452375</v>
      </c>
    </row>
    <row r="758" spans="2:4" x14ac:dyDescent="0.25">
      <c r="B758" s="90">
        <v>754</v>
      </c>
      <c r="C758" s="39">
        <f t="shared" si="24"/>
        <v>3751693.3146179528</v>
      </c>
      <c r="D758" s="39">
        <f t="shared" si="25"/>
        <v>2375351.0443953639</v>
      </c>
    </row>
    <row r="759" spans="2:4" x14ac:dyDescent="0.25">
      <c r="B759" s="90">
        <v>755</v>
      </c>
      <c r="C759" s="39">
        <f t="shared" si="24"/>
        <v>3754340.6532315044</v>
      </c>
      <c r="D759" s="39">
        <f t="shared" si="25"/>
        <v>2378501.3773454907</v>
      </c>
    </row>
    <row r="760" spans="2:4" x14ac:dyDescent="0.25">
      <c r="B760" s="90">
        <v>756</v>
      </c>
      <c r="C760" s="39">
        <f t="shared" si="24"/>
        <v>3756987.9918450564</v>
      </c>
      <c r="D760" s="39">
        <f t="shared" si="25"/>
        <v>2381651.7102956171</v>
      </c>
    </row>
    <row r="761" spans="2:4" x14ac:dyDescent="0.25">
      <c r="B761" s="90">
        <v>757</v>
      </c>
      <c r="C761" s="39">
        <f t="shared" si="24"/>
        <v>3759635.3304586075</v>
      </c>
      <c r="D761" s="39">
        <f t="shared" si="25"/>
        <v>2384802.0432457435</v>
      </c>
    </row>
    <row r="762" spans="2:4" x14ac:dyDescent="0.25">
      <c r="B762" s="90">
        <v>758</v>
      </c>
      <c r="C762" s="39">
        <f t="shared" si="24"/>
        <v>3762282.6690721596</v>
      </c>
      <c r="D762" s="39">
        <f t="shared" si="25"/>
        <v>2387952.3761958699</v>
      </c>
    </row>
    <row r="763" spans="2:4" x14ac:dyDescent="0.25">
      <c r="B763" s="90">
        <v>759</v>
      </c>
      <c r="C763" s="39">
        <f t="shared" si="24"/>
        <v>3764930.0076857111</v>
      </c>
      <c r="D763" s="39">
        <f t="shared" si="25"/>
        <v>2391102.7091459963</v>
      </c>
    </row>
    <row r="764" spans="2:4" x14ac:dyDescent="0.25">
      <c r="B764" s="90">
        <v>760</v>
      </c>
      <c r="C764" s="39">
        <f t="shared" si="24"/>
        <v>3767577.3462992627</v>
      </c>
      <c r="D764" s="39">
        <f t="shared" si="25"/>
        <v>2394253.0420961231</v>
      </c>
    </row>
    <row r="765" spans="2:4" x14ac:dyDescent="0.25">
      <c r="B765" s="90">
        <v>761</v>
      </c>
      <c r="C765" s="39">
        <f t="shared" si="24"/>
        <v>3770224.6849128148</v>
      </c>
      <c r="D765" s="39">
        <f t="shared" si="25"/>
        <v>2397403.3750462495</v>
      </c>
    </row>
    <row r="766" spans="2:4" x14ac:dyDescent="0.25">
      <c r="B766" s="90">
        <v>762</v>
      </c>
      <c r="C766" s="39">
        <f t="shared" si="24"/>
        <v>3772872.0235263659</v>
      </c>
      <c r="D766" s="39">
        <f t="shared" si="25"/>
        <v>2400553.7079963759</v>
      </c>
    </row>
    <row r="767" spans="2:4" x14ac:dyDescent="0.25">
      <c r="B767" s="90">
        <v>763</v>
      </c>
      <c r="C767" s="39">
        <f t="shared" si="24"/>
        <v>3775519.3621399179</v>
      </c>
      <c r="D767" s="39">
        <f t="shared" si="25"/>
        <v>2403704.0409465022</v>
      </c>
    </row>
    <row r="768" spans="2:4" x14ac:dyDescent="0.25">
      <c r="B768" s="90">
        <v>764</v>
      </c>
      <c r="C768" s="39">
        <f t="shared" si="24"/>
        <v>3778166.7007534695</v>
      </c>
      <c r="D768" s="39">
        <f t="shared" si="25"/>
        <v>2406854.3738966286</v>
      </c>
    </row>
    <row r="769" spans="2:4" x14ac:dyDescent="0.25">
      <c r="B769" s="90">
        <v>765</v>
      </c>
      <c r="C769" s="39">
        <f t="shared" si="24"/>
        <v>3780814.0393670211</v>
      </c>
      <c r="D769" s="39">
        <f t="shared" si="25"/>
        <v>2410004.7068467555</v>
      </c>
    </row>
    <row r="770" spans="2:4" x14ac:dyDescent="0.25">
      <c r="B770" s="90">
        <v>766</v>
      </c>
      <c r="C770" s="39">
        <f t="shared" si="24"/>
        <v>3783461.3779805731</v>
      </c>
      <c r="D770" s="39">
        <f t="shared" si="25"/>
        <v>2413155.0397968818</v>
      </c>
    </row>
    <row r="771" spans="2:4" x14ac:dyDescent="0.25">
      <c r="B771" s="90">
        <v>767</v>
      </c>
      <c r="C771" s="39">
        <f t="shared" si="24"/>
        <v>3786108.7165941242</v>
      </c>
      <c r="D771" s="39">
        <f t="shared" si="25"/>
        <v>2416305.3727470082</v>
      </c>
    </row>
    <row r="772" spans="2:4" x14ac:dyDescent="0.25">
      <c r="B772" s="90">
        <v>768</v>
      </c>
      <c r="C772" s="39">
        <f t="shared" si="24"/>
        <v>3788756.0552076763</v>
      </c>
      <c r="D772" s="39">
        <f t="shared" si="25"/>
        <v>2419455.7056971346</v>
      </c>
    </row>
    <row r="773" spans="2:4" x14ac:dyDescent="0.25">
      <c r="B773" s="90">
        <v>769</v>
      </c>
      <c r="C773" s="39">
        <f t="shared" si="24"/>
        <v>3791403.3938212278</v>
      </c>
      <c r="D773" s="39">
        <f t="shared" si="25"/>
        <v>2422606.038647261</v>
      </c>
    </row>
    <row r="774" spans="2:4" x14ac:dyDescent="0.25">
      <c r="B774" s="90">
        <v>770</v>
      </c>
      <c r="C774" s="39">
        <f t="shared" si="24"/>
        <v>3794050.7324347794</v>
      </c>
      <c r="D774" s="39">
        <f t="shared" si="25"/>
        <v>2425756.3715973878</v>
      </c>
    </row>
    <row r="775" spans="2:4" x14ac:dyDescent="0.25">
      <c r="B775" s="90">
        <v>771</v>
      </c>
      <c r="C775" s="39">
        <f t="shared" si="24"/>
        <v>3796698.0710483314</v>
      </c>
      <c r="D775" s="39">
        <f t="shared" si="25"/>
        <v>2428906.7045475142</v>
      </c>
    </row>
    <row r="776" spans="2:4" x14ac:dyDescent="0.25">
      <c r="B776" s="90">
        <v>772</v>
      </c>
      <c r="C776" s="39">
        <f t="shared" si="24"/>
        <v>3799345.4096618826</v>
      </c>
      <c r="D776" s="39">
        <f t="shared" si="25"/>
        <v>2432057.0374976406</v>
      </c>
    </row>
    <row r="777" spans="2:4" x14ac:dyDescent="0.25">
      <c r="B777" s="90">
        <v>773</v>
      </c>
      <c r="C777" s="39">
        <f t="shared" si="24"/>
        <v>3801992.7482754346</v>
      </c>
      <c r="D777" s="39">
        <f t="shared" si="25"/>
        <v>2435207.370447767</v>
      </c>
    </row>
    <row r="778" spans="2:4" x14ac:dyDescent="0.25">
      <c r="B778" s="90">
        <v>774</v>
      </c>
      <c r="C778" s="39">
        <f t="shared" si="24"/>
        <v>3804640.0868889862</v>
      </c>
      <c r="D778" s="39">
        <f t="shared" si="25"/>
        <v>2438357.7033978938</v>
      </c>
    </row>
    <row r="779" spans="2:4" x14ac:dyDescent="0.25">
      <c r="B779" s="90">
        <v>775</v>
      </c>
      <c r="C779" s="39">
        <f t="shared" si="24"/>
        <v>3807287.4255025377</v>
      </c>
      <c r="D779" s="39">
        <f t="shared" si="25"/>
        <v>2441508.0363480202</v>
      </c>
    </row>
    <row r="780" spans="2:4" x14ac:dyDescent="0.25">
      <c r="B780" s="90">
        <v>776</v>
      </c>
      <c r="C780" s="39">
        <f t="shared" si="24"/>
        <v>3809934.7641160893</v>
      </c>
      <c r="D780" s="39">
        <f t="shared" si="25"/>
        <v>2444658.3692981466</v>
      </c>
    </row>
    <row r="781" spans="2:4" x14ac:dyDescent="0.25">
      <c r="B781" s="90">
        <v>777</v>
      </c>
      <c r="C781" s="39">
        <f t="shared" si="24"/>
        <v>3812582.1027296409</v>
      </c>
      <c r="D781" s="39">
        <f t="shared" si="25"/>
        <v>2447808.702248273</v>
      </c>
    </row>
    <row r="782" spans="2:4" x14ac:dyDescent="0.25">
      <c r="B782" s="90">
        <v>778</v>
      </c>
      <c r="C782" s="39">
        <f t="shared" si="24"/>
        <v>3815229.4413431929</v>
      </c>
      <c r="D782" s="39">
        <f t="shared" si="25"/>
        <v>2450959.0351983993</v>
      </c>
    </row>
    <row r="783" spans="2:4" x14ac:dyDescent="0.25">
      <c r="B783" s="90">
        <v>779</v>
      </c>
      <c r="C783" s="39">
        <f t="shared" si="24"/>
        <v>3817876.7799567445</v>
      </c>
      <c r="D783" s="39">
        <f t="shared" si="25"/>
        <v>2454109.3681485262</v>
      </c>
    </row>
    <row r="784" spans="2:4" x14ac:dyDescent="0.25">
      <c r="B784" s="90">
        <v>780</v>
      </c>
      <c r="C784" s="39">
        <f t="shared" si="24"/>
        <v>3820524.1185702961</v>
      </c>
      <c r="D784" s="39">
        <f t="shared" si="25"/>
        <v>2457259.7010986526</v>
      </c>
    </row>
    <row r="785" spans="2:4" x14ac:dyDescent="0.25">
      <c r="B785" s="90">
        <v>781</v>
      </c>
      <c r="C785" s="39">
        <f t="shared" si="24"/>
        <v>3823171.4571838477</v>
      </c>
      <c r="D785" s="39">
        <f t="shared" si="25"/>
        <v>2460410.0340487789</v>
      </c>
    </row>
    <row r="786" spans="2:4" x14ac:dyDescent="0.25">
      <c r="B786" s="90">
        <v>782</v>
      </c>
      <c r="C786" s="39">
        <f t="shared" si="24"/>
        <v>3825818.7957973992</v>
      </c>
      <c r="D786" s="39">
        <f t="shared" si="25"/>
        <v>2463560.3669989053</v>
      </c>
    </row>
    <row r="787" spans="2:4" x14ac:dyDescent="0.25">
      <c r="B787" s="90">
        <v>783</v>
      </c>
      <c r="C787" s="39">
        <f t="shared" si="24"/>
        <v>3828466.1344109513</v>
      </c>
      <c r="D787" s="39">
        <f t="shared" si="25"/>
        <v>2466710.6999490317</v>
      </c>
    </row>
    <row r="788" spans="2:4" x14ac:dyDescent="0.25">
      <c r="B788" s="90">
        <v>784</v>
      </c>
      <c r="C788" s="39">
        <f t="shared" si="24"/>
        <v>3831113.4730245024</v>
      </c>
      <c r="D788" s="39">
        <f t="shared" si="25"/>
        <v>2469861.0328991585</v>
      </c>
    </row>
    <row r="789" spans="2:4" x14ac:dyDescent="0.25">
      <c r="B789" s="90">
        <v>785</v>
      </c>
      <c r="C789" s="39">
        <f t="shared" si="24"/>
        <v>3833760.8116380544</v>
      </c>
      <c r="D789" s="39">
        <f t="shared" si="25"/>
        <v>2473011.3658492849</v>
      </c>
    </row>
    <row r="790" spans="2:4" x14ac:dyDescent="0.25">
      <c r="B790" s="90">
        <v>786</v>
      </c>
      <c r="C790" s="39">
        <f t="shared" si="24"/>
        <v>3836408.150251606</v>
      </c>
      <c r="D790" s="39">
        <f t="shared" si="25"/>
        <v>2476161.6987994113</v>
      </c>
    </row>
    <row r="791" spans="2:4" x14ac:dyDescent="0.25">
      <c r="B791" s="90">
        <v>787</v>
      </c>
      <c r="C791" s="39">
        <f t="shared" si="24"/>
        <v>3839055.4888651576</v>
      </c>
      <c r="D791" s="39">
        <f t="shared" si="25"/>
        <v>2479312.0317495377</v>
      </c>
    </row>
    <row r="792" spans="2:4" x14ac:dyDescent="0.25">
      <c r="B792" s="90">
        <v>788</v>
      </c>
      <c r="C792" s="39">
        <f t="shared" si="24"/>
        <v>3841702.8274787096</v>
      </c>
      <c r="D792" s="39">
        <f t="shared" si="25"/>
        <v>2482462.3646996641</v>
      </c>
    </row>
    <row r="793" spans="2:4" x14ac:dyDescent="0.25">
      <c r="B793" s="90">
        <v>789</v>
      </c>
      <c r="C793" s="39">
        <f t="shared" si="24"/>
        <v>3844350.1660922607</v>
      </c>
      <c r="D793" s="39">
        <f t="shared" si="25"/>
        <v>2485612.6976497909</v>
      </c>
    </row>
    <row r="794" spans="2:4" x14ac:dyDescent="0.25">
      <c r="B794" s="90">
        <v>790</v>
      </c>
      <c r="C794" s="39">
        <f t="shared" si="24"/>
        <v>3846997.5047058128</v>
      </c>
      <c r="D794" s="39">
        <f t="shared" si="25"/>
        <v>2488763.0305999173</v>
      </c>
    </row>
    <row r="795" spans="2:4" x14ac:dyDescent="0.25">
      <c r="B795" s="90">
        <v>791</v>
      </c>
      <c r="C795" s="39">
        <f t="shared" si="24"/>
        <v>3849644.8433193644</v>
      </c>
      <c r="D795" s="39">
        <f t="shared" si="25"/>
        <v>2491913.3635500437</v>
      </c>
    </row>
    <row r="796" spans="2:4" x14ac:dyDescent="0.25">
      <c r="B796" s="90">
        <v>792</v>
      </c>
      <c r="C796" s="39">
        <f t="shared" si="24"/>
        <v>3852292.1819329159</v>
      </c>
      <c r="D796" s="39">
        <f t="shared" si="25"/>
        <v>2495063.69650017</v>
      </c>
    </row>
    <row r="797" spans="2:4" x14ac:dyDescent="0.25">
      <c r="B797" s="90">
        <v>793</v>
      </c>
      <c r="C797" s="39">
        <f t="shared" si="24"/>
        <v>3854939.5205464675</v>
      </c>
      <c r="D797" s="39">
        <f t="shared" si="25"/>
        <v>2498214.0294502964</v>
      </c>
    </row>
    <row r="798" spans="2:4" x14ac:dyDescent="0.25">
      <c r="B798" s="90">
        <v>794</v>
      </c>
      <c r="C798" s="39">
        <f t="shared" si="24"/>
        <v>3857586.8591600196</v>
      </c>
      <c r="D798" s="39">
        <f t="shared" si="25"/>
        <v>2501364.3624004233</v>
      </c>
    </row>
    <row r="799" spans="2:4" x14ac:dyDescent="0.25">
      <c r="B799" s="90">
        <v>795</v>
      </c>
      <c r="C799" s="39">
        <f t="shared" si="24"/>
        <v>3860234.1977735711</v>
      </c>
      <c r="D799" s="39">
        <f t="shared" si="25"/>
        <v>2504514.6953505496</v>
      </c>
    </row>
    <row r="800" spans="2:4" x14ac:dyDescent="0.25">
      <c r="B800" s="90">
        <v>796</v>
      </c>
      <c r="C800" s="39">
        <f t="shared" si="24"/>
        <v>3862881.5363871227</v>
      </c>
      <c r="D800" s="39">
        <f t="shared" si="25"/>
        <v>2507665.028300676</v>
      </c>
    </row>
    <row r="801" spans="2:4" x14ac:dyDescent="0.25">
      <c r="B801" s="90">
        <v>797</v>
      </c>
      <c r="C801" s="39">
        <f t="shared" si="24"/>
        <v>3865528.8750006743</v>
      </c>
      <c r="D801" s="39">
        <f t="shared" si="25"/>
        <v>2510815.3612508024</v>
      </c>
    </row>
    <row r="802" spans="2:4" x14ac:dyDescent="0.25">
      <c r="B802" s="90">
        <v>798</v>
      </c>
      <c r="C802" s="39">
        <f t="shared" si="24"/>
        <v>3868176.2136142259</v>
      </c>
      <c r="D802" s="39">
        <f t="shared" si="25"/>
        <v>2513965.6942009293</v>
      </c>
    </row>
    <row r="803" spans="2:4" x14ac:dyDescent="0.25">
      <c r="B803" s="90">
        <v>799</v>
      </c>
      <c r="C803" s="39">
        <f t="shared" si="24"/>
        <v>3870823.5522277774</v>
      </c>
      <c r="D803" s="39">
        <f t="shared" si="25"/>
        <v>2517116.0271510556</v>
      </c>
    </row>
    <row r="804" spans="2:4" x14ac:dyDescent="0.25">
      <c r="B804" s="90">
        <v>800</v>
      </c>
      <c r="C804" s="39">
        <f t="shared" si="24"/>
        <v>3873470.8908413295</v>
      </c>
      <c r="D804" s="39">
        <f t="shared" si="25"/>
        <v>2520266.360101182</v>
      </c>
    </row>
    <row r="805" spans="2:4" x14ac:dyDescent="0.25">
      <c r="B805" s="90">
        <v>801</v>
      </c>
      <c r="C805" s="39">
        <f t="shared" si="24"/>
        <v>3876118.229454881</v>
      </c>
      <c r="D805" s="39">
        <f t="shared" si="25"/>
        <v>2523416.6930513084</v>
      </c>
    </row>
    <row r="806" spans="2:4" x14ac:dyDescent="0.25">
      <c r="B806" s="90">
        <v>802</v>
      </c>
      <c r="C806" s="39">
        <f t="shared" si="24"/>
        <v>3878765.5680684326</v>
      </c>
      <c r="D806" s="39">
        <f t="shared" si="25"/>
        <v>2526567.0260014348</v>
      </c>
    </row>
    <row r="807" spans="2:4" x14ac:dyDescent="0.25">
      <c r="B807" s="90">
        <v>803</v>
      </c>
      <c r="C807" s="39">
        <f t="shared" si="24"/>
        <v>3881412.9066819842</v>
      </c>
      <c r="D807" s="39">
        <f t="shared" si="25"/>
        <v>2529717.3589515616</v>
      </c>
    </row>
    <row r="808" spans="2:4" x14ac:dyDescent="0.25">
      <c r="B808" s="90">
        <v>804</v>
      </c>
      <c r="C808" s="39">
        <f t="shared" si="24"/>
        <v>3884060.2452955358</v>
      </c>
      <c r="D808" s="39">
        <f t="shared" si="25"/>
        <v>2532867.691901688</v>
      </c>
    </row>
    <row r="809" spans="2:4" x14ac:dyDescent="0.25">
      <c r="B809" s="90">
        <v>805</v>
      </c>
      <c r="C809" s="39">
        <f t="shared" si="24"/>
        <v>3886707.5839090878</v>
      </c>
      <c r="D809" s="39">
        <f t="shared" si="25"/>
        <v>2536018.0248518144</v>
      </c>
    </row>
    <row r="810" spans="2:4" x14ac:dyDescent="0.25">
      <c r="B810" s="90">
        <v>806</v>
      </c>
      <c r="C810" s="39">
        <f t="shared" si="24"/>
        <v>3889354.9225226394</v>
      </c>
      <c r="D810" s="39">
        <f t="shared" si="25"/>
        <v>2539168.3578019408</v>
      </c>
    </row>
    <row r="811" spans="2:4" x14ac:dyDescent="0.25">
      <c r="B811" s="90">
        <v>807</v>
      </c>
      <c r="C811" s="39">
        <f t="shared" si="24"/>
        <v>3892002.261136191</v>
      </c>
      <c r="D811" s="39">
        <f t="shared" si="25"/>
        <v>2542318.6907520671</v>
      </c>
    </row>
    <row r="812" spans="2:4" x14ac:dyDescent="0.25">
      <c r="B812" s="90">
        <v>808</v>
      </c>
      <c r="C812" s="39">
        <f t="shared" si="24"/>
        <v>3894649.5997497425</v>
      </c>
      <c r="D812" s="39">
        <f t="shared" si="25"/>
        <v>2545469.023702194</v>
      </c>
    </row>
    <row r="813" spans="2:4" x14ac:dyDescent="0.25">
      <c r="B813" s="90">
        <v>809</v>
      </c>
      <c r="C813" s="39">
        <f t="shared" si="24"/>
        <v>3897296.9383632941</v>
      </c>
      <c r="D813" s="39">
        <f t="shared" si="25"/>
        <v>2548619.3566523204</v>
      </c>
    </row>
    <row r="814" spans="2:4" x14ac:dyDescent="0.25">
      <c r="B814" s="90">
        <v>810</v>
      </c>
      <c r="C814" s="39">
        <f t="shared" si="24"/>
        <v>3899944.2769768462</v>
      </c>
      <c r="D814" s="39">
        <f t="shared" si="25"/>
        <v>2551769.6896024467</v>
      </c>
    </row>
    <row r="815" spans="2:4" x14ac:dyDescent="0.25">
      <c r="B815" s="90">
        <v>811</v>
      </c>
      <c r="C815" s="39">
        <f t="shared" si="24"/>
        <v>3902591.6155903977</v>
      </c>
      <c r="D815" s="39">
        <f t="shared" si="25"/>
        <v>2554920.0225525731</v>
      </c>
    </row>
    <row r="816" spans="2:4" x14ac:dyDescent="0.25">
      <c r="B816" s="90">
        <v>812</v>
      </c>
      <c r="C816" s="39">
        <f t="shared" si="24"/>
        <v>3905238.9542039493</v>
      </c>
      <c r="D816" s="39">
        <f t="shared" si="25"/>
        <v>2558070.3555026995</v>
      </c>
    </row>
    <row r="817" spans="2:4" x14ac:dyDescent="0.25">
      <c r="B817" s="90">
        <v>813</v>
      </c>
      <c r="C817" s="39">
        <f t="shared" ref="C817:C880" si="26">($C$2*B817)+$C$1</f>
        <v>3907886.2928175009</v>
      </c>
      <c r="D817" s="39">
        <f t="shared" ref="D817:D880" si="27">$D$2*B817</f>
        <v>2561220.6884528263</v>
      </c>
    </row>
    <row r="818" spans="2:4" x14ac:dyDescent="0.25">
      <c r="B818" s="90">
        <v>814</v>
      </c>
      <c r="C818" s="39">
        <f t="shared" si="26"/>
        <v>3910533.6314310525</v>
      </c>
      <c r="D818" s="39">
        <f t="shared" si="27"/>
        <v>2564371.0214029527</v>
      </c>
    </row>
    <row r="819" spans="2:4" x14ac:dyDescent="0.25">
      <c r="B819" s="90">
        <v>815</v>
      </c>
      <c r="C819" s="39">
        <f t="shared" si="26"/>
        <v>3913180.970044604</v>
      </c>
      <c r="D819" s="39">
        <f t="shared" si="27"/>
        <v>2567521.3543530791</v>
      </c>
    </row>
    <row r="820" spans="2:4" x14ac:dyDescent="0.25">
      <c r="B820" s="90">
        <v>816</v>
      </c>
      <c r="C820" s="39">
        <f t="shared" si="26"/>
        <v>3915828.3086581561</v>
      </c>
      <c r="D820" s="39">
        <f t="shared" si="27"/>
        <v>2570671.6873032055</v>
      </c>
    </row>
    <row r="821" spans="2:4" x14ac:dyDescent="0.25">
      <c r="B821" s="90">
        <v>817</v>
      </c>
      <c r="C821" s="39">
        <f t="shared" si="26"/>
        <v>3918475.6472717077</v>
      </c>
      <c r="D821" s="39">
        <f t="shared" si="27"/>
        <v>2573822.0202533323</v>
      </c>
    </row>
    <row r="822" spans="2:4" x14ac:dyDescent="0.25">
      <c r="B822" s="90">
        <v>818</v>
      </c>
      <c r="C822" s="39">
        <f t="shared" si="26"/>
        <v>3921122.9858852592</v>
      </c>
      <c r="D822" s="39">
        <f t="shared" si="27"/>
        <v>2576972.3532034587</v>
      </c>
    </row>
    <row r="823" spans="2:4" x14ac:dyDescent="0.25">
      <c r="B823" s="90">
        <v>819</v>
      </c>
      <c r="C823" s="39">
        <f t="shared" si="26"/>
        <v>3923770.3244988108</v>
      </c>
      <c r="D823" s="39">
        <f t="shared" si="27"/>
        <v>2580122.6861535851</v>
      </c>
    </row>
    <row r="824" spans="2:4" x14ac:dyDescent="0.25">
      <c r="B824" s="90">
        <v>820</v>
      </c>
      <c r="C824" s="39">
        <f t="shared" si="26"/>
        <v>3926417.6631123624</v>
      </c>
      <c r="D824" s="39">
        <f t="shared" si="27"/>
        <v>2583273.0191037115</v>
      </c>
    </row>
    <row r="825" spans="2:4" x14ac:dyDescent="0.25">
      <c r="B825" s="90">
        <v>821</v>
      </c>
      <c r="C825" s="39">
        <f t="shared" si="26"/>
        <v>3929065.0017259144</v>
      </c>
      <c r="D825" s="39">
        <f t="shared" si="27"/>
        <v>2586423.3520538379</v>
      </c>
    </row>
    <row r="826" spans="2:4" x14ac:dyDescent="0.25">
      <c r="B826" s="90">
        <v>822</v>
      </c>
      <c r="C826" s="39">
        <f t="shared" si="26"/>
        <v>3931712.340339466</v>
      </c>
      <c r="D826" s="39">
        <f t="shared" si="27"/>
        <v>2589573.6850039647</v>
      </c>
    </row>
    <row r="827" spans="2:4" x14ac:dyDescent="0.25">
      <c r="B827" s="90">
        <v>823</v>
      </c>
      <c r="C827" s="39">
        <f t="shared" si="26"/>
        <v>3934359.6789530176</v>
      </c>
      <c r="D827" s="39">
        <f t="shared" si="27"/>
        <v>2592724.0179540911</v>
      </c>
    </row>
    <row r="828" spans="2:4" x14ac:dyDescent="0.25">
      <c r="B828" s="90">
        <v>824</v>
      </c>
      <c r="C828" s="39">
        <f t="shared" si="26"/>
        <v>3937007.0175665691</v>
      </c>
      <c r="D828" s="39">
        <f t="shared" si="27"/>
        <v>2595874.3509042175</v>
      </c>
    </row>
    <row r="829" spans="2:4" x14ac:dyDescent="0.25">
      <c r="B829" s="90">
        <v>825</v>
      </c>
      <c r="C829" s="39">
        <f t="shared" si="26"/>
        <v>3939654.3561801207</v>
      </c>
      <c r="D829" s="39">
        <f t="shared" si="27"/>
        <v>2599024.6838543438</v>
      </c>
    </row>
    <row r="830" spans="2:4" x14ac:dyDescent="0.25">
      <c r="B830" s="90">
        <v>826</v>
      </c>
      <c r="C830" s="39">
        <f t="shared" si="26"/>
        <v>3942301.6947936723</v>
      </c>
      <c r="D830" s="39">
        <f t="shared" si="27"/>
        <v>2602175.0168044702</v>
      </c>
    </row>
    <row r="831" spans="2:4" x14ac:dyDescent="0.25">
      <c r="B831" s="90">
        <v>827</v>
      </c>
      <c r="C831" s="39">
        <f t="shared" si="26"/>
        <v>3944949.0334072243</v>
      </c>
      <c r="D831" s="39">
        <f t="shared" si="27"/>
        <v>2605325.3497545971</v>
      </c>
    </row>
    <row r="832" spans="2:4" x14ac:dyDescent="0.25">
      <c r="B832" s="90">
        <v>828</v>
      </c>
      <c r="C832" s="39">
        <f t="shared" si="26"/>
        <v>3947596.3720207759</v>
      </c>
      <c r="D832" s="39">
        <f t="shared" si="27"/>
        <v>2608475.6827047234</v>
      </c>
    </row>
    <row r="833" spans="2:4" x14ac:dyDescent="0.25">
      <c r="B833" s="90">
        <v>829</v>
      </c>
      <c r="C833" s="39">
        <f t="shared" si="26"/>
        <v>3950243.7106343275</v>
      </c>
      <c r="D833" s="39">
        <f t="shared" si="27"/>
        <v>2611626.0156548498</v>
      </c>
    </row>
    <row r="834" spans="2:4" x14ac:dyDescent="0.25">
      <c r="B834" s="90">
        <v>830</v>
      </c>
      <c r="C834" s="39">
        <f t="shared" si="26"/>
        <v>3952891.0492478791</v>
      </c>
      <c r="D834" s="39">
        <f t="shared" si="27"/>
        <v>2614776.3486049762</v>
      </c>
    </row>
    <row r="835" spans="2:4" x14ac:dyDescent="0.25">
      <c r="B835" s="90">
        <v>831</v>
      </c>
      <c r="C835" s="39">
        <f t="shared" si="26"/>
        <v>3955538.3878614306</v>
      </c>
      <c r="D835" s="39">
        <f t="shared" si="27"/>
        <v>2617926.6815551026</v>
      </c>
    </row>
    <row r="836" spans="2:4" x14ac:dyDescent="0.25">
      <c r="B836" s="90">
        <v>832</v>
      </c>
      <c r="C836" s="39">
        <f t="shared" si="26"/>
        <v>3958185.7264749827</v>
      </c>
      <c r="D836" s="39">
        <f t="shared" si="27"/>
        <v>2621077.0145052294</v>
      </c>
    </row>
    <row r="837" spans="2:4" x14ac:dyDescent="0.25">
      <c r="B837" s="90">
        <v>833</v>
      </c>
      <c r="C837" s="39">
        <f t="shared" si="26"/>
        <v>3960833.0650885343</v>
      </c>
      <c r="D837" s="39">
        <f t="shared" si="27"/>
        <v>2624227.3474553558</v>
      </c>
    </row>
    <row r="838" spans="2:4" x14ac:dyDescent="0.25">
      <c r="B838" s="90">
        <v>834</v>
      </c>
      <c r="C838" s="39">
        <f t="shared" si="26"/>
        <v>3963480.4037020858</v>
      </c>
      <c r="D838" s="39">
        <f t="shared" si="27"/>
        <v>2627377.6804054822</v>
      </c>
    </row>
    <row r="839" spans="2:4" x14ac:dyDescent="0.25">
      <c r="B839" s="90">
        <v>835</v>
      </c>
      <c r="C839" s="39">
        <f t="shared" si="26"/>
        <v>3966127.7423156374</v>
      </c>
      <c r="D839" s="39">
        <f t="shared" si="27"/>
        <v>2630528.0133556086</v>
      </c>
    </row>
    <row r="840" spans="2:4" x14ac:dyDescent="0.25">
      <c r="B840" s="90">
        <v>836</v>
      </c>
      <c r="C840" s="39">
        <f t="shared" si="26"/>
        <v>3968775.080929189</v>
      </c>
      <c r="D840" s="39">
        <f t="shared" si="27"/>
        <v>2633678.3463057354</v>
      </c>
    </row>
    <row r="841" spans="2:4" x14ac:dyDescent="0.25">
      <c r="B841" s="90">
        <v>837</v>
      </c>
      <c r="C841" s="39">
        <f t="shared" si="26"/>
        <v>3971422.4195427406</v>
      </c>
      <c r="D841" s="39">
        <f t="shared" si="27"/>
        <v>2636828.6792558618</v>
      </c>
    </row>
    <row r="842" spans="2:4" x14ac:dyDescent="0.25">
      <c r="B842" s="90">
        <v>838</v>
      </c>
      <c r="C842" s="39">
        <f t="shared" si="26"/>
        <v>3974069.7581562926</v>
      </c>
      <c r="D842" s="39">
        <f t="shared" si="27"/>
        <v>2639979.0122059882</v>
      </c>
    </row>
    <row r="843" spans="2:4" x14ac:dyDescent="0.25">
      <c r="B843" s="90">
        <v>839</v>
      </c>
      <c r="C843" s="39">
        <f t="shared" si="26"/>
        <v>3976717.0967698442</v>
      </c>
      <c r="D843" s="39">
        <f t="shared" si="27"/>
        <v>2643129.3451561145</v>
      </c>
    </row>
    <row r="844" spans="2:4" x14ac:dyDescent="0.25">
      <c r="B844" s="90">
        <v>840</v>
      </c>
      <c r="C844" s="39">
        <f t="shared" si="26"/>
        <v>3979364.4353833958</v>
      </c>
      <c r="D844" s="39">
        <f t="shared" si="27"/>
        <v>2646279.6781062409</v>
      </c>
    </row>
    <row r="845" spans="2:4" x14ac:dyDescent="0.25">
      <c r="B845" s="90">
        <v>841</v>
      </c>
      <c r="C845" s="39">
        <f t="shared" si="26"/>
        <v>3982011.7739969473</v>
      </c>
      <c r="D845" s="39">
        <f t="shared" si="27"/>
        <v>2649430.0110563678</v>
      </c>
    </row>
    <row r="846" spans="2:4" x14ac:dyDescent="0.25">
      <c r="B846" s="90">
        <v>842</v>
      </c>
      <c r="C846" s="39">
        <f t="shared" si="26"/>
        <v>3984659.1126104989</v>
      </c>
      <c r="D846" s="39">
        <f t="shared" si="27"/>
        <v>2652580.3440064942</v>
      </c>
    </row>
    <row r="847" spans="2:4" x14ac:dyDescent="0.25">
      <c r="B847" s="90">
        <v>843</v>
      </c>
      <c r="C847" s="39">
        <f t="shared" si="26"/>
        <v>3987306.451224051</v>
      </c>
      <c r="D847" s="39">
        <f t="shared" si="27"/>
        <v>2655730.6769566205</v>
      </c>
    </row>
    <row r="848" spans="2:4" x14ac:dyDescent="0.25">
      <c r="B848" s="90">
        <v>844</v>
      </c>
      <c r="C848" s="39">
        <f t="shared" si="26"/>
        <v>3989953.7898376025</v>
      </c>
      <c r="D848" s="39">
        <f t="shared" si="27"/>
        <v>2658881.0099067469</v>
      </c>
    </row>
    <row r="849" spans="2:4" x14ac:dyDescent="0.25">
      <c r="B849" s="90">
        <v>845</v>
      </c>
      <c r="C849" s="39">
        <f t="shared" si="26"/>
        <v>3992601.1284511541</v>
      </c>
      <c r="D849" s="39">
        <f t="shared" si="27"/>
        <v>2662031.3428568733</v>
      </c>
    </row>
    <row r="850" spans="2:4" x14ac:dyDescent="0.25">
      <c r="B850" s="90">
        <v>846</v>
      </c>
      <c r="C850" s="39">
        <f t="shared" si="26"/>
        <v>3995248.4670647057</v>
      </c>
      <c r="D850" s="39">
        <f t="shared" si="27"/>
        <v>2665181.6758070001</v>
      </c>
    </row>
    <row r="851" spans="2:4" x14ac:dyDescent="0.25">
      <c r="B851" s="90">
        <v>847</v>
      </c>
      <c r="C851" s="39">
        <f t="shared" si="26"/>
        <v>3997895.8056782573</v>
      </c>
      <c r="D851" s="39">
        <f t="shared" si="27"/>
        <v>2668332.0087571265</v>
      </c>
    </row>
    <row r="852" spans="2:4" x14ac:dyDescent="0.25">
      <c r="B852" s="90">
        <v>848</v>
      </c>
      <c r="C852" s="39">
        <f t="shared" si="26"/>
        <v>4000543.1442918093</v>
      </c>
      <c r="D852" s="39">
        <f t="shared" si="27"/>
        <v>2671482.3417072529</v>
      </c>
    </row>
    <row r="853" spans="2:4" x14ac:dyDescent="0.25">
      <c r="B853" s="90">
        <v>849</v>
      </c>
      <c r="C853" s="39">
        <f t="shared" si="26"/>
        <v>4003190.4829053609</v>
      </c>
      <c r="D853" s="39">
        <f t="shared" si="27"/>
        <v>2674632.6746573793</v>
      </c>
    </row>
    <row r="854" spans="2:4" x14ac:dyDescent="0.25">
      <c r="B854" s="90">
        <v>850</v>
      </c>
      <c r="C854" s="39">
        <f t="shared" si="26"/>
        <v>4005837.8215189124</v>
      </c>
      <c r="D854" s="39">
        <f t="shared" si="27"/>
        <v>2677783.0076075057</v>
      </c>
    </row>
    <row r="855" spans="2:4" x14ac:dyDescent="0.25">
      <c r="B855" s="90">
        <v>851</v>
      </c>
      <c r="C855" s="39">
        <f t="shared" si="26"/>
        <v>4008485.160132464</v>
      </c>
      <c r="D855" s="39">
        <f t="shared" si="27"/>
        <v>2680933.3405576325</v>
      </c>
    </row>
    <row r="856" spans="2:4" x14ac:dyDescent="0.25">
      <c r="B856" s="90">
        <v>852</v>
      </c>
      <c r="C856" s="39">
        <f t="shared" si="26"/>
        <v>4011132.4987460156</v>
      </c>
      <c r="D856" s="39">
        <f t="shared" si="27"/>
        <v>2684083.6735077589</v>
      </c>
    </row>
    <row r="857" spans="2:4" x14ac:dyDescent="0.25">
      <c r="B857" s="90">
        <v>853</v>
      </c>
      <c r="C857" s="39">
        <f t="shared" si="26"/>
        <v>4013779.8373595672</v>
      </c>
      <c r="D857" s="39">
        <f t="shared" si="27"/>
        <v>2687234.0064578853</v>
      </c>
    </row>
    <row r="858" spans="2:4" x14ac:dyDescent="0.25">
      <c r="B858" s="90">
        <v>854</v>
      </c>
      <c r="C858" s="39">
        <f t="shared" si="26"/>
        <v>4016427.1759731192</v>
      </c>
      <c r="D858" s="39">
        <f t="shared" si="27"/>
        <v>2690384.3394080116</v>
      </c>
    </row>
    <row r="859" spans="2:4" x14ac:dyDescent="0.25">
      <c r="B859" s="90">
        <v>855</v>
      </c>
      <c r="C859" s="39">
        <f t="shared" si="26"/>
        <v>4019074.5145866708</v>
      </c>
      <c r="D859" s="39">
        <f t="shared" si="27"/>
        <v>2693534.6723581385</v>
      </c>
    </row>
    <row r="860" spans="2:4" x14ac:dyDescent="0.25">
      <c r="B860" s="90">
        <v>856</v>
      </c>
      <c r="C860" s="39">
        <f t="shared" si="26"/>
        <v>4021721.8532002224</v>
      </c>
      <c r="D860" s="39">
        <f t="shared" si="27"/>
        <v>2696685.0053082649</v>
      </c>
    </row>
    <row r="861" spans="2:4" x14ac:dyDescent="0.25">
      <c r="B861" s="90">
        <v>857</v>
      </c>
      <c r="C861" s="39">
        <f t="shared" si="26"/>
        <v>4024369.1918137739</v>
      </c>
      <c r="D861" s="39">
        <f t="shared" si="27"/>
        <v>2699835.3382583912</v>
      </c>
    </row>
    <row r="862" spans="2:4" x14ac:dyDescent="0.25">
      <c r="B862" s="90">
        <v>858</v>
      </c>
      <c r="C862" s="39">
        <f t="shared" si="26"/>
        <v>4027016.5304273255</v>
      </c>
      <c r="D862" s="39">
        <f t="shared" si="27"/>
        <v>2702985.6712085176</v>
      </c>
    </row>
    <row r="863" spans="2:4" x14ac:dyDescent="0.25">
      <c r="B863" s="90">
        <v>859</v>
      </c>
      <c r="C863" s="39">
        <f t="shared" si="26"/>
        <v>4029663.8690408776</v>
      </c>
      <c r="D863" s="39">
        <f t="shared" si="27"/>
        <v>2706136.004158644</v>
      </c>
    </row>
    <row r="864" spans="2:4" x14ac:dyDescent="0.25">
      <c r="B864" s="90">
        <v>860</v>
      </c>
      <c r="C864" s="39">
        <f t="shared" si="26"/>
        <v>4032311.2076544291</v>
      </c>
      <c r="D864" s="39">
        <f t="shared" si="27"/>
        <v>2709286.3371087709</v>
      </c>
    </row>
    <row r="865" spans="2:4" x14ac:dyDescent="0.25">
      <c r="B865" s="90">
        <v>861</v>
      </c>
      <c r="C865" s="39">
        <f t="shared" si="26"/>
        <v>4034958.5462679807</v>
      </c>
      <c r="D865" s="39">
        <f t="shared" si="27"/>
        <v>2712436.6700588972</v>
      </c>
    </row>
    <row r="866" spans="2:4" x14ac:dyDescent="0.25">
      <c r="B866" s="90">
        <v>862</v>
      </c>
      <c r="C866" s="39">
        <f t="shared" si="26"/>
        <v>4037605.8848815323</v>
      </c>
      <c r="D866" s="39">
        <f t="shared" si="27"/>
        <v>2715587.0030090236</v>
      </c>
    </row>
    <row r="867" spans="2:4" x14ac:dyDescent="0.25">
      <c r="B867" s="90">
        <v>863</v>
      </c>
      <c r="C867" s="39">
        <f t="shared" si="26"/>
        <v>4040253.2234950839</v>
      </c>
      <c r="D867" s="39">
        <f t="shared" si="27"/>
        <v>2718737.33595915</v>
      </c>
    </row>
    <row r="868" spans="2:4" x14ac:dyDescent="0.25">
      <c r="B868" s="90">
        <v>864</v>
      </c>
      <c r="C868" s="39">
        <f t="shared" si="26"/>
        <v>4042900.5621086354</v>
      </c>
      <c r="D868" s="39">
        <f t="shared" si="27"/>
        <v>2721887.6689092764</v>
      </c>
    </row>
    <row r="869" spans="2:4" x14ac:dyDescent="0.25">
      <c r="B869" s="90">
        <v>865</v>
      </c>
      <c r="C869" s="39">
        <f t="shared" si="26"/>
        <v>4045547.9007221875</v>
      </c>
      <c r="D869" s="39">
        <f t="shared" si="27"/>
        <v>2725038.0018594032</v>
      </c>
    </row>
    <row r="870" spans="2:4" x14ac:dyDescent="0.25">
      <c r="B870" s="90">
        <v>866</v>
      </c>
      <c r="C870" s="39">
        <f t="shared" si="26"/>
        <v>4048195.2393357391</v>
      </c>
      <c r="D870" s="39">
        <f t="shared" si="27"/>
        <v>2728188.3348095296</v>
      </c>
    </row>
    <row r="871" spans="2:4" x14ac:dyDescent="0.25">
      <c r="B871" s="90">
        <v>867</v>
      </c>
      <c r="C871" s="39">
        <f t="shared" si="26"/>
        <v>4050842.5779492906</v>
      </c>
      <c r="D871" s="39">
        <f t="shared" si="27"/>
        <v>2731338.667759656</v>
      </c>
    </row>
    <row r="872" spans="2:4" x14ac:dyDescent="0.25">
      <c r="B872" s="90">
        <v>868</v>
      </c>
      <c r="C872" s="39">
        <f t="shared" si="26"/>
        <v>4053489.9165628422</v>
      </c>
      <c r="D872" s="39">
        <f t="shared" si="27"/>
        <v>2734489.0007097824</v>
      </c>
    </row>
    <row r="873" spans="2:4" x14ac:dyDescent="0.25">
      <c r="B873" s="90">
        <v>869</v>
      </c>
      <c r="C873" s="39">
        <f t="shared" si="26"/>
        <v>4056137.2551763938</v>
      </c>
      <c r="D873" s="39">
        <f t="shared" si="27"/>
        <v>2737639.3336599087</v>
      </c>
    </row>
    <row r="874" spans="2:4" x14ac:dyDescent="0.25">
      <c r="B874" s="90">
        <v>870</v>
      </c>
      <c r="C874" s="39">
        <f t="shared" si="26"/>
        <v>4058784.5937899458</v>
      </c>
      <c r="D874" s="39">
        <f t="shared" si="27"/>
        <v>2740789.6666100356</v>
      </c>
    </row>
    <row r="875" spans="2:4" x14ac:dyDescent="0.25">
      <c r="B875" s="90">
        <v>871</v>
      </c>
      <c r="C875" s="39">
        <f t="shared" si="26"/>
        <v>4061431.9324034974</v>
      </c>
      <c r="D875" s="39">
        <f t="shared" si="27"/>
        <v>2743939.999560162</v>
      </c>
    </row>
    <row r="876" spans="2:4" x14ac:dyDescent="0.25">
      <c r="B876" s="90">
        <v>872</v>
      </c>
      <c r="C876" s="39">
        <f t="shared" si="26"/>
        <v>4064079.271017049</v>
      </c>
      <c r="D876" s="39">
        <f t="shared" si="27"/>
        <v>2747090.3325102883</v>
      </c>
    </row>
    <row r="877" spans="2:4" x14ac:dyDescent="0.25">
      <c r="B877" s="90">
        <v>873</v>
      </c>
      <c r="C877" s="39">
        <f t="shared" si="26"/>
        <v>4066726.6096306005</v>
      </c>
      <c r="D877" s="39">
        <f t="shared" si="27"/>
        <v>2750240.6654604147</v>
      </c>
    </row>
    <row r="878" spans="2:4" x14ac:dyDescent="0.25">
      <c r="B878" s="90">
        <v>874</v>
      </c>
      <c r="C878" s="39">
        <f t="shared" si="26"/>
        <v>4069373.9482441521</v>
      </c>
      <c r="D878" s="39">
        <f t="shared" si="27"/>
        <v>2753390.9984105416</v>
      </c>
    </row>
    <row r="879" spans="2:4" x14ac:dyDescent="0.25">
      <c r="B879" s="90">
        <v>875</v>
      </c>
      <c r="C879" s="39">
        <f t="shared" si="26"/>
        <v>4072021.2868577037</v>
      </c>
      <c r="D879" s="39">
        <f t="shared" si="27"/>
        <v>2756541.3313606679</v>
      </c>
    </row>
    <row r="880" spans="2:4" x14ac:dyDescent="0.25">
      <c r="B880" s="90">
        <v>876</v>
      </c>
      <c r="C880" s="39">
        <f t="shared" si="26"/>
        <v>4074668.6254712557</v>
      </c>
      <c r="D880" s="39">
        <f t="shared" si="27"/>
        <v>2759691.6643107943</v>
      </c>
    </row>
    <row r="881" spans="2:4" x14ac:dyDescent="0.25">
      <c r="B881" s="90">
        <v>877</v>
      </c>
      <c r="C881" s="39">
        <f t="shared" ref="C881:C944" si="28">($C$2*B881)+$C$1</f>
        <v>4077315.9640848073</v>
      </c>
      <c r="D881" s="39">
        <f t="shared" ref="D881:D944" si="29">$D$2*B881</f>
        <v>2762841.9972609207</v>
      </c>
    </row>
    <row r="882" spans="2:4" x14ac:dyDescent="0.25">
      <c r="B882" s="90">
        <v>878</v>
      </c>
      <c r="C882" s="39">
        <f t="shared" si="28"/>
        <v>4079963.3026983589</v>
      </c>
      <c r="D882" s="39">
        <f t="shared" si="29"/>
        <v>2765992.3302110471</v>
      </c>
    </row>
    <row r="883" spans="2:4" x14ac:dyDescent="0.25">
      <c r="B883" s="90">
        <v>879</v>
      </c>
      <c r="C883" s="39">
        <f t="shared" si="28"/>
        <v>4082610.6413119105</v>
      </c>
      <c r="D883" s="39">
        <f t="shared" si="29"/>
        <v>2769142.6631611739</v>
      </c>
    </row>
    <row r="884" spans="2:4" x14ac:dyDescent="0.25">
      <c r="B884" s="90">
        <v>880</v>
      </c>
      <c r="C884" s="39">
        <f t="shared" si="28"/>
        <v>4085257.979925462</v>
      </c>
      <c r="D884" s="39">
        <f t="shared" si="29"/>
        <v>2772292.9961113003</v>
      </c>
    </row>
    <row r="885" spans="2:4" x14ac:dyDescent="0.25">
      <c r="B885" s="90">
        <v>881</v>
      </c>
      <c r="C885" s="39">
        <f t="shared" si="28"/>
        <v>4087905.3185390141</v>
      </c>
      <c r="D885" s="39">
        <f t="shared" si="29"/>
        <v>2775443.3290614267</v>
      </c>
    </row>
    <row r="886" spans="2:4" x14ac:dyDescent="0.25">
      <c r="B886" s="90">
        <v>882</v>
      </c>
      <c r="C886" s="39">
        <f t="shared" si="28"/>
        <v>4090552.6571525657</v>
      </c>
      <c r="D886" s="39">
        <f t="shared" si="29"/>
        <v>2778593.6620115531</v>
      </c>
    </row>
    <row r="887" spans="2:4" x14ac:dyDescent="0.25">
      <c r="B887" s="90">
        <v>883</v>
      </c>
      <c r="C887" s="39">
        <f t="shared" si="28"/>
        <v>4093199.9957661172</v>
      </c>
      <c r="D887" s="39">
        <f t="shared" si="29"/>
        <v>2781743.9949616794</v>
      </c>
    </row>
    <row r="888" spans="2:4" x14ac:dyDescent="0.25">
      <c r="B888" s="90">
        <v>884</v>
      </c>
      <c r="C888" s="39">
        <f t="shared" si="28"/>
        <v>4095847.3343796688</v>
      </c>
      <c r="D888" s="39">
        <f t="shared" si="29"/>
        <v>2784894.3279118063</v>
      </c>
    </row>
    <row r="889" spans="2:4" x14ac:dyDescent="0.25">
      <c r="B889" s="90">
        <v>885</v>
      </c>
      <c r="C889" s="39">
        <f t="shared" si="28"/>
        <v>4098494.6729932204</v>
      </c>
      <c r="D889" s="39">
        <f t="shared" si="29"/>
        <v>2788044.6608619327</v>
      </c>
    </row>
    <row r="890" spans="2:4" x14ac:dyDescent="0.25">
      <c r="B890" s="90">
        <v>886</v>
      </c>
      <c r="C890" s="39">
        <f t="shared" si="28"/>
        <v>4101142.0116067724</v>
      </c>
      <c r="D890" s="39">
        <f t="shared" si="29"/>
        <v>2791194.9938120591</v>
      </c>
    </row>
    <row r="891" spans="2:4" x14ac:dyDescent="0.25">
      <c r="B891" s="90">
        <v>887</v>
      </c>
      <c r="C891" s="39">
        <f t="shared" si="28"/>
        <v>4103789.350220324</v>
      </c>
      <c r="D891" s="39">
        <f t="shared" si="29"/>
        <v>2794345.3267621854</v>
      </c>
    </row>
    <row r="892" spans="2:4" x14ac:dyDescent="0.25">
      <c r="B892" s="90">
        <v>888</v>
      </c>
      <c r="C892" s="39">
        <f t="shared" si="28"/>
        <v>4106436.6888338756</v>
      </c>
      <c r="D892" s="39">
        <f t="shared" si="29"/>
        <v>2797495.6597123118</v>
      </c>
    </row>
    <row r="893" spans="2:4" x14ac:dyDescent="0.25">
      <c r="B893" s="90">
        <v>889</v>
      </c>
      <c r="C893" s="39">
        <f t="shared" si="28"/>
        <v>4109084.0274474272</v>
      </c>
      <c r="D893" s="39">
        <f t="shared" si="29"/>
        <v>2800645.9926624387</v>
      </c>
    </row>
    <row r="894" spans="2:4" x14ac:dyDescent="0.25">
      <c r="B894" s="90">
        <v>890</v>
      </c>
      <c r="C894" s="39">
        <f t="shared" si="28"/>
        <v>4111731.3660609787</v>
      </c>
      <c r="D894" s="39">
        <f t="shared" si="29"/>
        <v>2803796.325612565</v>
      </c>
    </row>
    <row r="895" spans="2:4" x14ac:dyDescent="0.25">
      <c r="B895" s="90">
        <v>891</v>
      </c>
      <c r="C895" s="39">
        <f t="shared" si="28"/>
        <v>4114378.7046745303</v>
      </c>
      <c r="D895" s="39">
        <f t="shared" si="29"/>
        <v>2806946.6585626914</v>
      </c>
    </row>
    <row r="896" spans="2:4" x14ac:dyDescent="0.25">
      <c r="B896" s="90">
        <v>892</v>
      </c>
      <c r="C896" s="39">
        <f t="shared" si="28"/>
        <v>4117026.0432880824</v>
      </c>
      <c r="D896" s="39">
        <f t="shared" si="29"/>
        <v>2810096.9915128178</v>
      </c>
    </row>
    <row r="897" spans="2:4" x14ac:dyDescent="0.25">
      <c r="B897" s="90">
        <v>893</v>
      </c>
      <c r="C897" s="39">
        <f t="shared" si="28"/>
        <v>4119673.3819016339</v>
      </c>
      <c r="D897" s="39">
        <f t="shared" si="29"/>
        <v>2813247.3244629442</v>
      </c>
    </row>
    <row r="898" spans="2:4" x14ac:dyDescent="0.25">
      <c r="B898" s="90">
        <v>894</v>
      </c>
      <c r="C898" s="39">
        <f t="shared" si="28"/>
        <v>4122320.7205151855</v>
      </c>
      <c r="D898" s="39">
        <f t="shared" si="29"/>
        <v>2816397.657413071</v>
      </c>
    </row>
    <row r="899" spans="2:4" x14ac:dyDescent="0.25">
      <c r="B899" s="90">
        <v>895</v>
      </c>
      <c r="C899" s="39">
        <f t="shared" si="28"/>
        <v>4124968.0591287371</v>
      </c>
      <c r="D899" s="39">
        <f t="shared" si="29"/>
        <v>2819547.9903631974</v>
      </c>
    </row>
    <row r="900" spans="2:4" x14ac:dyDescent="0.25">
      <c r="B900" s="90">
        <v>896</v>
      </c>
      <c r="C900" s="39">
        <f t="shared" si="28"/>
        <v>4127615.3977422887</v>
      </c>
      <c r="D900" s="39">
        <f t="shared" si="29"/>
        <v>2822698.3233133238</v>
      </c>
    </row>
    <row r="901" spans="2:4" x14ac:dyDescent="0.25">
      <c r="B901" s="90">
        <v>897</v>
      </c>
      <c r="C901" s="39">
        <f t="shared" si="28"/>
        <v>4130262.7363558407</v>
      </c>
      <c r="D901" s="39">
        <f t="shared" si="29"/>
        <v>2825848.6562634502</v>
      </c>
    </row>
    <row r="902" spans="2:4" x14ac:dyDescent="0.25">
      <c r="B902" s="90">
        <v>898</v>
      </c>
      <c r="C902" s="39">
        <f t="shared" si="28"/>
        <v>4132910.0749693923</v>
      </c>
      <c r="D902" s="39">
        <f t="shared" si="29"/>
        <v>2828998.989213577</v>
      </c>
    </row>
    <row r="903" spans="2:4" x14ac:dyDescent="0.25">
      <c r="B903" s="90">
        <v>899</v>
      </c>
      <c r="C903" s="39">
        <f t="shared" si="28"/>
        <v>4135557.4135829438</v>
      </c>
      <c r="D903" s="39">
        <f t="shared" si="29"/>
        <v>2832149.3221637034</v>
      </c>
    </row>
    <row r="904" spans="2:4" x14ac:dyDescent="0.25">
      <c r="B904" s="90">
        <v>900</v>
      </c>
      <c r="C904" s="39">
        <f t="shared" si="28"/>
        <v>4138204.7521964954</v>
      </c>
      <c r="D904" s="39">
        <f t="shared" si="29"/>
        <v>2835299.6551138298</v>
      </c>
    </row>
    <row r="905" spans="2:4" x14ac:dyDescent="0.25">
      <c r="B905" s="90">
        <v>901</v>
      </c>
      <c r="C905" s="39">
        <f t="shared" si="28"/>
        <v>4140852.090810047</v>
      </c>
      <c r="D905" s="39">
        <f t="shared" si="29"/>
        <v>2838449.9880639561</v>
      </c>
    </row>
    <row r="906" spans="2:4" x14ac:dyDescent="0.25">
      <c r="B906" s="90">
        <v>902</v>
      </c>
      <c r="C906" s="39">
        <f t="shared" si="28"/>
        <v>4143499.4294235986</v>
      </c>
      <c r="D906" s="39">
        <f t="shared" si="29"/>
        <v>2841600.3210140825</v>
      </c>
    </row>
    <row r="907" spans="2:4" x14ac:dyDescent="0.25">
      <c r="B907" s="90">
        <v>903</v>
      </c>
      <c r="C907" s="39">
        <f t="shared" si="28"/>
        <v>4146146.7680371506</v>
      </c>
      <c r="D907" s="39">
        <f t="shared" si="29"/>
        <v>2844750.6539642094</v>
      </c>
    </row>
    <row r="908" spans="2:4" x14ac:dyDescent="0.25">
      <c r="B908" s="90">
        <v>904</v>
      </c>
      <c r="C908" s="39">
        <f t="shared" si="28"/>
        <v>4148794.1066507022</v>
      </c>
      <c r="D908" s="39">
        <f t="shared" si="29"/>
        <v>2847900.9869143358</v>
      </c>
    </row>
    <row r="909" spans="2:4" x14ac:dyDescent="0.25">
      <c r="B909" s="90">
        <v>905</v>
      </c>
      <c r="C909" s="39">
        <f t="shared" si="28"/>
        <v>4151441.4452642538</v>
      </c>
      <c r="D909" s="39">
        <f t="shared" si="29"/>
        <v>2851051.3198644621</v>
      </c>
    </row>
    <row r="910" spans="2:4" x14ac:dyDescent="0.25">
      <c r="B910" s="90">
        <v>906</v>
      </c>
      <c r="C910" s="39">
        <f t="shared" si="28"/>
        <v>4154088.7838778053</v>
      </c>
      <c r="D910" s="39">
        <f t="shared" si="29"/>
        <v>2854201.6528145885</v>
      </c>
    </row>
    <row r="911" spans="2:4" x14ac:dyDescent="0.25">
      <c r="B911" s="90">
        <v>907</v>
      </c>
      <c r="C911" s="39">
        <f t="shared" si="28"/>
        <v>4156736.1224913569</v>
      </c>
      <c r="D911" s="39">
        <f t="shared" si="29"/>
        <v>2857351.9857647149</v>
      </c>
    </row>
    <row r="912" spans="2:4" x14ac:dyDescent="0.25">
      <c r="B912" s="90">
        <v>908</v>
      </c>
      <c r="C912" s="39">
        <f t="shared" si="28"/>
        <v>4159383.461104909</v>
      </c>
      <c r="D912" s="39">
        <f t="shared" si="29"/>
        <v>2860502.3187148417</v>
      </c>
    </row>
    <row r="913" spans="2:4" x14ac:dyDescent="0.25">
      <c r="B913" s="90">
        <v>909</v>
      </c>
      <c r="C913" s="39">
        <f t="shared" si="28"/>
        <v>4162030.7997184605</v>
      </c>
      <c r="D913" s="39">
        <f t="shared" si="29"/>
        <v>2863652.6516649681</v>
      </c>
    </row>
    <row r="914" spans="2:4" x14ac:dyDescent="0.25">
      <c r="B914" s="90">
        <v>910</v>
      </c>
      <c r="C914" s="39">
        <f t="shared" si="28"/>
        <v>4164678.1383320121</v>
      </c>
      <c r="D914" s="39">
        <f t="shared" si="29"/>
        <v>2866802.9846150945</v>
      </c>
    </row>
    <row r="915" spans="2:4" x14ac:dyDescent="0.25">
      <c r="B915" s="90">
        <v>911</v>
      </c>
      <c r="C915" s="39">
        <f t="shared" si="28"/>
        <v>4167325.4769455637</v>
      </c>
      <c r="D915" s="39">
        <f t="shared" si="29"/>
        <v>2869953.3175652209</v>
      </c>
    </row>
    <row r="916" spans="2:4" x14ac:dyDescent="0.25">
      <c r="B916" s="90">
        <v>912</v>
      </c>
      <c r="C916" s="39">
        <f t="shared" si="28"/>
        <v>4169972.8155591153</v>
      </c>
      <c r="D916" s="39">
        <f t="shared" si="29"/>
        <v>2873103.6505153473</v>
      </c>
    </row>
    <row r="917" spans="2:4" x14ac:dyDescent="0.25">
      <c r="B917" s="90">
        <v>913</v>
      </c>
      <c r="C917" s="39">
        <f t="shared" si="28"/>
        <v>4172620.1541726673</v>
      </c>
      <c r="D917" s="39">
        <f t="shared" si="29"/>
        <v>2876253.9834654741</v>
      </c>
    </row>
    <row r="918" spans="2:4" x14ac:dyDescent="0.25">
      <c r="B918" s="90">
        <v>914</v>
      </c>
      <c r="C918" s="39">
        <f t="shared" si="28"/>
        <v>4175267.4927862189</v>
      </c>
      <c r="D918" s="39">
        <f t="shared" si="29"/>
        <v>2879404.3164156005</v>
      </c>
    </row>
    <row r="919" spans="2:4" x14ac:dyDescent="0.25">
      <c r="B919" s="90">
        <v>915</v>
      </c>
      <c r="C919" s="39">
        <f t="shared" si="28"/>
        <v>4177914.8313997705</v>
      </c>
      <c r="D919" s="39">
        <f t="shared" si="29"/>
        <v>2882554.6493657269</v>
      </c>
    </row>
    <row r="920" spans="2:4" x14ac:dyDescent="0.25">
      <c r="B920" s="90">
        <v>916</v>
      </c>
      <c r="C920" s="39">
        <f t="shared" si="28"/>
        <v>4180562.170013322</v>
      </c>
      <c r="D920" s="39">
        <f t="shared" si="29"/>
        <v>2885704.9823158532</v>
      </c>
    </row>
    <row r="921" spans="2:4" x14ac:dyDescent="0.25">
      <c r="B921" s="90">
        <v>917</v>
      </c>
      <c r="C921" s="39">
        <f t="shared" si="28"/>
        <v>4183209.5086268736</v>
      </c>
      <c r="D921" s="39">
        <f t="shared" si="29"/>
        <v>2888855.3152659801</v>
      </c>
    </row>
    <row r="922" spans="2:4" x14ac:dyDescent="0.25">
      <c r="B922" s="90">
        <v>918</v>
      </c>
      <c r="C922" s="39">
        <f t="shared" si="28"/>
        <v>4185856.8472404252</v>
      </c>
      <c r="D922" s="39">
        <f t="shared" si="29"/>
        <v>2892005.6482161065</v>
      </c>
    </row>
    <row r="923" spans="2:4" x14ac:dyDescent="0.25">
      <c r="B923" s="90">
        <v>919</v>
      </c>
      <c r="C923" s="39">
        <f t="shared" si="28"/>
        <v>4188504.1858539772</v>
      </c>
      <c r="D923" s="39">
        <f t="shared" si="29"/>
        <v>2895155.9811662328</v>
      </c>
    </row>
    <row r="924" spans="2:4" x14ac:dyDescent="0.25">
      <c r="B924" s="90">
        <v>920</v>
      </c>
      <c r="C924" s="39">
        <f t="shared" si="28"/>
        <v>4191151.5244675288</v>
      </c>
      <c r="D924" s="39">
        <f t="shared" si="29"/>
        <v>2898306.3141163592</v>
      </c>
    </row>
    <row r="925" spans="2:4" x14ac:dyDescent="0.25">
      <c r="B925" s="90">
        <v>921</v>
      </c>
      <c r="C925" s="39">
        <f t="shared" si="28"/>
        <v>4193798.8630810804</v>
      </c>
      <c r="D925" s="39">
        <f t="shared" si="29"/>
        <v>2901456.6470664856</v>
      </c>
    </row>
    <row r="926" spans="2:4" x14ac:dyDescent="0.25">
      <c r="B926" s="90">
        <v>922</v>
      </c>
      <c r="C926" s="39">
        <f t="shared" si="28"/>
        <v>4196446.2016946319</v>
      </c>
      <c r="D926" s="39">
        <f t="shared" si="29"/>
        <v>2904606.9800166124</v>
      </c>
    </row>
    <row r="927" spans="2:4" x14ac:dyDescent="0.25">
      <c r="B927" s="90">
        <v>923</v>
      </c>
      <c r="C927" s="39">
        <f t="shared" si="28"/>
        <v>4199093.5403081831</v>
      </c>
      <c r="D927" s="39">
        <f t="shared" si="29"/>
        <v>2907757.3129667388</v>
      </c>
    </row>
    <row r="928" spans="2:4" x14ac:dyDescent="0.25">
      <c r="B928" s="90">
        <v>924</v>
      </c>
      <c r="C928" s="39">
        <f t="shared" si="28"/>
        <v>4201740.878921736</v>
      </c>
      <c r="D928" s="39">
        <f t="shared" si="29"/>
        <v>2910907.6459168652</v>
      </c>
    </row>
    <row r="929" spans="2:4" x14ac:dyDescent="0.25">
      <c r="B929" s="90">
        <v>925</v>
      </c>
      <c r="C929" s="39">
        <f t="shared" si="28"/>
        <v>4204388.2175352871</v>
      </c>
      <c r="D929" s="39">
        <f t="shared" si="29"/>
        <v>2914057.9788669916</v>
      </c>
    </row>
    <row r="930" spans="2:4" x14ac:dyDescent="0.25">
      <c r="B930" s="90">
        <v>926</v>
      </c>
      <c r="C930" s="39">
        <f t="shared" si="28"/>
        <v>4207035.5561488383</v>
      </c>
      <c r="D930" s="39">
        <f t="shared" si="29"/>
        <v>2917208.311817118</v>
      </c>
    </row>
    <row r="931" spans="2:4" x14ac:dyDescent="0.25">
      <c r="B931" s="90">
        <v>927</v>
      </c>
      <c r="C931" s="39">
        <f t="shared" si="28"/>
        <v>4209682.8947623903</v>
      </c>
      <c r="D931" s="39">
        <f t="shared" si="29"/>
        <v>2920358.6447672448</v>
      </c>
    </row>
    <row r="932" spans="2:4" x14ac:dyDescent="0.25">
      <c r="B932" s="90">
        <v>928</v>
      </c>
      <c r="C932" s="39">
        <f t="shared" si="28"/>
        <v>4212330.2333759423</v>
      </c>
      <c r="D932" s="39">
        <f t="shared" si="29"/>
        <v>2923508.9777173712</v>
      </c>
    </row>
    <row r="933" spans="2:4" x14ac:dyDescent="0.25">
      <c r="B933" s="90">
        <v>929</v>
      </c>
      <c r="C933" s="39">
        <f t="shared" si="28"/>
        <v>4214977.5719894934</v>
      </c>
      <c r="D933" s="39">
        <f t="shared" si="29"/>
        <v>2926659.3106674976</v>
      </c>
    </row>
    <row r="934" spans="2:4" x14ac:dyDescent="0.25">
      <c r="B934" s="90">
        <v>930</v>
      </c>
      <c r="C934" s="39">
        <f t="shared" si="28"/>
        <v>4217624.9106030455</v>
      </c>
      <c r="D934" s="39">
        <f t="shared" si="29"/>
        <v>2929809.643617624</v>
      </c>
    </row>
    <row r="935" spans="2:4" x14ac:dyDescent="0.25">
      <c r="B935" s="90">
        <v>931</v>
      </c>
      <c r="C935" s="39">
        <f t="shared" si="28"/>
        <v>4220272.2492165975</v>
      </c>
      <c r="D935" s="39">
        <f t="shared" si="29"/>
        <v>2932959.9765677503</v>
      </c>
    </row>
    <row r="936" spans="2:4" x14ac:dyDescent="0.25">
      <c r="B936" s="90">
        <v>932</v>
      </c>
      <c r="C936" s="39">
        <f t="shared" si="28"/>
        <v>4222919.5878301486</v>
      </c>
      <c r="D936" s="39">
        <f t="shared" si="29"/>
        <v>2936110.3095178772</v>
      </c>
    </row>
    <row r="937" spans="2:4" x14ac:dyDescent="0.25">
      <c r="B937" s="90">
        <v>933</v>
      </c>
      <c r="C937" s="39">
        <f t="shared" si="28"/>
        <v>4225566.9264436997</v>
      </c>
      <c r="D937" s="39">
        <f t="shared" si="29"/>
        <v>2939260.6424680036</v>
      </c>
    </row>
    <row r="938" spans="2:4" x14ac:dyDescent="0.25">
      <c r="B938" s="90">
        <v>934</v>
      </c>
      <c r="C938" s="39">
        <f t="shared" si="28"/>
        <v>4228214.2650572518</v>
      </c>
      <c r="D938" s="39">
        <f t="shared" si="29"/>
        <v>2942410.9754181299</v>
      </c>
    </row>
    <row r="939" spans="2:4" x14ac:dyDescent="0.25">
      <c r="B939" s="90">
        <v>935</v>
      </c>
      <c r="C939" s="39">
        <f t="shared" si="28"/>
        <v>4230861.6036708038</v>
      </c>
      <c r="D939" s="39">
        <f t="shared" si="29"/>
        <v>2945561.3083682563</v>
      </c>
    </row>
    <row r="940" spans="2:4" x14ac:dyDescent="0.25">
      <c r="B940" s="90">
        <v>936</v>
      </c>
      <c r="C940" s="39">
        <f t="shared" si="28"/>
        <v>4233508.9422843549</v>
      </c>
      <c r="D940" s="39">
        <f t="shared" si="29"/>
        <v>2948711.6413183832</v>
      </c>
    </row>
    <row r="941" spans="2:4" x14ac:dyDescent="0.25">
      <c r="B941" s="90">
        <v>937</v>
      </c>
      <c r="C941" s="39">
        <f t="shared" si="28"/>
        <v>4236156.280897907</v>
      </c>
      <c r="D941" s="39">
        <f t="shared" si="29"/>
        <v>2951861.9742685095</v>
      </c>
    </row>
    <row r="942" spans="2:4" x14ac:dyDescent="0.25">
      <c r="B942" s="90">
        <v>938</v>
      </c>
      <c r="C942" s="39">
        <f t="shared" si="28"/>
        <v>4238803.619511459</v>
      </c>
      <c r="D942" s="39">
        <f t="shared" si="29"/>
        <v>2955012.3072186359</v>
      </c>
    </row>
    <row r="943" spans="2:4" x14ac:dyDescent="0.25">
      <c r="B943" s="90">
        <v>939</v>
      </c>
      <c r="C943" s="39">
        <f t="shared" si="28"/>
        <v>4241450.9581250101</v>
      </c>
      <c r="D943" s="39">
        <f t="shared" si="29"/>
        <v>2958162.6401687623</v>
      </c>
    </row>
    <row r="944" spans="2:4" x14ac:dyDescent="0.25">
      <c r="B944" s="90">
        <v>940</v>
      </c>
      <c r="C944" s="39">
        <f t="shared" si="28"/>
        <v>4244098.2967385612</v>
      </c>
      <c r="D944" s="39">
        <f t="shared" si="29"/>
        <v>2961312.9731188887</v>
      </c>
    </row>
    <row r="945" spans="2:4" x14ac:dyDescent="0.25">
      <c r="B945" s="90">
        <v>941</v>
      </c>
      <c r="C945" s="39">
        <f t="shared" ref="C945:C1008" si="30">($C$2*B945)+$C$1</f>
        <v>4246745.6353521142</v>
      </c>
      <c r="D945" s="39">
        <f t="shared" ref="D945:D1008" si="31">$D$2*B945</f>
        <v>2964463.3060690155</v>
      </c>
    </row>
    <row r="946" spans="2:4" x14ac:dyDescent="0.25">
      <c r="B946" s="90">
        <v>942</v>
      </c>
      <c r="C946" s="39">
        <f t="shared" si="30"/>
        <v>4249392.9739656653</v>
      </c>
      <c r="D946" s="39">
        <f t="shared" si="31"/>
        <v>2967613.6390191419</v>
      </c>
    </row>
    <row r="947" spans="2:4" x14ac:dyDescent="0.25">
      <c r="B947" s="90">
        <v>943</v>
      </c>
      <c r="C947" s="39">
        <f t="shared" si="30"/>
        <v>4252040.3125792164</v>
      </c>
      <c r="D947" s="39">
        <f t="shared" si="31"/>
        <v>2970763.9719692683</v>
      </c>
    </row>
    <row r="948" spans="2:4" x14ac:dyDescent="0.25">
      <c r="B948" s="90">
        <v>944</v>
      </c>
      <c r="C948" s="39">
        <f t="shared" si="30"/>
        <v>4254687.6511927685</v>
      </c>
      <c r="D948" s="39">
        <f t="shared" si="31"/>
        <v>2973914.3049193947</v>
      </c>
    </row>
    <row r="949" spans="2:4" x14ac:dyDescent="0.25">
      <c r="B949" s="90">
        <v>945</v>
      </c>
      <c r="C949" s="39">
        <f t="shared" si="30"/>
        <v>4257334.9898063205</v>
      </c>
      <c r="D949" s="39">
        <f t="shared" si="31"/>
        <v>2977064.637869521</v>
      </c>
    </row>
    <row r="950" spans="2:4" x14ac:dyDescent="0.25">
      <c r="B950" s="90">
        <v>946</v>
      </c>
      <c r="C950" s="39">
        <f t="shared" si="30"/>
        <v>4259982.3284198716</v>
      </c>
      <c r="D950" s="39">
        <f t="shared" si="31"/>
        <v>2980214.9708196479</v>
      </c>
    </row>
    <row r="951" spans="2:4" x14ac:dyDescent="0.25">
      <c r="B951" s="90">
        <v>947</v>
      </c>
      <c r="C951" s="39">
        <f t="shared" si="30"/>
        <v>4262629.6670334237</v>
      </c>
      <c r="D951" s="39">
        <f t="shared" si="31"/>
        <v>2983365.3037697743</v>
      </c>
    </row>
    <row r="952" spans="2:4" x14ac:dyDescent="0.25">
      <c r="B952" s="90">
        <v>948</v>
      </c>
      <c r="C952" s="39">
        <f t="shared" si="30"/>
        <v>4265277.0056469757</v>
      </c>
      <c r="D952" s="39">
        <f t="shared" si="31"/>
        <v>2986515.6367199006</v>
      </c>
    </row>
    <row r="953" spans="2:4" x14ac:dyDescent="0.25">
      <c r="B953" s="90">
        <v>949</v>
      </c>
      <c r="C953" s="39">
        <f t="shared" si="30"/>
        <v>4267924.3442605268</v>
      </c>
      <c r="D953" s="39">
        <f t="shared" si="31"/>
        <v>2989665.969670027</v>
      </c>
    </row>
    <row r="954" spans="2:4" x14ac:dyDescent="0.25">
      <c r="B954" s="90">
        <v>950</v>
      </c>
      <c r="C954" s="39">
        <f t="shared" si="30"/>
        <v>4270571.6828740779</v>
      </c>
      <c r="D954" s="39">
        <f t="shared" si="31"/>
        <v>2992816.3026201534</v>
      </c>
    </row>
    <row r="955" spans="2:4" x14ac:dyDescent="0.25">
      <c r="B955" s="90">
        <v>951</v>
      </c>
      <c r="C955" s="39">
        <f t="shared" si="30"/>
        <v>4273219.0214876309</v>
      </c>
      <c r="D955" s="39">
        <f t="shared" si="31"/>
        <v>2995966.6355702803</v>
      </c>
    </row>
    <row r="956" spans="2:4" x14ac:dyDescent="0.25">
      <c r="B956" s="90">
        <v>952</v>
      </c>
      <c r="C956" s="39">
        <f t="shared" si="30"/>
        <v>4275866.360101182</v>
      </c>
      <c r="D956" s="39">
        <f t="shared" si="31"/>
        <v>2999116.9685204066</v>
      </c>
    </row>
    <row r="957" spans="2:4" x14ac:dyDescent="0.25">
      <c r="B957" s="90">
        <v>953</v>
      </c>
      <c r="C957" s="39">
        <f t="shared" si="30"/>
        <v>4278513.6987147331</v>
      </c>
      <c r="D957" s="39">
        <f t="shared" si="31"/>
        <v>3002267.301470533</v>
      </c>
    </row>
    <row r="958" spans="2:4" x14ac:dyDescent="0.25">
      <c r="B958" s="90">
        <v>954</v>
      </c>
      <c r="C958" s="39">
        <f t="shared" si="30"/>
        <v>4281161.0373282852</v>
      </c>
      <c r="D958" s="39">
        <f t="shared" si="31"/>
        <v>3005417.6344206594</v>
      </c>
    </row>
    <row r="959" spans="2:4" x14ac:dyDescent="0.25">
      <c r="B959" s="90">
        <v>955</v>
      </c>
      <c r="C959" s="39">
        <f t="shared" si="30"/>
        <v>4283808.3759418372</v>
      </c>
      <c r="D959" s="39">
        <f t="shared" si="31"/>
        <v>3008567.9673707862</v>
      </c>
    </row>
    <row r="960" spans="2:4" x14ac:dyDescent="0.25">
      <c r="B960" s="90">
        <v>956</v>
      </c>
      <c r="C960" s="39">
        <f t="shared" si="30"/>
        <v>4286455.7145553883</v>
      </c>
      <c r="D960" s="39">
        <f t="shared" si="31"/>
        <v>3011718.3003209126</v>
      </c>
    </row>
    <row r="961" spans="2:4" x14ac:dyDescent="0.25">
      <c r="B961" s="90">
        <v>957</v>
      </c>
      <c r="C961" s="39">
        <f t="shared" si="30"/>
        <v>4289103.0531689404</v>
      </c>
      <c r="D961" s="39">
        <f t="shared" si="31"/>
        <v>3014868.633271039</v>
      </c>
    </row>
    <row r="962" spans="2:4" x14ac:dyDescent="0.25">
      <c r="B962" s="90">
        <v>958</v>
      </c>
      <c r="C962" s="39">
        <f t="shared" si="30"/>
        <v>4291750.3917824924</v>
      </c>
      <c r="D962" s="39">
        <f t="shared" si="31"/>
        <v>3018018.9662211654</v>
      </c>
    </row>
    <row r="963" spans="2:4" x14ac:dyDescent="0.25">
      <c r="B963" s="90">
        <v>959</v>
      </c>
      <c r="C963" s="39">
        <f t="shared" si="30"/>
        <v>4294397.7303960435</v>
      </c>
      <c r="D963" s="39">
        <f t="shared" si="31"/>
        <v>3021169.2991712918</v>
      </c>
    </row>
    <row r="964" spans="2:4" x14ac:dyDescent="0.25">
      <c r="B964" s="90">
        <v>960</v>
      </c>
      <c r="C964" s="39">
        <f t="shared" si="30"/>
        <v>4297045.0690095946</v>
      </c>
      <c r="D964" s="39">
        <f t="shared" si="31"/>
        <v>3024319.6321214186</v>
      </c>
    </row>
    <row r="965" spans="2:4" x14ac:dyDescent="0.25">
      <c r="B965" s="90">
        <v>961</v>
      </c>
      <c r="C965" s="39">
        <f t="shared" si="30"/>
        <v>4299692.4076231467</v>
      </c>
      <c r="D965" s="39">
        <f t="shared" si="31"/>
        <v>3027469.965071545</v>
      </c>
    </row>
    <row r="966" spans="2:4" x14ac:dyDescent="0.25">
      <c r="B966" s="90">
        <v>962</v>
      </c>
      <c r="C966" s="39">
        <f t="shared" si="30"/>
        <v>4302339.7462366987</v>
      </c>
      <c r="D966" s="39">
        <f t="shared" si="31"/>
        <v>3030620.2980216714</v>
      </c>
    </row>
    <row r="967" spans="2:4" x14ac:dyDescent="0.25">
      <c r="B967" s="90">
        <v>963</v>
      </c>
      <c r="C967" s="39">
        <f t="shared" si="30"/>
        <v>4304987.0848502498</v>
      </c>
      <c r="D967" s="39">
        <f t="shared" si="31"/>
        <v>3033770.6309717977</v>
      </c>
    </row>
    <row r="968" spans="2:4" x14ac:dyDescent="0.25">
      <c r="B968" s="90">
        <v>964</v>
      </c>
      <c r="C968" s="39">
        <f t="shared" si="30"/>
        <v>4307634.4234638019</v>
      </c>
      <c r="D968" s="39">
        <f t="shared" si="31"/>
        <v>3036920.9639219241</v>
      </c>
    </row>
    <row r="969" spans="2:4" x14ac:dyDescent="0.25">
      <c r="B969" s="90">
        <v>965</v>
      </c>
      <c r="C969" s="39">
        <f t="shared" si="30"/>
        <v>4310281.7620773539</v>
      </c>
      <c r="D969" s="39">
        <f t="shared" si="31"/>
        <v>3040071.296872051</v>
      </c>
    </row>
    <row r="970" spans="2:4" x14ac:dyDescent="0.25">
      <c r="B970" s="90">
        <v>966</v>
      </c>
      <c r="C970" s="39">
        <f t="shared" si="30"/>
        <v>4312929.100690905</v>
      </c>
      <c r="D970" s="39">
        <f t="shared" si="31"/>
        <v>3043221.6298221773</v>
      </c>
    </row>
    <row r="971" spans="2:4" x14ac:dyDescent="0.25">
      <c r="B971" s="90">
        <v>967</v>
      </c>
      <c r="C971" s="39">
        <f t="shared" si="30"/>
        <v>4315576.4393044561</v>
      </c>
      <c r="D971" s="39">
        <f t="shared" si="31"/>
        <v>3046371.9627723037</v>
      </c>
    </row>
    <row r="972" spans="2:4" x14ac:dyDescent="0.25">
      <c r="B972" s="90">
        <v>968</v>
      </c>
      <c r="C972" s="39">
        <f t="shared" si="30"/>
        <v>4318223.7779180091</v>
      </c>
      <c r="D972" s="39">
        <f t="shared" si="31"/>
        <v>3049522.2957224301</v>
      </c>
    </row>
    <row r="973" spans="2:4" x14ac:dyDescent="0.25">
      <c r="B973" s="90">
        <v>969</v>
      </c>
      <c r="C973" s="39">
        <f t="shared" si="30"/>
        <v>4320871.1165315602</v>
      </c>
      <c r="D973" s="39">
        <f t="shared" si="31"/>
        <v>3052672.6286725565</v>
      </c>
    </row>
    <row r="974" spans="2:4" x14ac:dyDescent="0.25">
      <c r="B974" s="90">
        <v>970</v>
      </c>
      <c r="C974" s="39">
        <f t="shared" si="30"/>
        <v>4323518.4551451113</v>
      </c>
      <c r="D974" s="39">
        <f t="shared" si="31"/>
        <v>3055822.9616226833</v>
      </c>
    </row>
    <row r="975" spans="2:4" x14ac:dyDescent="0.25">
      <c r="B975" s="90">
        <v>971</v>
      </c>
      <c r="C975" s="39">
        <f t="shared" si="30"/>
        <v>4326165.7937586633</v>
      </c>
      <c r="D975" s="39">
        <f t="shared" si="31"/>
        <v>3058973.2945728097</v>
      </c>
    </row>
    <row r="976" spans="2:4" x14ac:dyDescent="0.25">
      <c r="B976" s="90">
        <v>972</v>
      </c>
      <c r="C976" s="39">
        <f t="shared" si="30"/>
        <v>4328813.1323722154</v>
      </c>
      <c r="D976" s="39">
        <f t="shared" si="31"/>
        <v>3062123.6275229361</v>
      </c>
    </row>
    <row r="977" spans="2:4" x14ac:dyDescent="0.25">
      <c r="B977" s="90">
        <v>973</v>
      </c>
      <c r="C977" s="39">
        <f t="shared" si="30"/>
        <v>4331460.4709857665</v>
      </c>
      <c r="D977" s="39">
        <f t="shared" si="31"/>
        <v>3065273.9604730625</v>
      </c>
    </row>
    <row r="978" spans="2:4" x14ac:dyDescent="0.25">
      <c r="B978" s="90">
        <v>974</v>
      </c>
      <c r="C978" s="39">
        <f t="shared" si="30"/>
        <v>4334107.8095993185</v>
      </c>
      <c r="D978" s="39">
        <f t="shared" si="31"/>
        <v>3068424.2934231893</v>
      </c>
    </row>
    <row r="979" spans="2:4" x14ac:dyDescent="0.25">
      <c r="B979" s="90">
        <v>975</v>
      </c>
      <c r="C979" s="39">
        <f t="shared" si="30"/>
        <v>4336755.1482128706</v>
      </c>
      <c r="D979" s="39">
        <f t="shared" si="31"/>
        <v>3071574.6263733157</v>
      </c>
    </row>
    <row r="980" spans="2:4" x14ac:dyDescent="0.25">
      <c r="B980" s="90">
        <v>976</v>
      </c>
      <c r="C980" s="39">
        <f t="shared" si="30"/>
        <v>4339402.4868264217</v>
      </c>
      <c r="D980" s="39">
        <f t="shared" si="31"/>
        <v>3074724.9593234421</v>
      </c>
    </row>
    <row r="981" spans="2:4" x14ac:dyDescent="0.25">
      <c r="B981" s="90">
        <v>977</v>
      </c>
      <c r="C981" s="39">
        <f t="shared" si="30"/>
        <v>4342049.8254399728</v>
      </c>
      <c r="D981" s="39">
        <f t="shared" si="31"/>
        <v>3077875.2922735685</v>
      </c>
    </row>
    <row r="982" spans="2:4" x14ac:dyDescent="0.25">
      <c r="B982" s="90">
        <v>978</v>
      </c>
      <c r="C982" s="39">
        <f t="shared" si="30"/>
        <v>4344697.1640535258</v>
      </c>
      <c r="D982" s="39">
        <f t="shared" si="31"/>
        <v>3081025.6252236948</v>
      </c>
    </row>
    <row r="983" spans="2:4" x14ac:dyDescent="0.25">
      <c r="B983" s="90">
        <v>979</v>
      </c>
      <c r="C983" s="39">
        <f t="shared" si="30"/>
        <v>4347344.5026670769</v>
      </c>
      <c r="D983" s="39">
        <f t="shared" si="31"/>
        <v>3084175.9581738217</v>
      </c>
    </row>
    <row r="984" spans="2:4" x14ac:dyDescent="0.25">
      <c r="B984" s="90">
        <v>980</v>
      </c>
      <c r="C984" s="39">
        <f t="shared" si="30"/>
        <v>4349991.841280628</v>
      </c>
      <c r="D984" s="39">
        <f t="shared" si="31"/>
        <v>3087326.2911239481</v>
      </c>
    </row>
    <row r="985" spans="2:4" x14ac:dyDescent="0.25">
      <c r="B985" s="90">
        <v>981</v>
      </c>
      <c r="C985" s="39">
        <f t="shared" si="30"/>
        <v>4352639.17989418</v>
      </c>
      <c r="D985" s="39">
        <f t="shared" si="31"/>
        <v>3090476.6240740744</v>
      </c>
    </row>
    <row r="986" spans="2:4" x14ac:dyDescent="0.25">
      <c r="B986" s="90">
        <v>982</v>
      </c>
      <c r="C986" s="39">
        <f t="shared" si="30"/>
        <v>4355286.5185077321</v>
      </c>
      <c r="D986" s="39">
        <f t="shared" si="31"/>
        <v>3093626.9570242008</v>
      </c>
    </row>
    <row r="987" spans="2:4" x14ac:dyDescent="0.25">
      <c r="B987" s="90">
        <v>983</v>
      </c>
      <c r="C987" s="39">
        <f t="shared" si="30"/>
        <v>4357933.8571212832</v>
      </c>
      <c r="D987" s="39">
        <f t="shared" si="31"/>
        <v>3096777.2899743272</v>
      </c>
    </row>
    <row r="988" spans="2:4" x14ac:dyDescent="0.25">
      <c r="B988" s="90">
        <v>984</v>
      </c>
      <c r="C988" s="39">
        <f t="shared" si="30"/>
        <v>4360581.1957348352</v>
      </c>
      <c r="D988" s="39">
        <f t="shared" si="31"/>
        <v>3099927.622924454</v>
      </c>
    </row>
    <row r="989" spans="2:4" x14ac:dyDescent="0.25">
      <c r="B989" s="90">
        <v>985</v>
      </c>
      <c r="C989" s="39">
        <f t="shared" si="30"/>
        <v>4363228.5343483873</v>
      </c>
      <c r="D989" s="39">
        <f t="shared" si="31"/>
        <v>3103077.9558745804</v>
      </c>
    </row>
    <row r="990" spans="2:4" x14ac:dyDescent="0.25">
      <c r="B990" s="90">
        <v>986</v>
      </c>
      <c r="C990" s="39">
        <f t="shared" si="30"/>
        <v>4365875.8729619384</v>
      </c>
      <c r="D990" s="39">
        <f t="shared" si="31"/>
        <v>3106228.2888247068</v>
      </c>
    </row>
    <row r="991" spans="2:4" x14ac:dyDescent="0.25">
      <c r="B991" s="90">
        <v>987</v>
      </c>
      <c r="C991" s="39">
        <f t="shared" si="30"/>
        <v>4368523.2115754895</v>
      </c>
      <c r="D991" s="39">
        <f t="shared" si="31"/>
        <v>3109378.6217748332</v>
      </c>
    </row>
    <row r="992" spans="2:4" x14ac:dyDescent="0.25">
      <c r="B992" s="90">
        <v>988</v>
      </c>
      <c r="C992" s="39">
        <f t="shared" si="30"/>
        <v>4371170.5501890415</v>
      </c>
      <c r="D992" s="39">
        <f t="shared" si="31"/>
        <v>3112528.9547249596</v>
      </c>
    </row>
    <row r="993" spans="2:4" x14ac:dyDescent="0.25">
      <c r="B993" s="90">
        <v>989</v>
      </c>
      <c r="C993" s="39">
        <f t="shared" si="30"/>
        <v>4373817.8888025936</v>
      </c>
      <c r="D993" s="39">
        <f t="shared" si="31"/>
        <v>3115679.2876750864</v>
      </c>
    </row>
    <row r="994" spans="2:4" x14ac:dyDescent="0.25">
      <c r="B994" s="90">
        <v>990</v>
      </c>
      <c r="C994" s="39">
        <f t="shared" si="30"/>
        <v>4376465.2274161447</v>
      </c>
      <c r="D994" s="39">
        <f t="shared" si="31"/>
        <v>3118829.6206252128</v>
      </c>
    </row>
    <row r="995" spans="2:4" x14ac:dyDescent="0.25">
      <c r="B995" s="90">
        <v>991</v>
      </c>
      <c r="C995" s="39">
        <f t="shared" si="30"/>
        <v>4379112.5660296967</v>
      </c>
      <c r="D995" s="39">
        <f t="shared" si="31"/>
        <v>3121979.9535753392</v>
      </c>
    </row>
    <row r="996" spans="2:4" x14ac:dyDescent="0.25">
      <c r="B996" s="90">
        <v>992</v>
      </c>
      <c r="C996" s="39">
        <f t="shared" si="30"/>
        <v>4381759.9046432488</v>
      </c>
      <c r="D996" s="39">
        <f t="shared" si="31"/>
        <v>3125130.2865254655</v>
      </c>
    </row>
    <row r="997" spans="2:4" x14ac:dyDescent="0.25">
      <c r="B997" s="90">
        <v>993</v>
      </c>
      <c r="C997" s="39">
        <f t="shared" si="30"/>
        <v>4384407.2432567999</v>
      </c>
      <c r="D997" s="39">
        <f t="shared" si="31"/>
        <v>3128280.6194755919</v>
      </c>
    </row>
    <row r="998" spans="2:4" x14ac:dyDescent="0.25">
      <c r="B998" s="90">
        <v>994</v>
      </c>
      <c r="C998" s="39">
        <f t="shared" si="30"/>
        <v>4387054.581870351</v>
      </c>
      <c r="D998" s="39">
        <f t="shared" si="31"/>
        <v>3131430.9524257188</v>
      </c>
    </row>
    <row r="999" spans="2:4" x14ac:dyDescent="0.25">
      <c r="B999" s="90">
        <v>995</v>
      </c>
      <c r="C999" s="39">
        <f t="shared" si="30"/>
        <v>4389701.920483904</v>
      </c>
      <c r="D999" s="39">
        <f t="shared" si="31"/>
        <v>3134581.2853758452</v>
      </c>
    </row>
    <row r="1000" spans="2:4" x14ac:dyDescent="0.25">
      <c r="B1000" s="90">
        <v>996</v>
      </c>
      <c r="C1000" s="39">
        <f t="shared" si="30"/>
        <v>4392349.2590974551</v>
      </c>
      <c r="D1000" s="39">
        <f t="shared" si="31"/>
        <v>3137731.6183259715</v>
      </c>
    </row>
    <row r="1001" spans="2:4" x14ac:dyDescent="0.25">
      <c r="B1001" s="90">
        <v>997</v>
      </c>
      <c r="C1001" s="39">
        <f t="shared" si="30"/>
        <v>4394996.5977110062</v>
      </c>
      <c r="D1001" s="39">
        <f t="shared" si="31"/>
        <v>3140881.9512760979</v>
      </c>
    </row>
    <row r="1002" spans="2:4" x14ac:dyDescent="0.25">
      <c r="B1002" s="90">
        <v>998</v>
      </c>
      <c r="C1002" s="39">
        <f t="shared" si="30"/>
        <v>4397643.9363245582</v>
      </c>
      <c r="D1002" s="39">
        <f t="shared" si="31"/>
        <v>3144032.2842262248</v>
      </c>
    </row>
    <row r="1003" spans="2:4" x14ac:dyDescent="0.25">
      <c r="B1003" s="90">
        <v>999</v>
      </c>
      <c r="C1003" s="39">
        <f t="shared" si="30"/>
        <v>4400291.2749381103</v>
      </c>
      <c r="D1003" s="39">
        <f t="shared" si="31"/>
        <v>3147182.6171763511</v>
      </c>
    </row>
    <row r="1004" spans="2:4" x14ac:dyDescent="0.25">
      <c r="B1004" s="90">
        <v>1000</v>
      </c>
      <c r="C1004" s="39">
        <f t="shared" si="30"/>
        <v>4402938.6135516614</v>
      </c>
      <c r="D1004" s="39">
        <f t="shared" si="31"/>
        <v>3150332.9501264775</v>
      </c>
    </row>
    <row r="1005" spans="2:4" x14ac:dyDescent="0.25">
      <c r="B1005" s="90">
        <v>1001</v>
      </c>
      <c r="C1005" s="39">
        <f t="shared" si="30"/>
        <v>4405585.9521652134</v>
      </c>
      <c r="D1005" s="39">
        <f t="shared" si="31"/>
        <v>3153483.2830766039</v>
      </c>
    </row>
    <row r="1006" spans="2:4" x14ac:dyDescent="0.25">
      <c r="B1006" s="90">
        <v>1002</v>
      </c>
      <c r="C1006" s="39">
        <f t="shared" si="30"/>
        <v>4408233.2907787655</v>
      </c>
      <c r="D1006" s="39">
        <f t="shared" si="31"/>
        <v>3156633.6160267303</v>
      </c>
    </row>
    <row r="1007" spans="2:4" x14ac:dyDescent="0.25">
      <c r="B1007" s="90">
        <v>1003</v>
      </c>
      <c r="C1007" s="39">
        <f t="shared" si="30"/>
        <v>4410880.6293923166</v>
      </c>
      <c r="D1007" s="39">
        <f t="shared" si="31"/>
        <v>3159783.9489768571</v>
      </c>
    </row>
    <row r="1008" spans="2:4" x14ac:dyDescent="0.25">
      <c r="B1008" s="90">
        <v>1004</v>
      </c>
      <c r="C1008" s="39">
        <f t="shared" si="30"/>
        <v>4413527.9680058677</v>
      </c>
      <c r="D1008" s="39">
        <f t="shared" si="31"/>
        <v>3162934.2819269835</v>
      </c>
    </row>
    <row r="1009" spans="2:4" x14ac:dyDescent="0.25">
      <c r="B1009" s="90">
        <v>1005</v>
      </c>
      <c r="C1009" s="39">
        <f t="shared" ref="C1009:C1072" si="32">($C$2*B1009)+$C$1</f>
        <v>4416175.3066194197</v>
      </c>
      <c r="D1009" s="39">
        <f t="shared" ref="D1009:D1072" si="33">$D$2*B1009</f>
        <v>3166084.6148771099</v>
      </c>
    </row>
    <row r="1010" spans="2:4" x14ac:dyDescent="0.25">
      <c r="B1010" s="90">
        <v>1006</v>
      </c>
      <c r="C1010" s="39">
        <f t="shared" si="32"/>
        <v>4418822.6452329718</v>
      </c>
      <c r="D1010" s="39">
        <f t="shared" si="33"/>
        <v>3169234.9478272363</v>
      </c>
    </row>
    <row r="1011" spans="2:4" x14ac:dyDescent="0.25">
      <c r="B1011" s="90">
        <v>1007</v>
      </c>
      <c r="C1011" s="39">
        <f t="shared" si="32"/>
        <v>4421469.9838465229</v>
      </c>
      <c r="D1011" s="39">
        <f t="shared" si="33"/>
        <v>3172385.2807773626</v>
      </c>
    </row>
    <row r="1012" spans="2:4" x14ac:dyDescent="0.25">
      <c r="B1012" s="90">
        <v>1008</v>
      </c>
      <c r="C1012" s="39">
        <f t="shared" si="32"/>
        <v>4424117.3224600749</v>
      </c>
      <c r="D1012" s="39">
        <f t="shared" si="33"/>
        <v>3175535.6137274895</v>
      </c>
    </row>
    <row r="1013" spans="2:4" x14ac:dyDescent="0.25">
      <c r="B1013" s="90">
        <v>1009</v>
      </c>
      <c r="C1013" s="39">
        <f t="shared" si="32"/>
        <v>4426764.661073627</v>
      </c>
      <c r="D1013" s="39">
        <f t="shared" si="33"/>
        <v>3178685.9466776159</v>
      </c>
    </row>
    <row r="1014" spans="2:4" x14ac:dyDescent="0.25">
      <c r="B1014" s="90">
        <v>1010</v>
      </c>
      <c r="C1014" s="39">
        <f t="shared" si="32"/>
        <v>4429411.9996871781</v>
      </c>
      <c r="D1014" s="39">
        <f t="shared" si="33"/>
        <v>3181836.2796277422</v>
      </c>
    </row>
    <row r="1015" spans="2:4" x14ac:dyDescent="0.25">
      <c r="B1015" s="90">
        <v>1011</v>
      </c>
      <c r="C1015" s="39">
        <f t="shared" si="32"/>
        <v>4432059.3383007301</v>
      </c>
      <c r="D1015" s="39">
        <f t="shared" si="33"/>
        <v>3184986.6125778686</v>
      </c>
    </row>
    <row r="1016" spans="2:4" x14ac:dyDescent="0.25">
      <c r="B1016" s="90">
        <v>1012</v>
      </c>
      <c r="C1016" s="39">
        <f t="shared" si="32"/>
        <v>4434706.6769142821</v>
      </c>
      <c r="D1016" s="39">
        <f t="shared" si="33"/>
        <v>3188136.945527995</v>
      </c>
    </row>
    <row r="1017" spans="2:4" x14ac:dyDescent="0.25">
      <c r="B1017" s="90">
        <v>1013</v>
      </c>
      <c r="C1017" s="39">
        <f t="shared" si="32"/>
        <v>4437354.0155278333</v>
      </c>
      <c r="D1017" s="39">
        <f t="shared" si="33"/>
        <v>3191287.2784781219</v>
      </c>
    </row>
    <row r="1018" spans="2:4" x14ac:dyDescent="0.25">
      <c r="B1018" s="90">
        <v>1014</v>
      </c>
      <c r="C1018" s="39">
        <f t="shared" si="32"/>
        <v>4440001.3541413844</v>
      </c>
      <c r="D1018" s="39">
        <f t="shared" si="33"/>
        <v>3194437.6114282482</v>
      </c>
    </row>
    <row r="1019" spans="2:4" x14ac:dyDescent="0.25">
      <c r="B1019" s="90">
        <v>1015</v>
      </c>
      <c r="C1019" s="39">
        <f t="shared" si="32"/>
        <v>4442648.6927549364</v>
      </c>
      <c r="D1019" s="39">
        <f t="shared" si="33"/>
        <v>3197587.9443783746</v>
      </c>
    </row>
    <row r="1020" spans="2:4" x14ac:dyDescent="0.25">
      <c r="B1020" s="90">
        <v>1016</v>
      </c>
      <c r="C1020" s="39">
        <f t="shared" si="32"/>
        <v>4445296.0313684884</v>
      </c>
      <c r="D1020" s="39">
        <f t="shared" si="33"/>
        <v>3200738.277328501</v>
      </c>
    </row>
    <row r="1021" spans="2:4" x14ac:dyDescent="0.25">
      <c r="B1021" s="90">
        <v>1017</v>
      </c>
      <c r="C1021" s="39">
        <f t="shared" si="32"/>
        <v>4447943.3699820396</v>
      </c>
      <c r="D1021" s="39">
        <f t="shared" si="33"/>
        <v>3203888.6102786278</v>
      </c>
    </row>
    <row r="1022" spans="2:4" x14ac:dyDescent="0.25">
      <c r="B1022" s="90">
        <v>1018</v>
      </c>
      <c r="C1022" s="39">
        <f t="shared" si="32"/>
        <v>4450590.7085955916</v>
      </c>
      <c r="D1022" s="39">
        <f t="shared" si="33"/>
        <v>3207038.9432287542</v>
      </c>
    </row>
    <row r="1023" spans="2:4" x14ac:dyDescent="0.25">
      <c r="B1023" s="90">
        <v>1019</v>
      </c>
      <c r="C1023" s="39">
        <f t="shared" si="32"/>
        <v>4453238.0472091436</v>
      </c>
      <c r="D1023" s="39">
        <f t="shared" si="33"/>
        <v>3210189.2761788806</v>
      </c>
    </row>
    <row r="1024" spans="2:4" x14ac:dyDescent="0.25">
      <c r="B1024" s="90">
        <v>1020</v>
      </c>
      <c r="C1024" s="39">
        <f t="shared" si="32"/>
        <v>4455885.3858226947</v>
      </c>
      <c r="D1024" s="39">
        <f t="shared" si="33"/>
        <v>3213339.609129007</v>
      </c>
    </row>
    <row r="1025" spans="2:4" x14ac:dyDescent="0.25">
      <c r="B1025" s="90">
        <v>1021</v>
      </c>
      <c r="C1025" s="39">
        <f t="shared" si="32"/>
        <v>4458532.7244362459</v>
      </c>
      <c r="D1025" s="39">
        <f t="shared" si="33"/>
        <v>3216489.9420791334</v>
      </c>
    </row>
    <row r="1026" spans="2:4" x14ac:dyDescent="0.25">
      <c r="B1026" s="90">
        <v>1022</v>
      </c>
      <c r="C1026" s="39">
        <f t="shared" si="32"/>
        <v>4461180.0630497988</v>
      </c>
      <c r="D1026" s="39">
        <f t="shared" si="33"/>
        <v>3219640.2750292602</v>
      </c>
    </row>
    <row r="1027" spans="2:4" x14ac:dyDescent="0.25">
      <c r="B1027" s="90">
        <v>1023</v>
      </c>
      <c r="C1027" s="39">
        <f t="shared" si="32"/>
        <v>4463827.4016633499</v>
      </c>
      <c r="D1027" s="39">
        <f t="shared" si="33"/>
        <v>3222790.6079793866</v>
      </c>
    </row>
    <row r="1028" spans="2:4" x14ac:dyDescent="0.25">
      <c r="B1028" s="90">
        <v>1024</v>
      </c>
      <c r="C1028" s="39">
        <f t="shared" si="32"/>
        <v>4466474.7402769011</v>
      </c>
      <c r="D1028" s="39">
        <f t="shared" si="33"/>
        <v>3225940.940929513</v>
      </c>
    </row>
    <row r="1029" spans="2:4" x14ac:dyDescent="0.25">
      <c r="B1029" s="90">
        <v>1025</v>
      </c>
      <c r="C1029" s="39">
        <f t="shared" si="32"/>
        <v>4469122.0788904531</v>
      </c>
      <c r="D1029" s="39">
        <f t="shared" si="33"/>
        <v>3229091.2738796393</v>
      </c>
    </row>
    <row r="1030" spans="2:4" x14ac:dyDescent="0.25">
      <c r="B1030" s="90">
        <v>1026</v>
      </c>
      <c r="C1030" s="39">
        <f t="shared" si="32"/>
        <v>4471769.4175040051</v>
      </c>
      <c r="D1030" s="39">
        <f t="shared" si="33"/>
        <v>3232241.6068297657</v>
      </c>
    </row>
    <row r="1031" spans="2:4" x14ac:dyDescent="0.25">
      <c r="B1031" s="90">
        <v>1027</v>
      </c>
      <c r="C1031" s="39">
        <f t="shared" si="32"/>
        <v>4474416.7561175562</v>
      </c>
      <c r="D1031" s="39">
        <f t="shared" si="33"/>
        <v>3235391.9397798926</v>
      </c>
    </row>
    <row r="1032" spans="2:4" x14ac:dyDescent="0.25">
      <c r="B1032" s="90">
        <v>1028</v>
      </c>
      <c r="C1032" s="39">
        <f t="shared" si="32"/>
        <v>4477064.0947311083</v>
      </c>
      <c r="D1032" s="39">
        <f t="shared" si="33"/>
        <v>3238542.2727300189</v>
      </c>
    </row>
    <row r="1033" spans="2:4" x14ac:dyDescent="0.25">
      <c r="B1033" s="90">
        <v>1029</v>
      </c>
      <c r="C1033" s="39">
        <f t="shared" si="32"/>
        <v>4479711.4333446603</v>
      </c>
      <c r="D1033" s="39">
        <f t="shared" si="33"/>
        <v>3241692.6056801453</v>
      </c>
    </row>
    <row r="1034" spans="2:4" x14ac:dyDescent="0.25">
      <c r="B1034" s="90">
        <v>1030</v>
      </c>
      <c r="C1034" s="39">
        <f t="shared" si="32"/>
        <v>4482358.7719582114</v>
      </c>
      <c r="D1034" s="39">
        <f t="shared" si="33"/>
        <v>3244842.9386302717</v>
      </c>
    </row>
    <row r="1035" spans="2:4" x14ac:dyDescent="0.25">
      <c r="B1035" s="90">
        <v>1031</v>
      </c>
      <c r="C1035" s="39">
        <f t="shared" si="32"/>
        <v>4485006.1105717625</v>
      </c>
      <c r="D1035" s="39">
        <f t="shared" si="33"/>
        <v>3247993.2715803981</v>
      </c>
    </row>
    <row r="1036" spans="2:4" x14ac:dyDescent="0.25">
      <c r="B1036" s="90">
        <v>1032</v>
      </c>
      <c r="C1036" s="39">
        <f t="shared" si="32"/>
        <v>4487653.4491853146</v>
      </c>
      <c r="D1036" s="39">
        <f t="shared" si="33"/>
        <v>3251143.6045305249</v>
      </c>
    </row>
    <row r="1037" spans="2:4" x14ac:dyDescent="0.25">
      <c r="B1037" s="90">
        <v>1033</v>
      </c>
      <c r="C1037" s="39">
        <f t="shared" si="32"/>
        <v>4490300.7877988666</v>
      </c>
      <c r="D1037" s="39">
        <f t="shared" si="33"/>
        <v>3254293.9374806513</v>
      </c>
    </row>
    <row r="1038" spans="2:4" x14ac:dyDescent="0.25">
      <c r="B1038" s="90">
        <v>1034</v>
      </c>
      <c r="C1038" s="39">
        <f t="shared" si="32"/>
        <v>4492948.1264124177</v>
      </c>
      <c r="D1038" s="39">
        <f t="shared" si="33"/>
        <v>3257444.2704307777</v>
      </c>
    </row>
    <row r="1039" spans="2:4" x14ac:dyDescent="0.25">
      <c r="B1039" s="90">
        <v>1035</v>
      </c>
      <c r="C1039" s="39">
        <f t="shared" si="32"/>
        <v>4495595.4650259698</v>
      </c>
      <c r="D1039" s="39">
        <f t="shared" si="33"/>
        <v>3260594.6033809041</v>
      </c>
    </row>
    <row r="1040" spans="2:4" x14ac:dyDescent="0.25">
      <c r="B1040" s="90">
        <v>1036</v>
      </c>
      <c r="C1040" s="39">
        <f t="shared" si="32"/>
        <v>4498242.8036395218</v>
      </c>
      <c r="D1040" s="39">
        <f t="shared" si="33"/>
        <v>3263744.9363310309</v>
      </c>
    </row>
    <row r="1041" spans="2:4" x14ac:dyDescent="0.25">
      <c r="B1041" s="90">
        <v>1037</v>
      </c>
      <c r="C1041" s="39">
        <f t="shared" si="32"/>
        <v>4500890.1422530729</v>
      </c>
      <c r="D1041" s="39">
        <f t="shared" si="33"/>
        <v>3266895.2692811573</v>
      </c>
    </row>
    <row r="1042" spans="2:4" x14ac:dyDescent="0.25">
      <c r="B1042" s="90">
        <v>1038</v>
      </c>
      <c r="C1042" s="39">
        <f t="shared" si="32"/>
        <v>4503537.480866625</v>
      </c>
      <c r="D1042" s="39">
        <f t="shared" si="33"/>
        <v>3270045.6022312837</v>
      </c>
    </row>
    <row r="1043" spans="2:4" x14ac:dyDescent="0.25">
      <c r="B1043" s="90">
        <v>1039</v>
      </c>
      <c r="C1043" s="39">
        <f t="shared" si="32"/>
        <v>4506184.819480177</v>
      </c>
      <c r="D1043" s="39">
        <f t="shared" si="33"/>
        <v>3273195.9351814101</v>
      </c>
    </row>
    <row r="1044" spans="2:4" x14ac:dyDescent="0.25">
      <c r="B1044" s="90">
        <v>1040</v>
      </c>
      <c r="C1044" s="39">
        <f t="shared" si="32"/>
        <v>4508832.1580937281</v>
      </c>
      <c r="D1044" s="39">
        <f t="shared" si="33"/>
        <v>3276346.2681315364</v>
      </c>
    </row>
    <row r="1045" spans="2:4" x14ac:dyDescent="0.25">
      <c r="B1045" s="90">
        <v>1041</v>
      </c>
      <c r="C1045" s="39">
        <f t="shared" si="32"/>
        <v>4511479.4967072792</v>
      </c>
      <c r="D1045" s="39">
        <f t="shared" si="33"/>
        <v>3279496.6010816633</v>
      </c>
    </row>
    <row r="1046" spans="2:4" x14ac:dyDescent="0.25">
      <c r="B1046" s="90">
        <v>1042</v>
      </c>
      <c r="C1046" s="39">
        <f t="shared" si="32"/>
        <v>4514126.8353208313</v>
      </c>
      <c r="D1046" s="39">
        <f t="shared" si="33"/>
        <v>3282646.9340317897</v>
      </c>
    </row>
    <row r="1047" spans="2:4" x14ac:dyDescent="0.25">
      <c r="B1047" s="90">
        <v>1043</v>
      </c>
      <c r="C1047" s="39">
        <f t="shared" si="32"/>
        <v>4516774.1739343833</v>
      </c>
      <c r="D1047" s="39">
        <f t="shared" si="33"/>
        <v>3285797.266981916</v>
      </c>
    </row>
    <row r="1048" spans="2:4" x14ac:dyDescent="0.25">
      <c r="B1048" s="90">
        <v>1044</v>
      </c>
      <c r="C1048" s="39">
        <f t="shared" si="32"/>
        <v>4519421.5125479344</v>
      </c>
      <c r="D1048" s="39">
        <f t="shared" si="33"/>
        <v>3288947.5999320424</v>
      </c>
    </row>
    <row r="1049" spans="2:4" x14ac:dyDescent="0.25">
      <c r="B1049" s="90">
        <v>1045</v>
      </c>
      <c r="C1049" s="39">
        <f t="shared" si="32"/>
        <v>4522068.8511614865</v>
      </c>
      <c r="D1049" s="39">
        <f t="shared" si="33"/>
        <v>3292097.9328821688</v>
      </c>
    </row>
    <row r="1050" spans="2:4" x14ac:dyDescent="0.25">
      <c r="B1050" s="90">
        <v>1046</v>
      </c>
      <c r="C1050" s="39">
        <f t="shared" si="32"/>
        <v>4524716.1897750385</v>
      </c>
      <c r="D1050" s="39">
        <f t="shared" si="33"/>
        <v>3295248.2658322956</v>
      </c>
    </row>
    <row r="1051" spans="2:4" x14ac:dyDescent="0.25">
      <c r="B1051" s="90">
        <v>1047</v>
      </c>
      <c r="C1051" s="39">
        <f t="shared" si="32"/>
        <v>4527363.5283885896</v>
      </c>
      <c r="D1051" s="39">
        <f t="shared" si="33"/>
        <v>3298398.598782422</v>
      </c>
    </row>
    <row r="1052" spans="2:4" x14ac:dyDescent="0.25">
      <c r="B1052" s="90">
        <v>1048</v>
      </c>
      <c r="C1052" s="39">
        <f t="shared" si="32"/>
        <v>4530010.8670021407</v>
      </c>
      <c r="D1052" s="39">
        <f t="shared" si="33"/>
        <v>3301548.9317325484</v>
      </c>
    </row>
    <row r="1053" spans="2:4" x14ac:dyDescent="0.25">
      <c r="B1053" s="90">
        <v>1049</v>
      </c>
      <c r="C1053" s="39">
        <f t="shared" si="32"/>
        <v>4532658.2056156937</v>
      </c>
      <c r="D1053" s="39">
        <f t="shared" si="33"/>
        <v>3304699.2646826748</v>
      </c>
    </row>
    <row r="1054" spans="2:4" x14ac:dyDescent="0.25">
      <c r="B1054" s="90">
        <v>1050</v>
      </c>
      <c r="C1054" s="39">
        <f t="shared" si="32"/>
        <v>4535305.5442292448</v>
      </c>
      <c r="D1054" s="39">
        <f t="shared" si="33"/>
        <v>3307849.5976328012</v>
      </c>
    </row>
    <row r="1055" spans="2:4" x14ac:dyDescent="0.25">
      <c r="B1055" s="90">
        <v>1051</v>
      </c>
      <c r="C1055" s="39">
        <f t="shared" si="32"/>
        <v>4537952.8828427959</v>
      </c>
      <c r="D1055" s="39">
        <f t="shared" si="33"/>
        <v>3310999.930582928</v>
      </c>
    </row>
    <row r="1056" spans="2:4" x14ac:dyDescent="0.25">
      <c r="B1056" s="90">
        <v>1052</v>
      </c>
      <c r="C1056" s="39">
        <f t="shared" si="32"/>
        <v>4540600.221456348</v>
      </c>
      <c r="D1056" s="39">
        <f t="shared" si="33"/>
        <v>3314150.2635330544</v>
      </c>
    </row>
    <row r="1057" spans="2:4" x14ac:dyDescent="0.25">
      <c r="B1057" s="90">
        <v>1053</v>
      </c>
      <c r="C1057" s="39">
        <f t="shared" si="32"/>
        <v>4543247.5600699</v>
      </c>
      <c r="D1057" s="39">
        <f t="shared" si="33"/>
        <v>3317300.5964831808</v>
      </c>
    </row>
    <row r="1058" spans="2:4" x14ac:dyDescent="0.25">
      <c r="B1058" s="90">
        <v>1054</v>
      </c>
      <c r="C1058" s="39">
        <f t="shared" si="32"/>
        <v>4545894.8986834511</v>
      </c>
      <c r="D1058" s="39">
        <f t="shared" si="33"/>
        <v>3320450.9294333071</v>
      </c>
    </row>
    <row r="1059" spans="2:4" x14ac:dyDescent="0.25">
      <c r="B1059" s="90">
        <v>1055</v>
      </c>
      <c r="C1059" s="39">
        <f t="shared" si="32"/>
        <v>4548542.2372970032</v>
      </c>
      <c r="D1059" s="39">
        <f t="shared" si="33"/>
        <v>3323601.262383434</v>
      </c>
    </row>
    <row r="1060" spans="2:4" x14ac:dyDescent="0.25">
      <c r="B1060" s="90">
        <v>1056</v>
      </c>
      <c r="C1060" s="39">
        <f t="shared" si="32"/>
        <v>4551189.5759105552</v>
      </c>
      <c r="D1060" s="39">
        <f t="shared" si="33"/>
        <v>3326751.5953335604</v>
      </c>
    </row>
    <row r="1061" spans="2:4" x14ac:dyDescent="0.25">
      <c r="B1061" s="90">
        <v>1057</v>
      </c>
      <c r="C1061" s="39">
        <f t="shared" si="32"/>
        <v>4553836.9145241063</v>
      </c>
      <c r="D1061" s="39">
        <f t="shared" si="33"/>
        <v>3329901.9282836867</v>
      </c>
    </row>
    <row r="1062" spans="2:4" x14ac:dyDescent="0.25">
      <c r="B1062" s="90">
        <v>1058</v>
      </c>
      <c r="C1062" s="39">
        <f t="shared" si="32"/>
        <v>4556484.2531376574</v>
      </c>
      <c r="D1062" s="39">
        <f t="shared" si="33"/>
        <v>3333052.2612338131</v>
      </c>
    </row>
    <row r="1063" spans="2:4" x14ac:dyDescent="0.25">
      <c r="B1063" s="90">
        <v>1059</v>
      </c>
      <c r="C1063" s="39">
        <f t="shared" si="32"/>
        <v>4559131.5917512095</v>
      </c>
      <c r="D1063" s="39">
        <f t="shared" si="33"/>
        <v>3336202.5941839395</v>
      </c>
    </row>
    <row r="1064" spans="2:4" x14ac:dyDescent="0.25">
      <c r="B1064" s="90">
        <v>1060</v>
      </c>
      <c r="C1064" s="39">
        <f t="shared" si="32"/>
        <v>4561778.9303647615</v>
      </c>
      <c r="D1064" s="39">
        <f t="shared" si="33"/>
        <v>3339352.9271340664</v>
      </c>
    </row>
    <row r="1065" spans="2:4" x14ac:dyDescent="0.25">
      <c r="B1065" s="90">
        <v>1061</v>
      </c>
      <c r="C1065" s="39">
        <f t="shared" si="32"/>
        <v>4564426.2689783126</v>
      </c>
      <c r="D1065" s="39">
        <f t="shared" si="33"/>
        <v>3342503.2600841927</v>
      </c>
    </row>
    <row r="1066" spans="2:4" x14ac:dyDescent="0.25">
      <c r="B1066" s="90">
        <v>1062</v>
      </c>
      <c r="C1066" s="39">
        <f t="shared" si="32"/>
        <v>4567073.6075918647</v>
      </c>
      <c r="D1066" s="39">
        <f t="shared" si="33"/>
        <v>3345653.5930343191</v>
      </c>
    </row>
    <row r="1067" spans="2:4" x14ac:dyDescent="0.25">
      <c r="B1067" s="90">
        <v>1063</v>
      </c>
      <c r="C1067" s="39">
        <f t="shared" si="32"/>
        <v>4569720.9462054167</v>
      </c>
      <c r="D1067" s="39">
        <f t="shared" si="33"/>
        <v>3348803.9259844455</v>
      </c>
    </row>
    <row r="1068" spans="2:4" x14ac:dyDescent="0.25">
      <c r="B1068" s="90">
        <v>1064</v>
      </c>
      <c r="C1068" s="39">
        <f t="shared" si="32"/>
        <v>4572368.2848189678</v>
      </c>
      <c r="D1068" s="39">
        <f t="shared" si="33"/>
        <v>3351954.2589345719</v>
      </c>
    </row>
    <row r="1069" spans="2:4" x14ac:dyDescent="0.25">
      <c r="B1069" s="90">
        <v>1065</v>
      </c>
      <c r="C1069" s="39">
        <f t="shared" si="32"/>
        <v>4575015.6234325198</v>
      </c>
      <c r="D1069" s="39">
        <f t="shared" si="33"/>
        <v>3355104.5918846987</v>
      </c>
    </row>
    <row r="1070" spans="2:4" x14ac:dyDescent="0.25">
      <c r="B1070" s="90">
        <v>1066</v>
      </c>
      <c r="C1070" s="39">
        <f t="shared" si="32"/>
        <v>4577662.9620460719</v>
      </c>
      <c r="D1070" s="39">
        <f t="shared" si="33"/>
        <v>3358254.9248348251</v>
      </c>
    </row>
    <row r="1071" spans="2:4" x14ac:dyDescent="0.25">
      <c r="B1071" s="90">
        <v>1067</v>
      </c>
      <c r="C1071" s="39">
        <f t="shared" si="32"/>
        <v>4580310.300659623</v>
      </c>
      <c r="D1071" s="39">
        <f t="shared" si="33"/>
        <v>3361405.2577849515</v>
      </c>
    </row>
    <row r="1072" spans="2:4" x14ac:dyDescent="0.25">
      <c r="B1072" s="90">
        <v>1068</v>
      </c>
      <c r="C1072" s="39">
        <f t="shared" si="32"/>
        <v>4582957.6392731741</v>
      </c>
      <c r="D1072" s="39">
        <f t="shared" si="33"/>
        <v>3364555.5907350779</v>
      </c>
    </row>
    <row r="1073" spans="2:4" x14ac:dyDescent="0.25">
      <c r="B1073" s="90">
        <v>1069</v>
      </c>
      <c r="C1073" s="39">
        <f t="shared" ref="C1073:C1136" si="34">($C$2*B1073)+$C$1</f>
        <v>4585604.9778867261</v>
      </c>
      <c r="D1073" s="39">
        <f t="shared" ref="D1073:D1136" si="35">$D$2*B1073</f>
        <v>3367705.9236852042</v>
      </c>
    </row>
    <row r="1074" spans="2:4" x14ac:dyDescent="0.25">
      <c r="B1074" s="90">
        <v>1070</v>
      </c>
      <c r="C1074" s="39">
        <f t="shared" si="34"/>
        <v>4588252.3165002782</v>
      </c>
      <c r="D1074" s="39">
        <f t="shared" si="35"/>
        <v>3370856.2566353311</v>
      </c>
    </row>
    <row r="1075" spans="2:4" x14ac:dyDescent="0.25">
      <c r="B1075" s="90">
        <v>1071</v>
      </c>
      <c r="C1075" s="39">
        <f t="shared" si="34"/>
        <v>4590899.6551138293</v>
      </c>
      <c r="D1075" s="39">
        <f t="shared" si="35"/>
        <v>3374006.5895854575</v>
      </c>
    </row>
    <row r="1076" spans="2:4" x14ac:dyDescent="0.25">
      <c r="B1076" s="90">
        <v>1072</v>
      </c>
      <c r="C1076" s="39">
        <f t="shared" si="34"/>
        <v>4593546.9937273813</v>
      </c>
      <c r="D1076" s="39">
        <f t="shared" si="35"/>
        <v>3377156.9225355838</v>
      </c>
    </row>
    <row r="1077" spans="2:4" x14ac:dyDescent="0.25">
      <c r="B1077" s="90">
        <v>1073</v>
      </c>
      <c r="C1077" s="39">
        <f t="shared" si="34"/>
        <v>4596194.3323409334</v>
      </c>
      <c r="D1077" s="39">
        <f t="shared" si="35"/>
        <v>3380307.2554857102</v>
      </c>
    </row>
    <row r="1078" spans="2:4" x14ac:dyDescent="0.25">
      <c r="B1078" s="90">
        <v>1074</v>
      </c>
      <c r="C1078" s="39">
        <f t="shared" si="34"/>
        <v>4598841.6709544845</v>
      </c>
      <c r="D1078" s="39">
        <f t="shared" si="35"/>
        <v>3383457.5884358366</v>
      </c>
    </row>
    <row r="1079" spans="2:4" x14ac:dyDescent="0.25">
      <c r="B1079" s="90">
        <v>1075</v>
      </c>
      <c r="C1079" s="39">
        <f t="shared" si="34"/>
        <v>4601489.0095680356</v>
      </c>
      <c r="D1079" s="39">
        <f t="shared" si="35"/>
        <v>3386607.9213859634</v>
      </c>
    </row>
    <row r="1080" spans="2:4" x14ac:dyDescent="0.25">
      <c r="B1080" s="90">
        <v>1076</v>
      </c>
      <c r="C1080" s="39">
        <f t="shared" si="34"/>
        <v>4604136.3481815886</v>
      </c>
      <c r="D1080" s="39">
        <f t="shared" si="35"/>
        <v>3389758.2543360898</v>
      </c>
    </row>
    <row r="1081" spans="2:4" x14ac:dyDescent="0.25">
      <c r="B1081" s="90">
        <v>1077</v>
      </c>
      <c r="C1081" s="39">
        <f t="shared" si="34"/>
        <v>4606783.6867951397</v>
      </c>
      <c r="D1081" s="39">
        <f t="shared" si="35"/>
        <v>3392908.5872862162</v>
      </c>
    </row>
    <row r="1082" spans="2:4" x14ac:dyDescent="0.25">
      <c r="B1082" s="90">
        <v>1078</v>
      </c>
      <c r="C1082" s="39">
        <f t="shared" si="34"/>
        <v>4609431.0254086908</v>
      </c>
      <c r="D1082" s="39">
        <f t="shared" si="35"/>
        <v>3396058.9202363426</v>
      </c>
    </row>
    <row r="1083" spans="2:4" x14ac:dyDescent="0.25">
      <c r="B1083" s="90">
        <v>1079</v>
      </c>
      <c r="C1083" s="39">
        <f t="shared" si="34"/>
        <v>4612078.3640222428</v>
      </c>
      <c r="D1083" s="39">
        <f t="shared" si="35"/>
        <v>3399209.2531864694</v>
      </c>
    </row>
    <row r="1084" spans="2:4" x14ac:dyDescent="0.25">
      <c r="B1084" s="90">
        <v>1080</v>
      </c>
      <c r="C1084" s="39">
        <f t="shared" si="34"/>
        <v>4614725.7026357949</v>
      </c>
      <c r="D1084" s="39">
        <f t="shared" si="35"/>
        <v>3402359.5861365958</v>
      </c>
    </row>
    <row r="1085" spans="2:4" x14ac:dyDescent="0.25">
      <c r="B1085" s="90">
        <v>1081</v>
      </c>
      <c r="C1085" s="39">
        <f t="shared" si="34"/>
        <v>4617373.041249346</v>
      </c>
      <c r="D1085" s="39">
        <f t="shared" si="35"/>
        <v>3405509.9190867222</v>
      </c>
    </row>
    <row r="1086" spans="2:4" x14ac:dyDescent="0.25">
      <c r="B1086" s="90">
        <v>1082</v>
      </c>
      <c r="C1086" s="39">
        <f t="shared" si="34"/>
        <v>4620020.379862898</v>
      </c>
      <c r="D1086" s="39">
        <f t="shared" si="35"/>
        <v>3408660.2520368486</v>
      </c>
    </row>
    <row r="1087" spans="2:4" x14ac:dyDescent="0.25">
      <c r="B1087" s="90">
        <v>1083</v>
      </c>
      <c r="C1087" s="39">
        <f t="shared" si="34"/>
        <v>4622667.7184764501</v>
      </c>
      <c r="D1087" s="39">
        <f t="shared" si="35"/>
        <v>3411810.584986975</v>
      </c>
    </row>
    <row r="1088" spans="2:4" x14ac:dyDescent="0.25">
      <c r="B1088" s="90">
        <v>1084</v>
      </c>
      <c r="C1088" s="39">
        <f t="shared" si="34"/>
        <v>4625315.0570900012</v>
      </c>
      <c r="D1088" s="39">
        <f t="shared" si="35"/>
        <v>3414960.9179371018</v>
      </c>
    </row>
    <row r="1089" spans="2:4" x14ac:dyDescent="0.25">
      <c r="B1089" s="90">
        <v>1085</v>
      </c>
      <c r="C1089" s="39">
        <f t="shared" si="34"/>
        <v>4627962.3957035523</v>
      </c>
      <c r="D1089" s="39">
        <f t="shared" si="35"/>
        <v>3418111.2508872282</v>
      </c>
    </row>
    <row r="1090" spans="2:4" x14ac:dyDescent="0.25">
      <c r="B1090" s="90">
        <v>1086</v>
      </c>
      <c r="C1090" s="39">
        <f t="shared" si="34"/>
        <v>4630609.7343171043</v>
      </c>
      <c r="D1090" s="39">
        <f t="shared" si="35"/>
        <v>3421261.5838373546</v>
      </c>
    </row>
    <row r="1091" spans="2:4" x14ac:dyDescent="0.25">
      <c r="B1091" s="90">
        <v>1087</v>
      </c>
      <c r="C1091" s="39">
        <f t="shared" si="34"/>
        <v>4633257.0729306564</v>
      </c>
      <c r="D1091" s="39">
        <f t="shared" si="35"/>
        <v>3424411.9167874809</v>
      </c>
    </row>
    <row r="1092" spans="2:4" x14ac:dyDescent="0.25">
      <c r="B1092" s="90">
        <v>1088</v>
      </c>
      <c r="C1092" s="39">
        <f t="shared" si="34"/>
        <v>4635904.4115442075</v>
      </c>
      <c r="D1092" s="39">
        <f t="shared" si="35"/>
        <v>3427562.2497376073</v>
      </c>
    </row>
    <row r="1093" spans="2:4" x14ac:dyDescent="0.25">
      <c r="B1093" s="90">
        <v>1089</v>
      </c>
      <c r="C1093" s="39">
        <f t="shared" si="34"/>
        <v>4638551.7501577595</v>
      </c>
      <c r="D1093" s="39">
        <f t="shared" si="35"/>
        <v>3430712.5826877342</v>
      </c>
    </row>
    <row r="1094" spans="2:4" x14ac:dyDescent="0.25">
      <c r="B1094" s="90">
        <v>1090</v>
      </c>
      <c r="C1094" s="39">
        <f t="shared" si="34"/>
        <v>4641199.0887713116</v>
      </c>
      <c r="D1094" s="39">
        <f t="shared" si="35"/>
        <v>3433862.9156378605</v>
      </c>
    </row>
    <row r="1095" spans="2:4" x14ac:dyDescent="0.25">
      <c r="B1095" s="90">
        <v>1091</v>
      </c>
      <c r="C1095" s="39">
        <f t="shared" si="34"/>
        <v>4643846.4273848627</v>
      </c>
      <c r="D1095" s="39">
        <f t="shared" si="35"/>
        <v>3437013.2485879869</v>
      </c>
    </row>
    <row r="1096" spans="2:4" x14ac:dyDescent="0.25">
      <c r="B1096" s="90">
        <v>1092</v>
      </c>
      <c r="C1096" s="39">
        <f t="shared" si="34"/>
        <v>4646493.7659984147</v>
      </c>
      <c r="D1096" s="39">
        <f t="shared" si="35"/>
        <v>3440163.5815381133</v>
      </c>
    </row>
    <row r="1097" spans="2:4" x14ac:dyDescent="0.25">
      <c r="B1097" s="90">
        <v>1093</v>
      </c>
      <c r="C1097" s="39">
        <f t="shared" si="34"/>
        <v>4649141.1046119668</v>
      </c>
      <c r="D1097" s="39">
        <f t="shared" si="35"/>
        <v>3443313.9144882397</v>
      </c>
    </row>
    <row r="1098" spans="2:4" x14ac:dyDescent="0.25">
      <c r="B1098" s="90">
        <v>1094</v>
      </c>
      <c r="C1098" s="39">
        <f t="shared" si="34"/>
        <v>4651788.4432255179</v>
      </c>
      <c r="D1098" s="39">
        <f t="shared" si="35"/>
        <v>3446464.2474383665</v>
      </c>
    </row>
    <row r="1099" spans="2:4" x14ac:dyDescent="0.25">
      <c r="B1099" s="90">
        <v>1095</v>
      </c>
      <c r="C1099" s="39">
        <f t="shared" si="34"/>
        <v>4654435.781839069</v>
      </c>
      <c r="D1099" s="39">
        <f t="shared" si="35"/>
        <v>3449614.5803884929</v>
      </c>
    </row>
    <row r="1100" spans="2:4" x14ac:dyDescent="0.25">
      <c r="B1100" s="90">
        <v>1096</v>
      </c>
      <c r="C1100" s="39">
        <f t="shared" si="34"/>
        <v>4657083.120452621</v>
      </c>
      <c r="D1100" s="39">
        <f t="shared" si="35"/>
        <v>3452764.9133386193</v>
      </c>
    </row>
    <row r="1101" spans="2:4" x14ac:dyDescent="0.25">
      <c r="B1101" s="90">
        <v>1097</v>
      </c>
      <c r="C1101" s="39">
        <f t="shared" si="34"/>
        <v>4659730.4590661731</v>
      </c>
      <c r="D1101" s="39">
        <f t="shared" si="35"/>
        <v>3455915.2462887457</v>
      </c>
    </row>
    <row r="1102" spans="2:4" x14ac:dyDescent="0.25">
      <c r="B1102" s="90">
        <v>1098</v>
      </c>
      <c r="C1102" s="39">
        <f t="shared" si="34"/>
        <v>4662377.7976797242</v>
      </c>
      <c r="D1102" s="39">
        <f t="shared" si="35"/>
        <v>3459065.5792388725</v>
      </c>
    </row>
    <row r="1103" spans="2:4" x14ac:dyDescent="0.25">
      <c r="B1103" s="90">
        <v>1099</v>
      </c>
      <c r="C1103" s="39">
        <f t="shared" si="34"/>
        <v>4665025.1362932762</v>
      </c>
      <c r="D1103" s="39">
        <f t="shared" si="35"/>
        <v>3462215.9121889989</v>
      </c>
    </row>
    <row r="1104" spans="2:4" x14ac:dyDescent="0.25">
      <c r="B1104" s="90">
        <v>1100</v>
      </c>
      <c r="C1104" s="39">
        <f t="shared" si="34"/>
        <v>4667672.4749068283</v>
      </c>
      <c r="D1104" s="39">
        <f t="shared" si="35"/>
        <v>3465366.2451391253</v>
      </c>
    </row>
    <row r="1105" spans="2:4" x14ac:dyDescent="0.25">
      <c r="B1105" s="90">
        <v>1101</v>
      </c>
      <c r="C1105" s="39">
        <f t="shared" si="34"/>
        <v>4670319.8135203794</v>
      </c>
      <c r="D1105" s="39">
        <f t="shared" si="35"/>
        <v>3468516.5780892516</v>
      </c>
    </row>
    <row r="1106" spans="2:4" x14ac:dyDescent="0.25">
      <c r="B1106" s="90">
        <v>1102</v>
      </c>
      <c r="C1106" s="39">
        <f t="shared" si="34"/>
        <v>4672967.1521339305</v>
      </c>
      <c r="D1106" s="39">
        <f t="shared" si="35"/>
        <v>3471666.911039378</v>
      </c>
    </row>
    <row r="1107" spans="2:4" x14ac:dyDescent="0.25">
      <c r="B1107" s="90">
        <v>1103</v>
      </c>
      <c r="C1107" s="39">
        <f t="shared" si="34"/>
        <v>4675614.4907474834</v>
      </c>
      <c r="D1107" s="39">
        <f t="shared" si="35"/>
        <v>3474817.2439895049</v>
      </c>
    </row>
    <row r="1108" spans="2:4" x14ac:dyDescent="0.25">
      <c r="B1108" s="90">
        <v>1104</v>
      </c>
      <c r="C1108" s="39">
        <f t="shared" si="34"/>
        <v>4678261.8293610346</v>
      </c>
      <c r="D1108" s="39">
        <f t="shared" si="35"/>
        <v>3477967.5769396313</v>
      </c>
    </row>
    <row r="1109" spans="2:4" x14ac:dyDescent="0.25">
      <c r="B1109" s="90">
        <v>1105</v>
      </c>
      <c r="C1109" s="39">
        <f t="shared" si="34"/>
        <v>4680909.1679745857</v>
      </c>
      <c r="D1109" s="39">
        <f t="shared" si="35"/>
        <v>3481117.9098897576</v>
      </c>
    </row>
    <row r="1110" spans="2:4" x14ac:dyDescent="0.25">
      <c r="B1110" s="90">
        <v>1106</v>
      </c>
      <c r="C1110" s="39">
        <f t="shared" si="34"/>
        <v>4683556.5065881377</v>
      </c>
      <c r="D1110" s="39">
        <f t="shared" si="35"/>
        <v>3484268.242839884</v>
      </c>
    </row>
    <row r="1111" spans="2:4" x14ac:dyDescent="0.25">
      <c r="B1111" s="90">
        <v>1107</v>
      </c>
      <c r="C1111" s="39">
        <f t="shared" si="34"/>
        <v>4686203.8452016897</v>
      </c>
      <c r="D1111" s="39">
        <f t="shared" si="35"/>
        <v>3487418.5757900104</v>
      </c>
    </row>
    <row r="1112" spans="2:4" x14ac:dyDescent="0.25">
      <c r="B1112" s="90">
        <v>1108</v>
      </c>
      <c r="C1112" s="39">
        <f t="shared" si="34"/>
        <v>4688851.1838152409</v>
      </c>
      <c r="D1112" s="39">
        <f t="shared" si="35"/>
        <v>3490568.9087401372</v>
      </c>
    </row>
    <row r="1113" spans="2:4" x14ac:dyDescent="0.25">
      <c r="B1113" s="90">
        <v>1109</v>
      </c>
      <c r="C1113" s="39">
        <f t="shared" si="34"/>
        <v>4691498.5224287929</v>
      </c>
      <c r="D1113" s="39">
        <f t="shared" si="35"/>
        <v>3493719.2416902636</v>
      </c>
    </row>
    <row r="1114" spans="2:4" x14ac:dyDescent="0.25">
      <c r="B1114" s="90">
        <v>1110</v>
      </c>
      <c r="C1114" s="39">
        <f t="shared" si="34"/>
        <v>4694145.8610423449</v>
      </c>
      <c r="D1114" s="39">
        <f t="shared" si="35"/>
        <v>3496869.57464039</v>
      </c>
    </row>
    <row r="1115" spans="2:4" x14ac:dyDescent="0.25">
      <c r="B1115" s="90">
        <v>1111</v>
      </c>
      <c r="C1115" s="39">
        <f t="shared" si="34"/>
        <v>4696793.1996558961</v>
      </c>
      <c r="D1115" s="39">
        <f t="shared" si="35"/>
        <v>3500019.9075905164</v>
      </c>
    </row>
    <row r="1116" spans="2:4" x14ac:dyDescent="0.25">
      <c r="B1116" s="90">
        <v>1112</v>
      </c>
      <c r="C1116" s="39">
        <f t="shared" si="34"/>
        <v>4699440.5382694472</v>
      </c>
      <c r="D1116" s="39">
        <f t="shared" si="35"/>
        <v>3503170.2405406428</v>
      </c>
    </row>
    <row r="1117" spans="2:4" x14ac:dyDescent="0.25">
      <c r="B1117" s="90">
        <v>1113</v>
      </c>
      <c r="C1117" s="39">
        <f t="shared" si="34"/>
        <v>4702087.8768829992</v>
      </c>
      <c r="D1117" s="39">
        <f t="shared" si="35"/>
        <v>3506320.5734907696</v>
      </c>
    </row>
    <row r="1118" spans="2:4" x14ac:dyDescent="0.25">
      <c r="B1118" s="90">
        <v>1114</v>
      </c>
      <c r="C1118" s="39">
        <f t="shared" si="34"/>
        <v>4704735.2154965512</v>
      </c>
      <c r="D1118" s="39">
        <f t="shared" si="35"/>
        <v>3509470.906440896</v>
      </c>
    </row>
    <row r="1119" spans="2:4" x14ac:dyDescent="0.25">
      <c r="B1119" s="90">
        <v>1115</v>
      </c>
      <c r="C1119" s="39">
        <f t="shared" si="34"/>
        <v>4707382.5541101024</v>
      </c>
      <c r="D1119" s="39">
        <f t="shared" si="35"/>
        <v>3512621.2393910224</v>
      </c>
    </row>
    <row r="1120" spans="2:4" x14ac:dyDescent="0.25">
      <c r="B1120" s="90">
        <v>1116</v>
      </c>
      <c r="C1120" s="39">
        <f t="shared" si="34"/>
        <v>4710029.8927236544</v>
      </c>
      <c r="D1120" s="39">
        <f t="shared" si="35"/>
        <v>3515771.5723411487</v>
      </c>
    </row>
    <row r="1121" spans="2:4" x14ac:dyDescent="0.25">
      <c r="B1121" s="90">
        <v>1117</v>
      </c>
      <c r="C1121" s="39">
        <f t="shared" si="34"/>
        <v>4712677.2313372064</v>
      </c>
      <c r="D1121" s="39">
        <f t="shared" si="35"/>
        <v>3518921.9052912756</v>
      </c>
    </row>
    <row r="1122" spans="2:4" x14ac:dyDescent="0.25">
      <c r="B1122" s="90">
        <v>1118</v>
      </c>
      <c r="C1122" s="39">
        <f t="shared" si="34"/>
        <v>4715324.5699507575</v>
      </c>
      <c r="D1122" s="39">
        <f t="shared" si="35"/>
        <v>3522072.238241402</v>
      </c>
    </row>
    <row r="1123" spans="2:4" x14ac:dyDescent="0.25">
      <c r="B1123" s="90">
        <v>1119</v>
      </c>
      <c r="C1123" s="39">
        <f t="shared" si="34"/>
        <v>4717971.9085643096</v>
      </c>
      <c r="D1123" s="39">
        <f t="shared" si="35"/>
        <v>3525222.5711915283</v>
      </c>
    </row>
    <row r="1124" spans="2:4" x14ac:dyDescent="0.25">
      <c r="B1124" s="90">
        <v>1120</v>
      </c>
      <c r="C1124" s="39">
        <f t="shared" si="34"/>
        <v>4720619.2471778616</v>
      </c>
      <c r="D1124" s="39">
        <f t="shared" si="35"/>
        <v>3528372.9041416547</v>
      </c>
    </row>
    <row r="1125" spans="2:4" x14ac:dyDescent="0.25">
      <c r="B1125" s="90">
        <v>1121</v>
      </c>
      <c r="C1125" s="39">
        <f t="shared" si="34"/>
        <v>4723266.5857914127</v>
      </c>
      <c r="D1125" s="39">
        <f t="shared" si="35"/>
        <v>3531523.2370917811</v>
      </c>
    </row>
    <row r="1126" spans="2:4" x14ac:dyDescent="0.25">
      <c r="B1126" s="90">
        <v>1122</v>
      </c>
      <c r="C1126" s="39">
        <f t="shared" si="34"/>
        <v>4725913.9244049639</v>
      </c>
      <c r="D1126" s="39">
        <f t="shared" si="35"/>
        <v>3534673.570041908</v>
      </c>
    </row>
    <row r="1127" spans="2:4" x14ac:dyDescent="0.25">
      <c r="B1127" s="90">
        <v>1123</v>
      </c>
      <c r="C1127" s="39">
        <f t="shared" si="34"/>
        <v>4728561.2630185159</v>
      </c>
      <c r="D1127" s="39">
        <f t="shared" si="35"/>
        <v>3537823.9029920343</v>
      </c>
    </row>
    <row r="1128" spans="2:4" x14ac:dyDescent="0.25">
      <c r="B1128" s="90">
        <v>1124</v>
      </c>
      <c r="C1128" s="39">
        <f t="shared" si="34"/>
        <v>4731208.6016320679</v>
      </c>
      <c r="D1128" s="39">
        <f t="shared" si="35"/>
        <v>3540974.2359421607</v>
      </c>
    </row>
    <row r="1129" spans="2:4" x14ac:dyDescent="0.25">
      <c r="B1129" s="90">
        <v>1125</v>
      </c>
      <c r="C1129" s="39">
        <f t="shared" si="34"/>
        <v>4733855.940245619</v>
      </c>
      <c r="D1129" s="39">
        <f t="shared" si="35"/>
        <v>3544124.5688922871</v>
      </c>
    </row>
    <row r="1130" spans="2:4" x14ac:dyDescent="0.25">
      <c r="B1130" s="90">
        <v>1126</v>
      </c>
      <c r="C1130" s="39">
        <f t="shared" si="34"/>
        <v>4736503.2788591711</v>
      </c>
      <c r="D1130" s="39">
        <f t="shared" si="35"/>
        <v>3547274.9018424135</v>
      </c>
    </row>
    <row r="1131" spans="2:4" x14ac:dyDescent="0.25">
      <c r="B1131" s="90">
        <v>1127</v>
      </c>
      <c r="C1131" s="39">
        <f t="shared" si="34"/>
        <v>4739150.6174727231</v>
      </c>
      <c r="D1131" s="39">
        <f t="shared" si="35"/>
        <v>3550425.2347925403</v>
      </c>
    </row>
    <row r="1132" spans="2:4" x14ac:dyDescent="0.25">
      <c r="B1132" s="90">
        <v>1128</v>
      </c>
      <c r="C1132" s="39">
        <f t="shared" si="34"/>
        <v>4741797.9560862742</v>
      </c>
      <c r="D1132" s="39">
        <f t="shared" si="35"/>
        <v>3553575.5677426667</v>
      </c>
    </row>
    <row r="1133" spans="2:4" x14ac:dyDescent="0.25">
      <c r="B1133" s="90">
        <v>1129</v>
      </c>
      <c r="C1133" s="39">
        <f t="shared" si="34"/>
        <v>4744445.2946998253</v>
      </c>
      <c r="D1133" s="39">
        <f t="shared" si="35"/>
        <v>3556725.9006927931</v>
      </c>
    </row>
    <row r="1134" spans="2:4" x14ac:dyDescent="0.25">
      <c r="B1134" s="90">
        <v>1130</v>
      </c>
      <c r="C1134" s="39">
        <f t="shared" si="34"/>
        <v>4747092.6333133783</v>
      </c>
      <c r="D1134" s="39">
        <f t="shared" si="35"/>
        <v>3559876.2336429195</v>
      </c>
    </row>
    <row r="1135" spans="2:4" x14ac:dyDescent="0.25">
      <c r="B1135" s="90">
        <v>1131</v>
      </c>
      <c r="C1135" s="39">
        <f t="shared" si="34"/>
        <v>4749739.9719269294</v>
      </c>
      <c r="D1135" s="39">
        <f t="shared" si="35"/>
        <v>3563026.5665930458</v>
      </c>
    </row>
    <row r="1136" spans="2:4" x14ac:dyDescent="0.25">
      <c r="B1136" s="90">
        <v>1132</v>
      </c>
      <c r="C1136" s="39">
        <f t="shared" si="34"/>
        <v>4752387.3105404805</v>
      </c>
      <c r="D1136" s="39">
        <f t="shared" si="35"/>
        <v>3566176.8995431727</v>
      </c>
    </row>
    <row r="1137" spans="2:4" x14ac:dyDescent="0.25">
      <c r="B1137" s="90">
        <v>1133</v>
      </c>
      <c r="C1137" s="39">
        <f t="shared" ref="C1137:C1200" si="36">($C$2*B1137)+$C$1</f>
        <v>4755034.6491540326</v>
      </c>
      <c r="D1137" s="39">
        <f t="shared" ref="D1137:D1200" si="37">$D$2*B1137</f>
        <v>3569327.2324932991</v>
      </c>
    </row>
    <row r="1138" spans="2:4" x14ac:dyDescent="0.25">
      <c r="B1138" s="90">
        <v>1134</v>
      </c>
      <c r="C1138" s="39">
        <f t="shared" si="36"/>
        <v>4757681.9877675846</v>
      </c>
      <c r="D1138" s="39">
        <f t="shared" si="37"/>
        <v>3572477.5654434254</v>
      </c>
    </row>
    <row r="1139" spans="2:4" x14ac:dyDescent="0.25">
      <c r="B1139" s="90">
        <v>1135</v>
      </c>
      <c r="C1139" s="39">
        <f t="shared" si="36"/>
        <v>4760329.3263811357</v>
      </c>
      <c r="D1139" s="39">
        <f t="shared" si="37"/>
        <v>3575627.8983935518</v>
      </c>
    </row>
    <row r="1140" spans="2:4" x14ac:dyDescent="0.25">
      <c r="B1140" s="90">
        <v>1136</v>
      </c>
      <c r="C1140" s="39">
        <f t="shared" si="36"/>
        <v>4762976.6649946878</v>
      </c>
      <c r="D1140" s="39">
        <f t="shared" si="37"/>
        <v>3578778.2313436787</v>
      </c>
    </row>
    <row r="1141" spans="2:4" x14ac:dyDescent="0.25">
      <c r="B1141" s="90">
        <v>1137</v>
      </c>
      <c r="C1141" s="39">
        <f t="shared" si="36"/>
        <v>4765624.0036082398</v>
      </c>
      <c r="D1141" s="39">
        <f t="shared" si="37"/>
        <v>3581928.564293805</v>
      </c>
    </row>
    <row r="1142" spans="2:4" x14ac:dyDescent="0.25">
      <c r="B1142" s="90">
        <v>1138</v>
      </c>
      <c r="C1142" s="39">
        <f t="shared" si="36"/>
        <v>4768271.3422217909</v>
      </c>
      <c r="D1142" s="39">
        <f t="shared" si="37"/>
        <v>3585078.8972439314</v>
      </c>
    </row>
    <row r="1143" spans="2:4" x14ac:dyDescent="0.25">
      <c r="B1143" s="90">
        <v>1139</v>
      </c>
      <c r="C1143" s="39">
        <f t="shared" si="36"/>
        <v>4770918.680835342</v>
      </c>
      <c r="D1143" s="39">
        <f t="shared" si="37"/>
        <v>3588229.2301940578</v>
      </c>
    </row>
    <row r="1144" spans="2:4" x14ac:dyDescent="0.25">
      <c r="B1144" s="90">
        <v>1140</v>
      </c>
      <c r="C1144" s="39">
        <f t="shared" si="36"/>
        <v>4773566.0194488941</v>
      </c>
      <c r="D1144" s="39">
        <f t="shared" si="37"/>
        <v>3591379.5631441842</v>
      </c>
    </row>
    <row r="1145" spans="2:4" x14ac:dyDescent="0.25">
      <c r="B1145" s="90">
        <v>1141</v>
      </c>
      <c r="C1145" s="39">
        <f t="shared" si="36"/>
        <v>4776213.3580624461</v>
      </c>
      <c r="D1145" s="39">
        <f t="shared" si="37"/>
        <v>3594529.896094311</v>
      </c>
    </row>
    <row r="1146" spans="2:4" x14ac:dyDescent="0.25">
      <c r="B1146" s="90">
        <v>1142</v>
      </c>
      <c r="C1146" s="39">
        <f t="shared" si="36"/>
        <v>4778860.6966759972</v>
      </c>
      <c r="D1146" s="39">
        <f t="shared" si="37"/>
        <v>3597680.2290444374</v>
      </c>
    </row>
    <row r="1147" spans="2:4" x14ac:dyDescent="0.25">
      <c r="B1147" s="90">
        <v>1143</v>
      </c>
      <c r="C1147" s="39">
        <f t="shared" si="36"/>
        <v>4781508.0352895493</v>
      </c>
      <c r="D1147" s="39">
        <f t="shared" si="37"/>
        <v>3600830.5619945638</v>
      </c>
    </row>
    <row r="1148" spans="2:4" x14ac:dyDescent="0.25">
      <c r="B1148" s="90">
        <v>1144</v>
      </c>
      <c r="C1148" s="39">
        <f t="shared" si="36"/>
        <v>4784155.3739031013</v>
      </c>
      <c r="D1148" s="39">
        <f t="shared" si="37"/>
        <v>3603980.8949446902</v>
      </c>
    </row>
    <row r="1149" spans="2:4" x14ac:dyDescent="0.25">
      <c r="B1149" s="90">
        <v>1145</v>
      </c>
      <c r="C1149" s="39">
        <f t="shared" si="36"/>
        <v>4786802.7125166524</v>
      </c>
      <c r="D1149" s="39">
        <f t="shared" si="37"/>
        <v>3607131.2278948165</v>
      </c>
    </row>
    <row r="1150" spans="2:4" x14ac:dyDescent="0.25">
      <c r="B1150" s="90">
        <v>1146</v>
      </c>
      <c r="C1150" s="39">
        <f t="shared" si="36"/>
        <v>4789450.0511302045</v>
      </c>
      <c r="D1150" s="39">
        <f t="shared" si="37"/>
        <v>3610281.5608449434</v>
      </c>
    </row>
    <row r="1151" spans="2:4" x14ac:dyDescent="0.25">
      <c r="B1151" s="90">
        <v>1147</v>
      </c>
      <c r="C1151" s="39">
        <f t="shared" si="36"/>
        <v>4792097.3897437565</v>
      </c>
      <c r="D1151" s="39">
        <f t="shared" si="37"/>
        <v>3613431.8937950698</v>
      </c>
    </row>
    <row r="1152" spans="2:4" x14ac:dyDescent="0.25">
      <c r="B1152" s="90">
        <v>1148</v>
      </c>
      <c r="C1152" s="39">
        <f t="shared" si="36"/>
        <v>4794744.7283573076</v>
      </c>
      <c r="D1152" s="39">
        <f t="shared" si="37"/>
        <v>3616582.2267451962</v>
      </c>
    </row>
    <row r="1153" spans="2:4" x14ac:dyDescent="0.25">
      <c r="B1153" s="90">
        <v>1149</v>
      </c>
      <c r="C1153" s="39">
        <f t="shared" si="36"/>
        <v>4797392.0669708587</v>
      </c>
      <c r="D1153" s="39">
        <f t="shared" si="37"/>
        <v>3619732.5596953225</v>
      </c>
    </row>
    <row r="1154" spans="2:4" x14ac:dyDescent="0.25">
      <c r="B1154" s="90">
        <v>1150</v>
      </c>
      <c r="C1154" s="39">
        <f t="shared" si="36"/>
        <v>4800039.4055844108</v>
      </c>
      <c r="D1154" s="39">
        <f t="shared" si="37"/>
        <v>3622882.8926454489</v>
      </c>
    </row>
    <row r="1155" spans="2:4" x14ac:dyDescent="0.25">
      <c r="B1155" s="90">
        <v>1151</v>
      </c>
      <c r="C1155" s="39">
        <f t="shared" si="36"/>
        <v>4802686.7441979628</v>
      </c>
      <c r="D1155" s="39">
        <f t="shared" si="37"/>
        <v>3626033.2255955758</v>
      </c>
    </row>
    <row r="1156" spans="2:4" x14ac:dyDescent="0.25">
      <c r="B1156" s="90">
        <v>1152</v>
      </c>
      <c r="C1156" s="39">
        <f t="shared" si="36"/>
        <v>4805334.0828115139</v>
      </c>
      <c r="D1156" s="39">
        <f t="shared" si="37"/>
        <v>3629183.5585457021</v>
      </c>
    </row>
    <row r="1157" spans="2:4" x14ac:dyDescent="0.25">
      <c r="B1157" s="90">
        <v>1153</v>
      </c>
      <c r="C1157" s="39">
        <f t="shared" si="36"/>
        <v>4807981.421425066</v>
      </c>
      <c r="D1157" s="39">
        <f t="shared" si="37"/>
        <v>3632333.8914958285</v>
      </c>
    </row>
    <row r="1158" spans="2:4" x14ac:dyDescent="0.25">
      <c r="B1158" s="90">
        <v>1154</v>
      </c>
      <c r="C1158" s="39">
        <f t="shared" si="36"/>
        <v>4810628.760038618</v>
      </c>
      <c r="D1158" s="39">
        <f t="shared" si="37"/>
        <v>3635484.2244459549</v>
      </c>
    </row>
    <row r="1159" spans="2:4" x14ac:dyDescent="0.25">
      <c r="B1159" s="90">
        <v>1155</v>
      </c>
      <c r="C1159" s="39">
        <f t="shared" si="36"/>
        <v>4813276.0986521691</v>
      </c>
      <c r="D1159" s="39">
        <f t="shared" si="37"/>
        <v>3638634.5573960817</v>
      </c>
    </row>
    <row r="1160" spans="2:4" x14ac:dyDescent="0.25">
      <c r="B1160" s="90">
        <v>1156</v>
      </c>
      <c r="C1160" s="39">
        <f t="shared" si="36"/>
        <v>4815923.4372657202</v>
      </c>
      <c r="D1160" s="39">
        <f t="shared" si="37"/>
        <v>3641784.8903462081</v>
      </c>
    </row>
    <row r="1161" spans="2:4" x14ac:dyDescent="0.25">
      <c r="B1161" s="90">
        <v>1157</v>
      </c>
      <c r="C1161" s="39">
        <f t="shared" si="36"/>
        <v>4818570.7758792732</v>
      </c>
      <c r="D1161" s="39">
        <f t="shared" si="37"/>
        <v>3644935.2232963345</v>
      </c>
    </row>
    <row r="1162" spans="2:4" x14ac:dyDescent="0.25">
      <c r="B1162" s="90">
        <v>1158</v>
      </c>
      <c r="C1162" s="39">
        <f t="shared" si="36"/>
        <v>4821218.1144928243</v>
      </c>
      <c r="D1162" s="39">
        <f t="shared" si="37"/>
        <v>3648085.5562464609</v>
      </c>
    </row>
    <row r="1163" spans="2:4" x14ac:dyDescent="0.25">
      <c r="B1163" s="90">
        <v>1159</v>
      </c>
      <c r="C1163" s="39">
        <f t="shared" si="36"/>
        <v>4823865.4531063754</v>
      </c>
      <c r="D1163" s="39">
        <f t="shared" si="37"/>
        <v>3651235.8891965873</v>
      </c>
    </row>
    <row r="1164" spans="2:4" x14ac:dyDescent="0.25">
      <c r="B1164" s="90">
        <v>1160</v>
      </c>
      <c r="C1164" s="39">
        <f t="shared" si="36"/>
        <v>4826512.7917199275</v>
      </c>
      <c r="D1164" s="39">
        <f t="shared" si="37"/>
        <v>3654386.2221467141</v>
      </c>
    </row>
    <row r="1165" spans="2:4" x14ac:dyDescent="0.25">
      <c r="B1165" s="90">
        <v>1161</v>
      </c>
      <c r="C1165" s="39">
        <f t="shared" si="36"/>
        <v>4829160.1303334795</v>
      </c>
      <c r="D1165" s="39">
        <f t="shared" si="37"/>
        <v>3657536.5550968405</v>
      </c>
    </row>
    <row r="1166" spans="2:4" x14ac:dyDescent="0.25">
      <c r="B1166" s="90">
        <v>1162</v>
      </c>
      <c r="C1166" s="39">
        <f t="shared" si="36"/>
        <v>4831807.4689470306</v>
      </c>
      <c r="D1166" s="39">
        <f t="shared" si="37"/>
        <v>3660686.8880469669</v>
      </c>
    </row>
    <row r="1167" spans="2:4" x14ac:dyDescent="0.25">
      <c r="B1167" s="90">
        <v>1163</v>
      </c>
      <c r="C1167" s="39">
        <f t="shared" si="36"/>
        <v>4834454.8075605826</v>
      </c>
      <c r="D1167" s="39">
        <f t="shared" si="37"/>
        <v>3663837.2209970932</v>
      </c>
    </row>
    <row r="1168" spans="2:4" x14ac:dyDescent="0.25">
      <c r="B1168" s="90">
        <v>1164</v>
      </c>
      <c r="C1168" s="39">
        <f t="shared" si="36"/>
        <v>4837102.1461741347</v>
      </c>
      <c r="D1168" s="39">
        <f t="shared" si="37"/>
        <v>3666987.5539472196</v>
      </c>
    </row>
    <row r="1169" spans="2:4" x14ac:dyDescent="0.25">
      <c r="B1169" s="90">
        <v>1165</v>
      </c>
      <c r="C1169" s="39">
        <f t="shared" si="36"/>
        <v>4839749.4847876858</v>
      </c>
      <c r="D1169" s="39">
        <f t="shared" si="37"/>
        <v>3670137.8868973465</v>
      </c>
    </row>
    <row r="1170" spans="2:4" x14ac:dyDescent="0.25">
      <c r="B1170" s="90">
        <v>1166</v>
      </c>
      <c r="C1170" s="39">
        <f t="shared" si="36"/>
        <v>4842396.8234012369</v>
      </c>
      <c r="D1170" s="39">
        <f t="shared" si="37"/>
        <v>3673288.2198474729</v>
      </c>
    </row>
    <row r="1171" spans="2:4" x14ac:dyDescent="0.25">
      <c r="B1171" s="90">
        <v>1167</v>
      </c>
      <c r="C1171" s="39">
        <f t="shared" si="36"/>
        <v>4845044.1620147889</v>
      </c>
      <c r="D1171" s="39">
        <f t="shared" si="37"/>
        <v>3676438.5527975992</v>
      </c>
    </row>
    <row r="1172" spans="2:4" x14ac:dyDescent="0.25">
      <c r="B1172" s="90">
        <v>1168</v>
      </c>
      <c r="C1172" s="39">
        <f t="shared" si="36"/>
        <v>4847691.500628341</v>
      </c>
      <c r="D1172" s="39">
        <f t="shared" si="37"/>
        <v>3679588.8857477256</v>
      </c>
    </row>
    <row r="1173" spans="2:4" x14ac:dyDescent="0.25">
      <c r="B1173" s="90">
        <v>1169</v>
      </c>
      <c r="C1173" s="39">
        <f t="shared" si="36"/>
        <v>4850338.8392418921</v>
      </c>
      <c r="D1173" s="39">
        <f t="shared" si="37"/>
        <v>3682739.218697852</v>
      </c>
    </row>
    <row r="1174" spans="2:4" x14ac:dyDescent="0.25">
      <c r="B1174" s="90">
        <v>1170</v>
      </c>
      <c r="C1174" s="39">
        <f t="shared" si="36"/>
        <v>4852986.1778554441</v>
      </c>
      <c r="D1174" s="39">
        <f t="shared" si="37"/>
        <v>3685889.5516479788</v>
      </c>
    </row>
    <row r="1175" spans="2:4" x14ac:dyDescent="0.25">
      <c r="B1175" s="90">
        <v>1171</v>
      </c>
      <c r="C1175" s="39">
        <f t="shared" si="36"/>
        <v>4855633.5164689962</v>
      </c>
      <c r="D1175" s="39">
        <f t="shared" si="37"/>
        <v>3689039.8845981052</v>
      </c>
    </row>
    <row r="1176" spans="2:4" x14ac:dyDescent="0.25">
      <c r="B1176" s="90">
        <v>1172</v>
      </c>
      <c r="C1176" s="39">
        <f t="shared" si="36"/>
        <v>4858280.8550825473</v>
      </c>
      <c r="D1176" s="39">
        <f t="shared" si="37"/>
        <v>3692190.2175482316</v>
      </c>
    </row>
    <row r="1177" spans="2:4" x14ac:dyDescent="0.25">
      <c r="B1177" s="90">
        <v>1173</v>
      </c>
      <c r="C1177" s="39">
        <f t="shared" si="36"/>
        <v>4860928.1936960993</v>
      </c>
      <c r="D1177" s="39">
        <f t="shared" si="37"/>
        <v>3695340.550498358</v>
      </c>
    </row>
    <row r="1178" spans="2:4" x14ac:dyDescent="0.25">
      <c r="B1178" s="90">
        <v>1174</v>
      </c>
      <c r="C1178" s="39">
        <f t="shared" si="36"/>
        <v>4863575.5323096514</v>
      </c>
      <c r="D1178" s="39">
        <f t="shared" si="37"/>
        <v>3698490.8834484844</v>
      </c>
    </row>
    <row r="1179" spans="2:4" x14ac:dyDescent="0.25">
      <c r="B1179" s="90">
        <v>1175</v>
      </c>
      <c r="C1179" s="39">
        <f t="shared" si="36"/>
        <v>4866222.8709232025</v>
      </c>
      <c r="D1179" s="39">
        <f t="shared" si="37"/>
        <v>3701641.2163986112</v>
      </c>
    </row>
    <row r="1180" spans="2:4" x14ac:dyDescent="0.25">
      <c r="B1180" s="90">
        <v>1176</v>
      </c>
      <c r="C1180" s="39">
        <f t="shared" si="36"/>
        <v>4868870.2095367536</v>
      </c>
      <c r="D1180" s="39">
        <f t="shared" si="37"/>
        <v>3704791.5493487376</v>
      </c>
    </row>
    <row r="1181" spans="2:4" x14ac:dyDescent="0.25">
      <c r="B1181" s="90">
        <v>1177</v>
      </c>
      <c r="C1181" s="39">
        <f t="shared" si="36"/>
        <v>4871517.5481503056</v>
      </c>
      <c r="D1181" s="39">
        <f t="shared" si="37"/>
        <v>3707941.882298864</v>
      </c>
    </row>
    <row r="1182" spans="2:4" x14ac:dyDescent="0.25">
      <c r="B1182" s="90">
        <v>1178</v>
      </c>
      <c r="C1182" s="39">
        <f t="shared" si="36"/>
        <v>4874164.8867638577</v>
      </c>
      <c r="D1182" s="39">
        <f t="shared" si="37"/>
        <v>3711092.2152489903</v>
      </c>
    </row>
    <row r="1183" spans="2:4" x14ac:dyDescent="0.25">
      <c r="B1183" s="90">
        <v>1179</v>
      </c>
      <c r="C1183" s="39">
        <f t="shared" si="36"/>
        <v>4876812.2253774088</v>
      </c>
      <c r="D1183" s="39">
        <f t="shared" si="37"/>
        <v>3714242.5481991172</v>
      </c>
    </row>
    <row r="1184" spans="2:4" x14ac:dyDescent="0.25">
      <c r="B1184" s="90">
        <v>1180</v>
      </c>
      <c r="C1184" s="39">
        <f t="shared" si="36"/>
        <v>4879459.5639909608</v>
      </c>
      <c r="D1184" s="39">
        <f t="shared" si="37"/>
        <v>3717392.8811492436</v>
      </c>
    </row>
    <row r="1185" spans="2:4" x14ac:dyDescent="0.25">
      <c r="B1185" s="90">
        <v>1181</v>
      </c>
      <c r="C1185" s="39">
        <f t="shared" si="36"/>
        <v>4882106.9026045129</v>
      </c>
      <c r="D1185" s="39">
        <f t="shared" si="37"/>
        <v>3720543.2140993699</v>
      </c>
    </row>
    <row r="1186" spans="2:4" x14ac:dyDescent="0.25">
      <c r="B1186" s="90">
        <v>1182</v>
      </c>
      <c r="C1186" s="39">
        <f t="shared" si="36"/>
        <v>4884754.241218064</v>
      </c>
      <c r="D1186" s="39">
        <f t="shared" si="37"/>
        <v>3723693.5470494963</v>
      </c>
    </row>
    <row r="1187" spans="2:4" x14ac:dyDescent="0.25">
      <c r="B1187" s="90">
        <v>1183</v>
      </c>
      <c r="C1187" s="39">
        <f t="shared" si="36"/>
        <v>4887401.5798316151</v>
      </c>
      <c r="D1187" s="39">
        <f t="shared" si="37"/>
        <v>3726843.8799996227</v>
      </c>
    </row>
    <row r="1188" spans="2:4" x14ac:dyDescent="0.25">
      <c r="B1188" s="90">
        <v>1184</v>
      </c>
      <c r="C1188" s="39">
        <f t="shared" si="36"/>
        <v>4890048.9184451681</v>
      </c>
      <c r="D1188" s="39">
        <f t="shared" si="37"/>
        <v>3729994.2129497495</v>
      </c>
    </row>
    <row r="1189" spans="2:4" x14ac:dyDescent="0.25">
      <c r="B1189" s="90">
        <v>1185</v>
      </c>
      <c r="C1189" s="39">
        <f t="shared" si="36"/>
        <v>4892696.2570587192</v>
      </c>
      <c r="D1189" s="39">
        <f t="shared" si="37"/>
        <v>3733144.5458998759</v>
      </c>
    </row>
    <row r="1190" spans="2:4" x14ac:dyDescent="0.25">
      <c r="B1190" s="90">
        <v>1186</v>
      </c>
      <c r="C1190" s="39">
        <f t="shared" si="36"/>
        <v>4895343.5956722703</v>
      </c>
      <c r="D1190" s="39">
        <f t="shared" si="37"/>
        <v>3736294.8788500023</v>
      </c>
    </row>
    <row r="1191" spans="2:4" x14ac:dyDescent="0.25">
      <c r="B1191" s="90">
        <v>1187</v>
      </c>
      <c r="C1191" s="39">
        <f t="shared" si="36"/>
        <v>4897990.9342858223</v>
      </c>
      <c r="D1191" s="39">
        <f t="shared" si="37"/>
        <v>3739445.2118001287</v>
      </c>
    </row>
    <row r="1192" spans="2:4" x14ac:dyDescent="0.25">
      <c r="B1192" s="90">
        <v>1188</v>
      </c>
      <c r="C1192" s="39">
        <f t="shared" si="36"/>
        <v>4900638.2728993744</v>
      </c>
      <c r="D1192" s="39">
        <f t="shared" si="37"/>
        <v>3742595.5447502551</v>
      </c>
    </row>
    <row r="1193" spans="2:4" x14ac:dyDescent="0.25">
      <c r="B1193" s="90">
        <v>1189</v>
      </c>
      <c r="C1193" s="39">
        <f t="shared" si="36"/>
        <v>4903285.6115129255</v>
      </c>
      <c r="D1193" s="39">
        <f t="shared" si="37"/>
        <v>3745745.8777003819</v>
      </c>
    </row>
    <row r="1194" spans="2:4" x14ac:dyDescent="0.25">
      <c r="B1194" s="90">
        <v>1190</v>
      </c>
      <c r="C1194" s="39">
        <f t="shared" si="36"/>
        <v>4905932.9501264775</v>
      </c>
      <c r="D1194" s="39">
        <f t="shared" si="37"/>
        <v>3748896.2106505083</v>
      </c>
    </row>
    <row r="1195" spans="2:4" x14ac:dyDescent="0.25">
      <c r="B1195" s="90">
        <v>1191</v>
      </c>
      <c r="C1195" s="39">
        <f t="shared" si="36"/>
        <v>4908580.2887400296</v>
      </c>
      <c r="D1195" s="39">
        <f t="shared" si="37"/>
        <v>3752046.5436006347</v>
      </c>
    </row>
    <row r="1196" spans="2:4" x14ac:dyDescent="0.25">
      <c r="B1196" s="90">
        <v>1192</v>
      </c>
      <c r="C1196" s="39">
        <f t="shared" si="36"/>
        <v>4911227.6273535807</v>
      </c>
      <c r="D1196" s="39">
        <f t="shared" si="37"/>
        <v>3755196.8765507611</v>
      </c>
    </row>
    <row r="1197" spans="2:4" x14ac:dyDescent="0.25">
      <c r="B1197" s="90">
        <v>1193</v>
      </c>
      <c r="C1197" s="39">
        <f t="shared" si="36"/>
        <v>4913874.9659671318</v>
      </c>
      <c r="D1197" s="39">
        <f t="shared" si="37"/>
        <v>3758347.2095008874</v>
      </c>
    </row>
    <row r="1198" spans="2:4" x14ac:dyDescent="0.25">
      <c r="B1198" s="90">
        <v>1194</v>
      </c>
      <c r="C1198" s="39">
        <f t="shared" si="36"/>
        <v>4916522.3045806838</v>
      </c>
      <c r="D1198" s="39">
        <f t="shared" si="37"/>
        <v>3761497.5424510143</v>
      </c>
    </row>
    <row r="1199" spans="2:4" x14ac:dyDescent="0.25">
      <c r="B1199" s="90">
        <v>1195</v>
      </c>
      <c r="C1199" s="39">
        <f t="shared" si="36"/>
        <v>4919169.6431942359</v>
      </c>
      <c r="D1199" s="39">
        <f t="shared" si="37"/>
        <v>3764647.8754011407</v>
      </c>
    </row>
    <row r="1200" spans="2:4" x14ac:dyDescent="0.25">
      <c r="B1200" s="90">
        <v>1196</v>
      </c>
      <c r="C1200" s="39">
        <f t="shared" si="36"/>
        <v>4921816.981807787</v>
      </c>
      <c r="D1200" s="39">
        <f t="shared" si="37"/>
        <v>3767798.208351267</v>
      </c>
    </row>
    <row r="1201" spans="2:4" x14ac:dyDescent="0.25">
      <c r="B1201" s="90">
        <v>1197</v>
      </c>
      <c r="C1201" s="39">
        <f t="shared" ref="C1201:C1264" si="38">($C$2*B1201)+$C$1</f>
        <v>4924464.320421339</v>
      </c>
      <c r="D1201" s="39">
        <f t="shared" ref="D1201:D1264" si="39">$D$2*B1201</f>
        <v>3770948.5413013934</v>
      </c>
    </row>
    <row r="1202" spans="2:4" x14ac:dyDescent="0.25">
      <c r="B1202" s="90">
        <v>1198</v>
      </c>
      <c r="C1202" s="39">
        <f t="shared" si="38"/>
        <v>4927111.6590348911</v>
      </c>
      <c r="D1202" s="39">
        <f t="shared" si="39"/>
        <v>3774098.8742515203</v>
      </c>
    </row>
    <row r="1203" spans="2:4" x14ac:dyDescent="0.25">
      <c r="B1203" s="90">
        <v>1199</v>
      </c>
      <c r="C1203" s="39">
        <f t="shared" si="38"/>
        <v>4929758.9976484422</v>
      </c>
      <c r="D1203" s="39">
        <f t="shared" si="39"/>
        <v>3777249.2072016466</v>
      </c>
    </row>
    <row r="1204" spans="2:4" x14ac:dyDescent="0.25">
      <c r="B1204" s="90">
        <v>1200</v>
      </c>
      <c r="C1204" s="39">
        <f t="shared" si="38"/>
        <v>4932406.3362619933</v>
      </c>
      <c r="D1204" s="39">
        <f t="shared" si="39"/>
        <v>3780399.540151773</v>
      </c>
    </row>
    <row r="1205" spans="2:4" x14ac:dyDescent="0.25">
      <c r="B1205" s="90">
        <v>1201</v>
      </c>
      <c r="C1205" s="39">
        <f t="shared" si="38"/>
        <v>4935053.6748755462</v>
      </c>
      <c r="D1205" s="39">
        <f t="shared" si="39"/>
        <v>3783549.8731018994</v>
      </c>
    </row>
    <row r="1206" spans="2:4" x14ac:dyDescent="0.25">
      <c r="B1206" s="90">
        <v>1202</v>
      </c>
      <c r="C1206" s="39">
        <f t="shared" si="38"/>
        <v>4937701.0134890974</v>
      </c>
      <c r="D1206" s="39">
        <f t="shared" si="39"/>
        <v>3786700.2060520258</v>
      </c>
    </row>
    <row r="1207" spans="2:4" x14ac:dyDescent="0.25">
      <c r="B1207" s="90">
        <v>1203</v>
      </c>
      <c r="C1207" s="39">
        <f t="shared" si="38"/>
        <v>4940348.3521026485</v>
      </c>
      <c r="D1207" s="39">
        <f t="shared" si="39"/>
        <v>3789850.5390021526</v>
      </c>
    </row>
    <row r="1208" spans="2:4" x14ac:dyDescent="0.25">
      <c r="B1208" s="90">
        <v>1204</v>
      </c>
      <c r="C1208" s="39">
        <f t="shared" si="38"/>
        <v>4942995.6907162005</v>
      </c>
      <c r="D1208" s="39">
        <f t="shared" si="39"/>
        <v>3793000.871952279</v>
      </c>
    </row>
    <row r="1209" spans="2:4" x14ac:dyDescent="0.25">
      <c r="B1209" s="90">
        <v>1205</v>
      </c>
      <c r="C1209" s="39">
        <f t="shared" si="38"/>
        <v>4945643.0293297525</v>
      </c>
      <c r="D1209" s="39">
        <f t="shared" si="39"/>
        <v>3796151.2049024054</v>
      </c>
    </row>
    <row r="1210" spans="2:4" x14ac:dyDescent="0.25">
      <c r="B1210" s="90">
        <v>1206</v>
      </c>
      <c r="C1210" s="39">
        <f t="shared" si="38"/>
        <v>4948290.3679433037</v>
      </c>
      <c r="D1210" s="39">
        <f t="shared" si="39"/>
        <v>3799301.5378525318</v>
      </c>
    </row>
    <row r="1211" spans="2:4" x14ac:dyDescent="0.25">
      <c r="B1211" s="90">
        <v>1207</v>
      </c>
      <c r="C1211" s="39">
        <f t="shared" si="38"/>
        <v>4950937.7065568557</v>
      </c>
      <c r="D1211" s="39">
        <f t="shared" si="39"/>
        <v>3802451.8708026581</v>
      </c>
    </row>
    <row r="1212" spans="2:4" x14ac:dyDescent="0.25">
      <c r="B1212" s="90">
        <v>1208</v>
      </c>
      <c r="C1212" s="39">
        <f t="shared" si="38"/>
        <v>4953585.0451704077</v>
      </c>
      <c r="D1212" s="39">
        <f t="shared" si="39"/>
        <v>3805602.203752785</v>
      </c>
    </row>
    <row r="1213" spans="2:4" x14ac:dyDescent="0.25">
      <c r="B1213" s="90">
        <v>1209</v>
      </c>
      <c r="C1213" s="39">
        <f t="shared" si="38"/>
        <v>4956232.3837839589</v>
      </c>
      <c r="D1213" s="39">
        <f t="shared" si="39"/>
        <v>3808752.5367029114</v>
      </c>
    </row>
    <row r="1214" spans="2:4" x14ac:dyDescent="0.25">
      <c r="B1214" s="90">
        <v>1210</v>
      </c>
      <c r="C1214" s="39">
        <f t="shared" si="38"/>
        <v>4958879.72239751</v>
      </c>
      <c r="D1214" s="39">
        <f t="shared" si="39"/>
        <v>3811902.8696530377</v>
      </c>
    </row>
    <row r="1215" spans="2:4" x14ac:dyDescent="0.25">
      <c r="B1215" s="90">
        <v>1211</v>
      </c>
      <c r="C1215" s="39">
        <f t="shared" si="38"/>
        <v>4961527.0610110629</v>
      </c>
      <c r="D1215" s="39">
        <f t="shared" si="39"/>
        <v>3815053.2026031641</v>
      </c>
    </row>
    <row r="1216" spans="2:4" x14ac:dyDescent="0.25">
      <c r="B1216" s="90">
        <v>1212</v>
      </c>
      <c r="C1216" s="39">
        <f t="shared" si="38"/>
        <v>4964174.399624614</v>
      </c>
      <c r="D1216" s="39">
        <f t="shared" si="39"/>
        <v>3818203.5355532905</v>
      </c>
    </row>
    <row r="1217" spans="2:4" x14ac:dyDescent="0.25">
      <c r="B1217" s="90">
        <v>1213</v>
      </c>
      <c r="C1217" s="39">
        <f t="shared" si="38"/>
        <v>4966821.7382381652</v>
      </c>
      <c r="D1217" s="39">
        <f t="shared" si="39"/>
        <v>3821353.8685034174</v>
      </c>
    </row>
    <row r="1218" spans="2:4" x14ac:dyDescent="0.25">
      <c r="B1218" s="90">
        <v>1214</v>
      </c>
      <c r="C1218" s="39">
        <f t="shared" si="38"/>
        <v>4969469.0768517172</v>
      </c>
      <c r="D1218" s="39">
        <f t="shared" si="39"/>
        <v>3824504.2014535437</v>
      </c>
    </row>
    <row r="1219" spans="2:4" x14ac:dyDescent="0.25">
      <c r="B1219" s="90">
        <v>1215</v>
      </c>
      <c r="C1219" s="39">
        <f t="shared" si="38"/>
        <v>4972116.4154652692</v>
      </c>
      <c r="D1219" s="39">
        <f t="shared" si="39"/>
        <v>3827654.5344036701</v>
      </c>
    </row>
    <row r="1220" spans="2:4" x14ac:dyDescent="0.25">
      <c r="B1220" s="90">
        <v>1216</v>
      </c>
      <c r="C1220" s="39">
        <f t="shared" si="38"/>
        <v>4974763.7540788203</v>
      </c>
      <c r="D1220" s="39">
        <f t="shared" si="39"/>
        <v>3830804.8673537965</v>
      </c>
    </row>
    <row r="1221" spans="2:4" x14ac:dyDescent="0.25">
      <c r="B1221" s="90">
        <v>1217</v>
      </c>
      <c r="C1221" s="39">
        <f t="shared" si="38"/>
        <v>4977411.0926923724</v>
      </c>
      <c r="D1221" s="39">
        <f t="shared" si="39"/>
        <v>3833955.2003039233</v>
      </c>
    </row>
    <row r="1222" spans="2:4" x14ac:dyDescent="0.25">
      <c r="B1222" s="90">
        <v>1218</v>
      </c>
      <c r="C1222" s="39">
        <f t="shared" si="38"/>
        <v>4980058.4313059244</v>
      </c>
      <c r="D1222" s="39">
        <f t="shared" si="39"/>
        <v>3837105.5332540497</v>
      </c>
    </row>
    <row r="1223" spans="2:4" x14ac:dyDescent="0.25">
      <c r="B1223" s="90">
        <v>1219</v>
      </c>
      <c r="C1223" s="39">
        <f t="shared" si="38"/>
        <v>4982705.7699194755</v>
      </c>
      <c r="D1223" s="39">
        <f t="shared" si="39"/>
        <v>3840255.8662041761</v>
      </c>
    </row>
    <row r="1224" spans="2:4" x14ac:dyDescent="0.25">
      <c r="B1224" s="90">
        <v>1220</v>
      </c>
      <c r="C1224" s="39">
        <f t="shared" si="38"/>
        <v>4985353.1085330267</v>
      </c>
      <c r="D1224" s="39">
        <f t="shared" si="39"/>
        <v>3843406.1991543025</v>
      </c>
    </row>
    <row r="1225" spans="2:4" x14ac:dyDescent="0.25">
      <c r="B1225" s="90">
        <v>1221</v>
      </c>
      <c r="C1225" s="39">
        <f t="shared" si="38"/>
        <v>4988000.4471465787</v>
      </c>
      <c r="D1225" s="39">
        <f t="shared" si="39"/>
        <v>3846556.5321044289</v>
      </c>
    </row>
    <row r="1226" spans="2:4" x14ac:dyDescent="0.25">
      <c r="B1226" s="90">
        <v>1222</v>
      </c>
      <c r="C1226" s="39">
        <f t="shared" si="38"/>
        <v>4990647.7857601307</v>
      </c>
      <c r="D1226" s="39">
        <f t="shared" si="39"/>
        <v>3849706.8650545557</v>
      </c>
    </row>
    <row r="1227" spans="2:4" x14ac:dyDescent="0.25">
      <c r="B1227" s="90">
        <v>1223</v>
      </c>
      <c r="C1227" s="39">
        <f t="shared" si="38"/>
        <v>4993295.1243736818</v>
      </c>
      <c r="D1227" s="39">
        <f t="shared" si="39"/>
        <v>3852857.1980046821</v>
      </c>
    </row>
    <row r="1228" spans="2:4" x14ac:dyDescent="0.25">
      <c r="B1228" s="90">
        <v>1224</v>
      </c>
      <c r="C1228" s="39">
        <f t="shared" si="38"/>
        <v>4995942.4629872339</v>
      </c>
      <c r="D1228" s="39">
        <f t="shared" si="39"/>
        <v>3856007.5309548085</v>
      </c>
    </row>
    <row r="1229" spans="2:4" x14ac:dyDescent="0.25">
      <c r="B1229" s="90">
        <v>1225</v>
      </c>
      <c r="C1229" s="39">
        <f t="shared" si="38"/>
        <v>4998589.8016007859</v>
      </c>
      <c r="D1229" s="39">
        <f t="shared" si="39"/>
        <v>3859157.8639049348</v>
      </c>
    </row>
    <row r="1230" spans="2:4" x14ac:dyDescent="0.25">
      <c r="B1230" s="90">
        <v>1226</v>
      </c>
      <c r="C1230" s="39">
        <f t="shared" si="38"/>
        <v>5001237.140214337</v>
      </c>
      <c r="D1230" s="39">
        <f t="shared" si="39"/>
        <v>3862308.1968550612</v>
      </c>
    </row>
    <row r="1231" spans="2:4" x14ac:dyDescent="0.25">
      <c r="B1231" s="90">
        <v>1227</v>
      </c>
      <c r="C1231" s="39">
        <f t="shared" si="38"/>
        <v>5003884.4788278881</v>
      </c>
      <c r="D1231" s="39">
        <f t="shared" si="39"/>
        <v>3865458.5298051881</v>
      </c>
    </row>
    <row r="1232" spans="2:4" x14ac:dyDescent="0.25">
      <c r="B1232" s="90">
        <v>1228</v>
      </c>
      <c r="C1232" s="39">
        <f t="shared" si="38"/>
        <v>5006531.8174414411</v>
      </c>
      <c r="D1232" s="39">
        <f t="shared" si="39"/>
        <v>3868608.8627553144</v>
      </c>
    </row>
    <row r="1233" spans="2:4" x14ac:dyDescent="0.25">
      <c r="B1233" s="90">
        <v>1229</v>
      </c>
      <c r="C1233" s="39">
        <f t="shared" si="38"/>
        <v>5009179.1560549922</v>
      </c>
      <c r="D1233" s="39">
        <f t="shared" si="39"/>
        <v>3871759.1957054408</v>
      </c>
    </row>
    <row r="1234" spans="2:4" x14ac:dyDescent="0.25">
      <c r="B1234" s="90">
        <v>1230</v>
      </c>
      <c r="C1234" s="39">
        <f t="shared" si="38"/>
        <v>5011826.4946685433</v>
      </c>
      <c r="D1234" s="39">
        <f t="shared" si="39"/>
        <v>3874909.5286555672</v>
      </c>
    </row>
    <row r="1235" spans="2:4" x14ac:dyDescent="0.25">
      <c r="B1235" s="90">
        <v>1231</v>
      </c>
      <c r="C1235" s="39">
        <f t="shared" si="38"/>
        <v>5014473.8332820954</v>
      </c>
      <c r="D1235" s="39">
        <f t="shared" si="39"/>
        <v>3878059.8616056936</v>
      </c>
    </row>
    <row r="1236" spans="2:4" x14ac:dyDescent="0.25">
      <c r="B1236" s="90">
        <v>1232</v>
      </c>
      <c r="C1236" s="39">
        <f t="shared" si="38"/>
        <v>5017121.1718956474</v>
      </c>
      <c r="D1236" s="39">
        <f t="shared" si="39"/>
        <v>3881210.1945558204</v>
      </c>
    </row>
    <row r="1237" spans="2:4" x14ac:dyDescent="0.25">
      <c r="B1237" s="90">
        <v>1233</v>
      </c>
      <c r="C1237" s="39">
        <f t="shared" si="38"/>
        <v>5019768.5105091985</v>
      </c>
      <c r="D1237" s="39">
        <f t="shared" si="39"/>
        <v>3884360.5275059468</v>
      </c>
    </row>
    <row r="1238" spans="2:4" x14ac:dyDescent="0.25">
      <c r="B1238" s="90">
        <v>1234</v>
      </c>
      <c r="C1238" s="39">
        <f t="shared" si="38"/>
        <v>5022415.8491227506</v>
      </c>
      <c r="D1238" s="39">
        <f t="shared" si="39"/>
        <v>3887510.8604560732</v>
      </c>
    </row>
    <row r="1239" spans="2:4" x14ac:dyDescent="0.25">
      <c r="B1239" s="90">
        <v>1235</v>
      </c>
      <c r="C1239" s="39">
        <f t="shared" si="38"/>
        <v>5025063.1877363026</v>
      </c>
      <c r="D1239" s="39">
        <f t="shared" si="39"/>
        <v>3890661.1934061996</v>
      </c>
    </row>
    <row r="1240" spans="2:4" x14ac:dyDescent="0.25">
      <c r="B1240" s="90">
        <v>1236</v>
      </c>
      <c r="C1240" s="39">
        <f t="shared" si="38"/>
        <v>5027710.5263498537</v>
      </c>
      <c r="D1240" s="39">
        <f t="shared" si="39"/>
        <v>3893811.5263563264</v>
      </c>
    </row>
    <row r="1241" spans="2:4" x14ac:dyDescent="0.25">
      <c r="B1241" s="90">
        <v>1237</v>
      </c>
      <c r="C1241" s="39">
        <f t="shared" si="38"/>
        <v>5030357.8649634048</v>
      </c>
      <c r="D1241" s="39">
        <f t="shared" si="39"/>
        <v>3896961.8593064528</v>
      </c>
    </row>
    <row r="1242" spans="2:4" x14ac:dyDescent="0.25">
      <c r="B1242" s="90">
        <v>1238</v>
      </c>
      <c r="C1242" s="39">
        <f t="shared" si="38"/>
        <v>5033005.2035769569</v>
      </c>
      <c r="D1242" s="39">
        <f t="shared" si="39"/>
        <v>3900112.1922565792</v>
      </c>
    </row>
    <row r="1243" spans="2:4" x14ac:dyDescent="0.25">
      <c r="B1243" s="90">
        <v>1239</v>
      </c>
      <c r="C1243" s="39">
        <f t="shared" si="38"/>
        <v>5035652.5421905089</v>
      </c>
      <c r="D1243" s="39">
        <f t="shared" si="39"/>
        <v>3903262.5252067056</v>
      </c>
    </row>
    <row r="1244" spans="2:4" x14ac:dyDescent="0.25">
      <c r="B1244" s="90">
        <v>1240</v>
      </c>
      <c r="C1244" s="39">
        <f t="shared" si="38"/>
        <v>5038299.88080406</v>
      </c>
      <c r="D1244" s="39">
        <f t="shared" si="39"/>
        <v>3906412.8581568319</v>
      </c>
    </row>
    <row r="1245" spans="2:4" x14ac:dyDescent="0.25">
      <c r="B1245" s="90">
        <v>1241</v>
      </c>
      <c r="C1245" s="39">
        <f t="shared" si="38"/>
        <v>5040947.2194176121</v>
      </c>
      <c r="D1245" s="39">
        <f t="shared" si="39"/>
        <v>3909563.1911069588</v>
      </c>
    </row>
    <row r="1246" spans="2:4" x14ac:dyDescent="0.25">
      <c r="B1246" s="90">
        <v>1242</v>
      </c>
      <c r="C1246" s="39">
        <f t="shared" si="38"/>
        <v>5043594.5580311641</v>
      </c>
      <c r="D1246" s="39">
        <f t="shared" si="39"/>
        <v>3912713.5240570852</v>
      </c>
    </row>
    <row r="1247" spans="2:4" x14ac:dyDescent="0.25">
      <c r="B1247" s="90">
        <v>1243</v>
      </c>
      <c r="C1247" s="39">
        <f t="shared" si="38"/>
        <v>5046241.8966447152</v>
      </c>
      <c r="D1247" s="39">
        <f t="shared" si="39"/>
        <v>3915863.8570072115</v>
      </c>
    </row>
    <row r="1248" spans="2:4" x14ac:dyDescent="0.25">
      <c r="B1248" s="90">
        <v>1244</v>
      </c>
      <c r="C1248" s="39">
        <f t="shared" si="38"/>
        <v>5048889.2352582673</v>
      </c>
      <c r="D1248" s="39">
        <f t="shared" si="39"/>
        <v>3919014.1899573379</v>
      </c>
    </row>
    <row r="1249" spans="2:4" x14ac:dyDescent="0.25">
      <c r="B1249" s="90">
        <v>1245</v>
      </c>
      <c r="C1249" s="39">
        <f t="shared" si="38"/>
        <v>5051536.5738718193</v>
      </c>
      <c r="D1249" s="39">
        <f t="shared" si="39"/>
        <v>3922164.5229074643</v>
      </c>
    </row>
    <row r="1250" spans="2:4" x14ac:dyDescent="0.25">
      <c r="B1250" s="90">
        <v>1246</v>
      </c>
      <c r="C1250" s="39">
        <f t="shared" si="38"/>
        <v>5054183.9124853704</v>
      </c>
      <c r="D1250" s="39">
        <f t="shared" si="39"/>
        <v>3925314.8558575911</v>
      </c>
    </row>
    <row r="1251" spans="2:4" x14ac:dyDescent="0.25">
      <c r="B1251" s="90">
        <v>1247</v>
      </c>
      <c r="C1251" s="39">
        <f t="shared" si="38"/>
        <v>5056831.2510989215</v>
      </c>
      <c r="D1251" s="39">
        <f t="shared" si="39"/>
        <v>3928465.1888077175</v>
      </c>
    </row>
    <row r="1252" spans="2:4" x14ac:dyDescent="0.25">
      <c r="B1252" s="90">
        <v>1248</v>
      </c>
      <c r="C1252" s="39">
        <f t="shared" si="38"/>
        <v>5059478.5897124736</v>
      </c>
      <c r="D1252" s="39">
        <f t="shared" si="39"/>
        <v>3931615.5217578439</v>
      </c>
    </row>
    <row r="1253" spans="2:4" x14ac:dyDescent="0.25">
      <c r="B1253" s="90">
        <v>1249</v>
      </c>
      <c r="C1253" s="39">
        <f t="shared" si="38"/>
        <v>5062125.9283260256</v>
      </c>
      <c r="D1253" s="39">
        <f t="shared" si="39"/>
        <v>3934765.8547079703</v>
      </c>
    </row>
    <row r="1254" spans="2:4" x14ac:dyDescent="0.25">
      <c r="B1254" s="90">
        <v>1250</v>
      </c>
      <c r="C1254" s="39">
        <f t="shared" si="38"/>
        <v>5064773.2669395767</v>
      </c>
      <c r="D1254" s="39">
        <f t="shared" si="39"/>
        <v>3937916.1876580967</v>
      </c>
    </row>
    <row r="1255" spans="2:4" x14ac:dyDescent="0.25">
      <c r="B1255" s="90">
        <v>1251</v>
      </c>
      <c r="C1255" s="39">
        <f t="shared" si="38"/>
        <v>5067420.6055531288</v>
      </c>
      <c r="D1255" s="39">
        <f t="shared" si="39"/>
        <v>3941066.5206082235</v>
      </c>
    </row>
    <row r="1256" spans="2:4" x14ac:dyDescent="0.25">
      <c r="B1256" s="90">
        <v>1252</v>
      </c>
      <c r="C1256" s="39">
        <f t="shared" si="38"/>
        <v>5070067.9441666808</v>
      </c>
      <c r="D1256" s="39">
        <f t="shared" si="39"/>
        <v>3944216.8535583499</v>
      </c>
    </row>
    <row r="1257" spans="2:4" x14ac:dyDescent="0.25">
      <c r="B1257" s="90">
        <v>1253</v>
      </c>
      <c r="C1257" s="39">
        <f t="shared" si="38"/>
        <v>5072715.2827802319</v>
      </c>
      <c r="D1257" s="39">
        <f t="shared" si="39"/>
        <v>3947367.1865084763</v>
      </c>
    </row>
    <row r="1258" spans="2:4" x14ac:dyDescent="0.25">
      <c r="B1258" s="90">
        <v>1254</v>
      </c>
      <c r="C1258" s="39">
        <f t="shared" si="38"/>
        <v>5075362.621393783</v>
      </c>
      <c r="D1258" s="39">
        <f t="shared" si="39"/>
        <v>3950517.5194586026</v>
      </c>
    </row>
    <row r="1259" spans="2:4" x14ac:dyDescent="0.25">
      <c r="B1259" s="90">
        <v>1255</v>
      </c>
      <c r="C1259" s="39">
        <f t="shared" si="38"/>
        <v>5078009.960007336</v>
      </c>
      <c r="D1259" s="39">
        <f t="shared" si="39"/>
        <v>3953667.8524087295</v>
      </c>
    </row>
    <row r="1260" spans="2:4" x14ac:dyDescent="0.25">
      <c r="B1260" s="90">
        <v>1256</v>
      </c>
      <c r="C1260" s="39">
        <f t="shared" si="38"/>
        <v>5080657.2986208871</v>
      </c>
      <c r="D1260" s="39">
        <f t="shared" si="39"/>
        <v>3956818.1853588559</v>
      </c>
    </row>
    <row r="1261" spans="2:4" x14ac:dyDescent="0.25">
      <c r="B1261" s="90">
        <v>1257</v>
      </c>
      <c r="C1261" s="39">
        <f t="shared" si="38"/>
        <v>5083304.6372344382</v>
      </c>
      <c r="D1261" s="39">
        <f t="shared" si="39"/>
        <v>3959968.5183089823</v>
      </c>
    </row>
    <row r="1262" spans="2:4" x14ac:dyDescent="0.25">
      <c r="B1262" s="90">
        <v>1258</v>
      </c>
      <c r="C1262" s="39">
        <f t="shared" si="38"/>
        <v>5085951.9758479903</v>
      </c>
      <c r="D1262" s="39">
        <f t="shared" si="39"/>
        <v>3963118.8512591086</v>
      </c>
    </row>
    <row r="1263" spans="2:4" x14ac:dyDescent="0.25">
      <c r="B1263" s="90">
        <v>1259</v>
      </c>
      <c r="C1263" s="39">
        <f t="shared" si="38"/>
        <v>5088599.3144615423</v>
      </c>
      <c r="D1263" s="39">
        <f t="shared" si="39"/>
        <v>3966269.184209235</v>
      </c>
    </row>
    <row r="1264" spans="2:4" x14ac:dyDescent="0.25">
      <c r="B1264" s="90">
        <v>1260</v>
      </c>
      <c r="C1264" s="39">
        <f t="shared" si="38"/>
        <v>5091246.6530750934</v>
      </c>
      <c r="D1264" s="39">
        <f t="shared" si="39"/>
        <v>3969419.5171593619</v>
      </c>
    </row>
    <row r="1265" spans="2:4" x14ac:dyDescent="0.25">
      <c r="B1265" s="90">
        <v>1261</v>
      </c>
      <c r="C1265" s="39">
        <f t="shared" ref="C1265:C1328" si="40">($C$2*B1265)+$C$1</f>
        <v>5093893.9916886454</v>
      </c>
      <c r="D1265" s="39">
        <f t="shared" ref="D1265:D1328" si="41">$D$2*B1265</f>
        <v>3972569.8501094882</v>
      </c>
    </row>
    <row r="1266" spans="2:4" x14ac:dyDescent="0.25">
      <c r="B1266" s="90">
        <v>1262</v>
      </c>
      <c r="C1266" s="39">
        <f t="shared" si="40"/>
        <v>5096541.3303021975</v>
      </c>
      <c r="D1266" s="39">
        <f t="shared" si="41"/>
        <v>3975720.1830596146</v>
      </c>
    </row>
    <row r="1267" spans="2:4" x14ac:dyDescent="0.25">
      <c r="B1267" s="90">
        <v>1263</v>
      </c>
      <c r="C1267" s="39">
        <f t="shared" si="40"/>
        <v>5099188.6689157486</v>
      </c>
      <c r="D1267" s="39">
        <f t="shared" si="41"/>
        <v>3978870.516009741</v>
      </c>
    </row>
    <row r="1268" spans="2:4" x14ac:dyDescent="0.25">
      <c r="B1268" s="90">
        <v>1264</v>
      </c>
      <c r="C1268" s="39">
        <f t="shared" si="40"/>
        <v>5101836.0075292997</v>
      </c>
      <c r="D1268" s="39">
        <f t="shared" si="41"/>
        <v>3982020.8489598674</v>
      </c>
    </row>
    <row r="1269" spans="2:4" x14ac:dyDescent="0.25">
      <c r="B1269" s="90">
        <v>1265</v>
      </c>
      <c r="C1269" s="39">
        <f t="shared" si="40"/>
        <v>5104483.3461428517</v>
      </c>
      <c r="D1269" s="39">
        <f t="shared" si="41"/>
        <v>3985171.1819099942</v>
      </c>
    </row>
    <row r="1270" spans="2:4" x14ac:dyDescent="0.25">
      <c r="B1270" s="90">
        <v>1266</v>
      </c>
      <c r="C1270" s="39">
        <f t="shared" si="40"/>
        <v>5107130.6847564038</v>
      </c>
      <c r="D1270" s="39">
        <f t="shared" si="41"/>
        <v>3988321.5148601206</v>
      </c>
    </row>
    <row r="1271" spans="2:4" x14ac:dyDescent="0.25">
      <c r="B1271" s="90">
        <v>1267</v>
      </c>
      <c r="C1271" s="39">
        <f t="shared" si="40"/>
        <v>5109778.0233699549</v>
      </c>
      <c r="D1271" s="39">
        <f t="shared" si="41"/>
        <v>3991471.847810247</v>
      </c>
    </row>
    <row r="1272" spans="2:4" x14ac:dyDescent="0.25">
      <c r="B1272" s="90">
        <v>1268</v>
      </c>
      <c r="C1272" s="39">
        <f t="shared" si="40"/>
        <v>5112425.3619835069</v>
      </c>
      <c r="D1272" s="39">
        <f t="shared" si="41"/>
        <v>3994622.1807603734</v>
      </c>
    </row>
    <row r="1273" spans="2:4" x14ac:dyDescent="0.25">
      <c r="B1273" s="90">
        <v>1269</v>
      </c>
      <c r="C1273" s="39">
        <f t="shared" si="40"/>
        <v>5115072.700597059</v>
      </c>
      <c r="D1273" s="39">
        <f t="shared" si="41"/>
        <v>3997772.5137104997</v>
      </c>
    </row>
    <row r="1274" spans="2:4" x14ac:dyDescent="0.25">
      <c r="B1274" s="90">
        <v>1270</v>
      </c>
      <c r="C1274" s="39">
        <f t="shared" si="40"/>
        <v>5117720.0392106101</v>
      </c>
      <c r="D1274" s="39">
        <f t="shared" si="41"/>
        <v>4000922.8466606266</v>
      </c>
    </row>
    <row r="1275" spans="2:4" x14ac:dyDescent="0.25">
      <c r="B1275" s="90">
        <v>1271</v>
      </c>
      <c r="C1275" s="39">
        <f t="shared" si="40"/>
        <v>5120367.3778241621</v>
      </c>
      <c r="D1275" s="39">
        <f t="shared" si="41"/>
        <v>4004073.179610753</v>
      </c>
    </row>
    <row r="1276" spans="2:4" x14ac:dyDescent="0.25">
      <c r="B1276" s="90">
        <v>1272</v>
      </c>
      <c r="C1276" s="39">
        <f t="shared" si="40"/>
        <v>5123014.7164377142</v>
      </c>
      <c r="D1276" s="39">
        <f t="shared" si="41"/>
        <v>4007223.5125608793</v>
      </c>
    </row>
    <row r="1277" spans="2:4" x14ac:dyDescent="0.25">
      <c r="B1277" s="90">
        <v>1273</v>
      </c>
      <c r="C1277" s="39">
        <f t="shared" si="40"/>
        <v>5125662.0550512653</v>
      </c>
      <c r="D1277" s="39">
        <f t="shared" si="41"/>
        <v>4010373.8455110057</v>
      </c>
    </row>
    <row r="1278" spans="2:4" x14ac:dyDescent="0.25">
      <c r="B1278" s="90">
        <v>1274</v>
      </c>
      <c r="C1278" s="39">
        <f t="shared" si="40"/>
        <v>5128309.3936648164</v>
      </c>
      <c r="D1278" s="39">
        <f t="shared" si="41"/>
        <v>4013524.1784611321</v>
      </c>
    </row>
    <row r="1279" spans="2:4" x14ac:dyDescent="0.25">
      <c r="B1279" s="90">
        <v>1275</v>
      </c>
      <c r="C1279" s="39">
        <f t="shared" si="40"/>
        <v>5130956.7322783684</v>
      </c>
      <c r="D1279" s="39">
        <f t="shared" si="41"/>
        <v>4016674.511411259</v>
      </c>
    </row>
    <row r="1280" spans="2:4" x14ac:dyDescent="0.25">
      <c r="B1280" s="90">
        <v>1276</v>
      </c>
      <c r="C1280" s="39">
        <f t="shared" si="40"/>
        <v>5133604.0708919205</v>
      </c>
      <c r="D1280" s="39">
        <f t="shared" si="41"/>
        <v>4019824.8443613853</v>
      </c>
    </row>
    <row r="1281" spans="2:4" x14ac:dyDescent="0.25">
      <c r="B1281" s="90">
        <v>1277</v>
      </c>
      <c r="C1281" s="39">
        <f t="shared" si="40"/>
        <v>5136251.4095054716</v>
      </c>
      <c r="D1281" s="39">
        <f t="shared" si="41"/>
        <v>4022975.1773115117</v>
      </c>
    </row>
    <row r="1282" spans="2:4" x14ac:dyDescent="0.25">
      <c r="B1282" s="90">
        <v>1278</v>
      </c>
      <c r="C1282" s="39">
        <f t="shared" si="40"/>
        <v>5138898.7481190236</v>
      </c>
      <c r="D1282" s="39">
        <f t="shared" si="41"/>
        <v>4026125.5102616381</v>
      </c>
    </row>
    <row r="1283" spans="2:4" x14ac:dyDescent="0.25">
      <c r="B1283" s="90">
        <v>1279</v>
      </c>
      <c r="C1283" s="39">
        <f t="shared" si="40"/>
        <v>5141546.0867325757</v>
      </c>
      <c r="D1283" s="39">
        <f t="shared" si="41"/>
        <v>4029275.8432117649</v>
      </c>
    </row>
    <row r="1284" spans="2:4" x14ac:dyDescent="0.25">
      <c r="B1284" s="90">
        <v>1280</v>
      </c>
      <c r="C1284" s="39">
        <f t="shared" si="40"/>
        <v>5144193.4253461268</v>
      </c>
      <c r="D1284" s="39">
        <f t="shared" si="41"/>
        <v>4032426.1761618913</v>
      </c>
    </row>
    <row r="1285" spans="2:4" x14ac:dyDescent="0.25">
      <c r="B1285" s="90">
        <v>1281</v>
      </c>
      <c r="C1285" s="39">
        <f t="shared" si="40"/>
        <v>5146840.7639596779</v>
      </c>
      <c r="D1285" s="39">
        <f t="shared" si="41"/>
        <v>4035576.5091120177</v>
      </c>
    </row>
    <row r="1286" spans="2:4" x14ac:dyDescent="0.25">
      <c r="B1286" s="90">
        <v>1282</v>
      </c>
      <c r="C1286" s="39">
        <f t="shared" si="40"/>
        <v>5149488.1025732309</v>
      </c>
      <c r="D1286" s="39">
        <f t="shared" si="41"/>
        <v>4038726.8420621441</v>
      </c>
    </row>
    <row r="1287" spans="2:4" x14ac:dyDescent="0.25">
      <c r="B1287" s="90">
        <v>1283</v>
      </c>
      <c r="C1287" s="39">
        <f t="shared" si="40"/>
        <v>5152135.441186782</v>
      </c>
      <c r="D1287" s="39">
        <f t="shared" si="41"/>
        <v>4041877.1750122705</v>
      </c>
    </row>
    <row r="1288" spans="2:4" x14ac:dyDescent="0.25">
      <c r="B1288" s="90">
        <v>1284</v>
      </c>
      <c r="C1288" s="39">
        <f t="shared" si="40"/>
        <v>5154782.7798003331</v>
      </c>
      <c r="D1288" s="39">
        <f t="shared" si="41"/>
        <v>4045027.5079623973</v>
      </c>
    </row>
    <row r="1289" spans="2:4" x14ac:dyDescent="0.25">
      <c r="B1289" s="90">
        <v>1285</v>
      </c>
      <c r="C1289" s="39">
        <f t="shared" si="40"/>
        <v>5157430.1184138851</v>
      </c>
      <c r="D1289" s="39">
        <f t="shared" si="41"/>
        <v>4048177.8409125237</v>
      </c>
    </row>
    <row r="1290" spans="2:4" x14ac:dyDescent="0.25">
      <c r="B1290" s="90">
        <v>1286</v>
      </c>
      <c r="C1290" s="39">
        <f t="shared" si="40"/>
        <v>5160077.4570274372</v>
      </c>
      <c r="D1290" s="39">
        <f t="shared" si="41"/>
        <v>4051328.1738626501</v>
      </c>
    </row>
    <row r="1291" spans="2:4" x14ac:dyDescent="0.25">
      <c r="B1291" s="90">
        <v>1287</v>
      </c>
      <c r="C1291" s="39">
        <f t="shared" si="40"/>
        <v>5162724.7956409883</v>
      </c>
      <c r="D1291" s="39">
        <f t="shared" si="41"/>
        <v>4054478.5068127764</v>
      </c>
    </row>
    <row r="1292" spans="2:4" x14ac:dyDescent="0.25">
      <c r="B1292" s="90">
        <v>1288</v>
      </c>
      <c r="C1292" s="39">
        <f t="shared" si="40"/>
        <v>5165372.1342545403</v>
      </c>
      <c r="D1292" s="39">
        <f t="shared" si="41"/>
        <v>4057628.8397629028</v>
      </c>
    </row>
    <row r="1293" spans="2:4" x14ac:dyDescent="0.25">
      <c r="B1293" s="90">
        <v>1289</v>
      </c>
      <c r="C1293" s="39">
        <f t="shared" si="40"/>
        <v>5168019.4728680924</v>
      </c>
      <c r="D1293" s="39">
        <f t="shared" si="41"/>
        <v>4060779.1727130297</v>
      </c>
    </row>
    <row r="1294" spans="2:4" x14ac:dyDescent="0.25">
      <c r="B1294" s="90">
        <v>1290</v>
      </c>
      <c r="C1294" s="39">
        <f t="shared" si="40"/>
        <v>5170666.8114816435</v>
      </c>
      <c r="D1294" s="39">
        <f t="shared" si="41"/>
        <v>4063929.505663156</v>
      </c>
    </row>
    <row r="1295" spans="2:4" x14ac:dyDescent="0.25">
      <c r="B1295" s="90">
        <v>1291</v>
      </c>
      <c r="C1295" s="39">
        <f t="shared" si="40"/>
        <v>5173314.1500951946</v>
      </c>
      <c r="D1295" s="39">
        <f t="shared" si="41"/>
        <v>4067079.8386132824</v>
      </c>
    </row>
    <row r="1296" spans="2:4" x14ac:dyDescent="0.25">
      <c r="B1296" s="90">
        <v>1292</v>
      </c>
      <c r="C1296" s="39">
        <f t="shared" si="40"/>
        <v>5175961.4887087466</v>
      </c>
      <c r="D1296" s="39">
        <f t="shared" si="41"/>
        <v>4070230.1715634088</v>
      </c>
    </row>
    <row r="1297" spans="2:4" x14ac:dyDescent="0.25">
      <c r="B1297" s="90">
        <v>1293</v>
      </c>
      <c r="C1297" s="39">
        <f t="shared" si="40"/>
        <v>5178608.8273222987</v>
      </c>
      <c r="D1297" s="39">
        <f t="shared" si="41"/>
        <v>4073380.5045135352</v>
      </c>
    </row>
    <row r="1298" spans="2:4" x14ac:dyDescent="0.25">
      <c r="B1298" s="90">
        <v>1294</v>
      </c>
      <c r="C1298" s="39">
        <f t="shared" si="40"/>
        <v>5181256.1659358498</v>
      </c>
      <c r="D1298" s="39">
        <f t="shared" si="41"/>
        <v>4076530.837463662</v>
      </c>
    </row>
    <row r="1299" spans="2:4" x14ac:dyDescent="0.25">
      <c r="B1299" s="90">
        <v>1295</v>
      </c>
      <c r="C1299" s="39">
        <f t="shared" si="40"/>
        <v>5183903.5045494018</v>
      </c>
      <c r="D1299" s="39">
        <f t="shared" si="41"/>
        <v>4079681.1704137884</v>
      </c>
    </row>
    <row r="1300" spans="2:4" x14ac:dyDescent="0.25">
      <c r="B1300" s="90">
        <v>1296</v>
      </c>
      <c r="C1300" s="39">
        <f t="shared" si="40"/>
        <v>5186550.8431629539</v>
      </c>
      <c r="D1300" s="39">
        <f t="shared" si="41"/>
        <v>4082831.5033639148</v>
      </c>
    </row>
    <row r="1301" spans="2:4" x14ac:dyDescent="0.25">
      <c r="B1301" s="90">
        <v>1297</v>
      </c>
      <c r="C1301" s="39">
        <f t="shared" si="40"/>
        <v>5189198.181776505</v>
      </c>
      <c r="D1301" s="39">
        <f t="shared" si="41"/>
        <v>4085981.8363140412</v>
      </c>
    </row>
    <row r="1302" spans="2:4" x14ac:dyDescent="0.25">
      <c r="B1302" s="90">
        <v>1298</v>
      </c>
      <c r="C1302" s="39">
        <f t="shared" si="40"/>
        <v>5191845.520390057</v>
      </c>
      <c r="D1302" s="39">
        <f t="shared" si="41"/>
        <v>4089132.169264168</v>
      </c>
    </row>
    <row r="1303" spans="2:4" x14ac:dyDescent="0.25">
      <c r="B1303" s="90">
        <v>1299</v>
      </c>
      <c r="C1303" s="39">
        <f t="shared" si="40"/>
        <v>5194492.859003609</v>
      </c>
      <c r="D1303" s="39">
        <f t="shared" si="41"/>
        <v>4092282.5022142944</v>
      </c>
    </row>
    <row r="1304" spans="2:4" x14ac:dyDescent="0.25">
      <c r="B1304" s="90">
        <v>1300</v>
      </c>
      <c r="C1304" s="39">
        <f t="shared" si="40"/>
        <v>5197140.1976171602</v>
      </c>
      <c r="D1304" s="39">
        <f t="shared" si="41"/>
        <v>4095432.8351644208</v>
      </c>
    </row>
    <row r="1305" spans="2:4" x14ac:dyDescent="0.25">
      <c r="B1305" s="90">
        <v>1301</v>
      </c>
      <c r="C1305" s="39">
        <f t="shared" si="40"/>
        <v>5199787.5362307113</v>
      </c>
      <c r="D1305" s="39">
        <f t="shared" si="41"/>
        <v>4098583.1681145472</v>
      </c>
    </row>
    <row r="1306" spans="2:4" x14ac:dyDescent="0.25">
      <c r="B1306" s="90">
        <v>1302</v>
      </c>
      <c r="C1306" s="39">
        <f t="shared" si="40"/>
        <v>5202434.8748442633</v>
      </c>
      <c r="D1306" s="39">
        <f t="shared" si="41"/>
        <v>4101733.5010646735</v>
      </c>
    </row>
    <row r="1307" spans="2:4" x14ac:dyDescent="0.25">
      <c r="B1307" s="90">
        <v>1303</v>
      </c>
      <c r="C1307" s="39">
        <f t="shared" si="40"/>
        <v>5205082.2134578153</v>
      </c>
      <c r="D1307" s="39">
        <f t="shared" si="41"/>
        <v>4104883.8340148004</v>
      </c>
    </row>
    <row r="1308" spans="2:4" x14ac:dyDescent="0.25">
      <c r="B1308" s="90">
        <v>1304</v>
      </c>
      <c r="C1308" s="39">
        <f t="shared" si="40"/>
        <v>5207729.5520713665</v>
      </c>
      <c r="D1308" s="39">
        <f t="shared" si="41"/>
        <v>4108034.1669649268</v>
      </c>
    </row>
    <row r="1309" spans="2:4" x14ac:dyDescent="0.25">
      <c r="B1309" s="90">
        <v>1305</v>
      </c>
      <c r="C1309" s="39">
        <f t="shared" si="40"/>
        <v>5210376.8906849185</v>
      </c>
      <c r="D1309" s="39">
        <f t="shared" si="41"/>
        <v>4111184.4999150531</v>
      </c>
    </row>
    <row r="1310" spans="2:4" x14ac:dyDescent="0.25">
      <c r="B1310" s="90">
        <v>1306</v>
      </c>
      <c r="C1310" s="39">
        <f t="shared" si="40"/>
        <v>5213024.2292984705</v>
      </c>
      <c r="D1310" s="39">
        <f t="shared" si="41"/>
        <v>4114334.8328651795</v>
      </c>
    </row>
    <row r="1311" spans="2:4" x14ac:dyDescent="0.25">
      <c r="B1311" s="90">
        <v>1307</v>
      </c>
      <c r="C1311" s="39">
        <f t="shared" si="40"/>
        <v>5215671.5679120217</v>
      </c>
      <c r="D1311" s="39">
        <f t="shared" si="41"/>
        <v>4117485.1658153059</v>
      </c>
    </row>
    <row r="1312" spans="2:4" x14ac:dyDescent="0.25">
      <c r="B1312" s="90">
        <v>1308</v>
      </c>
      <c r="C1312" s="39">
        <f t="shared" si="40"/>
        <v>5218318.9065255728</v>
      </c>
      <c r="D1312" s="39">
        <f t="shared" si="41"/>
        <v>4120635.4987654327</v>
      </c>
    </row>
    <row r="1313" spans="2:4" x14ac:dyDescent="0.25">
      <c r="B1313" s="90">
        <v>1309</v>
      </c>
      <c r="C1313" s="39">
        <f t="shared" si="40"/>
        <v>5220966.2451391257</v>
      </c>
      <c r="D1313" s="39">
        <f t="shared" si="41"/>
        <v>4123785.8317155591</v>
      </c>
    </row>
    <row r="1314" spans="2:4" x14ac:dyDescent="0.25">
      <c r="B1314" s="90">
        <v>1310</v>
      </c>
      <c r="C1314" s="39">
        <f t="shared" si="40"/>
        <v>5223613.5837526768</v>
      </c>
      <c r="D1314" s="39">
        <f t="shared" si="41"/>
        <v>4126936.1646656855</v>
      </c>
    </row>
    <row r="1315" spans="2:4" x14ac:dyDescent="0.25">
      <c r="B1315" s="90">
        <v>1311</v>
      </c>
      <c r="C1315" s="39">
        <f t="shared" si="40"/>
        <v>5226260.922366228</v>
      </c>
      <c r="D1315" s="39">
        <f t="shared" si="41"/>
        <v>4130086.4976158119</v>
      </c>
    </row>
    <row r="1316" spans="2:4" x14ac:dyDescent="0.25">
      <c r="B1316" s="90">
        <v>1312</v>
      </c>
      <c r="C1316" s="39">
        <f t="shared" si="40"/>
        <v>5228908.26097978</v>
      </c>
      <c r="D1316" s="39">
        <f t="shared" si="41"/>
        <v>4133236.8305659383</v>
      </c>
    </row>
    <row r="1317" spans="2:4" x14ac:dyDescent="0.25">
      <c r="B1317" s="90">
        <v>1313</v>
      </c>
      <c r="C1317" s="39">
        <f t="shared" si="40"/>
        <v>5231555.599593332</v>
      </c>
      <c r="D1317" s="39">
        <f t="shared" si="41"/>
        <v>4136387.1635160651</v>
      </c>
    </row>
    <row r="1318" spans="2:4" x14ac:dyDescent="0.25">
      <c r="B1318" s="90">
        <v>1314</v>
      </c>
      <c r="C1318" s="39">
        <f t="shared" si="40"/>
        <v>5234202.9382068831</v>
      </c>
      <c r="D1318" s="39">
        <f t="shared" si="41"/>
        <v>4139537.4964661915</v>
      </c>
    </row>
    <row r="1319" spans="2:4" x14ac:dyDescent="0.25">
      <c r="B1319" s="90">
        <v>1315</v>
      </c>
      <c r="C1319" s="39">
        <f t="shared" si="40"/>
        <v>5236850.2768204352</v>
      </c>
      <c r="D1319" s="39">
        <f t="shared" si="41"/>
        <v>4142687.8294163179</v>
      </c>
    </row>
    <row r="1320" spans="2:4" x14ac:dyDescent="0.25">
      <c r="B1320" s="90">
        <v>1316</v>
      </c>
      <c r="C1320" s="39">
        <f t="shared" si="40"/>
        <v>5239497.6154339872</v>
      </c>
      <c r="D1320" s="39">
        <f t="shared" si="41"/>
        <v>4145838.1623664442</v>
      </c>
    </row>
    <row r="1321" spans="2:4" x14ac:dyDescent="0.25">
      <c r="B1321" s="90">
        <v>1317</v>
      </c>
      <c r="C1321" s="39">
        <f t="shared" si="40"/>
        <v>5242144.9540475383</v>
      </c>
      <c r="D1321" s="39">
        <f t="shared" si="41"/>
        <v>4148988.4953165711</v>
      </c>
    </row>
    <row r="1322" spans="2:4" x14ac:dyDescent="0.25">
      <c r="B1322" s="90">
        <v>1318</v>
      </c>
      <c r="C1322" s="39">
        <f t="shared" si="40"/>
        <v>5244792.2926610895</v>
      </c>
      <c r="D1322" s="39">
        <f t="shared" si="41"/>
        <v>4152138.8282666975</v>
      </c>
    </row>
    <row r="1323" spans="2:4" x14ac:dyDescent="0.25">
      <c r="B1323" s="90">
        <v>1319</v>
      </c>
      <c r="C1323" s="39">
        <f t="shared" si="40"/>
        <v>5247439.6312746415</v>
      </c>
      <c r="D1323" s="39">
        <f t="shared" si="41"/>
        <v>4155289.1612168238</v>
      </c>
    </row>
    <row r="1324" spans="2:4" x14ac:dyDescent="0.25">
      <c r="B1324" s="90">
        <v>1320</v>
      </c>
      <c r="C1324" s="39">
        <f t="shared" si="40"/>
        <v>5250086.9698881935</v>
      </c>
      <c r="D1324" s="39">
        <f t="shared" si="41"/>
        <v>4158439.4941669502</v>
      </c>
    </row>
    <row r="1325" spans="2:4" x14ac:dyDescent="0.25">
      <c r="B1325" s="90">
        <v>1321</v>
      </c>
      <c r="C1325" s="39">
        <f t="shared" si="40"/>
        <v>5252734.3085017446</v>
      </c>
      <c r="D1325" s="39">
        <f t="shared" si="41"/>
        <v>4161589.8271170766</v>
      </c>
    </row>
    <row r="1326" spans="2:4" x14ac:dyDescent="0.25">
      <c r="B1326" s="90">
        <v>1322</v>
      </c>
      <c r="C1326" s="39">
        <f t="shared" si="40"/>
        <v>5255381.6471152967</v>
      </c>
      <c r="D1326" s="39">
        <f t="shared" si="41"/>
        <v>4164740.1600672035</v>
      </c>
    </row>
    <row r="1327" spans="2:4" x14ac:dyDescent="0.25">
      <c r="B1327" s="90">
        <v>1323</v>
      </c>
      <c r="C1327" s="39">
        <f t="shared" si="40"/>
        <v>5258028.9857288487</v>
      </c>
      <c r="D1327" s="39">
        <f t="shared" si="41"/>
        <v>4167890.4930173298</v>
      </c>
    </row>
    <row r="1328" spans="2:4" x14ac:dyDescent="0.25">
      <c r="B1328" s="90">
        <v>1324</v>
      </c>
      <c r="C1328" s="39">
        <f t="shared" si="40"/>
        <v>5260676.3243423998</v>
      </c>
      <c r="D1328" s="39">
        <f t="shared" si="41"/>
        <v>4171040.8259674562</v>
      </c>
    </row>
    <row r="1329" spans="2:4" x14ac:dyDescent="0.25">
      <c r="B1329" s="90">
        <v>1325</v>
      </c>
      <c r="C1329" s="39">
        <f t="shared" ref="C1329:C1392" si="42">($C$2*B1329)+$C$1</f>
        <v>5263323.6629559519</v>
      </c>
      <c r="D1329" s="39">
        <f t="shared" ref="D1329:D1392" si="43">$D$2*B1329</f>
        <v>4174191.1589175826</v>
      </c>
    </row>
    <row r="1330" spans="2:4" x14ac:dyDescent="0.25">
      <c r="B1330" s="90">
        <v>1326</v>
      </c>
      <c r="C1330" s="39">
        <f t="shared" si="42"/>
        <v>5265971.0015695039</v>
      </c>
      <c r="D1330" s="39">
        <f t="shared" si="43"/>
        <v>4177341.491867709</v>
      </c>
    </row>
    <row r="1331" spans="2:4" x14ac:dyDescent="0.25">
      <c r="B1331" s="90">
        <v>1327</v>
      </c>
      <c r="C1331" s="39">
        <f t="shared" si="42"/>
        <v>5268618.340183055</v>
      </c>
      <c r="D1331" s="39">
        <f t="shared" si="43"/>
        <v>4180491.8248178358</v>
      </c>
    </row>
    <row r="1332" spans="2:4" x14ac:dyDescent="0.25">
      <c r="B1332" s="90">
        <v>1328</v>
      </c>
      <c r="C1332" s="39">
        <f t="shared" si="42"/>
        <v>5271265.6787966061</v>
      </c>
      <c r="D1332" s="39">
        <f t="shared" si="43"/>
        <v>4183642.1577679622</v>
      </c>
    </row>
    <row r="1333" spans="2:4" x14ac:dyDescent="0.25">
      <c r="B1333" s="90">
        <v>1329</v>
      </c>
      <c r="C1333" s="39">
        <f t="shared" si="42"/>
        <v>5273913.0174101582</v>
      </c>
      <c r="D1333" s="39">
        <f t="shared" si="43"/>
        <v>4186792.4907180886</v>
      </c>
    </row>
    <row r="1334" spans="2:4" x14ac:dyDescent="0.25">
      <c r="B1334" s="90">
        <v>1330</v>
      </c>
      <c r="C1334" s="39">
        <f t="shared" si="42"/>
        <v>5276560.3560237102</v>
      </c>
      <c r="D1334" s="39">
        <f t="shared" si="43"/>
        <v>4189942.823668215</v>
      </c>
    </row>
    <row r="1335" spans="2:4" x14ac:dyDescent="0.25">
      <c r="B1335" s="90">
        <v>1331</v>
      </c>
      <c r="C1335" s="39">
        <f t="shared" si="42"/>
        <v>5279207.6946372613</v>
      </c>
      <c r="D1335" s="39">
        <f t="shared" si="43"/>
        <v>4193093.1566183413</v>
      </c>
    </row>
    <row r="1336" spans="2:4" x14ac:dyDescent="0.25">
      <c r="B1336" s="90">
        <v>1332</v>
      </c>
      <c r="C1336" s="39">
        <f t="shared" si="42"/>
        <v>5281855.0332508134</v>
      </c>
      <c r="D1336" s="39">
        <f t="shared" si="43"/>
        <v>4196243.4895684682</v>
      </c>
    </row>
    <row r="1337" spans="2:4" x14ac:dyDescent="0.25">
      <c r="B1337" s="90">
        <v>1333</v>
      </c>
      <c r="C1337" s="39">
        <f t="shared" si="42"/>
        <v>5284502.3718643654</v>
      </c>
      <c r="D1337" s="39">
        <f t="shared" si="43"/>
        <v>4199393.8225185946</v>
      </c>
    </row>
    <row r="1338" spans="2:4" x14ac:dyDescent="0.25">
      <c r="B1338" s="90">
        <v>1334</v>
      </c>
      <c r="C1338" s="39">
        <f t="shared" si="42"/>
        <v>5287149.7104779165</v>
      </c>
      <c r="D1338" s="39">
        <f t="shared" si="43"/>
        <v>4202544.1554687209</v>
      </c>
    </row>
    <row r="1339" spans="2:4" x14ac:dyDescent="0.25">
      <c r="B1339" s="90">
        <v>1335</v>
      </c>
      <c r="C1339" s="39">
        <f t="shared" si="42"/>
        <v>5289797.0490914676</v>
      </c>
      <c r="D1339" s="39">
        <f t="shared" si="43"/>
        <v>4205694.4884188473</v>
      </c>
    </row>
    <row r="1340" spans="2:4" x14ac:dyDescent="0.25">
      <c r="B1340" s="90">
        <v>1336</v>
      </c>
      <c r="C1340" s="39">
        <f t="shared" si="42"/>
        <v>5292444.3877050206</v>
      </c>
      <c r="D1340" s="39">
        <f t="shared" si="43"/>
        <v>4208844.8213689737</v>
      </c>
    </row>
    <row r="1341" spans="2:4" x14ac:dyDescent="0.25">
      <c r="B1341" s="90">
        <v>1337</v>
      </c>
      <c r="C1341" s="39">
        <f t="shared" si="42"/>
        <v>5295091.7263185717</v>
      </c>
      <c r="D1341" s="39">
        <f t="shared" si="43"/>
        <v>4211995.1543191001</v>
      </c>
    </row>
    <row r="1342" spans="2:4" x14ac:dyDescent="0.25">
      <c r="B1342" s="90">
        <v>1338</v>
      </c>
      <c r="C1342" s="39">
        <f t="shared" si="42"/>
        <v>5297739.0649321228</v>
      </c>
      <c r="D1342" s="39">
        <f t="shared" si="43"/>
        <v>4215145.4872692265</v>
      </c>
    </row>
    <row r="1343" spans="2:4" x14ac:dyDescent="0.25">
      <c r="B1343" s="90">
        <v>1339</v>
      </c>
      <c r="C1343" s="39">
        <f t="shared" si="42"/>
        <v>5300386.4035456749</v>
      </c>
      <c r="D1343" s="39">
        <f t="shared" si="43"/>
        <v>4218295.8202193538</v>
      </c>
    </row>
    <row r="1344" spans="2:4" x14ac:dyDescent="0.25">
      <c r="B1344" s="90">
        <v>1340</v>
      </c>
      <c r="C1344" s="39">
        <f t="shared" si="42"/>
        <v>5303033.7421592269</v>
      </c>
      <c r="D1344" s="39">
        <f t="shared" si="43"/>
        <v>4221446.1531694802</v>
      </c>
    </row>
    <row r="1345" spans="2:4" x14ac:dyDescent="0.25">
      <c r="B1345" s="90">
        <v>1341</v>
      </c>
      <c r="C1345" s="39">
        <f t="shared" si="42"/>
        <v>5305681.080772778</v>
      </c>
      <c r="D1345" s="39">
        <f t="shared" si="43"/>
        <v>4224596.4861196065</v>
      </c>
    </row>
    <row r="1346" spans="2:4" x14ac:dyDescent="0.25">
      <c r="B1346" s="90">
        <v>1342</v>
      </c>
      <c r="C1346" s="39">
        <f t="shared" si="42"/>
        <v>5308328.4193863301</v>
      </c>
      <c r="D1346" s="39">
        <f t="shared" si="43"/>
        <v>4227746.8190697329</v>
      </c>
    </row>
    <row r="1347" spans="2:4" x14ac:dyDescent="0.25">
      <c r="B1347" s="90">
        <v>1343</v>
      </c>
      <c r="C1347" s="39">
        <f t="shared" si="42"/>
        <v>5310975.7579998821</v>
      </c>
      <c r="D1347" s="39">
        <f t="shared" si="43"/>
        <v>4230897.1520198593</v>
      </c>
    </row>
    <row r="1348" spans="2:4" x14ac:dyDescent="0.25">
      <c r="B1348" s="90">
        <v>1344</v>
      </c>
      <c r="C1348" s="39">
        <f t="shared" si="42"/>
        <v>5313623.0966134332</v>
      </c>
      <c r="D1348" s="39">
        <f t="shared" si="43"/>
        <v>4234047.4849699857</v>
      </c>
    </row>
    <row r="1349" spans="2:4" x14ac:dyDescent="0.25">
      <c r="B1349" s="90">
        <v>1345</v>
      </c>
      <c r="C1349" s="39">
        <f t="shared" si="42"/>
        <v>5316270.4352269843</v>
      </c>
      <c r="D1349" s="39">
        <f t="shared" si="43"/>
        <v>4237197.8179201121</v>
      </c>
    </row>
    <row r="1350" spans="2:4" x14ac:dyDescent="0.25">
      <c r="B1350" s="90">
        <v>1346</v>
      </c>
      <c r="C1350" s="39">
        <f t="shared" si="42"/>
        <v>5318917.7738405364</v>
      </c>
      <c r="D1350" s="39">
        <f t="shared" si="43"/>
        <v>4240348.1508702384</v>
      </c>
    </row>
    <row r="1351" spans="2:4" x14ac:dyDescent="0.25">
      <c r="B1351" s="90">
        <v>1347</v>
      </c>
      <c r="C1351" s="39">
        <f t="shared" si="42"/>
        <v>5321565.1124540884</v>
      </c>
      <c r="D1351" s="39">
        <f t="shared" si="43"/>
        <v>4243498.4838203648</v>
      </c>
    </row>
    <row r="1352" spans="2:4" x14ac:dyDescent="0.25">
      <c r="B1352" s="90">
        <v>1348</v>
      </c>
      <c r="C1352" s="39">
        <f t="shared" si="42"/>
        <v>5324212.4510676395</v>
      </c>
      <c r="D1352" s="39">
        <f t="shared" si="43"/>
        <v>4246648.8167704921</v>
      </c>
    </row>
    <row r="1353" spans="2:4" x14ac:dyDescent="0.25">
      <c r="B1353" s="90">
        <v>1349</v>
      </c>
      <c r="C1353" s="39">
        <f t="shared" si="42"/>
        <v>5326859.7896811916</v>
      </c>
      <c r="D1353" s="39">
        <f t="shared" si="43"/>
        <v>4249799.1497206185</v>
      </c>
    </row>
    <row r="1354" spans="2:4" x14ac:dyDescent="0.25">
      <c r="B1354" s="90">
        <v>1350</v>
      </c>
      <c r="C1354" s="39">
        <f t="shared" si="42"/>
        <v>5329507.1282947436</v>
      </c>
      <c r="D1354" s="39">
        <f t="shared" si="43"/>
        <v>4252949.4826707449</v>
      </c>
    </row>
    <row r="1355" spans="2:4" x14ac:dyDescent="0.25">
      <c r="B1355" s="90">
        <v>1351</v>
      </c>
      <c r="C1355" s="39">
        <f t="shared" si="42"/>
        <v>5332154.4669082947</v>
      </c>
      <c r="D1355" s="39">
        <f t="shared" si="43"/>
        <v>4256099.8156208713</v>
      </c>
    </row>
    <row r="1356" spans="2:4" x14ac:dyDescent="0.25">
      <c r="B1356" s="90">
        <v>1352</v>
      </c>
      <c r="C1356" s="39">
        <f t="shared" si="42"/>
        <v>5334801.8055218467</v>
      </c>
      <c r="D1356" s="39">
        <f t="shared" si="43"/>
        <v>4259250.1485709976</v>
      </c>
    </row>
    <row r="1357" spans="2:4" x14ac:dyDescent="0.25">
      <c r="B1357" s="90">
        <v>1353</v>
      </c>
      <c r="C1357" s="39">
        <f t="shared" si="42"/>
        <v>5337449.1441353988</v>
      </c>
      <c r="D1357" s="39">
        <f t="shared" si="43"/>
        <v>4262400.481521124</v>
      </c>
    </row>
    <row r="1358" spans="2:4" x14ac:dyDescent="0.25">
      <c r="B1358" s="90">
        <v>1354</v>
      </c>
      <c r="C1358" s="39">
        <f t="shared" si="42"/>
        <v>5340096.4827489499</v>
      </c>
      <c r="D1358" s="39">
        <f t="shared" si="43"/>
        <v>4265550.8144712504</v>
      </c>
    </row>
    <row r="1359" spans="2:4" x14ac:dyDescent="0.25">
      <c r="B1359" s="90">
        <v>1355</v>
      </c>
      <c r="C1359" s="39">
        <f t="shared" si="42"/>
        <v>5342743.821362501</v>
      </c>
      <c r="D1359" s="39">
        <f t="shared" si="43"/>
        <v>4268701.1474213768</v>
      </c>
    </row>
    <row r="1360" spans="2:4" x14ac:dyDescent="0.25">
      <c r="B1360" s="90">
        <v>1356</v>
      </c>
      <c r="C1360" s="39">
        <f t="shared" si="42"/>
        <v>5345391.1599760531</v>
      </c>
      <c r="D1360" s="39">
        <f t="shared" si="43"/>
        <v>4271851.4803715032</v>
      </c>
    </row>
    <row r="1361" spans="2:4" x14ac:dyDescent="0.25">
      <c r="B1361" s="90">
        <v>1357</v>
      </c>
      <c r="C1361" s="39">
        <f t="shared" si="42"/>
        <v>5348038.4985896051</v>
      </c>
      <c r="D1361" s="39">
        <f t="shared" si="43"/>
        <v>4275001.8133216295</v>
      </c>
    </row>
    <row r="1362" spans="2:4" x14ac:dyDescent="0.25">
      <c r="B1362" s="90">
        <v>1358</v>
      </c>
      <c r="C1362" s="39">
        <f t="shared" si="42"/>
        <v>5350685.8372031562</v>
      </c>
      <c r="D1362" s="39">
        <f t="shared" si="43"/>
        <v>4278152.1462717569</v>
      </c>
    </row>
    <row r="1363" spans="2:4" x14ac:dyDescent="0.25">
      <c r="B1363" s="90">
        <v>1359</v>
      </c>
      <c r="C1363" s="39">
        <f t="shared" si="42"/>
        <v>5353333.1758167082</v>
      </c>
      <c r="D1363" s="39">
        <f t="shared" si="43"/>
        <v>4281302.4792218832</v>
      </c>
    </row>
    <row r="1364" spans="2:4" x14ac:dyDescent="0.25">
      <c r="B1364" s="90">
        <v>1360</v>
      </c>
      <c r="C1364" s="39">
        <f t="shared" si="42"/>
        <v>5355980.5144302603</v>
      </c>
      <c r="D1364" s="39">
        <f t="shared" si="43"/>
        <v>4284452.8121720096</v>
      </c>
    </row>
    <row r="1365" spans="2:4" x14ac:dyDescent="0.25">
      <c r="B1365" s="90">
        <v>1361</v>
      </c>
      <c r="C1365" s="39">
        <f t="shared" si="42"/>
        <v>5358627.8530438114</v>
      </c>
      <c r="D1365" s="39">
        <f t="shared" si="43"/>
        <v>4287603.145122136</v>
      </c>
    </row>
    <row r="1366" spans="2:4" x14ac:dyDescent="0.25">
      <c r="B1366" s="90">
        <v>1362</v>
      </c>
      <c r="C1366" s="39">
        <f t="shared" si="42"/>
        <v>5361275.1916573625</v>
      </c>
      <c r="D1366" s="39">
        <f t="shared" si="43"/>
        <v>4290753.4780722624</v>
      </c>
    </row>
    <row r="1367" spans="2:4" x14ac:dyDescent="0.25">
      <c r="B1367" s="90">
        <v>1363</v>
      </c>
      <c r="C1367" s="39">
        <f t="shared" si="42"/>
        <v>5363922.5302709155</v>
      </c>
      <c r="D1367" s="39">
        <f t="shared" si="43"/>
        <v>4293903.8110223887</v>
      </c>
    </row>
    <row r="1368" spans="2:4" x14ac:dyDescent="0.25">
      <c r="B1368" s="90">
        <v>1364</v>
      </c>
      <c r="C1368" s="39">
        <f t="shared" si="42"/>
        <v>5366569.8688844666</v>
      </c>
      <c r="D1368" s="39">
        <f t="shared" si="43"/>
        <v>4297054.1439725151</v>
      </c>
    </row>
    <row r="1369" spans="2:4" x14ac:dyDescent="0.25">
      <c r="B1369" s="90">
        <v>1365</v>
      </c>
      <c r="C1369" s="39">
        <f t="shared" si="42"/>
        <v>5369217.2074980177</v>
      </c>
      <c r="D1369" s="39">
        <f t="shared" si="43"/>
        <v>4300204.4769226415</v>
      </c>
    </row>
    <row r="1370" spans="2:4" x14ac:dyDescent="0.25">
      <c r="B1370" s="90">
        <v>1366</v>
      </c>
      <c r="C1370" s="39">
        <f t="shared" si="42"/>
        <v>5371864.5461115697</v>
      </c>
      <c r="D1370" s="39">
        <f t="shared" si="43"/>
        <v>4303354.8098727679</v>
      </c>
    </row>
    <row r="1371" spans="2:4" x14ac:dyDescent="0.25">
      <c r="B1371" s="90">
        <v>1367</v>
      </c>
      <c r="C1371" s="39">
        <f t="shared" si="42"/>
        <v>5374511.8847251218</v>
      </c>
      <c r="D1371" s="39">
        <f t="shared" si="43"/>
        <v>4306505.1428228952</v>
      </c>
    </row>
    <row r="1372" spans="2:4" x14ac:dyDescent="0.25">
      <c r="B1372" s="90">
        <v>1368</v>
      </c>
      <c r="C1372" s="39">
        <f t="shared" si="42"/>
        <v>5377159.2233386729</v>
      </c>
      <c r="D1372" s="39">
        <f t="shared" si="43"/>
        <v>4309655.4757730216</v>
      </c>
    </row>
    <row r="1373" spans="2:4" x14ac:dyDescent="0.25">
      <c r="B1373" s="90">
        <v>1369</v>
      </c>
      <c r="C1373" s="39">
        <f t="shared" si="42"/>
        <v>5379806.5619522249</v>
      </c>
      <c r="D1373" s="39">
        <f t="shared" si="43"/>
        <v>4312805.808723148</v>
      </c>
    </row>
    <row r="1374" spans="2:4" x14ac:dyDescent="0.25">
      <c r="B1374" s="90">
        <v>1370</v>
      </c>
      <c r="C1374" s="39">
        <f t="shared" si="42"/>
        <v>5382453.900565777</v>
      </c>
      <c r="D1374" s="39">
        <f t="shared" si="43"/>
        <v>4315956.1416732743</v>
      </c>
    </row>
    <row r="1375" spans="2:4" x14ac:dyDescent="0.25">
      <c r="B1375" s="90">
        <v>1371</v>
      </c>
      <c r="C1375" s="39">
        <f t="shared" si="42"/>
        <v>5385101.2391793281</v>
      </c>
      <c r="D1375" s="39">
        <f t="shared" si="43"/>
        <v>4319106.4746234007</v>
      </c>
    </row>
    <row r="1376" spans="2:4" x14ac:dyDescent="0.25">
      <c r="B1376" s="90">
        <v>1372</v>
      </c>
      <c r="C1376" s="39">
        <f t="shared" si="42"/>
        <v>5387748.5777928792</v>
      </c>
      <c r="D1376" s="39">
        <f t="shared" si="43"/>
        <v>4322256.8075735271</v>
      </c>
    </row>
    <row r="1377" spans="2:4" x14ac:dyDescent="0.25">
      <c r="B1377" s="90">
        <v>1373</v>
      </c>
      <c r="C1377" s="39">
        <f t="shared" si="42"/>
        <v>5390395.9164064312</v>
      </c>
      <c r="D1377" s="39">
        <f t="shared" si="43"/>
        <v>4325407.1405236535</v>
      </c>
    </row>
    <row r="1378" spans="2:4" x14ac:dyDescent="0.25">
      <c r="B1378" s="90">
        <v>1374</v>
      </c>
      <c r="C1378" s="39">
        <f t="shared" si="42"/>
        <v>5393043.2550199833</v>
      </c>
      <c r="D1378" s="39">
        <f t="shared" si="43"/>
        <v>4328557.4734737799</v>
      </c>
    </row>
    <row r="1379" spans="2:4" x14ac:dyDescent="0.25">
      <c r="B1379" s="90">
        <v>1375</v>
      </c>
      <c r="C1379" s="39">
        <f t="shared" si="42"/>
        <v>5395690.5936335344</v>
      </c>
      <c r="D1379" s="39">
        <f t="shared" si="43"/>
        <v>4331707.8064239062</v>
      </c>
    </row>
    <row r="1380" spans="2:4" x14ac:dyDescent="0.25">
      <c r="B1380" s="90">
        <v>1376</v>
      </c>
      <c r="C1380" s="39">
        <f t="shared" si="42"/>
        <v>5398337.9322470864</v>
      </c>
      <c r="D1380" s="39">
        <f t="shared" si="43"/>
        <v>4334858.1393740326</v>
      </c>
    </row>
    <row r="1381" spans="2:4" x14ac:dyDescent="0.25">
      <c r="B1381" s="90">
        <v>1377</v>
      </c>
      <c r="C1381" s="39">
        <f t="shared" si="42"/>
        <v>5400985.2708606385</v>
      </c>
      <c r="D1381" s="39">
        <f t="shared" si="43"/>
        <v>4338008.4723241599</v>
      </c>
    </row>
    <row r="1382" spans="2:4" x14ac:dyDescent="0.25">
      <c r="B1382" s="90">
        <v>1378</v>
      </c>
      <c r="C1382" s="39">
        <f t="shared" si="42"/>
        <v>5403632.6094741896</v>
      </c>
      <c r="D1382" s="39">
        <f t="shared" si="43"/>
        <v>4341158.8052742863</v>
      </c>
    </row>
    <row r="1383" spans="2:4" x14ac:dyDescent="0.25">
      <c r="B1383" s="90">
        <v>1379</v>
      </c>
      <c r="C1383" s="39">
        <f t="shared" si="42"/>
        <v>5406279.9480877416</v>
      </c>
      <c r="D1383" s="39">
        <f t="shared" si="43"/>
        <v>4344309.1382244127</v>
      </c>
    </row>
    <row r="1384" spans="2:4" x14ac:dyDescent="0.25">
      <c r="B1384" s="90">
        <v>1380</v>
      </c>
      <c r="C1384" s="39">
        <f t="shared" si="42"/>
        <v>5408927.2867012937</v>
      </c>
      <c r="D1384" s="39">
        <f t="shared" si="43"/>
        <v>4347459.4711745391</v>
      </c>
    </row>
    <row r="1385" spans="2:4" x14ac:dyDescent="0.25">
      <c r="B1385" s="90">
        <v>1381</v>
      </c>
      <c r="C1385" s="39">
        <f t="shared" si="42"/>
        <v>5411574.6253148448</v>
      </c>
      <c r="D1385" s="39">
        <f t="shared" si="43"/>
        <v>4350609.8041246654</v>
      </c>
    </row>
    <row r="1386" spans="2:4" x14ac:dyDescent="0.25">
      <c r="B1386" s="90">
        <v>1382</v>
      </c>
      <c r="C1386" s="39">
        <f t="shared" si="42"/>
        <v>5414221.9639283959</v>
      </c>
      <c r="D1386" s="39">
        <f t="shared" si="43"/>
        <v>4353760.1370747918</v>
      </c>
    </row>
    <row r="1387" spans="2:4" x14ac:dyDescent="0.25">
      <c r="B1387" s="90">
        <v>1383</v>
      </c>
      <c r="C1387" s="39">
        <f t="shared" si="42"/>
        <v>5416869.3025419479</v>
      </c>
      <c r="D1387" s="39">
        <f t="shared" si="43"/>
        <v>4356910.4700249182</v>
      </c>
    </row>
    <row r="1388" spans="2:4" x14ac:dyDescent="0.25">
      <c r="B1388" s="90">
        <v>1384</v>
      </c>
      <c r="C1388" s="39">
        <f t="shared" si="42"/>
        <v>5419516.6411555</v>
      </c>
      <c r="D1388" s="39">
        <f t="shared" si="43"/>
        <v>4360060.8029750446</v>
      </c>
    </row>
    <row r="1389" spans="2:4" x14ac:dyDescent="0.25">
      <c r="B1389" s="90">
        <v>1385</v>
      </c>
      <c r="C1389" s="39">
        <f t="shared" si="42"/>
        <v>5422163.9797690511</v>
      </c>
      <c r="D1389" s="39">
        <f t="shared" si="43"/>
        <v>4363211.135925171</v>
      </c>
    </row>
    <row r="1390" spans="2:4" x14ac:dyDescent="0.25">
      <c r="B1390" s="90">
        <v>1386</v>
      </c>
      <c r="C1390" s="39">
        <f t="shared" si="42"/>
        <v>5424811.3183826031</v>
      </c>
      <c r="D1390" s="39">
        <f t="shared" si="43"/>
        <v>4366361.4688752983</v>
      </c>
    </row>
    <row r="1391" spans="2:4" x14ac:dyDescent="0.25">
      <c r="B1391" s="90">
        <v>1387</v>
      </c>
      <c r="C1391" s="39">
        <f t="shared" si="42"/>
        <v>5427458.6569961552</v>
      </c>
      <c r="D1391" s="39">
        <f t="shared" si="43"/>
        <v>4369511.8018254247</v>
      </c>
    </row>
    <row r="1392" spans="2:4" x14ac:dyDescent="0.25">
      <c r="B1392" s="90">
        <v>1388</v>
      </c>
      <c r="C1392" s="39">
        <f t="shared" si="42"/>
        <v>5430105.9956097063</v>
      </c>
      <c r="D1392" s="39">
        <f t="shared" si="43"/>
        <v>4372662.134775551</v>
      </c>
    </row>
    <row r="1393" spans="2:4" x14ac:dyDescent="0.25">
      <c r="B1393" s="90">
        <v>1389</v>
      </c>
      <c r="C1393" s="39">
        <f t="shared" ref="C1393:C1456" si="44">($C$2*B1393)+$C$1</f>
        <v>5432753.3342232574</v>
      </c>
      <c r="D1393" s="39">
        <f t="shared" ref="D1393:D1456" si="45">$D$2*B1393</f>
        <v>4375812.4677256774</v>
      </c>
    </row>
    <row r="1394" spans="2:4" x14ac:dyDescent="0.25">
      <c r="B1394" s="90">
        <v>1390</v>
      </c>
      <c r="C1394" s="39">
        <f t="shared" si="44"/>
        <v>5435400.6728368104</v>
      </c>
      <c r="D1394" s="39">
        <f t="shared" si="45"/>
        <v>4378962.8006758038</v>
      </c>
    </row>
    <row r="1395" spans="2:4" x14ac:dyDescent="0.25">
      <c r="B1395" s="90">
        <v>1391</v>
      </c>
      <c r="C1395" s="39">
        <f t="shared" si="44"/>
        <v>5438048.0114503615</v>
      </c>
      <c r="D1395" s="39">
        <f t="shared" si="45"/>
        <v>4382113.1336259302</v>
      </c>
    </row>
    <row r="1396" spans="2:4" x14ac:dyDescent="0.25">
      <c r="B1396" s="90">
        <v>1392</v>
      </c>
      <c r="C1396" s="39">
        <f t="shared" si="44"/>
        <v>5440695.3500639126</v>
      </c>
      <c r="D1396" s="39">
        <f t="shared" si="45"/>
        <v>4385263.4665760566</v>
      </c>
    </row>
    <row r="1397" spans="2:4" x14ac:dyDescent="0.25">
      <c r="B1397" s="90">
        <v>1393</v>
      </c>
      <c r="C1397" s="39">
        <f t="shared" si="44"/>
        <v>5443342.6886774646</v>
      </c>
      <c r="D1397" s="39">
        <f t="shared" si="45"/>
        <v>4388413.7995261829</v>
      </c>
    </row>
    <row r="1398" spans="2:4" x14ac:dyDescent="0.25">
      <c r="B1398" s="90">
        <v>1394</v>
      </c>
      <c r="C1398" s="39">
        <f t="shared" si="44"/>
        <v>5445990.0272910167</v>
      </c>
      <c r="D1398" s="39">
        <f t="shared" si="45"/>
        <v>4391564.1324763093</v>
      </c>
    </row>
    <row r="1399" spans="2:4" x14ac:dyDescent="0.25">
      <c r="B1399" s="90">
        <v>1395</v>
      </c>
      <c r="C1399" s="39">
        <f t="shared" si="44"/>
        <v>5448637.3659045678</v>
      </c>
      <c r="D1399" s="39">
        <f t="shared" si="45"/>
        <v>4394714.4654264357</v>
      </c>
    </row>
    <row r="1400" spans="2:4" x14ac:dyDescent="0.25">
      <c r="B1400" s="90">
        <v>1396</v>
      </c>
      <c r="C1400" s="39">
        <f t="shared" si="44"/>
        <v>5451284.7045181198</v>
      </c>
      <c r="D1400" s="39">
        <f t="shared" si="45"/>
        <v>4397864.798376563</v>
      </c>
    </row>
    <row r="1401" spans="2:4" x14ac:dyDescent="0.25">
      <c r="B1401" s="90">
        <v>1397</v>
      </c>
      <c r="C1401" s="39">
        <f t="shared" si="44"/>
        <v>5453932.0431316718</v>
      </c>
      <c r="D1401" s="39">
        <f t="shared" si="45"/>
        <v>4401015.1313266894</v>
      </c>
    </row>
    <row r="1402" spans="2:4" x14ac:dyDescent="0.25">
      <c r="B1402" s="90">
        <v>1398</v>
      </c>
      <c r="C1402" s="39">
        <f t="shared" si="44"/>
        <v>5456579.381745223</v>
      </c>
      <c r="D1402" s="39">
        <f t="shared" si="45"/>
        <v>4404165.4642768158</v>
      </c>
    </row>
    <row r="1403" spans="2:4" x14ac:dyDescent="0.25">
      <c r="B1403" s="90">
        <v>1399</v>
      </c>
      <c r="C1403" s="39">
        <f t="shared" si="44"/>
        <v>5459226.7203587741</v>
      </c>
      <c r="D1403" s="39">
        <f t="shared" si="45"/>
        <v>4407315.7972269421</v>
      </c>
    </row>
    <row r="1404" spans="2:4" x14ac:dyDescent="0.25">
      <c r="B1404" s="90">
        <v>1400</v>
      </c>
      <c r="C1404" s="39">
        <f t="shared" si="44"/>
        <v>5461874.0589723261</v>
      </c>
      <c r="D1404" s="39">
        <f t="shared" si="45"/>
        <v>4410466.1301770685</v>
      </c>
    </row>
    <row r="1405" spans="2:4" x14ac:dyDescent="0.25">
      <c r="B1405" s="90">
        <v>1401</v>
      </c>
      <c r="C1405" s="39">
        <f t="shared" si="44"/>
        <v>5464521.3975858781</v>
      </c>
      <c r="D1405" s="39">
        <f t="shared" si="45"/>
        <v>4413616.4631271949</v>
      </c>
    </row>
    <row r="1406" spans="2:4" x14ac:dyDescent="0.25">
      <c r="B1406" s="90">
        <v>1402</v>
      </c>
      <c r="C1406" s="39">
        <f t="shared" si="44"/>
        <v>5467168.7361994293</v>
      </c>
      <c r="D1406" s="39">
        <f t="shared" si="45"/>
        <v>4416766.7960773213</v>
      </c>
    </row>
    <row r="1407" spans="2:4" x14ac:dyDescent="0.25">
      <c r="B1407" s="90">
        <v>1403</v>
      </c>
      <c r="C1407" s="39">
        <f t="shared" si="44"/>
        <v>5469816.0748129813</v>
      </c>
      <c r="D1407" s="39">
        <f t="shared" si="45"/>
        <v>4419917.1290274477</v>
      </c>
    </row>
    <row r="1408" spans="2:4" x14ac:dyDescent="0.25">
      <c r="B1408" s="90">
        <v>1404</v>
      </c>
      <c r="C1408" s="39">
        <f t="shared" si="44"/>
        <v>5472463.4134265333</v>
      </c>
      <c r="D1408" s="39">
        <f t="shared" si="45"/>
        <v>4423067.461977574</v>
      </c>
    </row>
    <row r="1409" spans="2:4" x14ac:dyDescent="0.25">
      <c r="B1409" s="90">
        <v>1405</v>
      </c>
      <c r="C1409" s="39">
        <f t="shared" si="44"/>
        <v>5475110.7520400845</v>
      </c>
      <c r="D1409" s="39">
        <f t="shared" si="45"/>
        <v>4426217.7949277004</v>
      </c>
    </row>
    <row r="1410" spans="2:4" x14ac:dyDescent="0.25">
      <c r="B1410" s="90">
        <v>1406</v>
      </c>
      <c r="C1410" s="39">
        <f t="shared" si="44"/>
        <v>5477758.0906536365</v>
      </c>
      <c r="D1410" s="39">
        <f t="shared" si="45"/>
        <v>4429368.1278778277</v>
      </c>
    </row>
    <row r="1411" spans="2:4" x14ac:dyDescent="0.25">
      <c r="B1411" s="90">
        <v>1407</v>
      </c>
      <c r="C1411" s="39">
        <f t="shared" si="44"/>
        <v>5480405.4292671885</v>
      </c>
      <c r="D1411" s="39">
        <f t="shared" si="45"/>
        <v>4432518.4608279541</v>
      </c>
    </row>
    <row r="1412" spans="2:4" x14ac:dyDescent="0.25">
      <c r="B1412" s="90">
        <v>1408</v>
      </c>
      <c r="C1412" s="39">
        <f t="shared" si="44"/>
        <v>5483052.7678807396</v>
      </c>
      <c r="D1412" s="39">
        <f t="shared" si="45"/>
        <v>4435668.7937780805</v>
      </c>
    </row>
    <row r="1413" spans="2:4" x14ac:dyDescent="0.25">
      <c r="B1413" s="90">
        <v>1409</v>
      </c>
      <c r="C1413" s="39">
        <f t="shared" si="44"/>
        <v>5485700.1064942908</v>
      </c>
      <c r="D1413" s="39">
        <f t="shared" si="45"/>
        <v>4438819.1267282069</v>
      </c>
    </row>
    <row r="1414" spans="2:4" x14ac:dyDescent="0.25">
      <c r="B1414" s="90">
        <v>1410</v>
      </c>
      <c r="C1414" s="39">
        <f t="shared" si="44"/>
        <v>5488347.4451078428</v>
      </c>
      <c r="D1414" s="39">
        <f t="shared" si="45"/>
        <v>4441969.4596783333</v>
      </c>
    </row>
    <row r="1415" spans="2:4" x14ac:dyDescent="0.25">
      <c r="B1415" s="90">
        <v>1411</v>
      </c>
      <c r="C1415" s="39">
        <f t="shared" si="44"/>
        <v>5490994.7837213948</v>
      </c>
      <c r="D1415" s="39">
        <f t="shared" si="45"/>
        <v>4445119.7926284596</v>
      </c>
    </row>
    <row r="1416" spans="2:4" x14ac:dyDescent="0.25">
      <c r="B1416" s="90">
        <v>1412</v>
      </c>
      <c r="C1416" s="39">
        <f t="shared" si="44"/>
        <v>5493642.1223349459</v>
      </c>
      <c r="D1416" s="39">
        <f t="shared" si="45"/>
        <v>4448270.125578586</v>
      </c>
    </row>
    <row r="1417" spans="2:4" x14ac:dyDescent="0.25">
      <c r="B1417" s="90">
        <v>1413</v>
      </c>
      <c r="C1417" s="39">
        <f t="shared" si="44"/>
        <v>5496289.460948498</v>
      </c>
      <c r="D1417" s="39">
        <f t="shared" si="45"/>
        <v>4451420.4585287124</v>
      </c>
    </row>
    <row r="1418" spans="2:4" x14ac:dyDescent="0.25">
      <c r="B1418" s="90">
        <v>1414</v>
      </c>
      <c r="C1418" s="39">
        <f t="shared" si="44"/>
        <v>5498936.79956205</v>
      </c>
      <c r="D1418" s="39">
        <f t="shared" si="45"/>
        <v>4454570.7914788388</v>
      </c>
    </row>
    <row r="1419" spans="2:4" x14ac:dyDescent="0.25">
      <c r="B1419" s="90">
        <v>1415</v>
      </c>
      <c r="C1419" s="39">
        <f t="shared" si="44"/>
        <v>5501584.1381756011</v>
      </c>
      <c r="D1419" s="39">
        <f t="shared" si="45"/>
        <v>4457721.1244289661</v>
      </c>
    </row>
    <row r="1420" spans="2:4" x14ac:dyDescent="0.25">
      <c r="B1420" s="90">
        <v>1416</v>
      </c>
      <c r="C1420" s="39">
        <f t="shared" si="44"/>
        <v>5504231.4767891522</v>
      </c>
      <c r="D1420" s="39">
        <f t="shared" si="45"/>
        <v>4460871.4573790925</v>
      </c>
    </row>
    <row r="1421" spans="2:4" x14ac:dyDescent="0.25">
      <c r="B1421" s="90">
        <v>1417</v>
      </c>
      <c r="C1421" s="39">
        <f t="shared" si="44"/>
        <v>5506878.8154027052</v>
      </c>
      <c r="D1421" s="39">
        <f t="shared" si="45"/>
        <v>4464021.7903292188</v>
      </c>
    </row>
    <row r="1422" spans="2:4" x14ac:dyDescent="0.25">
      <c r="B1422" s="90">
        <v>1418</v>
      </c>
      <c r="C1422" s="39">
        <f t="shared" si="44"/>
        <v>5509526.1540162563</v>
      </c>
      <c r="D1422" s="39">
        <f t="shared" si="45"/>
        <v>4467172.1232793452</v>
      </c>
    </row>
    <row r="1423" spans="2:4" x14ac:dyDescent="0.25">
      <c r="B1423" s="90">
        <v>1419</v>
      </c>
      <c r="C1423" s="39">
        <f t="shared" si="44"/>
        <v>5512173.4926298074</v>
      </c>
      <c r="D1423" s="39">
        <f t="shared" si="45"/>
        <v>4470322.4562294716</v>
      </c>
    </row>
    <row r="1424" spans="2:4" x14ac:dyDescent="0.25">
      <c r="B1424" s="90">
        <v>1420</v>
      </c>
      <c r="C1424" s="39">
        <f t="shared" si="44"/>
        <v>5514820.8312433595</v>
      </c>
      <c r="D1424" s="39">
        <f t="shared" si="45"/>
        <v>4473472.789179598</v>
      </c>
    </row>
    <row r="1425" spans="2:4" x14ac:dyDescent="0.25">
      <c r="B1425" s="90">
        <v>1421</v>
      </c>
      <c r="C1425" s="39">
        <f t="shared" si="44"/>
        <v>5517468.1698569115</v>
      </c>
      <c r="D1425" s="39">
        <f t="shared" si="45"/>
        <v>4476623.1221297244</v>
      </c>
    </row>
    <row r="1426" spans="2:4" x14ac:dyDescent="0.25">
      <c r="B1426" s="90">
        <v>1422</v>
      </c>
      <c r="C1426" s="39">
        <f t="shared" si="44"/>
        <v>5520115.5084704626</v>
      </c>
      <c r="D1426" s="39">
        <f t="shared" si="45"/>
        <v>4479773.4550798507</v>
      </c>
    </row>
    <row r="1427" spans="2:4" x14ac:dyDescent="0.25">
      <c r="B1427" s="90">
        <v>1423</v>
      </c>
      <c r="C1427" s="39">
        <f t="shared" si="44"/>
        <v>5522762.8470840147</v>
      </c>
      <c r="D1427" s="39">
        <f t="shared" si="45"/>
        <v>4482923.7880299771</v>
      </c>
    </row>
    <row r="1428" spans="2:4" x14ac:dyDescent="0.25">
      <c r="B1428" s="90">
        <v>1424</v>
      </c>
      <c r="C1428" s="39">
        <f t="shared" si="44"/>
        <v>5525410.1856975667</v>
      </c>
      <c r="D1428" s="39">
        <f t="shared" si="45"/>
        <v>4486074.1209801035</v>
      </c>
    </row>
    <row r="1429" spans="2:4" x14ac:dyDescent="0.25">
      <c r="B1429" s="90">
        <v>1425</v>
      </c>
      <c r="C1429" s="39">
        <f t="shared" si="44"/>
        <v>5528057.5243111178</v>
      </c>
      <c r="D1429" s="39">
        <f t="shared" si="45"/>
        <v>4489224.4539302308</v>
      </c>
    </row>
    <row r="1430" spans="2:4" x14ac:dyDescent="0.25">
      <c r="B1430" s="90">
        <v>1426</v>
      </c>
      <c r="C1430" s="39">
        <f t="shared" si="44"/>
        <v>5530704.8629246689</v>
      </c>
      <c r="D1430" s="39">
        <f t="shared" si="45"/>
        <v>4492374.7868803572</v>
      </c>
    </row>
    <row r="1431" spans="2:4" x14ac:dyDescent="0.25">
      <c r="B1431" s="90">
        <v>1427</v>
      </c>
      <c r="C1431" s="39">
        <f t="shared" si="44"/>
        <v>5533352.201538221</v>
      </c>
      <c r="D1431" s="39">
        <f t="shared" si="45"/>
        <v>4495525.1198304836</v>
      </c>
    </row>
    <row r="1432" spans="2:4" x14ac:dyDescent="0.25">
      <c r="B1432" s="90">
        <v>1428</v>
      </c>
      <c r="C1432" s="39">
        <f t="shared" si="44"/>
        <v>5535999.540151773</v>
      </c>
      <c r="D1432" s="39">
        <f t="shared" si="45"/>
        <v>4498675.45278061</v>
      </c>
    </row>
    <row r="1433" spans="2:4" x14ac:dyDescent="0.25">
      <c r="B1433" s="90">
        <v>1429</v>
      </c>
      <c r="C1433" s="39">
        <f t="shared" si="44"/>
        <v>5538646.8787653241</v>
      </c>
      <c r="D1433" s="39">
        <f t="shared" si="45"/>
        <v>4501825.7857307363</v>
      </c>
    </row>
    <row r="1434" spans="2:4" x14ac:dyDescent="0.25">
      <c r="B1434" s="90">
        <v>1430</v>
      </c>
      <c r="C1434" s="39">
        <f t="shared" si="44"/>
        <v>5541294.2173788762</v>
      </c>
      <c r="D1434" s="39">
        <f t="shared" si="45"/>
        <v>4504976.1186808627</v>
      </c>
    </row>
    <row r="1435" spans="2:4" x14ac:dyDescent="0.25">
      <c r="B1435" s="90">
        <v>1431</v>
      </c>
      <c r="C1435" s="39">
        <f t="shared" si="44"/>
        <v>5543941.5559924282</v>
      </c>
      <c r="D1435" s="39">
        <f t="shared" si="45"/>
        <v>4508126.4516309891</v>
      </c>
    </row>
    <row r="1436" spans="2:4" x14ac:dyDescent="0.25">
      <c r="B1436" s="90">
        <v>1432</v>
      </c>
      <c r="C1436" s="39">
        <f t="shared" si="44"/>
        <v>5546588.8946059793</v>
      </c>
      <c r="D1436" s="39">
        <f t="shared" si="45"/>
        <v>4511276.7845811155</v>
      </c>
    </row>
    <row r="1437" spans="2:4" x14ac:dyDescent="0.25">
      <c r="B1437" s="90">
        <v>1433</v>
      </c>
      <c r="C1437" s="39">
        <f t="shared" si="44"/>
        <v>5549236.2332195304</v>
      </c>
      <c r="D1437" s="39">
        <f t="shared" si="45"/>
        <v>4514427.1175312418</v>
      </c>
    </row>
    <row r="1438" spans="2:4" x14ac:dyDescent="0.25">
      <c r="B1438" s="90">
        <v>1434</v>
      </c>
      <c r="C1438" s="39">
        <f t="shared" si="44"/>
        <v>5551883.5718330834</v>
      </c>
      <c r="D1438" s="39">
        <f t="shared" si="45"/>
        <v>4517577.4504813692</v>
      </c>
    </row>
    <row r="1439" spans="2:4" x14ac:dyDescent="0.25">
      <c r="B1439" s="90">
        <v>1435</v>
      </c>
      <c r="C1439" s="39">
        <f t="shared" si="44"/>
        <v>5554530.9104466345</v>
      </c>
      <c r="D1439" s="39">
        <f t="shared" si="45"/>
        <v>4520727.7834314955</v>
      </c>
    </row>
    <row r="1440" spans="2:4" x14ac:dyDescent="0.25">
      <c r="B1440" s="90">
        <v>1436</v>
      </c>
      <c r="C1440" s="39">
        <f t="shared" si="44"/>
        <v>5557178.2490601856</v>
      </c>
      <c r="D1440" s="39">
        <f t="shared" si="45"/>
        <v>4523878.1163816219</v>
      </c>
    </row>
    <row r="1441" spans="2:4" x14ac:dyDescent="0.25">
      <c r="B1441" s="90">
        <v>1437</v>
      </c>
      <c r="C1441" s="39">
        <f t="shared" si="44"/>
        <v>5559825.5876737377</v>
      </c>
      <c r="D1441" s="39">
        <f t="shared" si="45"/>
        <v>4527028.4493317483</v>
      </c>
    </row>
    <row r="1442" spans="2:4" x14ac:dyDescent="0.25">
      <c r="B1442" s="90">
        <v>1438</v>
      </c>
      <c r="C1442" s="39">
        <f t="shared" si="44"/>
        <v>5562472.9262872897</v>
      </c>
      <c r="D1442" s="39">
        <f t="shared" si="45"/>
        <v>4530178.7822818747</v>
      </c>
    </row>
    <row r="1443" spans="2:4" x14ac:dyDescent="0.25">
      <c r="B1443" s="90">
        <v>1439</v>
      </c>
      <c r="C1443" s="39">
        <f t="shared" si="44"/>
        <v>5565120.2649008408</v>
      </c>
      <c r="D1443" s="39">
        <f t="shared" si="45"/>
        <v>4533329.1152320011</v>
      </c>
    </row>
    <row r="1444" spans="2:4" x14ac:dyDescent="0.25">
      <c r="B1444" s="90">
        <v>1440</v>
      </c>
      <c r="C1444" s="39">
        <f t="shared" si="44"/>
        <v>5567767.6035143929</v>
      </c>
      <c r="D1444" s="39">
        <f t="shared" si="45"/>
        <v>4536479.4481821274</v>
      </c>
    </row>
    <row r="1445" spans="2:4" x14ac:dyDescent="0.25">
      <c r="B1445" s="90">
        <v>1441</v>
      </c>
      <c r="C1445" s="39">
        <f t="shared" si="44"/>
        <v>5570414.9421279449</v>
      </c>
      <c r="D1445" s="39">
        <f t="shared" si="45"/>
        <v>4539629.7811322538</v>
      </c>
    </row>
    <row r="1446" spans="2:4" x14ac:dyDescent="0.25">
      <c r="B1446" s="90">
        <v>1442</v>
      </c>
      <c r="C1446" s="39">
        <f t="shared" si="44"/>
        <v>5573062.280741496</v>
      </c>
      <c r="D1446" s="39">
        <f t="shared" si="45"/>
        <v>4542780.1140823802</v>
      </c>
    </row>
    <row r="1447" spans="2:4" x14ac:dyDescent="0.25">
      <c r="B1447" s="90">
        <v>1443</v>
      </c>
      <c r="C1447" s="39">
        <f t="shared" si="44"/>
        <v>5575709.6193550471</v>
      </c>
      <c r="D1447" s="39">
        <f t="shared" si="45"/>
        <v>4545930.4470325066</v>
      </c>
    </row>
    <row r="1448" spans="2:4" x14ac:dyDescent="0.25">
      <c r="B1448" s="90">
        <v>1444</v>
      </c>
      <c r="C1448" s="39">
        <f t="shared" si="44"/>
        <v>5578356.9579686001</v>
      </c>
      <c r="D1448" s="39">
        <f t="shared" si="45"/>
        <v>4549080.7799826339</v>
      </c>
    </row>
    <row r="1449" spans="2:4" x14ac:dyDescent="0.25">
      <c r="B1449" s="90">
        <v>1445</v>
      </c>
      <c r="C1449" s="39">
        <f t="shared" si="44"/>
        <v>5581004.2965821512</v>
      </c>
      <c r="D1449" s="39">
        <f t="shared" si="45"/>
        <v>4552231.1129327603</v>
      </c>
    </row>
    <row r="1450" spans="2:4" x14ac:dyDescent="0.25">
      <c r="B1450" s="90">
        <v>1446</v>
      </c>
      <c r="C1450" s="39">
        <f t="shared" si="44"/>
        <v>5583651.6351957023</v>
      </c>
      <c r="D1450" s="39">
        <f t="shared" si="45"/>
        <v>4555381.4458828866</v>
      </c>
    </row>
    <row r="1451" spans="2:4" x14ac:dyDescent="0.25">
      <c r="B1451" s="90">
        <v>1447</v>
      </c>
      <c r="C1451" s="39">
        <f t="shared" si="44"/>
        <v>5586298.9738092544</v>
      </c>
      <c r="D1451" s="39">
        <f t="shared" si="45"/>
        <v>4558531.778833013</v>
      </c>
    </row>
    <row r="1452" spans="2:4" x14ac:dyDescent="0.25">
      <c r="B1452" s="90">
        <v>1448</v>
      </c>
      <c r="C1452" s="39">
        <f t="shared" si="44"/>
        <v>5588946.3124228064</v>
      </c>
      <c r="D1452" s="39">
        <f t="shared" si="45"/>
        <v>4561682.1117831394</v>
      </c>
    </row>
    <row r="1453" spans="2:4" x14ac:dyDescent="0.25">
      <c r="B1453" s="90">
        <v>1449</v>
      </c>
      <c r="C1453" s="39">
        <f t="shared" si="44"/>
        <v>5591593.6510363575</v>
      </c>
      <c r="D1453" s="39">
        <f t="shared" si="45"/>
        <v>4564832.4447332658</v>
      </c>
    </row>
    <row r="1454" spans="2:4" x14ac:dyDescent="0.25">
      <c r="B1454" s="90">
        <v>1450</v>
      </c>
      <c r="C1454" s="39">
        <f t="shared" si="44"/>
        <v>5594240.9896499095</v>
      </c>
      <c r="D1454" s="39">
        <f t="shared" si="45"/>
        <v>4567982.7776833922</v>
      </c>
    </row>
    <row r="1455" spans="2:4" x14ac:dyDescent="0.25">
      <c r="B1455" s="90">
        <v>1451</v>
      </c>
      <c r="C1455" s="39">
        <f t="shared" si="44"/>
        <v>5596888.3282634616</v>
      </c>
      <c r="D1455" s="39">
        <f t="shared" si="45"/>
        <v>4571133.1106335185</v>
      </c>
    </row>
    <row r="1456" spans="2:4" x14ac:dyDescent="0.25">
      <c r="B1456" s="90">
        <v>1452</v>
      </c>
      <c r="C1456" s="39">
        <f t="shared" si="44"/>
        <v>5599535.6668770127</v>
      </c>
      <c r="D1456" s="39">
        <f t="shared" si="45"/>
        <v>4574283.4435836449</v>
      </c>
    </row>
    <row r="1457" spans="2:4" x14ac:dyDescent="0.25">
      <c r="B1457" s="90">
        <v>1453</v>
      </c>
      <c r="C1457" s="39">
        <f t="shared" ref="C1457:C1520" si="46">($C$2*B1457)+$C$1</f>
        <v>5602183.0054905638</v>
      </c>
      <c r="D1457" s="39">
        <f t="shared" ref="D1457:D1520" si="47">$D$2*B1457</f>
        <v>4577433.7765337722</v>
      </c>
    </row>
    <row r="1458" spans="2:4" x14ac:dyDescent="0.25">
      <c r="B1458" s="90">
        <v>1454</v>
      </c>
      <c r="C1458" s="39">
        <f t="shared" si="46"/>
        <v>5604830.3441041159</v>
      </c>
      <c r="D1458" s="39">
        <f t="shared" si="47"/>
        <v>4580584.1094838986</v>
      </c>
    </row>
    <row r="1459" spans="2:4" x14ac:dyDescent="0.25">
      <c r="B1459" s="90">
        <v>1455</v>
      </c>
      <c r="C1459" s="39">
        <f t="shared" si="46"/>
        <v>5607477.6827176679</v>
      </c>
      <c r="D1459" s="39">
        <f t="shared" si="47"/>
        <v>4583734.442434025</v>
      </c>
    </row>
    <row r="1460" spans="2:4" x14ac:dyDescent="0.25">
      <c r="B1460" s="90">
        <v>1456</v>
      </c>
      <c r="C1460" s="39">
        <f t="shared" si="46"/>
        <v>5610125.021331219</v>
      </c>
      <c r="D1460" s="39">
        <f t="shared" si="47"/>
        <v>4586884.7753841514</v>
      </c>
    </row>
    <row r="1461" spans="2:4" x14ac:dyDescent="0.25">
      <c r="B1461" s="90">
        <v>1457</v>
      </c>
      <c r="C1461" s="39">
        <f t="shared" si="46"/>
        <v>5612772.359944771</v>
      </c>
      <c r="D1461" s="39">
        <f t="shared" si="47"/>
        <v>4590035.1083342778</v>
      </c>
    </row>
    <row r="1462" spans="2:4" x14ac:dyDescent="0.25">
      <c r="B1462" s="90">
        <v>1458</v>
      </c>
      <c r="C1462" s="39">
        <f t="shared" si="46"/>
        <v>5615419.6985583231</v>
      </c>
      <c r="D1462" s="39">
        <f t="shared" si="47"/>
        <v>4593185.4412844041</v>
      </c>
    </row>
    <row r="1463" spans="2:4" x14ac:dyDescent="0.25">
      <c r="B1463" s="90">
        <v>1459</v>
      </c>
      <c r="C1463" s="39">
        <f t="shared" si="46"/>
        <v>5618067.0371718742</v>
      </c>
      <c r="D1463" s="39">
        <f t="shared" si="47"/>
        <v>4596335.7742345305</v>
      </c>
    </row>
    <row r="1464" spans="2:4" x14ac:dyDescent="0.25">
      <c r="B1464" s="90">
        <v>1460</v>
      </c>
      <c r="C1464" s="39">
        <f t="shared" si="46"/>
        <v>5620714.3757854253</v>
      </c>
      <c r="D1464" s="39">
        <f t="shared" si="47"/>
        <v>4599486.1071846569</v>
      </c>
    </row>
    <row r="1465" spans="2:4" x14ac:dyDescent="0.25">
      <c r="B1465" s="90">
        <v>1461</v>
      </c>
      <c r="C1465" s="39">
        <f t="shared" si="46"/>
        <v>5623361.7143989783</v>
      </c>
      <c r="D1465" s="39">
        <f t="shared" si="47"/>
        <v>4602636.4401347833</v>
      </c>
    </row>
    <row r="1466" spans="2:4" x14ac:dyDescent="0.25">
      <c r="B1466" s="90">
        <v>1462</v>
      </c>
      <c r="C1466" s="39">
        <f t="shared" si="46"/>
        <v>5626009.0530125294</v>
      </c>
      <c r="D1466" s="39">
        <f t="shared" si="47"/>
        <v>4605786.7730849097</v>
      </c>
    </row>
    <row r="1467" spans="2:4" x14ac:dyDescent="0.25">
      <c r="B1467" s="90">
        <v>1463</v>
      </c>
      <c r="C1467" s="39">
        <f t="shared" si="46"/>
        <v>5628656.3916260805</v>
      </c>
      <c r="D1467" s="39">
        <f t="shared" si="47"/>
        <v>4608937.106035037</v>
      </c>
    </row>
    <row r="1468" spans="2:4" x14ac:dyDescent="0.25">
      <c r="B1468" s="90">
        <v>1464</v>
      </c>
      <c r="C1468" s="39">
        <f t="shared" si="46"/>
        <v>5631303.7302396325</v>
      </c>
      <c r="D1468" s="39">
        <f t="shared" si="47"/>
        <v>4612087.4389851633</v>
      </c>
    </row>
    <row r="1469" spans="2:4" x14ac:dyDescent="0.25">
      <c r="B1469" s="90">
        <v>1465</v>
      </c>
      <c r="C1469" s="39">
        <f t="shared" si="46"/>
        <v>5633951.0688531846</v>
      </c>
      <c r="D1469" s="39">
        <f t="shared" si="47"/>
        <v>4615237.7719352897</v>
      </c>
    </row>
    <row r="1470" spans="2:4" x14ac:dyDescent="0.25">
      <c r="B1470" s="90">
        <v>1466</v>
      </c>
      <c r="C1470" s="39">
        <f t="shared" si="46"/>
        <v>5636598.4074667357</v>
      </c>
      <c r="D1470" s="39">
        <f t="shared" si="47"/>
        <v>4618388.1048854161</v>
      </c>
    </row>
    <row r="1471" spans="2:4" x14ac:dyDescent="0.25">
      <c r="B1471" s="90">
        <v>1467</v>
      </c>
      <c r="C1471" s="39">
        <f t="shared" si="46"/>
        <v>5639245.7460802877</v>
      </c>
      <c r="D1471" s="39">
        <f t="shared" si="47"/>
        <v>4621538.4378355425</v>
      </c>
    </row>
    <row r="1472" spans="2:4" x14ac:dyDescent="0.25">
      <c r="B1472" s="90">
        <v>1468</v>
      </c>
      <c r="C1472" s="39">
        <f t="shared" si="46"/>
        <v>5641893.0846938398</v>
      </c>
      <c r="D1472" s="39">
        <f t="shared" si="47"/>
        <v>4624688.7707856689</v>
      </c>
    </row>
    <row r="1473" spans="2:4" x14ac:dyDescent="0.25">
      <c r="B1473" s="90">
        <v>1469</v>
      </c>
      <c r="C1473" s="39">
        <f t="shared" si="46"/>
        <v>5644540.4233073909</v>
      </c>
      <c r="D1473" s="39">
        <f t="shared" si="47"/>
        <v>4627839.1037357952</v>
      </c>
    </row>
    <row r="1474" spans="2:4" x14ac:dyDescent="0.25">
      <c r="B1474" s="90">
        <v>1470</v>
      </c>
      <c r="C1474" s="39">
        <f t="shared" si="46"/>
        <v>5647187.761920942</v>
      </c>
      <c r="D1474" s="39">
        <f t="shared" si="47"/>
        <v>4630989.4366859216</v>
      </c>
    </row>
    <row r="1475" spans="2:4" x14ac:dyDescent="0.25">
      <c r="B1475" s="90">
        <v>1471</v>
      </c>
      <c r="C1475" s="39">
        <f t="shared" si="46"/>
        <v>5649835.100534495</v>
      </c>
      <c r="D1475" s="39">
        <f t="shared" si="47"/>
        <v>4634139.769636048</v>
      </c>
    </row>
    <row r="1476" spans="2:4" x14ac:dyDescent="0.25">
      <c r="B1476" s="90">
        <v>1472</v>
      </c>
      <c r="C1476" s="39">
        <f t="shared" si="46"/>
        <v>5652482.4391480461</v>
      </c>
      <c r="D1476" s="39">
        <f t="shared" si="47"/>
        <v>4637290.1025861753</v>
      </c>
    </row>
    <row r="1477" spans="2:4" x14ac:dyDescent="0.25">
      <c r="B1477" s="90">
        <v>1473</v>
      </c>
      <c r="C1477" s="39">
        <f t="shared" si="46"/>
        <v>5655129.7777615972</v>
      </c>
      <c r="D1477" s="39">
        <f t="shared" si="47"/>
        <v>4640440.4355363017</v>
      </c>
    </row>
    <row r="1478" spans="2:4" x14ac:dyDescent="0.25">
      <c r="B1478" s="90">
        <v>1474</v>
      </c>
      <c r="C1478" s="39">
        <f t="shared" si="46"/>
        <v>5657777.1163751492</v>
      </c>
      <c r="D1478" s="39">
        <f t="shared" si="47"/>
        <v>4643590.7684864281</v>
      </c>
    </row>
    <row r="1479" spans="2:4" x14ac:dyDescent="0.25">
      <c r="B1479" s="90">
        <v>1475</v>
      </c>
      <c r="C1479" s="39">
        <f t="shared" si="46"/>
        <v>5660424.4549887013</v>
      </c>
      <c r="D1479" s="39">
        <f t="shared" si="47"/>
        <v>4646741.1014365545</v>
      </c>
    </row>
    <row r="1480" spans="2:4" x14ac:dyDescent="0.25">
      <c r="B1480" s="90">
        <v>1476</v>
      </c>
      <c r="C1480" s="39">
        <f t="shared" si="46"/>
        <v>5663071.7936022524</v>
      </c>
      <c r="D1480" s="39">
        <f t="shared" si="47"/>
        <v>4649891.4343866808</v>
      </c>
    </row>
    <row r="1481" spans="2:4" x14ac:dyDescent="0.25">
      <c r="B1481" s="90">
        <v>1477</v>
      </c>
      <c r="C1481" s="39">
        <f t="shared" si="46"/>
        <v>5665719.1322158044</v>
      </c>
      <c r="D1481" s="39">
        <f t="shared" si="47"/>
        <v>4653041.7673368072</v>
      </c>
    </row>
    <row r="1482" spans="2:4" x14ac:dyDescent="0.25">
      <c r="B1482" s="90">
        <v>1478</v>
      </c>
      <c r="C1482" s="39">
        <f t="shared" si="46"/>
        <v>5668366.4708293565</v>
      </c>
      <c r="D1482" s="39">
        <f t="shared" si="47"/>
        <v>4656192.1002869336</v>
      </c>
    </row>
    <row r="1483" spans="2:4" x14ac:dyDescent="0.25">
      <c r="B1483" s="90">
        <v>1479</v>
      </c>
      <c r="C1483" s="39">
        <f t="shared" si="46"/>
        <v>5671013.8094429076</v>
      </c>
      <c r="D1483" s="39">
        <f t="shared" si="47"/>
        <v>4659342.43323706</v>
      </c>
    </row>
    <row r="1484" spans="2:4" x14ac:dyDescent="0.25">
      <c r="B1484" s="90">
        <v>1480</v>
      </c>
      <c r="C1484" s="39">
        <f t="shared" si="46"/>
        <v>5673661.1480564587</v>
      </c>
      <c r="D1484" s="39">
        <f t="shared" si="47"/>
        <v>4662492.7661871864</v>
      </c>
    </row>
    <row r="1485" spans="2:4" x14ac:dyDescent="0.25">
      <c r="B1485" s="90">
        <v>1481</v>
      </c>
      <c r="C1485" s="39">
        <f t="shared" si="46"/>
        <v>5676308.4866700107</v>
      </c>
      <c r="D1485" s="39">
        <f t="shared" si="47"/>
        <v>4665643.0991373127</v>
      </c>
    </row>
    <row r="1486" spans="2:4" x14ac:dyDescent="0.25">
      <c r="B1486" s="90">
        <v>1482</v>
      </c>
      <c r="C1486" s="39">
        <f t="shared" si="46"/>
        <v>5678955.8252835628</v>
      </c>
      <c r="D1486" s="39">
        <f t="shared" si="47"/>
        <v>4668793.43208744</v>
      </c>
    </row>
    <row r="1487" spans="2:4" x14ac:dyDescent="0.25">
      <c r="B1487" s="90">
        <v>1483</v>
      </c>
      <c r="C1487" s="39">
        <f t="shared" si="46"/>
        <v>5681603.1638971139</v>
      </c>
      <c r="D1487" s="39">
        <f t="shared" si="47"/>
        <v>4671943.7650375664</v>
      </c>
    </row>
    <row r="1488" spans="2:4" x14ac:dyDescent="0.25">
      <c r="B1488" s="90">
        <v>1484</v>
      </c>
      <c r="C1488" s="39">
        <f t="shared" si="46"/>
        <v>5684250.5025106659</v>
      </c>
      <c r="D1488" s="39">
        <f t="shared" si="47"/>
        <v>4675094.0979876928</v>
      </c>
    </row>
    <row r="1489" spans="2:4" x14ac:dyDescent="0.25">
      <c r="B1489" s="90">
        <v>1485</v>
      </c>
      <c r="C1489" s="39">
        <f t="shared" si="46"/>
        <v>5686897.841124218</v>
      </c>
      <c r="D1489" s="39">
        <f t="shared" si="47"/>
        <v>4678244.4309378192</v>
      </c>
    </row>
    <row r="1490" spans="2:4" x14ac:dyDescent="0.25">
      <c r="B1490" s="90">
        <v>1486</v>
      </c>
      <c r="C1490" s="39">
        <f t="shared" si="46"/>
        <v>5689545.1797377691</v>
      </c>
      <c r="D1490" s="39">
        <f t="shared" si="47"/>
        <v>4681394.7638879456</v>
      </c>
    </row>
    <row r="1491" spans="2:4" x14ac:dyDescent="0.25">
      <c r="B1491" s="90">
        <v>1487</v>
      </c>
      <c r="C1491" s="39">
        <f t="shared" si="46"/>
        <v>5692192.5183513202</v>
      </c>
      <c r="D1491" s="39">
        <f t="shared" si="47"/>
        <v>4684545.0968380719</v>
      </c>
    </row>
    <row r="1492" spans="2:4" x14ac:dyDescent="0.25">
      <c r="B1492" s="90">
        <v>1488</v>
      </c>
      <c r="C1492" s="39">
        <f t="shared" si="46"/>
        <v>5694839.8569648731</v>
      </c>
      <c r="D1492" s="39">
        <f t="shared" si="47"/>
        <v>4687695.4297881983</v>
      </c>
    </row>
    <row r="1493" spans="2:4" x14ac:dyDescent="0.25">
      <c r="B1493" s="90">
        <v>1489</v>
      </c>
      <c r="C1493" s="39">
        <f t="shared" si="46"/>
        <v>5697487.1955784243</v>
      </c>
      <c r="D1493" s="39">
        <f t="shared" si="47"/>
        <v>4690845.7627383247</v>
      </c>
    </row>
    <row r="1494" spans="2:4" x14ac:dyDescent="0.25">
      <c r="B1494" s="90">
        <v>1490</v>
      </c>
      <c r="C1494" s="39">
        <f t="shared" si="46"/>
        <v>5700134.5341919754</v>
      </c>
      <c r="D1494" s="39">
        <f t="shared" si="47"/>
        <v>4693996.0956884511</v>
      </c>
    </row>
    <row r="1495" spans="2:4" x14ac:dyDescent="0.25">
      <c r="B1495" s="90">
        <v>1491</v>
      </c>
      <c r="C1495" s="39">
        <f t="shared" si="46"/>
        <v>5702781.8728055274</v>
      </c>
      <c r="D1495" s="39">
        <f t="shared" si="47"/>
        <v>4697146.4286385784</v>
      </c>
    </row>
    <row r="1496" spans="2:4" x14ac:dyDescent="0.25">
      <c r="B1496" s="90">
        <v>1492</v>
      </c>
      <c r="C1496" s="39">
        <f t="shared" si="46"/>
        <v>5705429.2114190795</v>
      </c>
      <c r="D1496" s="39">
        <f t="shared" si="47"/>
        <v>4700296.7615887048</v>
      </c>
    </row>
    <row r="1497" spans="2:4" x14ac:dyDescent="0.25">
      <c r="B1497" s="90">
        <v>1493</v>
      </c>
      <c r="C1497" s="39">
        <f t="shared" si="46"/>
        <v>5708076.5500326306</v>
      </c>
      <c r="D1497" s="39">
        <f t="shared" si="47"/>
        <v>4703447.0945388312</v>
      </c>
    </row>
    <row r="1498" spans="2:4" x14ac:dyDescent="0.25">
      <c r="B1498" s="90">
        <v>1494</v>
      </c>
      <c r="C1498" s="39">
        <f t="shared" si="46"/>
        <v>5710723.8886461826</v>
      </c>
      <c r="D1498" s="39">
        <f t="shared" si="47"/>
        <v>4706597.4274889575</v>
      </c>
    </row>
    <row r="1499" spans="2:4" x14ac:dyDescent="0.25">
      <c r="B1499" s="90">
        <v>1495</v>
      </c>
      <c r="C1499" s="39">
        <f t="shared" si="46"/>
        <v>5713371.2272597346</v>
      </c>
      <c r="D1499" s="39">
        <f t="shared" si="47"/>
        <v>4709747.7604390839</v>
      </c>
    </row>
    <row r="1500" spans="2:4" x14ac:dyDescent="0.25">
      <c r="B1500" s="90">
        <v>1496</v>
      </c>
      <c r="C1500" s="39">
        <f t="shared" si="46"/>
        <v>5716018.5658732858</v>
      </c>
      <c r="D1500" s="39">
        <f t="shared" si="47"/>
        <v>4712898.0933892103</v>
      </c>
    </row>
    <row r="1501" spans="2:4" x14ac:dyDescent="0.25">
      <c r="B1501" s="90">
        <v>1497</v>
      </c>
      <c r="C1501" s="39">
        <f t="shared" si="46"/>
        <v>5718665.9044868369</v>
      </c>
      <c r="D1501" s="39">
        <f t="shared" si="47"/>
        <v>4716048.4263393367</v>
      </c>
    </row>
    <row r="1502" spans="2:4" x14ac:dyDescent="0.25">
      <c r="B1502" s="90">
        <v>1498</v>
      </c>
      <c r="C1502" s="39">
        <f t="shared" si="46"/>
        <v>5721313.2431003889</v>
      </c>
      <c r="D1502" s="39">
        <f t="shared" si="47"/>
        <v>4719198.7592894631</v>
      </c>
    </row>
    <row r="1503" spans="2:4" x14ac:dyDescent="0.25">
      <c r="B1503" s="90">
        <v>1499</v>
      </c>
      <c r="C1503" s="39">
        <f t="shared" si="46"/>
        <v>5723960.5817139409</v>
      </c>
      <c r="D1503" s="39">
        <f t="shared" si="47"/>
        <v>4722349.0922395894</v>
      </c>
    </row>
    <row r="1504" spans="2:4" x14ac:dyDescent="0.25">
      <c r="B1504" s="90">
        <v>1500</v>
      </c>
      <c r="C1504" s="39">
        <f t="shared" si="46"/>
        <v>5726607.9203274921</v>
      </c>
      <c r="D1504" s="39">
        <f t="shared" si="47"/>
        <v>4725499.4251897158</v>
      </c>
    </row>
    <row r="1505" spans="2:4" x14ac:dyDescent="0.25">
      <c r="B1505" s="90">
        <v>1501</v>
      </c>
      <c r="C1505" s="39">
        <f t="shared" si="46"/>
        <v>5729255.2589410441</v>
      </c>
      <c r="D1505" s="39">
        <f t="shared" si="47"/>
        <v>4728649.7581398431</v>
      </c>
    </row>
    <row r="1506" spans="2:4" x14ac:dyDescent="0.25">
      <c r="B1506" s="90">
        <v>1502</v>
      </c>
      <c r="C1506" s="39">
        <f t="shared" si="46"/>
        <v>5731902.5975545961</v>
      </c>
      <c r="D1506" s="39">
        <f t="shared" si="47"/>
        <v>4731800.0910899695</v>
      </c>
    </row>
    <row r="1507" spans="2:4" x14ac:dyDescent="0.25">
      <c r="B1507" s="90">
        <v>1503</v>
      </c>
      <c r="C1507" s="39">
        <f t="shared" si="46"/>
        <v>5734549.9361681473</v>
      </c>
      <c r="D1507" s="39">
        <f t="shared" si="47"/>
        <v>4734950.4240400959</v>
      </c>
    </row>
    <row r="1508" spans="2:4" x14ac:dyDescent="0.25">
      <c r="B1508" s="90">
        <v>1504</v>
      </c>
      <c r="C1508" s="39">
        <f t="shared" si="46"/>
        <v>5737197.2747816993</v>
      </c>
      <c r="D1508" s="39">
        <f t="shared" si="47"/>
        <v>4738100.7569902223</v>
      </c>
    </row>
    <row r="1509" spans="2:4" x14ac:dyDescent="0.25">
      <c r="B1509" s="90">
        <v>1505</v>
      </c>
      <c r="C1509" s="39">
        <f t="shared" si="46"/>
        <v>5739844.6133952513</v>
      </c>
      <c r="D1509" s="39">
        <f t="shared" si="47"/>
        <v>4741251.0899403486</v>
      </c>
    </row>
    <row r="1510" spans="2:4" x14ac:dyDescent="0.25">
      <c r="B1510" s="90">
        <v>1506</v>
      </c>
      <c r="C1510" s="39">
        <f t="shared" si="46"/>
        <v>5742491.9520088024</v>
      </c>
      <c r="D1510" s="39">
        <f t="shared" si="47"/>
        <v>4744401.422890475</v>
      </c>
    </row>
    <row r="1511" spans="2:4" x14ac:dyDescent="0.25">
      <c r="B1511" s="90">
        <v>1507</v>
      </c>
      <c r="C1511" s="39">
        <f t="shared" si="46"/>
        <v>5745139.2906223536</v>
      </c>
      <c r="D1511" s="39">
        <f t="shared" si="47"/>
        <v>4747551.7558406014</v>
      </c>
    </row>
    <row r="1512" spans="2:4" x14ac:dyDescent="0.25">
      <c r="B1512" s="90">
        <v>1508</v>
      </c>
      <c r="C1512" s="39">
        <f t="shared" si="46"/>
        <v>5747786.6292359056</v>
      </c>
      <c r="D1512" s="39">
        <f t="shared" si="47"/>
        <v>4750702.0887907278</v>
      </c>
    </row>
    <row r="1513" spans="2:4" x14ac:dyDescent="0.25">
      <c r="B1513" s="90">
        <v>1509</v>
      </c>
      <c r="C1513" s="39">
        <f t="shared" si="46"/>
        <v>5750433.9678494576</v>
      </c>
      <c r="D1513" s="39">
        <f t="shared" si="47"/>
        <v>4753852.4217408542</v>
      </c>
    </row>
    <row r="1514" spans="2:4" x14ac:dyDescent="0.25">
      <c r="B1514" s="90">
        <v>1510</v>
      </c>
      <c r="C1514" s="39">
        <f t="shared" si="46"/>
        <v>5753081.3064630087</v>
      </c>
      <c r="D1514" s="39">
        <f t="shared" si="47"/>
        <v>4757002.7546909815</v>
      </c>
    </row>
    <row r="1515" spans="2:4" x14ac:dyDescent="0.25">
      <c r="B1515" s="90">
        <v>1511</v>
      </c>
      <c r="C1515" s="39">
        <f t="shared" si="46"/>
        <v>5755728.6450765608</v>
      </c>
      <c r="D1515" s="39">
        <f t="shared" si="47"/>
        <v>4760153.0876411078</v>
      </c>
    </row>
    <row r="1516" spans="2:4" x14ac:dyDescent="0.25">
      <c r="B1516" s="90">
        <v>1512</v>
      </c>
      <c r="C1516" s="39">
        <f t="shared" si="46"/>
        <v>5758375.9836901128</v>
      </c>
      <c r="D1516" s="39">
        <f t="shared" si="47"/>
        <v>4763303.4205912342</v>
      </c>
    </row>
    <row r="1517" spans="2:4" x14ac:dyDescent="0.25">
      <c r="B1517" s="90">
        <v>1513</v>
      </c>
      <c r="C1517" s="39">
        <f t="shared" si="46"/>
        <v>5761023.3223036639</v>
      </c>
      <c r="D1517" s="39">
        <f t="shared" si="47"/>
        <v>4766453.7535413606</v>
      </c>
    </row>
    <row r="1518" spans="2:4" x14ac:dyDescent="0.25">
      <c r="B1518" s="90">
        <v>1514</v>
      </c>
      <c r="C1518" s="39">
        <f t="shared" si="46"/>
        <v>5763670.660917215</v>
      </c>
      <c r="D1518" s="39">
        <f t="shared" si="47"/>
        <v>4769604.086491487</v>
      </c>
    </row>
    <row r="1519" spans="2:4" x14ac:dyDescent="0.25">
      <c r="B1519" s="90">
        <v>1515</v>
      </c>
      <c r="C1519" s="39">
        <f t="shared" si="46"/>
        <v>5766317.999530768</v>
      </c>
      <c r="D1519" s="39">
        <f t="shared" si="47"/>
        <v>4772754.4194416134</v>
      </c>
    </row>
    <row r="1520" spans="2:4" x14ac:dyDescent="0.25">
      <c r="B1520" s="90">
        <v>1516</v>
      </c>
      <c r="C1520" s="39">
        <f t="shared" si="46"/>
        <v>5768965.3381443191</v>
      </c>
      <c r="D1520" s="39">
        <f t="shared" si="47"/>
        <v>4775904.7523917397</v>
      </c>
    </row>
    <row r="1521" spans="2:4" x14ac:dyDescent="0.25">
      <c r="B1521" s="90">
        <v>1517</v>
      </c>
      <c r="C1521" s="39">
        <f t="shared" ref="C1521:C1584" si="48">($C$2*B1521)+$C$1</f>
        <v>5771612.6767578702</v>
      </c>
      <c r="D1521" s="39">
        <f t="shared" ref="D1521:D1584" si="49">$D$2*B1521</f>
        <v>4779055.0853418661</v>
      </c>
    </row>
    <row r="1522" spans="2:4" x14ac:dyDescent="0.25">
      <c r="B1522" s="90">
        <v>1518</v>
      </c>
      <c r="C1522" s="39">
        <f t="shared" si="48"/>
        <v>5774260.0153714223</v>
      </c>
      <c r="D1522" s="39">
        <f t="shared" si="49"/>
        <v>4782205.4182919925</v>
      </c>
    </row>
    <row r="1523" spans="2:4" x14ac:dyDescent="0.25">
      <c r="B1523" s="90">
        <v>1519</v>
      </c>
      <c r="C1523" s="39">
        <f t="shared" si="48"/>
        <v>5776907.3539849743</v>
      </c>
      <c r="D1523" s="39">
        <f t="shared" si="49"/>
        <v>4785355.7512421189</v>
      </c>
    </row>
    <row r="1524" spans="2:4" x14ac:dyDescent="0.25">
      <c r="B1524" s="90">
        <v>1520</v>
      </c>
      <c r="C1524" s="39">
        <f t="shared" si="48"/>
        <v>5779554.6925985254</v>
      </c>
      <c r="D1524" s="39">
        <f t="shared" si="49"/>
        <v>4788506.0841922462</v>
      </c>
    </row>
    <row r="1525" spans="2:4" x14ac:dyDescent="0.25">
      <c r="B1525" s="90">
        <v>1521</v>
      </c>
      <c r="C1525" s="39">
        <f t="shared" si="48"/>
        <v>5782202.0312120775</v>
      </c>
      <c r="D1525" s="39">
        <f t="shared" si="49"/>
        <v>4791656.4171423726</v>
      </c>
    </row>
    <row r="1526" spans="2:4" x14ac:dyDescent="0.25">
      <c r="B1526" s="90">
        <v>1522</v>
      </c>
      <c r="C1526" s="39">
        <f t="shared" si="48"/>
        <v>5784849.3698256295</v>
      </c>
      <c r="D1526" s="39">
        <f t="shared" si="49"/>
        <v>4794806.750092499</v>
      </c>
    </row>
    <row r="1527" spans="2:4" x14ac:dyDescent="0.25">
      <c r="B1527" s="90">
        <v>1523</v>
      </c>
      <c r="C1527" s="39">
        <f t="shared" si="48"/>
        <v>5787496.7084391806</v>
      </c>
      <c r="D1527" s="39">
        <f t="shared" si="49"/>
        <v>4797957.0830426253</v>
      </c>
    </row>
    <row r="1528" spans="2:4" x14ac:dyDescent="0.25">
      <c r="B1528" s="90">
        <v>1524</v>
      </c>
      <c r="C1528" s="39">
        <f t="shared" si="48"/>
        <v>5790144.0470527317</v>
      </c>
      <c r="D1528" s="39">
        <f t="shared" si="49"/>
        <v>4801107.4159927517</v>
      </c>
    </row>
    <row r="1529" spans="2:4" x14ac:dyDescent="0.25">
      <c r="B1529" s="90">
        <v>1525</v>
      </c>
      <c r="C1529" s="39">
        <f t="shared" si="48"/>
        <v>5792791.3856662838</v>
      </c>
      <c r="D1529" s="39">
        <f t="shared" si="49"/>
        <v>4804257.7489428781</v>
      </c>
    </row>
    <row r="1530" spans="2:4" x14ac:dyDescent="0.25">
      <c r="B1530" s="90">
        <v>1526</v>
      </c>
      <c r="C1530" s="39">
        <f t="shared" si="48"/>
        <v>5795438.7242798358</v>
      </c>
      <c r="D1530" s="39">
        <f t="shared" si="49"/>
        <v>4807408.0818930045</v>
      </c>
    </row>
    <row r="1531" spans="2:4" x14ac:dyDescent="0.25">
      <c r="B1531" s="90">
        <v>1527</v>
      </c>
      <c r="C1531" s="39">
        <f t="shared" si="48"/>
        <v>5798086.0628933869</v>
      </c>
      <c r="D1531" s="39">
        <f t="shared" si="49"/>
        <v>4810558.4148431309</v>
      </c>
    </row>
    <row r="1532" spans="2:4" x14ac:dyDescent="0.25">
      <c r="B1532" s="90">
        <v>1528</v>
      </c>
      <c r="C1532" s="39">
        <f t="shared" si="48"/>
        <v>5800733.401506939</v>
      </c>
      <c r="D1532" s="39">
        <f t="shared" si="49"/>
        <v>4813708.7477932572</v>
      </c>
    </row>
    <row r="1533" spans="2:4" x14ac:dyDescent="0.25">
      <c r="B1533" s="90">
        <v>1529</v>
      </c>
      <c r="C1533" s="39">
        <f t="shared" si="48"/>
        <v>5803380.740120491</v>
      </c>
      <c r="D1533" s="39">
        <f t="shared" si="49"/>
        <v>4816859.0807433845</v>
      </c>
    </row>
    <row r="1534" spans="2:4" x14ac:dyDescent="0.25">
      <c r="B1534" s="90">
        <v>1530</v>
      </c>
      <c r="C1534" s="39">
        <f t="shared" si="48"/>
        <v>5806028.0787340421</v>
      </c>
      <c r="D1534" s="39">
        <f t="shared" si="49"/>
        <v>4820009.4136935109</v>
      </c>
    </row>
    <row r="1535" spans="2:4" x14ac:dyDescent="0.25">
      <c r="B1535" s="90">
        <v>1531</v>
      </c>
      <c r="C1535" s="39">
        <f t="shared" si="48"/>
        <v>5808675.4173475942</v>
      </c>
      <c r="D1535" s="39">
        <f t="shared" si="49"/>
        <v>4823159.7466436373</v>
      </c>
    </row>
    <row r="1536" spans="2:4" x14ac:dyDescent="0.25">
      <c r="B1536" s="90">
        <v>1532</v>
      </c>
      <c r="C1536" s="39">
        <f t="shared" si="48"/>
        <v>5811322.7559611462</v>
      </c>
      <c r="D1536" s="39">
        <f t="shared" si="49"/>
        <v>4826310.0795937637</v>
      </c>
    </row>
    <row r="1537" spans="2:4" x14ac:dyDescent="0.25">
      <c r="B1537" s="90">
        <v>1533</v>
      </c>
      <c r="C1537" s="39">
        <f t="shared" si="48"/>
        <v>5813970.0945746973</v>
      </c>
      <c r="D1537" s="39">
        <f t="shared" si="49"/>
        <v>4829460.4125438901</v>
      </c>
    </row>
    <row r="1538" spans="2:4" x14ac:dyDescent="0.25">
      <c r="B1538" s="90">
        <v>1534</v>
      </c>
      <c r="C1538" s="39">
        <f t="shared" si="48"/>
        <v>5816617.4331882484</v>
      </c>
      <c r="D1538" s="39">
        <f t="shared" si="49"/>
        <v>4832610.7454940164</v>
      </c>
    </row>
    <row r="1539" spans="2:4" x14ac:dyDescent="0.25">
      <c r="B1539" s="90">
        <v>1535</v>
      </c>
      <c r="C1539" s="39">
        <f t="shared" si="48"/>
        <v>5819264.7718018005</v>
      </c>
      <c r="D1539" s="39">
        <f t="shared" si="49"/>
        <v>4835761.0784441428</v>
      </c>
    </row>
    <row r="1540" spans="2:4" x14ac:dyDescent="0.25">
      <c r="B1540" s="90">
        <v>1536</v>
      </c>
      <c r="C1540" s="39">
        <f t="shared" si="48"/>
        <v>5821912.1104153525</v>
      </c>
      <c r="D1540" s="39">
        <f t="shared" si="49"/>
        <v>4838911.4113942692</v>
      </c>
    </row>
    <row r="1541" spans="2:4" x14ac:dyDescent="0.25">
      <c r="B1541" s="90">
        <v>1537</v>
      </c>
      <c r="C1541" s="39">
        <f t="shared" si="48"/>
        <v>5824559.4490289036</v>
      </c>
      <c r="D1541" s="39">
        <f t="shared" si="49"/>
        <v>4842061.7443443956</v>
      </c>
    </row>
    <row r="1542" spans="2:4" x14ac:dyDescent="0.25">
      <c r="B1542" s="90">
        <v>1538</v>
      </c>
      <c r="C1542" s="39">
        <f t="shared" si="48"/>
        <v>5827206.7876424557</v>
      </c>
      <c r="D1542" s="39">
        <f t="shared" si="49"/>
        <v>4845212.077294522</v>
      </c>
    </row>
    <row r="1543" spans="2:4" x14ac:dyDescent="0.25">
      <c r="B1543" s="90">
        <v>1539</v>
      </c>
      <c r="C1543" s="39">
        <f t="shared" si="48"/>
        <v>5829854.1262560077</v>
      </c>
      <c r="D1543" s="39">
        <f t="shared" si="49"/>
        <v>4848362.4102446493</v>
      </c>
    </row>
    <row r="1544" spans="2:4" x14ac:dyDescent="0.25">
      <c r="B1544" s="90">
        <v>1540</v>
      </c>
      <c r="C1544" s="39">
        <f t="shared" si="48"/>
        <v>5832501.4648695588</v>
      </c>
      <c r="D1544" s="39">
        <f t="shared" si="49"/>
        <v>4851512.7431947757</v>
      </c>
    </row>
    <row r="1545" spans="2:4" x14ac:dyDescent="0.25">
      <c r="B1545" s="90">
        <v>1541</v>
      </c>
      <c r="C1545" s="39">
        <f t="shared" si="48"/>
        <v>5835148.8034831099</v>
      </c>
      <c r="D1545" s="39">
        <f t="shared" si="49"/>
        <v>4854663.076144902</v>
      </c>
    </row>
    <row r="1546" spans="2:4" x14ac:dyDescent="0.25">
      <c r="B1546" s="90">
        <v>1542</v>
      </c>
      <c r="C1546" s="39">
        <f t="shared" si="48"/>
        <v>5837796.1420966629</v>
      </c>
      <c r="D1546" s="39">
        <f t="shared" si="49"/>
        <v>4857813.4090950284</v>
      </c>
    </row>
    <row r="1547" spans="2:4" x14ac:dyDescent="0.25">
      <c r="B1547" s="90">
        <v>1543</v>
      </c>
      <c r="C1547" s="39">
        <f t="shared" si="48"/>
        <v>5840443.480710214</v>
      </c>
      <c r="D1547" s="39">
        <f t="shared" si="49"/>
        <v>4860963.7420451548</v>
      </c>
    </row>
    <row r="1548" spans="2:4" x14ac:dyDescent="0.25">
      <c r="B1548" s="90">
        <v>1544</v>
      </c>
      <c r="C1548" s="39">
        <f t="shared" si="48"/>
        <v>5843090.8193237651</v>
      </c>
      <c r="D1548" s="39">
        <f t="shared" si="49"/>
        <v>4864114.0749952812</v>
      </c>
    </row>
    <row r="1549" spans="2:4" x14ac:dyDescent="0.25">
      <c r="B1549" s="90">
        <v>1545</v>
      </c>
      <c r="C1549" s="39">
        <f t="shared" si="48"/>
        <v>5845738.1579373172</v>
      </c>
      <c r="D1549" s="39">
        <f t="shared" si="49"/>
        <v>4867264.4079454076</v>
      </c>
    </row>
    <row r="1550" spans="2:4" x14ac:dyDescent="0.25">
      <c r="B1550" s="90">
        <v>1546</v>
      </c>
      <c r="C1550" s="39">
        <f t="shared" si="48"/>
        <v>5848385.4965508692</v>
      </c>
      <c r="D1550" s="39">
        <f t="shared" si="49"/>
        <v>4870414.7408955339</v>
      </c>
    </row>
    <row r="1551" spans="2:4" x14ac:dyDescent="0.25">
      <c r="B1551" s="90">
        <v>1547</v>
      </c>
      <c r="C1551" s="39">
        <f t="shared" si="48"/>
        <v>5851032.8351644203</v>
      </c>
      <c r="D1551" s="39">
        <f t="shared" si="49"/>
        <v>4873565.0738456603</v>
      </c>
    </row>
    <row r="1552" spans="2:4" x14ac:dyDescent="0.25">
      <c r="B1552" s="90">
        <v>1548</v>
      </c>
      <c r="C1552" s="39">
        <f t="shared" si="48"/>
        <v>5853680.1737779723</v>
      </c>
      <c r="D1552" s="39">
        <f t="shared" si="49"/>
        <v>4876715.4067957876</v>
      </c>
    </row>
    <row r="1553" spans="2:4" x14ac:dyDescent="0.25">
      <c r="B1553" s="90">
        <v>1549</v>
      </c>
      <c r="C1553" s="39">
        <f t="shared" si="48"/>
        <v>5856327.5123915244</v>
      </c>
      <c r="D1553" s="39">
        <f t="shared" si="49"/>
        <v>4879865.739745914</v>
      </c>
    </row>
    <row r="1554" spans="2:4" x14ac:dyDescent="0.25">
      <c r="B1554" s="90">
        <v>1550</v>
      </c>
      <c r="C1554" s="39">
        <f t="shared" si="48"/>
        <v>5858974.8510050755</v>
      </c>
      <c r="D1554" s="39">
        <f t="shared" si="49"/>
        <v>4883016.0726960404</v>
      </c>
    </row>
    <row r="1555" spans="2:4" x14ac:dyDescent="0.25">
      <c r="B1555" s="90">
        <v>1551</v>
      </c>
      <c r="C1555" s="39">
        <f t="shared" si="48"/>
        <v>5861622.1896186266</v>
      </c>
      <c r="D1555" s="39">
        <f t="shared" si="49"/>
        <v>4886166.4056461668</v>
      </c>
    </row>
    <row r="1556" spans="2:4" x14ac:dyDescent="0.25">
      <c r="B1556" s="90">
        <v>1552</v>
      </c>
      <c r="C1556" s="39">
        <f t="shared" si="48"/>
        <v>5864269.5282321787</v>
      </c>
      <c r="D1556" s="39">
        <f t="shared" si="49"/>
        <v>4889316.7385962931</v>
      </c>
    </row>
    <row r="1557" spans="2:4" x14ac:dyDescent="0.25">
      <c r="B1557" s="90">
        <v>1553</v>
      </c>
      <c r="C1557" s="39">
        <f t="shared" si="48"/>
        <v>5866916.8668457307</v>
      </c>
      <c r="D1557" s="39">
        <f t="shared" si="49"/>
        <v>4892467.0715464195</v>
      </c>
    </row>
    <row r="1558" spans="2:4" x14ac:dyDescent="0.25">
      <c r="B1558" s="90">
        <v>1554</v>
      </c>
      <c r="C1558" s="39">
        <f t="shared" si="48"/>
        <v>5869564.2054592818</v>
      </c>
      <c r="D1558" s="39">
        <f t="shared" si="49"/>
        <v>4895617.4044965459</v>
      </c>
    </row>
    <row r="1559" spans="2:4" x14ac:dyDescent="0.25">
      <c r="B1559" s="90">
        <v>1555</v>
      </c>
      <c r="C1559" s="39">
        <f t="shared" si="48"/>
        <v>5872211.5440728338</v>
      </c>
      <c r="D1559" s="39">
        <f t="shared" si="49"/>
        <v>4898767.7374466723</v>
      </c>
    </row>
    <row r="1560" spans="2:4" x14ac:dyDescent="0.25">
      <c r="B1560" s="90">
        <v>1556</v>
      </c>
      <c r="C1560" s="39">
        <f t="shared" si="48"/>
        <v>5874858.8826863859</v>
      </c>
      <c r="D1560" s="39">
        <f t="shared" si="49"/>
        <v>4901918.0703967987</v>
      </c>
    </row>
    <row r="1561" spans="2:4" x14ac:dyDescent="0.25">
      <c r="B1561" s="90">
        <v>1557</v>
      </c>
      <c r="C1561" s="39">
        <f t="shared" si="48"/>
        <v>5877506.221299937</v>
      </c>
      <c r="D1561" s="39">
        <f t="shared" si="49"/>
        <v>4905068.403346925</v>
      </c>
    </row>
    <row r="1562" spans="2:4" x14ac:dyDescent="0.25">
      <c r="B1562" s="90">
        <v>1558</v>
      </c>
      <c r="C1562" s="39">
        <f t="shared" si="48"/>
        <v>5880153.559913489</v>
      </c>
      <c r="D1562" s="39">
        <f t="shared" si="49"/>
        <v>4908218.7362970524</v>
      </c>
    </row>
    <row r="1563" spans="2:4" x14ac:dyDescent="0.25">
      <c r="B1563" s="90">
        <v>1559</v>
      </c>
      <c r="C1563" s="39">
        <f t="shared" si="48"/>
        <v>5882800.8985270411</v>
      </c>
      <c r="D1563" s="39">
        <f t="shared" si="49"/>
        <v>4911369.0692471787</v>
      </c>
    </row>
    <row r="1564" spans="2:4" x14ac:dyDescent="0.25">
      <c r="B1564" s="90">
        <v>1560</v>
      </c>
      <c r="C1564" s="39">
        <f t="shared" si="48"/>
        <v>5885448.2371405922</v>
      </c>
      <c r="D1564" s="39">
        <f t="shared" si="49"/>
        <v>4914519.4021973051</v>
      </c>
    </row>
    <row r="1565" spans="2:4" x14ac:dyDescent="0.25">
      <c r="B1565" s="90">
        <v>1561</v>
      </c>
      <c r="C1565" s="39">
        <f t="shared" si="48"/>
        <v>5888095.5757541433</v>
      </c>
      <c r="D1565" s="39">
        <f t="shared" si="49"/>
        <v>4917669.7351474315</v>
      </c>
    </row>
    <row r="1566" spans="2:4" x14ac:dyDescent="0.25">
      <c r="B1566" s="90">
        <v>1562</v>
      </c>
      <c r="C1566" s="39">
        <f t="shared" si="48"/>
        <v>5890742.9143676953</v>
      </c>
      <c r="D1566" s="39">
        <f t="shared" si="49"/>
        <v>4920820.0680975579</v>
      </c>
    </row>
    <row r="1567" spans="2:4" x14ac:dyDescent="0.25">
      <c r="B1567" s="90">
        <v>1563</v>
      </c>
      <c r="C1567" s="39">
        <f t="shared" si="48"/>
        <v>5893390.2529812474</v>
      </c>
      <c r="D1567" s="39">
        <f t="shared" si="49"/>
        <v>4923970.4010476843</v>
      </c>
    </row>
    <row r="1568" spans="2:4" x14ac:dyDescent="0.25">
      <c r="B1568" s="90">
        <v>1564</v>
      </c>
      <c r="C1568" s="39">
        <f t="shared" si="48"/>
        <v>5896037.5915947985</v>
      </c>
      <c r="D1568" s="39">
        <f t="shared" si="49"/>
        <v>4927120.7339978106</v>
      </c>
    </row>
    <row r="1569" spans="2:4" x14ac:dyDescent="0.25">
      <c r="B1569" s="90">
        <v>1565</v>
      </c>
      <c r="C1569" s="39">
        <f t="shared" si="48"/>
        <v>5898684.9302083505</v>
      </c>
      <c r="D1569" s="39">
        <f t="shared" si="49"/>
        <v>4930271.066947937</v>
      </c>
    </row>
    <row r="1570" spans="2:4" x14ac:dyDescent="0.25">
      <c r="B1570" s="90">
        <v>1566</v>
      </c>
      <c r="C1570" s="39">
        <f t="shared" si="48"/>
        <v>5901332.2688219026</v>
      </c>
      <c r="D1570" s="39">
        <f t="shared" si="49"/>
        <v>4933421.3998980634</v>
      </c>
    </row>
    <row r="1571" spans="2:4" x14ac:dyDescent="0.25">
      <c r="B1571" s="90">
        <v>1567</v>
      </c>
      <c r="C1571" s="39">
        <f t="shared" si="48"/>
        <v>5903979.6074354537</v>
      </c>
      <c r="D1571" s="39">
        <f t="shared" si="49"/>
        <v>4936571.7328481907</v>
      </c>
    </row>
    <row r="1572" spans="2:4" x14ac:dyDescent="0.25">
      <c r="B1572" s="90">
        <v>1568</v>
      </c>
      <c r="C1572" s="39">
        <f t="shared" si="48"/>
        <v>5906626.9460490048</v>
      </c>
      <c r="D1572" s="39">
        <f t="shared" si="49"/>
        <v>4939722.0657983171</v>
      </c>
    </row>
    <row r="1573" spans="2:4" x14ac:dyDescent="0.25">
      <c r="B1573" s="90">
        <v>1569</v>
      </c>
      <c r="C1573" s="39">
        <f t="shared" si="48"/>
        <v>5909274.2846625578</v>
      </c>
      <c r="D1573" s="39">
        <f t="shared" si="49"/>
        <v>4942872.3987484435</v>
      </c>
    </row>
    <row r="1574" spans="2:4" x14ac:dyDescent="0.25">
      <c r="B1574" s="90">
        <v>1570</v>
      </c>
      <c r="C1574" s="39">
        <f t="shared" si="48"/>
        <v>5911921.6232761089</v>
      </c>
      <c r="D1574" s="39">
        <f t="shared" si="49"/>
        <v>4946022.7316985698</v>
      </c>
    </row>
    <row r="1575" spans="2:4" x14ac:dyDescent="0.25">
      <c r="B1575" s="90">
        <v>1571</v>
      </c>
      <c r="C1575" s="39">
        <f t="shared" si="48"/>
        <v>5914568.96188966</v>
      </c>
      <c r="D1575" s="39">
        <f t="shared" si="49"/>
        <v>4949173.0646486962</v>
      </c>
    </row>
    <row r="1576" spans="2:4" x14ac:dyDescent="0.25">
      <c r="B1576" s="90">
        <v>1572</v>
      </c>
      <c r="C1576" s="39">
        <f t="shared" si="48"/>
        <v>5917216.300503212</v>
      </c>
      <c r="D1576" s="39">
        <f t="shared" si="49"/>
        <v>4952323.3975988226</v>
      </c>
    </row>
    <row r="1577" spans="2:4" x14ac:dyDescent="0.25">
      <c r="B1577" s="90">
        <v>1573</v>
      </c>
      <c r="C1577" s="39">
        <f t="shared" si="48"/>
        <v>5919863.6391167641</v>
      </c>
      <c r="D1577" s="39">
        <f t="shared" si="49"/>
        <v>4955473.730548949</v>
      </c>
    </row>
    <row r="1578" spans="2:4" x14ac:dyDescent="0.25">
      <c r="B1578" s="90">
        <v>1574</v>
      </c>
      <c r="C1578" s="39">
        <f t="shared" si="48"/>
        <v>5922510.9777303152</v>
      </c>
      <c r="D1578" s="39">
        <f t="shared" si="49"/>
        <v>4958624.0634990754</v>
      </c>
    </row>
    <row r="1579" spans="2:4" x14ac:dyDescent="0.25">
      <c r="B1579" s="90">
        <v>1575</v>
      </c>
      <c r="C1579" s="39">
        <f t="shared" si="48"/>
        <v>5925158.3163438672</v>
      </c>
      <c r="D1579" s="39">
        <f t="shared" si="49"/>
        <v>4961774.3964492017</v>
      </c>
    </row>
    <row r="1580" spans="2:4" x14ac:dyDescent="0.25">
      <c r="B1580" s="90">
        <v>1576</v>
      </c>
      <c r="C1580" s="39">
        <f t="shared" si="48"/>
        <v>5927805.6549574193</v>
      </c>
      <c r="D1580" s="39">
        <f t="shared" si="49"/>
        <v>4964924.7293993281</v>
      </c>
    </row>
    <row r="1581" spans="2:4" x14ac:dyDescent="0.25">
      <c r="B1581" s="90">
        <v>1577</v>
      </c>
      <c r="C1581" s="39">
        <f t="shared" si="48"/>
        <v>5930452.9935709704</v>
      </c>
      <c r="D1581" s="39">
        <f t="shared" si="49"/>
        <v>4968075.0623494554</v>
      </c>
    </row>
    <row r="1582" spans="2:4" x14ac:dyDescent="0.25">
      <c r="B1582" s="90">
        <v>1578</v>
      </c>
      <c r="C1582" s="39">
        <f t="shared" si="48"/>
        <v>5933100.3321845215</v>
      </c>
      <c r="D1582" s="39">
        <f t="shared" si="49"/>
        <v>4971225.3952995818</v>
      </c>
    </row>
    <row r="1583" spans="2:4" x14ac:dyDescent="0.25">
      <c r="B1583" s="90">
        <v>1579</v>
      </c>
      <c r="C1583" s="39">
        <f t="shared" si="48"/>
        <v>5935747.6707980735</v>
      </c>
      <c r="D1583" s="39">
        <f t="shared" si="49"/>
        <v>4974375.7282497082</v>
      </c>
    </row>
    <row r="1584" spans="2:4" x14ac:dyDescent="0.25">
      <c r="B1584" s="90">
        <v>1580</v>
      </c>
      <c r="C1584" s="39">
        <f t="shared" si="48"/>
        <v>5938395.0094116256</v>
      </c>
      <c r="D1584" s="39">
        <f t="shared" si="49"/>
        <v>4977526.0611998346</v>
      </c>
    </row>
    <row r="1585" spans="2:4" x14ac:dyDescent="0.25">
      <c r="B1585" s="90">
        <v>1581</v>
      </c>
      <c r="C1585" s="39">
        <f t="shared" ref="C1585:C1648" si="50">($C$2*B1585)+$C$1</f>
        <v>5941042.3480251767</v>
      </c>
      <c r="D1585" s="39">
        <f t="shared" ref="D1585:D1648" si="51">$D$2*B1585</f>
        <v>4980676.394149961</v>
      </c>
    </row>
    <row r="1586" spans="2:4" x14ac:dyDescent="0.25">
      <c r="B1586" s="90">
        <v>1582</v>
      </c>
      <c r="C1586" s="39">
        <f t="shared" si="50"/>
        <v>5943689.6866387287</v>
      </c>
      <c r="D1586" s="39">
        <f t="shared" si="51"/>
        <v>4983826.7271000873</v>
      </c>
    </row>
    <row r="1587" spans="2:4" x14ac:dyDescent="0.25">
      <c r="B1587" s="90">
        <v>1583</v>
      </c>
      <c r="C1587" s="39">
        <f t="shared" si="50"/>
        <v>5946337.0252522808</v>
      </c>
      <c r="D1587" s="39">
        <f t="shared" si="51"/>
        <v>4986977.0600502137</v>
      </c>
    </row>
    <row r="1588" spans="2:4" x14ac:dyDescent="0.25">
      <c r="B1588" s="90">
        <v>1584</v>
      </c>
      <c r="C1588" s="39">
        <f t="shared" si="50"/>
        <v>5948984.3638658319</v>
      </c>
      <c r="D1588" s="39">
        <f t="shared" si="51"/>
        <v>4990127.3930003401</v>
      </c>
    </row>
    <row r="1589" spans="2:4" x14ac:dyDescent="0.25">
      <c r="B1589" s="90">
        <v>1585</v>
      </c>
      <c r="C1589" s="39">
        <f t="shared" si="50"/>
        <v>5951631.7024793839</v>
      </c>
      <c r="D1589" s="39">
        <f t="shared" si="51"/>
        <v>4993277.7259504665</v>
      </c>
    </row>
    <row r="1590" spans="2:4" x14ac:dyDescent="0.25">
      <c r="B1590" s="90">
        <v>1586</v>
      </c>
      <c r="C1590" s="39">
        <f t="shared" si="50"/>
        <v>5954279.041092935</v>
      </c>
      <c r="D1590" s="39">
        <f t="shared" si="51"/>
        <v>4996428.0589005928</v>
      </c>
    </row>
    <row r="1591" spans="2:4" x14ac:dyDescent="0.25">
      <c r="B1591" s="90">
        <v>1587</v>
      </c>
      <c r="C1591" s="39">
        <f t="shared" si="50"/>
        <v>5956926.3797064871</v>
      </c>
      <c r="D1591" s="39">
        <f t="shared" si="51"/>
        <v>4999578.3918507202</v>
      </c>
    </row>
    <row r="1592" spans="2:4" x14ac:dyDescent="0.25">
      <c r="B1592" s="90">
        <v>1588</v>
      </c>
      <c r="C1592" s="39">
        <f t="shared" si="50"/>
        <v>5959573.7183200391</v>
      </c>
      <c r="D1592" s="39">
        <f t="shared" si="51"/>
        <v>5002728.7248008465</v>
      </c>
    </row>
    <row r="1593" spans="2:4" x14ac:dyDescent="0.25">
      <c r="B1593" s="90">
        <v>1589</v>
      </c>
      <c r="C1593" s="39">
        <f t="shared" si="50"/>
        <v>5962221.0569335902</v>
      </c>
      <c r="D1593" s="39">
        <f t="shared" si="51"/>
        <v>5005879.0577509729</v>
      </c>
    </row>
    <row r="1594" spans="2:4" x14ac:dyDescent="0.25">
      <c r="B1594" s="90">
        <v>1590</v>
      </c>
      <c r="C1594" s="39">
        <f t="shared" si="50"/>
        <v>5964868.3955471423</v>
      </c>
      <c r="D1594" s="39">
        <f t="shared" si="51"/>
        <v>5009029.3907010993</v>
      </c>
    </row>
    <row r="1595" spans="2:4" x14ac:dyDescent="0.25">
      <c r="B1595" s="90">
        <v>1591</v>
      </c>
      <c r="C1595" s="39">
        <f t="shared" si="50"/>
        <v>5967515.7341606934</v>
      </c>
      <c r="D1595" s="39">
        <f t="shared" si="51"/>
        <v>5012179.7236512257</v>
      </c>
    </row>
    <row r="1596" spans="2:4" x14ac:dyDescent="0.25">
      <c r="B1596" s="90">
        <v>1592</v>
      </c>
      <c r="C1596" s="39">
        <f t="shared" si="50"/>
        <v>5970163.0727742454</v>
      </c>
      <c r="D1596" s="39">
        <f t="shared" si="51"/>
        <v>5015330.0566013521</v>
      </c>
    </row>
    <row r="1597" spans="2:4" x14ac:dyDescent="0.25">
      <c r="B1597" s="90">
        <v>1593</v>
      </c>
      <c r="C1597" s="39">
        <f t="shared" si="50"/>
        <v>5972810.4113877974</v>
      </c>
      <c r="D1597" s="39">
        <f t="shared" si="51"/>
        <v>5018480.3895514784</v>
      </c>
    </row>
    <row r="1598" spans="2:4" x14ac:dyDescent="0.25">
      <c r="B1598" s="90">
        <v>1594</v>
      </c>
      <c r="C1598" s="39">
        <f t="shared" si="50"/>
        <v>5975457.7500013486</v>
      </c>
      <c r="D1598" s="39">
        <f t="shared" si="51"/>
        <v>5021630.7225016048</v>
      </c>
    </row>
    <row r="1599" spans="2:4" x14ac:dyDescent="0.25">
      <c r="B1599" s="90">
        <v>1595</v>
      </c>
      <c r="C1599" s="39">
        <f t="shared" si="50"/>
        <v>5978105.0886149006</v>
      </c>
      <c r="D1599" s="39">
        <f t="shared" si="51"/>
        <v>5024781.0554517312</v>
      </c>
    </row>
    <row r="1600" spans="2:4" x14ac:dyDescent="0.25">
      <c r="B1600" s="90">
        <v>1596</v>
      </c>
      <c r="C1600" s="39">
        <f t="shared" si="50"/>
        <v>5980752.4272284517</v>
      </c>
      <c r="D1600" s="39">
        <f t="shared" si="51"/>
        <v>5027931.3884018585</v>
      </c>
    </row>
    <row r="1601" spans="2:4" x14ac:dyDescent="0.25">
      <c r="B1601" s="90">
        <v>1597</v>
      </c>
      <c r="C1601" s="39">
        <f t="shared" si="50"/>
        <v>5983399.7658420037</v>
      </c>
      <c r="D1601" s="39">
        <f t="shared" si="51"/>
        <v>5031081.7213519849</v>
      </c>
    </row>
    <row r="1602" spans="2:4" x14ac:dyDescent="0.25">
      <c r="B1602" s="90">
        <v>1598</v>
      </c>
      <c r="C1602" s="39">
        <f t="shared" si="50"/>
        <v>5986047.1044555549</v>
      </c>
      <c r="D1602" s="39">
        <f t="shared" si="51"/>
        <v>5034232.0543021113</v>
      </c>
    </row>
    <row r="1603" spans="2:4" x14ac:dyDescent="0.25">
      <c r="B1603" s="90">
        <v>1599</v>
      </c>
      <c r="C1603" s="39">
        <f t="shared" si="50"/>
        <v>5988694.4430691069</v>
      </c>
      <c r="D1603" s="39">
        <f t="shared" si="51"/>
        <v>5037382.3872522376</v>
      </c>
    </row>
    <row r="1604" spans="2:4" x14ac:dyDescent="0.25">
      <c r="B1604" s="90">
        <v>1600</v>
      </c>
      <c r="C1604" s="39">
        <f t="shared" si="50"/>
        <v>5991341.7816826589</v>
      </c>
      <c r="D1604" s="39">
        <f t="shared" si="51"/>
        <v>5040532.720202364</v>
      </c>
    </row>
    <row r="1605" spans="2:4" x14ac:dyDescent="0.25">
      <c r="B1605" s="90">
        <v>1601</v>
      </c>
      <c r="C1605" s="39">
        <f t="shared" si="50"/>
        <v>5993989.1202962101</v>
      </c>
      <c r="D1605" s="39">
        <f t="shared" si="51"/>
        <v>5043683.0531524904</v>
      </c>
    </row>
    <row r="1606" spans="2:4" x14ac:dyDescent="0.25">
      <c r="B1606" s="90">
        <v>1602</v>
      </c>
      <c r="C1606" s="39">
        <f t="shared" si="50"/>
        <v>5996636.4589097621</v>
      </c>
      <c r="D1606" s="39">
        <f t="shared" si="51"/>
        <v>5046833.3861026168</v>
      </c>
    </row>
    <row r="1607" spans="2:4" x14ac:dyDescent="0.25">
      <c r="B1607" s="90">
        <v>1603</v>
      </c>
      <c r="C1607" s="39">
        <f t="shared" si="50"/>
        <v>5999283.7975233132</v>
      </c>
      <c r="D1607" s="39">
        <f t="shared" si="51"/>
        <v>5049983.7190527432</v>
      </c>
    </row>
    <row r="1608" spans="2:4" x14ac:dyDescent="0.25">
      <c r="B1608" s="90">
        <v>1604</v>
      </c>
      <c r="C1608" s="39">
        <f t="shared" si="50"/>
        <v>6001931.1361368652</v>
      </c>
      <c r="D1608" s="39">
        <f t="shared" si="51"/>
        <v>5053134.0520028695</v>
      </c>
    </row>
    <row r="1609" spans="2:4" x14ac:dyDescent="0.25">
      <c r="B1609" s="90">
        <v>1605</v>
      </c>
      <c r="C1609" s="39">
        <f t="shared" si="50"/>
        <v>6004578.4747504173</v>
      </c>
      <c r="D1609" s="39">
        <f t="shared" si="51"/>
        <v>5056284.3849529959</v>
      </c>
    </row>
    <row r="1610" spans="2:4" x14ac:dyDescent="0.25">
      <c r="B1610" s="90">
        <v>1606</v>
      </c>
      <c r="C1610" s="39">
        <f t="shared" si="50"/>
        <v>6007225.8133639684</v>
      </c>
      <c r="D1610" s="39">
        <f t="shared" si="51"/>
        <v>5059434.7179031232</v>
      </c>
    </row>
    <row r="1611" spans="2:4" x14ac:dyDescent="0.25">
      <c r="B1611" s="90">
        <v>1607</v>
      </c>
      <c r="C1611" s="39">
        <f t="shared" si="50"/>
        <v>6009873.1519775204</v>
      </c>
      <c r="D1611" s="39">
        <f t="shared" si="51"/>
        <v>5062585.0508532496</v>
      </c>
    </row>
    <row r="1612" spans="2:4" x14ac:dyDescent="0.25">
      <c r="B1612" s="90">
        <v>1608</v>
      </c>
      <c r="C1612" s="39">
        <f t="shared" si="50"/>
        <v>6012520.4905910715</v>
      </c>
      <c r="D1612" s="39">
        <f t="shared" si="51"/>
        <v>5065735.383803376</v>
      </c>
    </row>
    <row r="1613" spans="2:4" x14ac:dyDescent="0.25">
      <c r="B1613" s="90">
        <v>1609</v>
      </c>
      <c r="C1613" s="39">
        <f t="shared" si="50"/>
        <v>6015167.8292046236</v>
      </c>
      <c r="D1613" s="39">
        <f t="shared" si="51"/>
        <v>5068885.7167535024</v>
      </c>
    </row>
    <row r="1614" spans="2:4" x14ac:dyDescent="0.25">
      <c r="B1614" s="90">
        <v>1610</v>
      </c>
      <c r="C1614" s="39">
        <f t="shared" si="50"/>
        <v>6017815.1678181756</v>
      </c>
      <c r="D1614" s="39">
        <f t="shared" si="51"/>
        <v>5072036.0497036288</v>
      </c>
    </row>
    <row r="1615" spans="2:4" x14ac:dyDescent="0.25">
      <c r="B1615" s="90">
        <v>1611</v>
      </c>
      <c r="C1615" s="39">
        <f t="shared" si="50"/>
        <v>6020462.5064317267</v>
      </c>
      <c r="D1615" s="39">
        <f t="shared" si="51"/>
        <v>5075186.3826537551</v>
      </c>
    </row>
    <row r="1616" spans="2:4" x14ac:dyDescent="0.25">
      <c r="B1616" s="90">
        <v>1612</v>
      </c>
      <c r="C1616" s="39">
        <f t="shared" si="50"/>
        <v>6023109.8450452788</v>
      </c>
      <c r="D1616" s="39">
        <f t="shared" si="51"/>
        <v>5078336.7156038815</v>
      </c>
    </row>
    <row r="1617" spans="2:4" x14ac:dyDescent="0.25">
      <c r="B1617" s="90">
        <v>1613</v>
      </c>
      <c r="C1617" s="39">
        <f t="shared" si="50"/>
        <v>6025757.1836588299</v>
      </c>
      <c r="D1617" s="39">
        <f t="shared" si="51"/>
        <v>5081487.0485540079</v>
      </c>
    </row>
    <row r="1618" spans="2:4" x14ac:dyDescent="0.25">
      <c r="B1618" s="90">
        <v>1614</v>
      </c>
      <c r="C1618" s="39">
        <f t="shared" si="50"/>
        <v>6028404.5222723819</v>
      </c>
      <c r="D1618" s="39">
        <f t="shared" si="51"/>
        <v>5084637.3815041343</v>
      </c>
    </row>
    <row r="1619" spans="2:4" x14ac:dyDescent="0.25">
      <c r="B1619" s="90">
        <v>1615</v>
      </c>
      <c r="C1619" s="39">
        <f t="shared" si="50"/>
        <v>6031051.860885934</v>
      </c>
      <c r="D1619" s="39">
        <f t="shared" si="51"/>
        <v>5087787.7144542616</v>
      </c>
    </row>
    <row r="1620" spans="2:4" x14ac:dyDescent="0.25">
      <c r="B1620" s="90">
        <v>1616</v>
      </c>
      <c r="C1620" s="39">
        <f t="shared" si="50"/>
        <v>6033699.1994994851</v>
      </c>
      <c r="D1620" s="39">
        <f t="shared" si="51"/>
        <v>5090938.047404388</v>
      </c>
    </row>
    <row r="1621" spans="2:4" x14ac:dyDescent="0.25">
      <c r="B1621" s="90">
        <v>1617</v>
      </c>
      <c r="C1621" s="39">
        <f t="shared" si="50"/>
        <v>6036346.5381130371</v>
      </c>
      <c r="D1621" s="39">
        <f t="shared" si="51"/>
        <v>5094088.3803545143</v>
      </c>
    </row>
    <row r="1622" spans="2:4" x14ac:dyDescent="0.25">
      <c r="B1622" s="90">
        <v>1618</v>
      </c>
      <c r="C1622" s="39">
        <f t="shared" si="50"/>
        <v>6038993.8767265882</v>
      </c>
      <c r="D1622" s="39">
        <f t="shared" si="51"/>
        <v>5097238.7133046407</v>
      </c>
    </row>
    <row r="1623" spans="2:4" x14ac:dyDescent="0.25">
      <c r="B1623" s="90">
        <v>1619</v>
      </c>
      <c r="C1623" s="39">
        <f t="shared" si="50"/>
        <v>6041641.2153401403</v>
      </c>
      <c r="D1623" s="39">
        <f t="shared" si="51"/>
        <v>5100389.0462547671</v>
      </c>
    </row>
    <row r="1624" spans="2:4" x14ac:dyDescent="0.25">
      <c r="B1624" s="90">
        <v>1620</v>
      </c>
      <c r="C1624" s="39">
        <f t="shared" si="50"/>
        <v>6044288.5539536923</v>
      </c>
      <c r="D1624" s="39">
        <f t="shared" si="51"/>
        <v>5103539.3792048935</v>
      </c>
    </row>
    <row r="1625" spans="2:4" x14ac:dyDescent="0.25">
      <c r="B1625" s="90">
        <v>1621</v>
      </c>
      <c r="C1625" s="39">
        <f t="shared" si="50"/>
        <v>6046935.8925672434</v>
      </c>
      <c r="D1625" s="39">
        <f t="shared" si="51"/>
        <v>5106689.7121550199</v>
      </c>
    </row>
    <row r="1626" spans="2:4" x14ac:dyDescent="0.25">
      <c r="B1626" s="90">
        <v>1622</v>
      </c>
      <c r="C1626" s="39">
        <f t="shared" si="50"/>
        <v>6049583.2311807955</v>
      </c>
      <c r="D1626" s="39">
        <f t="shared" si="51"/>
        <v>5109840.0451051462</v>
      </c>
    </row>
    <row r="1627" spans="2:4" x14ac:dyDescent="0.25">
      <c r="B1627" s="90">
        <v>1623</v>
      </c>
      <c r="C1627" s="39">
        <f t="shared" si="50"/>
        <v>6052230.5697943466</v>
      </c>
      <c r="D1627" s="39">
        <f t="shared" si="51"/>
        <v>5112990.3780552726</v>
      </c>
    </row>
    <row r="1628" spans="2:4" x14ac:dyDescent="0.25">
      <c r="B1628" s="90">
        <v>1624</v>
      </c>
      <c r="C1628" s="39">
        <f t="shared" si="50"/>
        <v>6054877.9084078986</v>
      </c>
      <c r="D1628" s="39">
        <f t="shared" si="51"/>
        <v>5116140.711005399</v>
      </c>
    </row>
    <row r="1629" spans="2:4" x14ac:dyDescent="0.25">
      <c r="B1629" s="90">
        <v>1625</v>
      </c>
      <c r="C1629" s="39">
        <f t="shared" si="50"/>
        <v>6057525.2470214497</v>
      </c>
      <c r="D1629" s="39">
        <f t="shared" si="51"/>
        <v>5119291.0439555263</v>
      </c>
    </row>
    <row r="1630" spans="2:4" x14ac:dyDescent="0.25">
      <c r="B1630" s="90">
        <v>1626</v>
      </c>
      <c r="C1630" s="39">
        <f t="shared" si="50"/>
        <v>6060172.5856350018</v>
      </c>
      <c r="D1630" s="39">
        <f t="shared" si="51"/>
        <v>5122441.3769056527</v>
      </c>
    </row>
    <row r="1631" spans="2:4" x14ac:dyDescent="0.25">
      <c r="B1631" s="90">
        <v>1627</v>
      </c>
      <c r="C1631" s="39">
        <f t="shared" si="50"/>
        <v>6062819.9242485538</v>
      </c>
      <c r="D1631" s="39">
        <f t="shared" si="51"/>
        <v>5125591.7098557791</v>
      </c>
    </row>
    <row r="1632" spans="2:4" x14ac:dyDescent="0.25">
      <c r="B1632" s="90">
        <v>1628</v>
      </c>
      <c r="C1632" s="39">
        <f t="shared" si="50"/>
        <v>6065467.2628621049</v>
      </c>
      <c r="D1632" s="39">
        <f t="shared" si="51"/>
        <v>5128742.0428059055</v>
      </c>
    </row>
    <row r="1633" spans="2:4" x14ac:dyDescent="0.25">
      <c r="B1633" s="90">
        <v>1629</v>
      </c>
      <c r="C1633" s="39">
        <f t="shared" si="50"/>
        <v>6068114.601475657</v>
      </c>
      <c r="D1633" s="39">
        <f t="shared" si="51"/>
        <v>5131892.3757560318</v>
      </c>
    </row>
    <row r="1634" spans="2:4" x14ac:dyDescent="0.25">
      <c r="B1634" s="90">
        <v>1630</v>
      </c>
      <c r="C1634" s="39">
        <f t="shared" si="50"/>
        <v>6070761.9400892081</v>
      </c>
      <c r="D1634" s="39">
        <f t="shared" si="51"/>
        <v>5135042.7087061582</v>
      </c>
    </row>
    <row r="1635" spans="2:4" x14ac:dyDescent="0.25">
      <c r="B1635" s="90">
        <v>1631</v>
      </c>
      <c r="C1635" s="39">
        <f t="shared" si="50"/>
        <v>6073409.2787027601</v>
      </c>
      <c r="D1635" s="39">
        <f t="shared" si="51"/>
        <v>5138193.0416562846</v>
      </c>
    </row>
    <row r="1636" spans="2:4" x14ac:dyDescent="0.25">
      <c r="B1636" s="90">
        <v>1632</v>
      </c>
      <c r="C1636" s="39">
        <f t="shared" si="50"/>
        <v>6076056.6173163122</v>
      </c>
      <c r="D1636" s="39">
        <f t="shared" si="51"/>
        <v>5141343.374606411</v>
      </c>
    </row>
    <row r="1637" spans="2:4" x14ac:dyDescent="0.25">
      <c r="B1637" s="90">
        <v>1633</v>
      </c>
      <c r="C1637" s="39">
        <f t="shared" si="50"/>
        <v>6078703.9559298633</v>
      </c>
      <c r="D1637" s="39">
        <f t="shared" si="51"/>
        <v>5144493.7075565374</v>
      </c>
    </row>
    <row r="1638" spans="2:4" x14ac:dyDescent="0.25">
      <c r="B1638" s="90">
        <v>1634</v>
      </c>
      <c r="C1638" s="39">
        <f t="shared" si="50"/>
        <v>6081351.2945434153</v>
      </c>
      <c r="D1638" s="39">
        <f t="shared" si="51"/>
        <v>5147644.0405066647</v>
      </c>
    </row>
    <row r="1639" spans="2:4" x14ac:dyDescent="0.25">
      <c r="B1639" s="90">
        <v>1635</v>
      </c>
      <c r="C1639" s="39">
        <f t="shared" si="50"/>
        <v>6083998.6331569664</v>
      </c>
      <c r="D1639" s="39">
        <f t="shared" si="51"/>
        <v>5150794.373456791</v>
      </c>
    </row>
    <row r="1640" spans="2:4" x14ac:dyDescent="0.25">
      <c r="B1640" s="90">
        <v>1636</v>
      </c>
      <c r="C1640" s="39">
        <f t="shared" si="50"/>
        <v>6086645.9717705185</v>
      </c>
      <c r="D1640" s="39">
        <f t="shared" si="51"/>
        <v>5153944.7064069174</v>
      </c>
    </row>
    <row r="1641" spans="2:4" x14ac:dyDescent="0.25">
      <c r="B1641" s="90">
        <v>1637</v>
      </c>
      <c r="C1641" s="39">
        <f t="shared" si="50"/>
        <v>6089293.3103840705</v>
      </c>
      <c r="D1641" s="39">
        <f t="shared" si="51"/>
        <v>5157095.0393570438</v>
      </c>
    </row>
    <row r="1642" spans="2:4" x14ac:dyDescent="0.25">
      <c r="B1642" s="90">
        <v>1638</v>
      </c>
      <c r="C1642" s="39">
        <f t="shared" si="50"/>
        <v>6091940.6489976216</v>
      </c>
      <c r="D1642" s="39">
        <f t="shared" si="51"/>
        <v>5160245.3723071702</v>
      </c>
    </row>
    <row r="1643" spans="2:4" x14ac:dyDescent="0.25">
      <c r="B1643" s="90">
        <v>1639</v>
      </c>
      <c r="C1643" s="39">
        <f t="shared" si="50"/>
        <v>6094587.9876111737</v>
      </c>
      <c r="D1643" s="39">
        <f t="shared" si="51"/>
        <v>5163395.7052572966</v>
      </c>
    </row>
    <row r="1644" spans="2:4" x14ac:dyDescent="0.25">
      <c r="B1644" s="90">
        <v>1640</v>
      </c>
      <c r="C1644" s="39">
        <f t="shared" si="50"/>
        <v>6097235.3262247248</v>
      </c>
      <c r="D1644" s="39">
        <f t="shared" si="51"/>
        <v>5166546.0382074229</v>
      </c>
    </row>
    <row r="1645" spans="2:4" x14ac:dyDescent="0.25">
      <c r="B1645" s="90">
        <v>1641</v>
      </c>
      <c r="C1645" s="39">
        <f t="shared" si="50"/>
        <v>6099882.6648382768</v>
      </c>
      <c r="D1645" s="39">
        <f t="shared" si="51"/>
        <v>5169696.3711575493</v>
      </c>
    </row>
    <row r="1646" spans="2:4" x14ac:dyDescent="0.25">
      <c r="B1646" s="90">
        <v>1642</v>
      </c>
      <c r="C1646" s="39">
        <f t="shared" si="50"/>
        <v>6102530.0034518288</v>
      </c>
      <c r="D1646" s="39">
        <f t="shared" si="51"/>
        <v>5172846.7041076757</v>
      </c>
    </row>
    <row r="1647" spans="2:4" x14ac:dyDescent="0.25">
      <c r="B1647" s="90">
        <v>1643</v>
      </c>
      <c r="C1647" s="39">
        <f t="shared" si="50"/>
        <v>6105177.34206538</v>
      </c>
      <c r="D1647" s="39">
        <f t="shared" si="51"/>
        <v>5175997.0370578021</v>
      </c>
    </row>
    <row r="1648" spans="2:4" x14ac:dyDescent="0.25">
      <c r="B1648" s="90">
        <v>1644</v>
      </c>
      <c r="C1648" s="39">
        <f t="shared" si="50"/>
        <v>6107824.680678932</v>
      </c>
      <c r="D1648" s="39">
        <f t="shared" si="51"/>
        <v>5179147.3700079294</v>
      </c>
    </row>
    <row r="1649" spans="2:4" x14ac:dyDescent="0.25">
      <c r="B1649" s="90">
        <v>1645</v>
      </c>
      <c r="C1649" s="39">
        <f t="shared" ref="C1649:C1712" si="52">($C$2*B1649)+$C$1</f>
        <v>6110472.0192924831</v>
      </c>
      <c r="D1649" s="39">
        <f t="shared" ref="D1649:D1712" si="53">$D$2*B1649</f>
        <v>5182297.7029580558</v>
      </c>
    </row>
    <row r="1650" spans="2:4" x14ac:dyDescent="0.25">
      <c r="B1650" s="90">
        <v>1646</v>
      </c>
      <c r="C1650" s="39">
        <f t="shared" si="52"/>
        <v>6113119.3579060351</v>
      </c>
      <c r="D1650" s="39">
        <f t="shared" si="53"/>
        <v>5185448.0359081822</v>
      </c>
    </row>
    <row r="1651" spans="2:4" x14ac:dyDescent="0.25">
      <c r="B1651" s="90">
        <v>1647</v>
      </c>
      <c r="C1651" s="39">
        <f t="shared" si="52"/>
        <v>6115766.6965195863</v>
      </c>
      <c r="D1651" s="39">
        <f t="shared" si="53"/>
        <v>5188598.3688583085</v>
      </c>
    </row>
    <row r="1652" spans="2:4" x14ac:dyDescent="0.25">
      <c r="B1652" s="90">
        <v>1648</v>
      </c>
      <c r="C1652" s="39">
        <f t="shared" si="52"/>
        <v>6118414.0351331383</v>
      </c>
      <c r="D1652" s="39">
        <f t="shared" si="53"/>
        <v>5191748.7018084349</v>
      </c>
    </row>
    <row r="1653" spans="2:4" x14ac:dyDescent="0.25">
      <c r="B1653" s="90">
        <v>1649</v>
      </c>
      <c r="C1653" s="39">
        <f t="shared" si="52"/>
        <v>6121061.3737466903</v>
      </c>
      <c r="D1653" s="39">
        <f t="shared" si="53"/>
        <v>5194899.0347585613</v>
      </c>
    </row>
    <row r="1654" spans="2:4" x14ac:dyDescent="0.25">
      <c r="B1654" s="90">
        <v>1650</v>
      </c>
      <c r="C1654" s="39">
        <f t="shared" si="52"/>
        <v>6123708.7123602415</v>
      </c>
      <c r="D1654" s="39">
        <f t="shared" si="53"/>
        <v>5198049.3677086877</v>
      </c>
    </row>
    <row r="1655" spans="2:4" x14ac:dyDescent="0.25">
      <c r="B1655" s="90">
        <v>1651</v>
      </c>
      <c r="C1655" s="39">
        <f t="shared" si="52"/>
        <v>6126356.0509737935</v>
      </c>
      <c r="D1655" s="39">
        <f t="shared" si="53"/>
        <v>5201199.7006588141</v>
      </c>
    </row>
    <row r="1656" spans="2:4" x14ac:dyDescent="0.25">
      <c r="B1656" s="90">
        <v>1652</v>
      </c>
      <c r="C1656" s="39">
        <f t="shared" si="52"/>
        <v>6129003.3895873446</v>
      </c>
      <c r="D1656" s="39">
        <f t="shared" si="53"/>
        <v>5204350.0336089404</v>
      </c>
    </row>
    <row r="1657" spans="2:4" x14ac:dyDescent="0.25">
      <c r="B1657" s="90">
        <v>1653</v>
      </c>
      <c r="C1657" s="39">
        <f t="shared" si="52"/>
        <v>6131650.7282008966</v>
      </c>
      <c r="D1657" s="39">
        <f t="shared" si="53"/>
        <v>5207500.3665590677</v>
      </c>
    </row>
    <row r="1658" spans="2:4" x14ac:dyDescent="0.25">
      <c r="B1658" s="90">
        <v>1654</v>
      </c>
      <c r="C1658" s="39">
        <f t="shared" si="52"/>
        <v>6134298.0668144487</v>
      </c>
      <c r="D1658" s="39">
        <f t="shared" si="53"/>
        <v>5210650.6995091941</v>
      </c>
    </row>
    <row r="1659" spans="2:4" x14ac:dyDescent="0.25">
      <c r="B1659" s="90">
        <v>1655</v>
      </c>
      <c r="C1659" s="39">
        <f t="shared" si="52"/>
        <v>6136945.4054279998</v>
      </c>
      <c r="D1659" s="39">
        <f t="shared" si="53"/>
        <v>5213801.0324593205</v>
      </c>
    </row>
    <row r="1660" spans="2:4" x14ac:dyDescent="0.25">
      <c r="B1660" s="90">
        <v>1656</v>
      </c>
      <c r="C1660" s="39">
        <f t="shared" si="52"/>
        <v>6139592.7440415518</v>
      </c>
      <c r="D1660" s="39">
        <f t="shared" si="53"/>
        <v>5216951.3654094469</v>
      </c>
    </row>
    <row r="1661" spans="2:4" x14ac:dyDescent="0.25">
      <c r="B1661" s="90">
        <v>1657</v>
      </c>
      <c r="C1661" s="39">
        <f t="shared" si="52"/>
        <v>6142240.0826551029</v>
      </c>
      <c r="D1661" s="39">
        <f t="shared" si="53"/>
        <v>5220101.6983595733</v>
      </c>
    </row>
    <row r="1662" spans="2:4" x14ac:dyDescent="0.25">
      <c r="B1662" s="90">
        <v>1658</v>
      </c>
      <c r="C1662" s="39">
        <f t="shared" si="52"/>
        <v>6144887.421268655</v>
      </c>
      <c r="D1662" s="39">
        <f t="shared" si="53"/>
        <v>5223252.0313096996</v>
      </c>
    </row>
    <row r="1663" spans="2:4" x14ac:dyDescent="0.25">
      <c r="B1663" s="90">
        <v>1659</v>
      </c>
      <c r="C1663" s="39">
        <f t="shared" si="52"/>
        <v>6147534.759882207</v>
      </c>
      <c r="D1663" s="39">
        <f t="shared" si="53"/>
        <v>5226402.364259826</v>
      </c>
    </row>
    <row r="1664" spans="2:4" x14ac:dyDescent="0.25">
      <c r="B1664" s="90">
        <v>1660</v>
      </c>
      <c r="C1664" s="39">
        <f t="shared" si="52"/>
        <v>6150182.0984957581</v>
      </c>
      <c r="D1664" s="39">
        <f t="shared" si="53"/>
        <v>5229552.6972099524</v>
      </c>
    </row>
    <row r="1665" spans="2:4" x14ac:dyDescent="0.25">
      <c r="B1665" s="90">
        <v>1661</v>
      </c>
      <c r="C1665" s="39">
        <f t="shared" si="52"/>
        <v>6152829.4371093102</v>
      </c>
      <c r="D1665" s="39">
        <f t="shared" si="53"/>
        <v>5232703.0301600788</v>
      </c>
    </row>
    <row r="1666" spans="2:4" x14ac:dyDescent="0.25">
      <c r="B1666" s="90">
        <v>1662</v>
      </c>
      <c r="C1666" s="39">
        <f t="shared" si="52"/>
        <v>6155476.7757228613</v>
      </c>
      <c r="D1666" s="39">
        <f t="shared" si="53"/>
        <v>5235853.3631102052</v>
      </c>
    </row>
    <row r="1667" spans="2:4" x14ac:dyDescent="0.25">
      <c r="B1667" s="90">
        <v>1663</v>
      </c>
      <c r="C1667" s="39">
        <f t="shared" si="52"/>
        <v>6158124.1143364133</v>
      </c>
      <c r="D1667" s="39">
        <f t="shared" si="53"/>
        <v>5239003.6960603325</v>
      </c>
    </row>
    <row r="1668" spans="2:4" x14ac:dyDescent="0.25">
      <c r="B1668" s="90">
        <v>1664</v>
      </c>
      <c r="C1668" s="39">
        <f t="shared" si="52"/>
        <v>6160771.4529499654</v>
      </c>
      <c r="D1668" s="39">
        <f t="shared" si="53"/>
        <v>5242154.0290104588</v>
      </c>
    </row>
    <row r="1669" spans="2:4" x14ac:dyDescent="0.25">
      <c r="B1669" s="90">
        <v>1665</v>
      </c>
      <c r="C1669" s="39">
        <f t="shared" si="52"/>
        <v>6163418.7915635165</v>
      </c>
      <c r="D1669" s="39">
        <f t="shared" si="53"/>
        <v>5245304.3619605852</v>
      </c>
    </row>
    <row r="1670" spans="2:4" x14ac:dyDescent="0.25">
      <c r="B1670" s="90">
        <v>1666</v>
      </c>
      <c r="C1670" s="39">
        <f t="shared" si="52"/>
        <v>6166066.1301770685</v>
      </c>
      <c r="D1670" s="39">
        <f t="shared" si="53"/>
        <v>5248454.6949107116</v>
      </c>
    </row>
    <row r="1671" spans="2:4" x14ac:dyDescent="0.25">
      <c r="B1671" s="90">
        <v>1667</v>
      </c>
      <c r="C1671" s="39">
        <f t="shared" si="52"/>
        <v>6168713.4687906196</v>
      </c>
      <c r="D1671" s="39">
        <f t="shared" si="53"/>
        <v>5251605.027860838</v>
      </c>
    </row>
    <row r="1672" spans="2:4" x14ac:dyDescent="0.25">
      <c r="B1672" s="90">
        <v>1668</v>
      </c>
      <c r="C1672" s="39">
        <f t="shared" si="52"/>
        <v>6171360.8074041717</v>
      </c>
      <c r="D1672" s="39">
        <f t="shared" si="53"/>
        <v>5254755.3608109644</v>
      </c>
    </row>
    <row r="1673" spans="2:4" x14ac:dyDescent="0.25">
      <c r="B1673" s="90">
        <v>1669</v>
      </c>
      <c r="C1673" s="39">
        <f t="shared" si="52"/>
        <v>6174008.1460177237</v>
      </c>
      <c r="D1673" s="39">
        <f t="shared" si="53"/>
        <v>5257905.6937610907</v>
      </c>
    </row>
    <row r="1674" spans="2:4" x14ac:dyDescent="0.25">
      <c r="B1674" s="90">
        <v>1670</v>
      </c>
      <c r="C1674" s="39">
        <f t="shared" si="52"/>
        <v>6176655.4846312748</v>
      </c>
      <c r="D1674" s="39">
        <f t="shared" si="53"/>
        <v>5261056.0267112171</v>
      </c>
    </row>
    <row r="1675" spans="2:4" x14ac:dyDescent="0.25">
      <c r="B1675" s="90">
        <v>1671</v>
      </c>
      <c r="C1675" s="39">
        <f t="shared" si="52"/>
        <v>6179302.8232448269</v>
      </c>
      <c r="D1675" s="39">
        <f t="shared" si="53"/>
        <v>5264206.3596613435</v>
      </c>
    </row>
    <row r="1676" spans="2:4" x14ac:dyDescent="0.25">
      <c r="B1676" s="90">
        <v>1672</v>
      </c>
      <c r="C1676" s="39">
        <f t="shared" si="52"/>
        <v>6181950.161858378</v>
      </c>
      <c r="D1676" s="39">
        <f t="shared" si="53"/>
        <v>5267356.6926114708</v>
      </c>
    </row>
    <row r="1677" spans="2:4" x14ac:dyDescent="0.25">
      <c r="B1677" s="90">
        <v>1673</v>
      </c>
      <c r="C1677" s="39">
        <f t="shared" si="52"/>
        <v>6184597.50047193</v>
      </c>
      <c r="D1677" s="39">
        <f t="shared" si="53"/>
        <v>5270507.0255615972</v>
      </c>
    </row>
    <row r="1678" spans="2:4" x14ac:dyDescent="0.25">
      <c r="B1678" s="90">
        <v>1674</v>
      </c>
      <c r="C1678" s="39">
        <f t="shared" si="52"/>
        <v>6187244.8390854811</v>
      </c>
      <c r="D1678" s="39">
        <f t="shared" si="53"/>
        <v>5273657.3585117236</v>
      </c>
    </row>
    <row r="1679" spans="2:4" x14ac:dyDescent="0.25">
      <c r="B1679" s="90">
        <v>1675</v>
      </c>
      <c r="C1679" s="39">
        <f t="shared" si="52"/>
        <v>6189892.1776990332</v>
      </c>
      <c r="D1679" s="39">
        <f t="shared" si="53"/>
        <v>5276807.69146185</v>
      </c>
    </row>
    <row r="1680" spans="2:4" x14ac:dyDescent="0.25">
      <c r="B1680" s="90">
        <v>1676</v>
      </c>
      <c r="C1680" s="39">
        <f t="shared" si="52"/>
        <v>6192539.5163125852</v>
      </c>
      <c r="D1680" s="39">
        <f t="shared" si="53"/>
        <v>5279958.0244119763</v>
      </c>
    </row>
    <row r="1681" spans="2:4" x14ac:dyDescent="0.25">
      <c r="B1681" s="90">
        <v>1677</v>
      </c>
      <c r="C1681" s="39">
        <f t="shared" si="52"/>
        <v>6195186.8549261363</v>
      </c>
      <c r="D1681" s="39">
        <f t="shared" si="53"/>
        <v>5283108.3573621027</v>
      </c>
    </row>
    <row r="1682" spans="2:4" x14ac:dyDescent="0.25">
      <c r="B1682" s="90">
        <v>1678</v>
      </c>
      <c r="C1682" s="39">
        <f t="shared" si="52"/>
        <v>6197834.1935396884</v>
      </c>
      <c r="D1682" s="39">
        <f t="shared" si="53"/>
        <v>5286258.6903122291</v>
      </c>
    </row>
    <row r="1683" spans="2:4" x14ac:dyDescent="0.25">
      <c r="B1683" s="90">
        <v>1679</v>
      </c>
      <c r="C1683" s="39">
        <f t="shared" si="52"/>
        <v>6200481.5321532395</v>
      </c>
      <c r="D1683" s="39">
        <f t="shared" si="53"/>
        <v>5289409.0232623555</v>
      </c>
    </row>
    <row r="1684" spans="2:4" x14ac:dyDescent="0.25">
      <c r="B1684" s="90">
        <v>1680</v>
      </c>
      <c r="C1684" s="39">
        <f t="shared" si="52"/>
        <v>6203128.8707667915</v>
      </c>
      <c r="D1684" s="39">
        <f t="shared" si="53"/>
        <v>5292559.3562124819</v>
      </c>
    </row>
    <row r="1685" spans="2:4" x14ac:dyDescent="0.25">
      <c r="B1685" s="90">
        <v>1681</v>
      </c>
      <c r="C1685" s="39">
        <f t="shared" si="52"/>
        <v>6205776.2093803436</v>
      </c>
      <c r="D1685" s="39">
        <f t="shared" si="53"/>
        <v>5295709.6891626082</v>
      </c>
    </row>
    <row r="1686" spans="2:4" x14ac:dyDescent="0.25">
      <c r="B1686" s="90">
        <v>1682</v>
      </c>
      <c r="C1686" s="39">
        <f t="shared" si="52"/>
        <v>6208423.5479938947</v>
      </c>
      <c r="D1686" s="39">
        <f t="shared" si="53"/>
        <v>5298860.0221127355</v>
      </c>
    </row>
    <row r="1687" spans="2:4" x14ac:dyDescent="0.25">
      <c r="B1687" s="90">
        <v>1683</v>
      </c>
      <c r="C1687" s="39">
        <f t="shared" si="52"/>
        <v>6211070.8866074467</v>
      </c>
      <c r="D1687" s="39">
        <f t="shared" si="53"/>
        <v>5302010.3550628619</v>
      </c>
    </row>
    <row r="1688" spans="2:4" x14ac:dyDescent="0.25">
      <c r="B1688" s="90">
        <v>1684</v>
      </c>
      <c r="C1688" s="39">
        <f t="shared" si="52"/>
        <v>6213718.2252209978</v>
      </c>
      <c r="D1688" s="39">
        <f t="shared" si="53"/>
        <v>5305160.6880129883</v>
      </c>
    </row>
    <row r="1689" spans="2:4" x14ac:dyDescent="0.25">
      <c r="B1689" s="90">
        <v>1685</v>
      </c>
      <c r="C1689" s="39">
        <f t="shared" si="52"/>
        <v>6216365.5638345499</v>
      </c>
      <c r="D1689" s="39">
        <f t="shared" si="53"/>
        <v>5308311.0209631147</v>
      </c>
    </row>
    <row r="1690" spans="2:4" x14ac:dyDescent="0.25">
      <c r="B1690" s="90">
        <v>1686</v>
      </c>
      <c r="C1690" s="39">
        <f t="shared" si="52"/>
        <v>6219012.9024481019</v>
      </c>
      <c r="D1690" s="39">
        <f t="shared" si="53"/>
        <v>5311461.3539132411</v>
      </c>
    </row>
    <row r="1691" spans="2:4" x14ac:dyDescent="0.25">
      <c r="B1691" s="90">
        <v>1687</v>
      </c>
      <c r="C1691" s="39">
        <f t="shared" si="52"/>
        <v>6221660.241061653</v>
      </c>
      <c r="D1691" s="39">
        <f t="shared" si="53"/>
        <v>5314611.6868633674</v>
      </c>
    </row>
    <row r="1692" spans="2:4" x14ac:dyDescent="0.25">
      <c r="B1692" s="90">
        <v>1688</v>
      </c>
      <c r="C1692" s="39">
        <f t="shared" si="52"/>
        <v>6224307.5796752051</v>
      </c>
      <c r="D1692" s="39">
        <f t="shared" si="53"/>
        <v>5317762.0198134938</v>
      </c>
    </row>
    <row r="1693" spans="2:4" x14ac:dyDescent="0.25">
      <c r="B1693" s="90">
        <v>1689</v>
      </c>
      <c r="C1693" s="39">
        <f t="shared" si="52"/>
        <v>6226954.9182887562</v>
      </c>
      <c r="D1693" s="39">
        <f t="shared" si="53"/>
        <v>5320912.3527636202</v>
      </c>
    </row>
    <row r="1694" spans="2:4" x14ac:dyDescent="0.25">
      <c r="B1694" s="90">
        <v>1690</v>
      </c>
      <c r="C1694" s="39">
        <f t="shared" si="52"/>
        <v>6229602.2569023082</v>
      </c>
      <c r="D1694" s="39">
        <f t="shared" si="53"/>
        <v>5324062.6857137466</v>
      </c>
    </row>
    <row r="1695" spans="2:4" x14ac:dyDescent="0.25">
      <c r="B1695" s="90">
        <v>1691</v>
      </c>
      <c r="C1695" s="39">
        <f t="shared" si="52"/>
        <v>6232249.5955158602</v>
      </c>
      <c r="D1695" s="39">
        <f t="shared" si="53"/>
        <v>5327213.0186638739</v>
      </c>
    </row>
    <row r="1696" spans="2:4" x14ac:dyDescent="0.25">
      <c r="B1696" s="90">
        <v>1692</v>
      </c>
      <c r="C1696" s="39">
        <f t="shared" si="52"/>
        <v>6234896.9341294114</v>
      </c>
      <c r="D1696" s="39">
        <f t="shared" si="53"/>
        <v>5330363.3516140003</v>
      </c>
    </row>
    <row r="1697" spans="2:4" x14ac:dyDescent="0.25">
      <c r="B1697" s="90">
        <v>1693</v>
      </c>
      <c r="C1697" s="39">
        <f t="shared" si="52"/>
        <v>6237544.2727429634</v>
      </c>
      <c r="D1697" s="39">
        <f t="shared" si="53"/>
        <v>5333513.6845641267</v>
      </c>
    </row>
    <row r="1698" spans="2:4" x14ac:dyDescent="0.25">
      <c r="B1698" s="90">
        <v>1694</v>
      </c>
      <c r="C1698" s="39">
        <f t="shared" si="52"/>
        <v>6240191.6113565145</v>
      </c>
      <c r="D1698" s="39">
        <f t="shared" si="53"/>
        <v>5336664.017514253</v>
      </c>
    </row>
    <row r="1699" spans="2:4" x14ac:dyDescent="0.25">
      <c r="B1699" s="90">
        <v>1695</v>
      </c>
      <c r="C1699" s="39">
        <f t="shared" si="52"/>
        <v>6242838.9499700665</v>
      </c>
      <c r="D1699" s="39">
        <f t="shared" si="53"/>
        <v>5339814.3504643794</v>
      </c>
    </row>
    <row r="1700" spans="2:4" x14ac:dyDescent="0.25">
      <c r="B1700" s="90">
        <v>1696</v>
      </c>
      <c r="C1700" s="39">
        <f t="shared" si="52"/>
        <v>6245486.2885836186</v>
      </c>
      <c r="D1700" s="39">
        <f t="shared" si="53"/>
        <v>5342964.6834145058</v>
      </c>
    </row>
    <row r="1701" spans="2:4" x14ac:dyDescent="0.25">
      <c r="B1701" s="90">
        <v>1697</v>
      </c>
      <c r="C1701" s="39">
        <f t="shared" si="52"/>
        <v>6248133.6271971697</v>
      </c>
      <c r="D1701" s="39">
        <f t="shared" si="53"/>
        <v>5346115.0163646322</v>
      </c>
    </row>
    <row r="1702" spans="2:4" x14ac:dyDescent="0.25">
      <c r="B1702" s="90">
        <v>1698</v>
      </c>
      <c r="C1702" s="39">
        <f t="shared" si="52"/>
        <v>6250780.9658107217</v>
      </c>
      <c r="D1702" s="39">
        <f t="shared" si="53"/>
        <v>5349265.3493147586</v>
      </c>
    </row>
    <row r="1703" spans="2:4" x14ac:dyDescent="0.25">
      <c r="B1703" s="90">
        <v>1699</v>
      </c>
      <c r="C1703" s="39">
        <f t="shared" si="52"/>
        <v>6253428.3044242729</v>
      </c>
      <c r="D1703" s="39">
        <f t="shared" si="53"/>
        <v>5352415.6822648849</v>
      </c>
    </row>
    <row r="1704" spans="2:4" x14ac:dyDescent="0.25">
      <c r="B1704" s="90">
        <v>1700</v>
      </c>
      <c r="C1704" s="39">
        <f t="shared" si="52"/>
        <v>6256075.6430378249</v>
      </c>
      <c r="D1704" s="39">
        <f t="shared" si="53"/>
        <v>5355566.0152150113</v>
      </c>
    </row>
    <row r="1705" spans="2:4" x14ac:dyDescent="0.25">
      <c r="B1705" s="90">
        <v>1701</v>
      </c>
      <c r="C1705" s="39">
        <f t="shared" si="52"/>
        <v>6258722.981651376</v>
      </c>
      <c r="D1705" s="39">
        <f t="shared" si="53"/>
        <v>5358716.3481651386</v>
      </c>
    </row>
    <row r="1706" spans="2:4" x14ac:dyDescent="0.25">
      <c r="B1706" s="90">
        <v>1702</v>
      </c>
      <c r="C1706" s="39">
        <f t="shared" si="52"/>
        <v>6261370.320264928</v>
      </c>
      <c r="D1706" s="39">
        <f t="shared" si="53"/>
        <v>5361866.681115265</v>
      </c>
    </row>
    <row r="1707" spans="2:4" x14ac:dyDescent="0.25">
      <c r="B1707" s="90">
        <v>1703</v>
      </c>
      <c r="C1707" s="39">
        <f t="shared" si="52"/>
        <v>6264017.6588784801</v>
      </c>
      <c r="D1707" s="39">
        <f t="shared" si="53"/>
        <v>5365017.0140653914</v>
      </c>
    </row>
    <row r="1708" spans="2:4" x14ac:dyDescent="0.25">
      <c r="B1708" s="90">
        <v>1704</v>
      </c>
      <c r="C1708" s="39">
        <f t="shared" si="52"/>
        <v>6266664.9974920312</v>
      </c>
      <c r="D1708" s="39">
        <f t="shared" si="53"/>
        <v>5368167.3470155178</v>
      </c>
    </row>
    <row r="1709" spans="2:4" x14ac:dyDescent="0.25">
      <c r="B1709" s="90">
        <v>1705</v>
      </c>
      <c r="C1709" s="39">
        <f t="shared" si="52"/>
        <v>6269312.3361055832</v>
      </c>
      <c r="D1709" s="39">
        <f t="shared" si="53"/>
        <v>5371317.6799656441</v>
      </c>
    </row>
    <row r="1710" spans="2:4" x14ac:dyDescent="0.25">
      <c r="B1710" s="90">
        <v>1706</v>
      </c>
      <c r="C1710" s="39">
        <f t="shared" si="52"/>
        <v>6271959.6747191343</v>
      </c>
      <c r="D1710" s="39">
        <f t="shared" si="53"/>
        <v>5374468.0129157705</v>
      </c>
    </row>
    <row r="1711" spans="2:4" x14ac:dyDescent="0.25">
      <c r="B1711" s="90">
        <v>1707</v>
      </c>
      <c r="C1711" s="39">
        <f t="shared" si="52"/>
        <v>6274607.0133326864</v>
      </c>
      <c r="D1711" s="39">
        <f t="shared" si="53"/>
        <v>5377618.3458658969</v>
      </c>
    </row>
    <row r="1712" spans="2:4" x14ac:dyDescent="0.25">
      <c r="B1712" s="90">
        <v>1708</v>
      </c>
      <c r="C1712" s="39">
        <f t="shared" si="52"/>
        <v>6277254.3519462384</v>
      </c>
      <c r="D1712" s="39">
        <f t="shared" si="53"/>
        <v>5380768.6788160233</v>
      </c>
    </row>
    <row r="1713" spans="2:4" x14ac:dyDescent="0.25">
      <c r="B1713" s="90">
        <v>1709</v>
      </c>
      <c r="C1713" s="39">
        <f t="shared" ref="C1713:C1776" si="54">($C$2*B1713)+$C$1</f>
        <v>6279901.6905597895</v>
      </c>
      <c r="D1713" s="39">
        <f t="shared" ref="D1713:D1776" si="55">$D$2*B1713</f>
        <v>5383919.0117661497</v>
      </c>
    </row>
    <row r="1714" spans="2:4" x14ac:dyDescent="0.25">
      <c r="B1714" s="90">
        <v>1710</v>
      </c>
      <c r="C1714" s="39">
        <f t="shared" si="54"/>
        <v>6282549.0291733416</v>
      </c>
      <c r="D1714" s="39">
        <f t="shared" si="55"/>
        <v>5387069.344716277</v>
      </c>
    </row>
    <row r="1715" spans="2:4" x14ac:dyDescent="0.25">
      <c r="B1715" s="90">
        <v>1711</v>
      </c>
      <c r="C1715" s="39">
        <f t="shared" si="54"/>
        <v>6285196.3677868927</v>
      </c>
      <c r="D1715" s="39">
        <f t="shared" si="55"/>
        <v>5390219.6776664034</v>
      </c>
    </row>
    <row r="1716" spans="2:4" x14ac:dyDescent="0.25">
      <c r="B1716" s="90">
        <v>1712</v>
      </c>
      <c r="C1716" s="39">
        <f t="shared" si="54"/>
        <v>6287843.7064004447</v>
      </c>
      <c r="D1716" s="39">
        <f t="shared" si="55"/>
        <v>5393370.0106165297</v>
      </c>
    </row>
    <row r="1717" spans="2:4" x14ac:dyDescent="0.25">
      <c r="B1717" s="90">
        <v>1713</v>
      </c>
      <c r="C1717" s="39">
        <f t="shared" si="54"/>
        <v>6290491.0450139968</v>
      </c>
      <c r="D1717" s="39">
        <f t="shared" si="55"/>
        <v>5396520.3435666561</v>
      </c>
    </row>
    <row r="1718" spans="2:4" x14ac:dyDescent="0.25">
      <c r="B1718" s="90">
        <v>1714</v>
      </c>
      <c r="C1718" s="39">
        <f t="shared" si="54"/>
        <v>6293138.3836275479</v>
      </c>
      <c r="D1718" s="39">
        <f t="shared" si="55"/>
        <v>5399670.6765167825</v>
      </c>
    </row>
    <row r="1719" spans="2:4" x14ac:dyDescent="0.25">
      <c r="B1719" s="90">
        <v>1715</v>
      </c>
      <c r="C1719" s="39">
        <f t="shared" si="54"/>
        <v>6295785.7222410999</v>
      </c>
      <c r="D1719" s="39">
        <f t="shared" si="55"/>
        <v>5402821.0094669089</v>
      </c>
    </row>
    <row r="1720" spans="2:4" x14ac:dyDescent="0.25">
      <c r="B1720" s="90">
        <v>1716</v>
      </c>
      <c r="C1720" s="39">
        <f t="shared" si="54"/>
        <v>6298433.060854651</v>
      </c>
      <c r="D1720" s="39">
        <f t="shared" si="55"/>
        <v>5405971.3424170353</v>
      </c>
    </row>
    <row r="1721" spans="2:4" x14ac:dyDescent="0.25">
      <c r="B1721" s="90">
        <v>1717</v>
      </c>
      <c r="C1721" s="39">
        <f t="shared" si="54"/>
        <v>6301080.3994682031</v>
      </c>
      <c r="D1721" s="39">
        <f t="shared" si="55"/>
        <v>5409121.6753671616</v>
      </c>
    </row>
    <row r="1722" spans="2:4" x14ac:dyDescent="0.25">
      <c r="B1722" s="90">
        <v>1718</v>
      </c>
      <c r="C1722" s="39">
        <f t="shared" si="54"/>
        <v>6303727.7380817551</v>
      </c>
      <c r="D1722" s="39">
        <f t="shared" si="55"/>
        <v>5412272.008317288</v>
      </c>
    </row>
    <row r="1723" spans="2:4" x14ac:dyDescent="0.25">
      <c r="B1723" s="90">
        <v>1719</v>
      </c>
      <c r="C1723" s="39">
        <f t="shared" si="54"/>
        <v>6306375.0766953062</v>
      </c>
      <c r="D1723" s="39">
        <f t="shared" si="55"/>
        <v>5415422.3412674144</v>
      </c>
    </row>
    <row r="1724" spans="2:4" x14ac:dyDescent="0.25">
      <c r="B1724" s="90">
        <v>1720</v>
      </c>
      <c r="C1724" s="39">
        <f t="shared" si="54"/>
        <v>6309022.4153088583</v>
      </c>
      <c r="D1724" s="39">
        <f t="shared" si="55"/>
        <v>5418572.6742175417</v>
      </c>
    </row>
    <row r="1725" spans="2:4" x14ac:dyDescent="0.25">
      <c r="B1725" s="90">
        <v>1721</v>
      </c>
      <c r="C1725" s="39">
        <f t="shared" si="54"/>
        <v>6311669.7539224094</v>
      </c>
      <c r="D1725" s="39">
        <f t="shared" si="55"/>
        <v>5421723.0071676681</v>
      </c>
    </row>
    <row r="1726" spans="2:4" x14ac:dyDescent="0.25">
      <c r="B1726" s="90">
        <v>1722</v>
      </c>
      <c r="C1726" s="39">
        <f t="shared" si="54"/>
        <v>6314317.0925359614</v>
      </c>
      <c r="D1726" s="39">
        <f t="shared" si="55"/>
        <v>5424873.3401177945</v>
      </c>
    </row>
    <row r="1727" spans="2:4" x14ac:dyDescent="0.25">
      <c r="B1727" s="90">
        <v>1723</v>
      </c>
      <c r="C1727" s="39">
        <f t="shared" si="54"/>
        <v>6316964.4311495135</v>
      </c>
      <c r="D1727" s="39">
        <f t="shared" si="55"/>
        <v>5428023.6730679208</v>
      </c>
    </row>
    <row r="1728" spans="2:4" x14ac:dyDescent="0.25">
      <c r="B1728" s="90">
        <v>1724</v>
      </c>
      <c r="C1728" s="39">
        <f t="shared" si="54"/>
        <v>6319611.7697630646</v>
      </c>
      <c r="D1728" s="39">
        <f t="shared" si="55"/>
        <v>5431174.0060180472</v>
      </c>
    </row>
    <row r="1729" spans="2:4" x14ac:dyDescent="0.25">
      <c r="B1729" s="90">
        <v>1725</v>
      </c>
      <c r="C1729" s="39">
        <f t="shared" si="54"/>
        <v>6322259.1083766166</v>
      </c>
      <c r="D1729" s="39">
        <f t="shared" si="55"/>
        <v>5434324.3389681736</v>
      </c>
    </row>
    <row r="1730" spans="2:4" x14ac:dyDescent="0.25">
      <c r="B1730" s="90">
        <v>1726</v>
      </c>
      <c r="C1730" s="39">
        <f t="shared" si="54"/>
        <v>6324906.4469901677</v>
      </c>
      <c r="D1730" s="39">
        <f t="shared" si="55"/>
        <v>5437474.6719183</v>
      </c>
    </row>
    <row r="1731" spans="2:4" x14ac:dyDescent="0.25">
      <c r="B1731" s="90">
        <v>1727</v>
      </c>
      <c r="C1731" s="39">
        <f t="shared" si="54"/>
        <v>6327553.7856037198</v>
      </c>
      <c r="D1731" s="39">
        <f t="shared" si="55"/>
        <v>5440625.0048684264</v>
      </c>
    </row>
    <row r="1732" spans="2:4" x14ac:dyDescent="0.25">
      <c r="B1732" s="90">
        <v>1728</v>
      </c>
      <c r="C1732" s="39">
        <f t="shared" si="54"/>
        <v>6330201.1242172709</v>
      </c>
      <c r="D1732" s="39">
        <f t="shared" si="55"/>
        <v>5443775.3378185527</v>
      </c>
    </row>
    <row r="1733" spans="2:4" x14ac:dyDescent="0.25">
      <c r="B1733" s="90">
        <v>1729</v>
      </c>
      <c r="C1733" s="39">
        <f t="shared" si="54"/>
        <v>6332848.4628308229</v>
      </c>
      <c r="D1733" s="39">
        <f t="shared" si="55"/>
        <v>5446925.6707686801</v>
      </c>
    </row>
    <row r="1734" spans="2:4" x14ac:dyDescent="0.25">
      <c r="B1734" s="90">
        <v>1730</v>
      </c>
      <c r="C1734" s="39">
        <f t="shared" si="54"/>
        <v>6335495.801444375</v>
      </c>
      <c r="D1734" s="39">
        <f t="shared" si="55"/>
        <v>5450076.0037188064</v>
      </c>
    </row>
    <row r="1735" spans="2:4" x14ac:dyDescent="0.25">
      <c r="B1735" s="90">
        <v>1731</v>
      </c>
      <c r="C1735" s="39">
        <f t="shared" si="54"/>
        <v>6338143.1400579261</v>
      </c>
      <c r="D1735" s="39">
        <f t="shared" si="55"/>
        <v>5453226.3366689328</v>
      </c>
    </row>
    <row r="1736" spans="2:4" x14ac:dyDescent="0.25">
      <c r="B1736" s="90">
        <v>1732</v>
      </c>
      <c r="C1736" s="39">
        <f t="shared" si="54"/>
        <v>6340790.4786714781</v>
      </c>
      <c r="D1736" s="39">
        <f t="shared" si="55"/>
        <v>5456376.6696190592</v>
      </c>
    </row>
    <row r="1737" spans="2:4" x14ac:dyDescent="0.25">
      <c r="B1737" s="90">
        <v>1733</v>
      </c>
      <c r="C1737" s="39">
        <f t="shared" si="54"/>
        <v>6343437.8172850292</v>
      </c>
      <c r="D1737" s="39">
        <f t="shared" si="55"/>
        <v>5459527.0025691856</v>
      </c>
    </row>
    <row r="1738" spans="2:4" x14ac:dyDescent="0.25">
      <c r="B1738" s="90">
        <v>1734</v>
      </c>
      <c r="C1738" s="39">
        <f t="shared" si="54"/>
        <v>6346085.1558985813</v>
      </c>
      <c r="D1738" s="39">
        <f t="shared" si="55"/>
        <v>5462677.3355193119</v>
      </c>
    </row>
    <row r="1739" spans="2:4" x14ac:dyDescent="0.25">
      <c r="B1739" s="90">
        <v>1735</v>
      </c>
      <c r="C1739" s="39">
        <f t="shared" si="54"/>
        <v>6348732.4945121333</v>
      </c>
      <c r="D1739" s="39">
        <f t="shared" si="55"/>
        <v>5465827.6684694383</v>
      </c>
    </row>
    <row r="1740" spans="2:4" x14ac:dyDescent="0.25">
      <c r="B1740" s="90">
        <v>1736</v>
      </c>
      <c r="C1740" s="39">
        <f t="shared" si="54"/>
        <v>6351379.8331256844</v>
      </c>
      <c r="D1740" s="39">
        <f t="shared" si="55"/>
        <v>5468978.0014195647</v>
      </c>
    </row>
    <row r="1741" spans="2:4" x14ac:dyDescent="0.25">
      <c r="B1741" s="90">
        <v>1737</v>
      </c>
      <c r="C1741" s="39">
        <f t="shared" si="54"/>
        <v>6354027.1717392365</v>
      </c>
      <c r="D1741" s="39">
        <f t="shared" si="55"/>
        <v>5472128.3343696911</v>
      </c>
    </row>
    <row r="1742" spans="2:4" x14ac:dyDescent="0.25">
      <c r="B1742" s="90">
        <v>1738</v>
      </c>
      <c r="C1742" s="39">
        <f t="shared" si="54"/>
        <v>6356674.5103527876</v>
      </c>
      <c r="D1742" s="39">
        <f t="shared" si="55"/>
        <v>5475278.6673198175</v>
      </c>
    </row>
    <row r="1743" spans="2:4" x14ac:dyDescent="0.25">
      <c r="B1743" s="90">
        <v>1739</v>
      </c>
      <c r="C1743" s="39">
        <f t="shared" si="54"/>
        <v>6359321.8489663396</v>
      </c>
      <c r="D1743" s="39">
        <f t="shared" si="55"/>
        <v>5478429.0002699448</v>
      </c>
    </row>
    <row r="1744" spans="2:4" x14ac:dyDescent="0.25">
      <c r="B1744" s="90">
        <v>1740</v>
      </c>
      <c r="C1744" s="39">
        <f t="shared" si="54"/>
        <v>6361969.1875798916</v>
      </c>
      <c r="D1744" s="39">
        <f t="shared" si="55"/>
        <v>5481579.3332200712</v>
      </c>
    </row>
    <row r="1745" spans="2:4" x14ac:dyDescent="0.25">
      <c r="B1745" s="90">
        <v>1741</v>
      </c>
      <c r="C1745" s="39">
        <f t="shared" si="54"/>
        <v>6364616.5261934428</v>
      </c>
      <c r="D1745" s="39">
        <f t="shared" si="55"/>
        <v>5484729.6661701975</v>
      </c>
    </row>
    <row r="1746" spans="2:4" x14ac:dyDescent="0.25">
      <c r="B1746" s="90">
        <v>1742</v>
      </c>
      <c r="C1746" s="39">
        <f t="shared" si="54"/>
        <v>6367263.8648069948</v>
      </c>
      <c r="D1746" s="39">
        <f t="shared" si="55"/>
        <v>5487879.9991203239</v>
      </c>
    </row>
    <row r="1747" spans="2:4" x14ac:dyDescent="0.25">
      <c r="B1747" s="90">
        <v>1743</v>
      </c>
      <c r="C1747" s="39">
        <f t="shared" si="54"/>
        <v>6369911.2034205459</v>
      </c>
      <c r="D1747" s="39">
        <f t="shared" si="55"/>
        <v>5491030.3320704503</v>
      </c>
    </row>
    <row r="1748" spans="2:4" x14ac:dyDescent="0.25">
      <c r="B1748" s="90">
        <v>1744</v>
      </c>
      <c r="C1748" s="39">
        <f t="shared" si="54"/>
        <v>6372558.5420340979</v>
      </c>
      <c r="D1748" s="39">
        <f t="shared" si="55"/>
        <v>5494180.6650205767</v>
      </c>
    </row>
    <row r="1749" spans="2:4" x14ac:dyDescent="0.25">
      <c r="B1749" s="90">
        <v>1745</v>
      </c>
      <c r="C1749" s="39">
        <f t="shared" si="54"/>
        <v>6375205.88064765</v>
      </c>
      <c r="D1749" s="39">
        <f t="shared" si="55"/>
        <v>5497330.9979707031</v>
      </c>
    </row>
    <row r="1750" spans="2:4" x14ac:dyDescent="0.25">
      <c r="B1750" s="90">
        <v>1746</v>
      </c>
      <c r="C1750" s="39">
        <f t="shared" si="54"/>
        <v>6377853.2192612011</v>
      </c>
      <c r="D1750" s="39">
        <f t="shared" si="55"/>
        <v>5500481.3309208294</v>
      </c>
    </row>
    <row r="1751" spans="2:4" x14ac:dyDescent="0.25">
      <c r="B1751" s="90">
        <v>1747</v>
      </c>
      <c r="C1751" s="39">
        <f t="shared" si="54"/>
        <v>6380500.5578747531</v>
      </c>
      <c r="D1751" s="39">
        <f t="shared" si="55"/>
        <v>5503631.6638709558</v>
      </c>
    </row>
    <row r="1752" spans="2:4" x14ac:dyDescent="0.25">
      <c r="B1752" s="90">
        <v>1748</v>
      </c>
      <c r="C1752" s="39">
        <f t="shared" si="54"/>
        <v>6383147.8964883042</v>
      </c>
      <c r="D1752" s="39">
        <f t="shared" si="55"/>
        <v>5506781.9968210831</v>
      </c>
    </row>
    <row r="1753" spans="2:4" x14ac:dyDescent="0.25">
      <c r="B1753" s="90">
        <v>1749</v>
      </c>
      <c r="C1753" s="39">
        <f t="shared" si="54"/>
        <v>6385795.2351018563</v>
      </c>
      <c r="D1753" s="39">
        <f t="shared" si="55"/>
        <v>5509932.3297712095</v>
      </c>
    </row>
    <row r="1754" spans="2:4" x14ac:dyDescent="0.25">
      <c r="B1754" s="90">
        <v>1750</v>
      </c>
      <c r="C1754" s="39">
        <f t="shared" si="54"/>
        <v>6388442.5737154074</v>
      </c>
      <c r="D1754" s="39">
        <f t="shared" si="55"/>
        <v>5513082.6627213359</v>
      </c>
    </row>
    <row r="1755" spans="2:4" x14ac:dyDescent="0.25">
      <c r="B1755" s="90">
        <v>1751</v>
      </c>
      <c r="C1755" s="39">
        <f t="shared" si="54"/>
        <v>6391089.9123289594</v>
      </c>
      <c r="D1755" s="39">
        <f t="shared" si="55"/>
        <v>5516232.9956714623</v>
      </c>
    </row>
    <row r="1756" spans="2:4" x14ac:dyDescent="0.25">
      <c r="B1756" s="90">
        <v>1752</v>
      </c>
      <c r="C1756" s="39">
        <f t="shared" si="54"/>
        <v>6393737.2509425115</v>
      </c>
      <c r="D1756" s="39">
        <f t="shared" si="55"/>
        <v>5519383.3286215886</v>
      </c>
    </row>
    <row r="1757" spans="2:4" x14ac:dyDescent="0.25">
      <c r="B1757" s="90">
        <v>1753</v>
      </c>
      <c r="C1757" s="39">
        <f t="shared" si="54"/>
        <v>6396384.5895560626</v>
      </c>
      <c r="D1757" s="39">
        <f t="shared" si="55"/>
        <v>5522533.661571715</v>
      </c>
    </row>
    <row r="1758" spans="2:4" x14ac:dyDescent="0.25">
      <c r="B1758" s="90">
        <v>1754</v>
      </c>
      <c r="C1758" s="39">
        <f t="shared" si="54"/>
        <v>6399031.9281696146</v>
      </c>
      <c r="D1758" s="39">
        <f t="shared" si="55"/>
        <v>5525683.9945218414</v>
      </c>
    </row>
    <row r="1759" spans="2:4" x14ac:dyDescent="0.25">
      <c r="B1759" s="90">
        <v>1755</v>
      </c>
      <c r="C1759" s="39">
        <f t="shared" si="54"/>
        <v>6401679.2667831657</v>
      </c>
      <c r="D1759" s="39">
        <f t="shared" si="55"/>
        <v>5528834.3274719678</v>
      </c>
    </row>
    <row r="1760" spans="2:4" x14ac:dyDescent="0.25">
      <c r="B1760" s="90">
        <v>1756</v>
      </c>
      <c r="C1760" s="39">
        <f t="shared" si="54"/>
        <v>6404326.6053967178</v>
      </c>
      <c r="D1760" s="39">
        <f t="shared" si="55"/>
        <v>5531984.6604220942</v>
      </c>
    </row>
    <row r="1761" spans="2:4" x14ac:dyDescent="0.25">
      <c r="B1761" s="90">
        <v>1757</v>
      </c>
      <c r="C1761" s="39">
        <f t="shared" si="54"/>
        <v>6406973.9440102698</v>
      </c>
      <c r="D1761" s="39">
        <f t="shared" si="55"/>
        <v>5535134.9933722205</v>
      </c>
    </row>
    <row r="1762" spans="2:4" x14ac:dyDescent="0.25">
      <c r="B1762" s="90">
        <v>1758</v>
      </c>
      <c r="C1762" s="39">
        <f t="shared" si="54"/>
        <v>6409621.2826238209</v>
      </c>
      <c r="D1762" s="39">
        <f t="shared" si="55"/>
        <v>5538285.3263223479</v>
      </c>
    </row>
    <row r="1763" spans="2:4" x14ac:dyDescent="0.25">
      <c r="B1763" s="90">
        <v>1759</v>
      </c>
      <c r="C1763" s="39">
        <f t="shared" si="54"/>
        <v>6412268.621237373</v>
      </c>
      <c r="D1763" s="39">
        <f t="shared" si="55"/>
        <v>5541435.6592724742</v>
      </c>
    </row>
    <row r="1764" spans="2:4" x14ac:dyDescent="0.25">
      <c r="B1764" s="90">
        <v>1760</v>
      </c>
      <c r="C1764" s="39">
        <f t="shared" si="54"/>
        <v>6414915.9598509241</v>
      </c>
      <c r="D1764" s="39">
        <f t="shared" si="55"/>
        <v>5544585.9922226006</v>
      </c>
    </row>
    <row r="1765" spans="2:4" x14ac:dyDescent="0.25">
      <c r="B1765" s="90">
        <v>1761</v>
      </c>
      <c r="C1765" s="39">
        <f t="shared" si="54"/>
        <v>6417563.2984644761</v>
      </c>
      <c r="D1765" s="39">
        <f t="shared" si="55"/>
        <v>5547736.325172727</v>
      </c>
    </row>
    <row r="1766" spans="2:4" x14ac:dyDescent="0.25">
      <c r="B1766" s="90">
        <v>1762</v>
      </c>
      <c r="C1766" s="39">
        <f t="shared" si="54"/>
        <v>6420210.6370780282</v>
      </c>
      <c r="D1766" s="39">
        <f t="shared" si="55"/>
        <v>5550886.6581228534</v>
      </c>
    </row>
    <row r="1767" spans="2:4" x14ac:dyDescent="0.25">
      <c r="B1767" s="90">
        <v>1763</v>
      </c>
      <c r="C1767" s="39">
        <f t="shared" si="54"/>
        <v>6422857.9756915793</v>
      </c>
      <c r="D1767" s="39">
        <f t="shared" si="55"/>
        <v>5554036.9910729798</v>
      </c>
    </row>
    <row r="1768" spans="2:4" x14ac:dyDescent="0.25">
      <c r="B1768" s="90">
        <v>1764</v>
      </c>
      <c r="C1768" s="39">
        <f t="shared" si="54"/>
        <v>6425505.3143051313</v>
      </c>
      <c r="D1768" s="39">
        <f t="shared" si="55"/>
        <v>5557187.3240231061</v>
      </c>
    </row>
    <row r="1769" spans="2:4" x14ac:dyDescent="0.25">
      <c r="B1769" s="90">
        <v>1765</v>
      </c>
      <c r="C1769" s="39">
        <f t="shared" si="54"/>
        <v>6428152.6529186824</v>
      </c>
      <c r="D1769" s="39">
        <f t="shared" si="55"/>
        <v>5560337.6569732325</v>
      </c>
    </row>
    <row r="1770" spans="2:4" x14ac:dyDescent="0.25">
      <c r="B1770" s="90">
        <v>1766</v>
      </c>
      <c r="C1770" s="39">
        <f t="shared" si="54"/>
        <v>6430799.9915322345</v>
      </c>
      <c r="D1770" s="39">
        <f t="shared" si="55"/>
        <v>5563487.9899233589</v>
      </c>
    </row>
    <row r="1771" spans="2:4" x14ac:dyDescent="0.25">
      <c r="B1771" s="90">
        <v>1767</v>
      </c>
      <c r="C1771" s="39">
        <f t="shared" si="54"/>
        <v>6433447.3301457865</v>
      </c>
      <c r="D1771" s="39">
        <f t="shared" si="55"/>
        <v>5566638.3228734862</v>
      </c>
    </row>
    <row r="1772" spans="2:4" x14ac:dyDescent="0.25">
      <c r="B1772" s="90">
        <v>1768</v>
      </c>
      <c r="C1772" s="39">
        <f t="shared" si="54"/>
        <v>6436094.6687593376</v>
      </c>
      <c r="D1772" s="39">
        <f t="shared" si="55"/>
        <v>5569788.6558236126</v>
      </c>
    </row>
    <row r="1773" spans="2:4" x14ac:dyDescent="0.25">
      <c r="B1773" s="90">
        <v>1769</v>
      </c>
      <c r="C1773" s="39">
        <f t="shared" si="54"/>
        <v>6438742.0073728897</v>
      </c>
      <c r="D1773" s="39">
        <f t="shared" si="55"/>
        <v>5572938.988773739</v>
      </c>
    </row>
    <row r="1774" spans="2:4" x14ac:dyDescent="0.25">
      <c r="B1774" s="90">
        <v>1770</v>
      </c>
      <c r="C1774" s="39">
        <f t="shared" si="54"/>
        <v>6441389.3459864408</v>
      </c>
      <c r="D1774" s="39">
        <f t="shared" si="55"/>
        <v>5576089.3217238653</v>
      </c>
    </row>
    <row r="1775" spans="2:4" x14ac:dyDescent="0.25">
      <c r="B1775" s="90">
        <v>1771</v>
      </c>
      <c r="C1775" s="39">
        <f t="shared" si="54"/>
        <v>6444036.6845999928</v>
      </c>
      <c r="D1775" s="39">
        <f t="shared" si="55"/>
        <v>5579239.6546739917</v>
      </c>
    </row>
    <row r="1776" spans="2:4" x14ac:dyDescent="0.25">
      <c r="B1776" s="90">
        <v>1772</v>
      </c>
      <c r="C1776" s="39">
        <f t="shared" si="54"/>
        <v>6446684.0232135449</v>
      </c>
      <c r="D1776" s="39">
        <f t="shared" si="55"/>
        <v>5582389.9876241181</v>
      </c>
    </row>
    <row r="1777" spans="2:4" x14ac:dyDescent="0.25">
      <c r="B1777" s="90">
        <v>1773</v>
      </c>
      <c r="C1777" s="39">
        <f t="shared" ref="C1777:C1840" si="56">($C$2*B1777)+$C$1</f>
        <v>6449331.361827096</v>
      </c>
      <c r="D1777" s="39">
        <f t="shared" ref="D1777:D1840" si="57">$D$2*B1777</f>
        <v>5585540.3205742445</v>
      </c>
    </row>
    <row r="1778" spans="2:4" x14ac:dyDescent="0.25">
      <c r="B1778" s="90">
        <v>1774</v>
      </c>
      <c r="C1778" s="39">
        <f t="shared" si="56"/>
        <v>6451978.700440648</v>
      </c>
      <c r="D1778" s="39">
        <f t="shared" si="57"/>
        <v>5588690.6535243709</v>
      </c>
    </row>
    <row r="1779" spans="2:4" x14ac:dyDescent="0.25">
      <c r="B1779" s="90">
        <v>1775</v>
      </c>
      <c r="C1779" s="39">
        <f t="shared" si="56"/>
        <v>6454626.0390541991</v>
      </c>
      <c r="D1779" s="39">
        <f t="shared" si="57"/>
        <v>5591840.9864744972</v>
      </c>
    </row>
    <row r="1780" spans="2:4" x14ac:dyDescent="0.25">
      <c r="B1780" s="90">
        <v>1776</v>
      </c>
      <c r="C1780" s="39">
        <f t="shared" si="56"/>
        <v>6457273.3776677512</v>
      </c>
      <c r="D1780" s="39">
        <f t="shared" si="57"/>
        <v>5594991.3194246236</v>
      </c>
    </row>
    <row r="1781" spans="2:4" x14ac:dyDescent="0.25">
      <c r="B1781" s="90">
        <v>1777</v>
      </c>
      <c r="C1781" s="39">
        <f t="shared" si="56"/>
        <v>6459920.7162813023</v>
      </c>
      <c r="D1781" s="39">
        <f t="shared" si="57"/>
        <v>5598141.6523747509</v>
      </c>
    </row>
    <row r="1782" spans="2:4" x14ac:dyDescent="0.25">
      <c r="B1782" s="90">
        <v>1778</v>
      </c>
      <c r="C1782" s="39">
        <f t="shared" si="56"/>
        <v>6462568.0548948543</v>
      </c>
      <c r="D1782" s="39">
        <f t="shared" si="57"/>
        <v>5601291.9853248773</v>
      </c>
    </row>
    <row r="1783" spans="2:4" x14ac:dyDescent="0.25">
      <c r="B1783" s="90">
        <v>1779</v>
      </c>
      <c r="C1783" s="39">
        <f t="shared" si="56"/>
        <v>6465215.3935084064</v>
      </c>
      <c r="D1783" s="39">
        <f t="shared" si="57"/>
        <v>5604442.3182750037</v>
      </c>
    </row>
    <row r="1784" spans="2:4" x14ac:dyDescent="0.25">
      <c r="B1784" s="90">
        <v>1780</v>
      </c>
      <c r="C1784" s="39">
        <f t="shared" si="56"/>
        <v>6467862.7321219575</v>
      </c>
      <c r="D1784" s="39">
        <f t="shared" si="57"/>
        <v>5607592.6512251301</v>
      </c>
    </row>
    <row r="1785" spans="2:4" x14ac:dyDescent="0.25">
      <c r="B1785" s="90">
        <v>1781</v>
      </c>
      <c r="C1785" s="39">
        <f t="shared" si="56"/>
        <v>6470510.0707355095</v>
      </c>
      <c r="D1785" s="39">
        <f t="shared" si="57"/>
        <v>5610742.9841752565</v>
      </c>
    </row>
    <row r="1786" spans="2:4" x14ac:dyDescent="0.25">
      <c r="B1786" s="90">
        <v>1782</v>
      </c>
      <c r="C1786" s="39">
        <f t="shared" si="56"/>
        <v>6473157.4093490606</v>
      </c>
      <c r="D1786" s="39">
        <f t="shared" si="57"/>
        <v>5613893.3171253828</v>
      </c>
    </row>
    <row r="1787" spans="2:4" x14ac:dyDescent="0.25">
      <c r="B1787" s="90">
        <v>1783</v>
      </c>
      <c r="C1787" s="39">
        <f t="shared" si="56"/>
        <v>6475804.7479626127</v>
      </c>
      <c r="D1787" s="39">
        <f t="shared" si="57"/>
        <v>5617043.6500755092</v>
      </c>
    </row>
    <row r="1788" spans="2:4" x14ac:dyDescent="0.25">
      <c r="B1788" s="90">
        <v>1784</v>
      </c>
      <c r="C1788" s="39">
        <f t="shared" si="56"/>
        <v>6478452.0865761647</v>
      </c>
      <c r="D1788" s="39">
        <f t="shared" si="57"/>
        <v>5620193.9830256356</v>
      </c>
    </row>
    <row r="1789" spans="2:4" x14ac:dyDescent="0.25">
      <c r="B1789" s="90">
        <v>1785</v>
      </c>
      <c r="C1789" s="39">
        <f t="shared" si="56"/>
        <v>6481099.4251897158</v>
      </c>
      <c r="D1789" s="39">
        <f t="shared" si="57"/>
        <v>5623344.315975762</v>
      </c>
    </row>
    <row r="1790" spans="2:4" x14ac:dyDescent="0.25">
      <c r="B1790" s="90">
        <v>1786</v>
      </c>
      <c r="C1790" s="39">
        <f t="shared" si="56"/>
        <v>6483746.7638032679</v>
      </c>
      <c r="D1790" s="39">
        <f t="shared" si="57"/>
        <v>5626494.6489258884</v>
      </c>
    </row>
    <row r="1791" spans="2:4" x14ac:dyDescent="0.25">
      <c r="B1791" s="90">
        <v>1787</v>
      </c>
      <c r="C1791" s="39">
        <f t="shared" si="56"/>
        <v>6486394.102416819</v>
      </c>
      <c r="D1791" s="39">
        <f t="shared" si="57"/>
        <v>5629644.9818760157</v>
      </c>
    </row>
    <row r="1792" spans="2:4" x14ac:dyDescent="0.25">
      <c r="B1792" s="90">
        <v>1788</v>
      </c>
      <c r="C1792" s="39">
        <f t="shared" si="56"/>
        <v>6489041.441030371</v>
      </c>
      <c r="D1792" s="39">
        <f t="shared" si="57"/>
        <v>5632795.314826142</v>
      </c>
    </row>
    <row r="1793" spans="2:4" x14ac:dyDescent="0.25">
      <c r="B1793" s="90">
        <v>1789</v>
      </c>
      <c r="C1793" s="39">
        <f t="shared" si="56"/>
        <v>6491688.779643923</v>
      </c>
      <c r="D1793" s="39">
        <f t="shared" si="57"/>
        <v>5635945.6477762684</v>
      </c>
    </row>
    <row r="1794" spans="2:4" x14ac:dyDescent="0.25">
      <c r="B1794" s="90">
        <v>1790</v>
      </c>
      <c r="C1794" s="39">
        <f t="shared" si="56"/>
        <v>6494336.1182574742</v>
      </c>
      <c r="D1794" s="39">
        <f t="shared" si="57"/>
        <v>5639095.9807263948</v>
      </c>
    </row>
    <row r="1795" spans="2:4" x14ac:dyDescent="0.25">
      <c r="B1795" s="90">
        <v>1791</v>
      </c>
      <c r="C1795" s="39">
        <f t="shared" si="56"/>
        <v>6496983.4568710262</v>
      </c>
      <c r="D1795" s="39">
        <f t="shared" si="57"/>
        <v>5642246.3136765212</v>
      </c>
    </row>
    <row r="1796" spans="2:4" x14ac:dyDescent="0.25">
      <c r="B1796" s="90">
        <v>1792</v>
      </c>
      <c r="C1796" s="39">
        <f t="shared" si="56"/>
        <v>6499630.7954845773</v>
      </c>
      <c r="D1796" s="39">
        <f t="shared" si="57"/>
        <v>5645396.6466266476</v>
      </c>
    </row>
    <row r="1797" spans="2:4" x14ac:dyDescent="0.25">
      <c r="B1797" s="90">
        <v>1793</v>
      </c>
      <c r="C1797" s="39">
        <f t="shared" si="56"/>
        <v>6502278.1340981293</v>
      </c>
      <c r="D1797" s="39">
        <f t="shared" si="57"/>
        <v>5648546.9795767739</v>
      </c>
    </row>
    <row r="1798" spans="2:4" x14ac:dyDescent="0.25">
      <c r="B1798" s="90">
        <v>1794</v>
      </c>
      <c r="C1798" s="39">
        <f t="shared" si="56"/>
        <v>6504925.4727116814</v>
      </c>
      <c r="D1798" s="39">
        <f t="shared" si="57"/>
        <v>5651697.3125269003</v>
      </c>
    </row>
    <row r="1799" spans="2:4" x14ac:dyDescent="0.25">
      <c r="B1799" s="90">
        <v>1795</v>
      </c>
      <c r="C1799" s="39">
        <f t="shared" si="56"/>
        <v>6507572.8113252325</v>
      </c>
      <c r="D1799" s="39">
        <f t="shared" si="57"/>
        <v>5654847.6454770267</v>
      </c>
    </row>
    <row r="1800" spans="2:4" x14ac:dyDescent="0.25">
      <c r="B1800" s="90">
        <v>1796</v>
      </c>
      <c r="C1800" s="39">
        <f t="shared" si="56"/>
        <v>6510220.1499387845</v>
      </c>
      <c r="D1800" s="39">
        <f t="shared" si="57"/>
        <v>5657997.978427154</v>
      </c>
    </row>
    <row r="1801" spans="2:4" x14ac:dyDescent="0.25">
      <c r="B1801" s="90">
        <v>1797</v>
      </c>
      <c r="C1801" s="39">
        <f t="shared" si="56"/>
        <v>6512867.4885523356</v>
      </c>
      <c r="D1801" s="39">
        <f t="shared" si="57"/>
        <v>5661148.3113772804</v>
      </c>
    </row>
    <row r="1802" spans="2:4" x14ac:dyDescent="0.25">
      <c r="B1802" s="90">
        <v>1798</v>
      </c>
      <c r="C1802" s="39">
        <f t="shared" si="56"/>
        <v>6515514.8271658877</v>
      </c>
      <c r="D1802" s="39">
        <f t="shared" si="57"/>
        <v>5664298.6443274068</v>
      </c>
    </row>
    <row r="1803" spans="2:4" x14ac:dyDescent="0.25">
      <c r="B1803" s="90">
        <v>1799</v>
      </c>
      <c r="C1803" s="39">
        <f t="shared" si="56"/>
        <v>6518162.1657794397</v>
      </c>
      <c r="D1803" s="39">
        <f t="shared" si="57"/>
        <v>5667448.9772775332</v>
      </c>
    </row>
    <row r="1804" spans="2:4" x14ac:dyDescent="0.25">
      <c r="B1804" s="90">
        <v>1800</v>
      </c>
      <c r="C1804" s="39">
        <f t="shared" si="56"/>
        <v>6520809.5043929908</v>
      </c>
      <c r="D1804" s="39">
        <f t="shared" si="57"/>
        <v>5670599.3102276595</v>
      </c>
    </row>
    <row r="1805" spans="2:4" x14ac:dyDescent="0.25">
      <c r="B1805" s="90">
        <v>1801</v>
      </c>
      <c r="C1805" s="39">
        <f t="shared" si="56"/>
        <v>6523456.8430065429</v>
      </c>
      <c r="D1805" s="39">
        <f t="shared" si="57"/>
        <v>5673749.6431777859</v>
      </c>
    </row>
    <row r="1806" spans="2:4" x14ac:dyDescent="0.25">
      <c r="B1806" s="90">
        <v>1802</v>
      </c>
      <c r="C1806" s="39">
        <f t="shared" si="56"/>
        <v>6526104.181620094</v>
      </c>
      <c r="D1806" s="39">
        <f t="shared" si="57"/>
        <v>5676899.9761279123</v>
      </c>
    </row>
    <row r="1807" spans="2:4" x14ac:dyDescent="0.25">
      <c r="B1807" s="90">
        <v>1803</v>
      </c>
      <c r="C1807" s="39">
        <f t="shared" si="56"/>
        <v>6528751.520233646</v>
      </c>
      <c r="D1807" s="39">
        <f t="shared" si="57"/>
        <v>5680050.3090780387</v>
      </c>
    </row>
    <row r="1808" spans="2:4" x14ac:dyDescent="0.25">
      <c r="B1808" s="90">
        <v>1804</v>
      </c>
      <c r="C1808" s="39">
        <f t="shared" si="56"/>
        <v>6531398.8588471971</v>
      </c>
      <c r="D1808" s="39">
        <f t="shared" si="57"/>
        <v>5683200.642028165</v>
      </c>
    </row>
    <row r="1809" spans="2:4" x14ac:dyDescent="0.25">
      <c r="B1809" s="90">
        <v>1805</v>
      </c>
      <c r="C1809" s="39">
        <f t="shared" si="56"/>
        <v>6534046.1974607492</v>
      </c>
      <c r="D1809" s="39">
        <f t="shared" si="57"/>
        <v>5686350.9749782914</v>
      </c>
    </row>
    <row r="1810" spans="2:4" x14ac:dyDescent="0.25">
      <c r="B1810" s="90">
        <v>1806</v>
      </c>
      <c r="C1810" s="39">
        <f t="shared" si="56"/>
        <v>6536693.5360743012</v>
      </c>
      <c r="D1810" s="39">
        <f t="shared" si="57"/>
        <v>5689501.3079284187</v>
      </c>
    </row>
    <row r="1811" spans="2:4" x14ac:dyDescent="0.25">
      <c r="B1811" s="90">
        <v>1807</v>
      </c>
      <c r="C1811" s="39">
        <f t="shared" si="56"/>
        <v>6539340.8746878523</v>
      </c>
      <c r="D1811" s="39">
        <f t="shared" si="57"/>
        <v>5692651.6408785451</v>
      </c>
    </row>
    <row r="1812" spans="2:4" x14ac:dyDescent="0.25">
      <c r="B1812" s="90">
        <v>1808</v>
      </c>
      <c r="C1812" s="39">
        <f t="shared" si="56"/>
        <v>6541988.2133014044</v>
      </c>
      <c r="D1812" s="39">
        <f t="shared" si="57"/>
        <v>5695801.9738286715</v>
      </c>
    </row>
    <row r="1813" spans="2:4" x14ac:dyDescent="0.25">
      <c r="B1813" s="90">
        <v>1809</v>
      </c>
      <c r="C1813" s="39">
        <f t="shared" si="56"/>
        <v>6544635.5519149555</v>
      </c>
      <c r="D1813" s="39">
        <f t="shared" si="57"/>
        <v>5698952.3067787979</v>
      </c>
    </row>
    <row r="1814" spans="2:4" x14ac:dyDescent="0.25">
      <c r="B1814" s="90">
        <v>1810</v>
      </c>
      <c r="C1814" s="39">
        <f t="shared" si="56"/>
        <v>6547282.8905285075</v>
      </c>
      <c r="D1814" s="39">
        <f t="shared" si="57"/>
        <v>5702102.6397289243</v>
      </c>
    </row>
    <row r="1815" spans="2:4" x14ac:dyDescent="0.25">
      <c r="B1815" s="90">
        <v>1811</v>
      </c>
      <c r="C1815" s="39">
        <f t="shared" si="56"/>
        <v>6549930.2291420596</v>
      </c>
      <c r="D1815" s="39">
        <f t="shared" si="57"/>
        <v>5705252.9726790506</v>
      </c>
    </row>
    <row r="1816" spans="2:4" x14ac:dyDescent="0.25">
      <c r="B1816" s="90">
        <v>1812</v>
      </c>
      <c r="C1816" s="39">
        <f t="shared" si="56"/>
        <v>6552577.5677556107</v>
      </c>
      <c r="D1816" s="39">
        <f t="shared" si="57"/>
        <v>5708403.305629177</v>
      </c>
    </row>
    <row r="1817" spans="2:4" x14ac:dyDescent="0.25">
      <c r="B1817" s="90">
        <v>1813</v>
      </c>
      <c r="C1817" s="39">
        <f t="shared" si="56"/>
        <v>6555224.9063691627</v>
      </c>
      <c r="D1817" s="39">
        <f t="shared" si="57"/>
        <v>5711553.6385793034</v>
      </c>
    </row>
    <row r="1818" spans="2:4" x14ac:dyDescent="0.25">
      <c r="B1818" s="90">
        <v>1814</v>
      </c>
      <c r="C1818" s="39">
        <f t="shared" si="56"/>
        <v>6557872.2449827138</v>
      </c>
      <c r="D1818" s="39">
        <f t="shared" si="57"/>
        <v>5714703.9715294298</v>
      </c>
    </row>
    <row r="1819" spans="2:4" x14ac:dyDescent="0.25">
      <c r="B1819" s="90">
        <v>1815</v>
      </c>
      <c r="C1819" s="39">
        <f t="shared" si="56"/>
        <v>6560519.5835962659</v>
      </c>
      <c r="D1819" s="39">
        <f t="shared" si="57"/>
        <v>5717854.3044795571</v>
      </c>
    </row>
    <row r="1820" spans="2:4" x14ac:dyDescent="0.25">
      <c r="B1820" s="90">
        <v>1816</v>
      </c>
      <c r="C1820" s="39">
        <f t="shared" si="56"/>
        <v>6563166.9222098179</v>
      </c>
      <c r="D1820" s="39">
        <f t="shared" si="57"/>
        <v>5721004.6374296835</v>
      </c>
    </row>
    <row r="1821" spans="2:4" x14ac:dyDescent="0.25">
      <c r="B1821" s="90">
        <v>1817</v>
      </c>
      <c r="C1821" s="39">
        <f t="shared" si="56"/>
        <v>6565814.260823369</v>
      </c>
      <c r="D1821" s="39">
        <f t="shared" si="57"/>
        <v>5724154.9703798098</v>
      </c>
    </row>
    <row r="1822" spans="2:4" x14ac:dyDescent="0.25">
      <c r="B1822" s="90">
        <v>1818</v>
      </c>
      <c r="C1822" s="39">
        <f t="shared" si="56"/>
        <v>6568461.5994369211</v>
      </c>
      <c r="D1822" s="39">
        <f t="shared" si="57"/>
        <v>5727305.3033299362</v>
      </c>
    </row>
    <row r="1823" spans="2:4" x14ac:dyDescent="0.25">
      <c r="B1823" s="90">
        <v>1819</v>
      </c>
      <c r="C1823" s="39">
        <f t="shared" si="56"/>
        <v>6571108.9380504722</v>
      </c>
      <c r="D1823" s="39">
        <f t="shared" si="57"/>
        <v>5730455.6362800626</v>
      </c>
    </row>
    <row r="1824" spans="2:4" x14ac:dyDescent="0.25">
      <c r="B1824" s="90">
        <v>1820</v>
      </c>
      <c r="C1824" s="39">
        <f t="shared" si="56"/>
        <v>6573756.2766640242</v>
      </c>
      <c r="D1824" s="39">
        <f t="shared" si="57"/>
        <v>5733605.969230189</v>
      </c>
    </row>
    <row r="1825" spans="2:4" x14ac:dyDescent="0.25">
      <c r="B1825" s="90">
        <v>1821</v>
      </c>
      <c r="C1825" s="39">
        <f t="shared" si="56"/>
        <v>6576403.6152775763</v>
      </c>
      <c r="D1825" s="39">
        <f t="shared" si="57"/>
        <v>5736756.3021803154</v>
      </c>
    </row>
    <row r="1826" spans="2:4" x14ac:dyDescent="0.25">
      <c r="B1826" s="90">
        <v>1822</v>
      </c>
      <c r="C1826" s="39">
        <f t="shared" si="56"/>
        <v>6579050.9538911274</v>
      </c>
      <c r="D1826" s="39">
        <f t="shared" si="57"/>
        <v>5739906.6351304417</v>
      </c>
    </row>
    <row r="1827" spans="2:4" x14ac:dyDescent="0.25">
      <c r="B1827" s="90">
        <v>1823</v>
      </c>
      <c r="C1827" s="39">
        <f t="shared" si="56"/>
        <v>6581698.2925046794</v>
      </c>
      <c r="D1827" s="39">
        <f t="shared" si="57"/>
        <v>5743056.9680805681</v>
      </c>
    </row>
    <row r="1828" spans="2:4" x14ac:dyDescent="0.25">
      <c r="B1828" s="90">
        <v>1824</v>
      </c>
      <c r="C1828" s="39">
        <f t="shared" si="56"/>
        <v>6584345.6311182305</v>
      </c>
      <c r="D1828" s="39">
        <f t="shared" si="57"/>
        <v>5746207.3010306945</v>
      </c>
    </row>
    <row r="1829" spans="2:4" x14ac:dyDescent="0.25">
      <c r="B1829" s="90">
        <v>1825</v>
      </c>
      <c r="C1829" s="39">
        <f t="shared" si="56"/>
        <v>6586992.9697317826</v>
      </c>
      <c r="D1829" s="39">
        <f t="shared" si="57"/>
        <v>5749357.6339808218</v>
      </c>
    </row>
    <row r="1830" spans="2:4" x14ac:dyDescent="0.25">
      <c r="B1830" s="90">
        <v>1826</v>
      </c>
      <c r="C1830" s="39">
        <f t="shared" si="56"/>
        <v>6589640.3083453346</v>
      </c>
      <c r="D1830" s="39">
        <f t="shared" si="57"/>
        <v>5752507.9669309482</v>
      </c>
    </row>
    <row r="1831" spans="2:4" x14ac:dyDescent="0.25">
      <c r="B1831" s="90">
        <v>1827</v>
      </c>
      <c r="C1831" s="39">
        <f t="shared" si="56"/>
        <v>6592287.6469588857</v>
      </c>
      <c r="D1831" s="39">
        <f t="shared" si="57"/>
        <v>5755658.2998810746</v>
      </c>
    </row>
    <row r="1832" spans="2:4" x14ac:dyDescent="0.25">
      <c r="B1832" s="90">
        <v>1828</v>
      </c>
      <c r="C1832" s="39">
        <f t="shared" si="56"/>
        <v>6594934.9855724378</v>
      </c>
      <c r="D1832" s="39">
        <f t="shared" si="57"/>
        <v>5758808.632831201</v>
      </c>
    </row>
    <row r="1833" spans="2:4" x14ac:dyDescent="0.25">
      <c r="B1833" s="90">
        <v>1829</v>
      </c>
      <c r="C1833" s="39">
        <f t="shared" si="56"/>
        <v>6597582.3241859889</v>
      </c>
      <c r="D1833" s="39">
        <f t="shared" si="57"/>
        <v>5761958.9657813273</v>
      </c>
    </row>
    <row r="1834" spans="2:4" x14ac:dyDescent="0.25">
      <c r="B1834" s="90">
        <v>1830</v>
      </c>
      <c r="C1834" s="39">
        <f t="shared" si="56"/>
        <v>6600229.6627995409</v>
      </c>
      <c r="D1834" s="39">
        <f t="shared" si="57"/>
        <v>5765109.2987314537</v>
      </c>
    </row>
    <row r="1835" spans="2:4" x14ac:dyDescent="0.25">
      <c r="B1835" s="90">
        <v>1831</v>
      </c>
      <c r="C1835" s="39">
        <f t="shared" si="56"/>
        <v>6602877.001413092</v>
      </c>
      <c r="D1835" s="39">
        <f t="shared" si="57"/>
        <v>5768259.6316815801</v>
      </c>
    </row>
    <row r="1836" spans="2:4" x14ac:dyDescent="0.25">
      <c r="B1836" s="90">
        <v>1832</v>
      </c>
      <c r="C1836" s="39">
        <f t="shared" si="56"/>
        <v>6605524.3400266441</v>
      </c>
      <c r="D1836" s="39">
        <f t="shared" si="57"/>
        <v>5771409.9646317065</v>
      </c>
    </row>
    <row r="1837" spans="2:4" x14ac:dyDescent="0.25">
      <c r="B1837" s="90">
        <v>1833</v>
      </c>
      <c r="C1837" s="39">
        <f t="shared" si="56"/>
        <v>6608171.6786401961</v>
      </c>
      <c r="D1837" s="39">
        <f t="shared" si="57"/>
        <v>5774560.2975818329</v>
      </c>
    </row>
    <row r="1838" spans="2:4" x14ac:dyDescent="0.25">
      <c r="B1838" s="90">
        <v>1834</v>
      </c>
      <c r="C1838" s="39">
        <f t="shared" si="56"/>
        <v>6610819.0172537472</v>
      </c>
      <c r="D1838" s="39">
        <f t="shared" si="57"/>
        <v>5777710.6305319602</v>
      </c>
    </row>
    <row r="1839" spans="2:4" x14ac:dyDescent="0.25">
      <c r="B1839" s="90">
        <v>1835</v>
      </c>
      <c r="C1839" s="39">
        <f t="shared" si="56"/>
        <v>6613466.3558672993</v>
      </c>
      <c r="D1839" s="39">
        <f t="shared" si="57"/>
        <v>5780860.9634820865</v>
      </c>
    </row>
    <row r="1840" spans="2:4" x14ac:dyDescent="0.25">
      <c r="B1840" s="90">
        <v>1836</v>
      </c>
      <c r="C1840" s="39">
        <f t="shared" si="56"/>
        <v>6616113.6944808504</v>
      </c>
      <c r="D1840" s="39">
        <f t="shared" si="57"/>
        <v>5784011.2964322129</v>
      </c>
    </row>
    <row r="1841" spans="2:4" x14ac:dyDescent="0.25">
      <c r="B1841" s="90">
        <v>1837</v>
      </c>
      <c r="C1841" s="39">
        <f t="shared" ref="C1841:C1904" si="58">($C$2*B1841)+$C$1</f>
        <v>6618761.0330944024</v>
      </c>
      <c r="D1841" s="39">
        <f t="shared" ref="D1841:D1904" si="59">$D$2*B1841</f>
        <v>5787161.6293823393</v>
      </c>
    </row>
    <row r="1842" spans="2:4" x14ac:dyDescent="0.25">
      <c r="B1842" s="90">
        <v>1838</v>
      </c>
      <c r="C1842" s="39">
        <f t="shared" si="58"/>
        <v>6621408.3717079544</v>
      </c>
      <c r="D1842" s="39">
        <f t="shared" si="59"/>
        <v>5790311.9623324657</v>
      </c>
    </row>
    <row r="1843" spans="2:4" x14ac:dyDescent="0.25">
      <c r="B1843" s="90">
        <v>1839</v>
      </c>
      <c r="C1843" s="39">
        <f t="shared" si="58"/>
        <v>6624055.7103215056</v>
      </c>
      <c r="D1843" s="39">
        <f t="shared" si="59"/>
        <v>5793462.2952825921</v>
      </c>
    </row>
    <row r="1844" spans="2:4" x14ac:dyDescent="0.25">
      <c r="B1844" s="90">
        <v>1840</v>
      </c>
      <c r="C1844" s="39">
        <f t="shared" si="58"/>
        <v>6626703.0489350576</v>
      </c>
      <c r="D1844" s="39">
        <f t="shared" si="59"/>
        <v>5796612.6282327184</v>
      </c>
    </row>
    <row r="1845" spans="2:4" x14ac:dyDescent="0.25">
      <c r="B1845" s="90">
        <v>1841</v>
      </c>
      <c r="C1845" s="39">
        <f t="shared" si="58"/>
        <v>6629350.3875486087</v>
      </c>
      <c r="D1845" s="39">
        <f t="shared" si="59"/>
        <v>5799762.9611828448</v>
      </c>
    </row>
    <row r="1846" spans="2:4" x14ac:dyDescent="0.25">
      <c r="B1846" s="90">
        <v>1842</v>
      </c>
      <c r="C1846" s="39">
        <f t="shared" si="58"/>
        <v>6631997.7261621607</v>
      </c>
      <c r="D1846" s="39">
        <f t="shared" si="59"/>
        <v>5802913.2941329712</v>
      </c>
    </row>
    <row r="1847" spans="2:4" x14ac:dyDescent="0.25">
      <c r="B1847" s="90">
        <v>1843</v>
      </c>
      <c r="C1847" s="39">
        <f t="shared" si="58"/>
        <v>6634645.0647757128</v>
      </c>
      <c r="D1847" s="39">
        <f t="shared" si="59"/>
        <v>5806063.6270830976</v>
      </c>
    </row>
    <row r="1848" spans="2:4" x14ac:dyDescent="0.25">
      <c r="B1848" s="90">
        <v>1844</v>
      </c>
      <c r="C1848" s="39">
        <f t="shared" si="58"/>
        <v>6637292.4033892639</v>
      </c>
      <c r="D1848" s="39">
        <f t="shared" si="59"/>
        <v>5809213.9600332249</v>
      </c>
    </row>
    <row r="1849" spans="2:4" x14ac:dyDescent="0.25">
      <c r="B1849" s="90">
        <v>1845</v>
      </c>
      <c r="C1849" s="39">
        <f t="shared" si="58"/>
        <v>6639939.7420028159</v>
      </c>
      <c r="D1849" s="39">
        <f t="shared" si="59"/>
        <v>5812364.2929833513</v>
      </c>
    </row>
    <row r="1850" spans="2:4" x14ac:dyDescent="0.25">
      <c r="B1850" s="90">
        <v>1846</v>
      </c>
      <c r="C1850" s="39">
        <f t="shared" si="58"/>
        <v>6642587.080616367</v>
      </c>
      <c r="D1850" s="39">
        <f t="shared" si="59"/>
        <v>5815514.6259334777</v>
      </c>
    </row>
    <row r="1851" spans="2:4" x14ac:dyDescent="0.25">
      <c r="B1851" s="90">
        <v>1847</v>
      </c>
      <c r="C1851" s="39">
        <f t="shared" si="58"/>
        <v>6645234.4192299191</v>
      </c>
      <c r="D1851" s="39">
        <f t="shared" si="59"/>
        <v>5818664.958883604</v>
      </c>
    </row>
    <row r="1852" spans="2:4" x14ac:dyDescent="0.25">
      <c r="B1852" s="90">
        <v>1848</v>
      </c>
      <c r="C1852" s="39">
        <f t="shared" si="58"/>
        <v>6647881.7578434711</v>
      </c>
      <c r="D1852" s="39">
        <f t="shared" si="59"/>
        <v>5821815.2918337304</v>
      </c>
    </row>
    <row r="1853" spans="2:4" x14ac:dyDescent="0.25">
      <c r="B1853" s="90">
        <v>1849</v>
      </c>
      <c r="C1853" s="39">
        <f t="shared" si="58"/>
        <v>6650529.0964570222</v>
      </c>
      <c r="D1853" s="39">
        <f t="shared" si="59"/>
        <v>5824965.6247838568</v>
      </c>
    </row>
    <row r="1854" spans="2:4" x14ac:dyDescent="0.25">
      <c r="B1854" s="90">
        <v>1850</v>
      </c>
      <c r="C1854" s="39">
        <f t="shared" si="58"/>
        <v>6653176.4350705743</v>
      </c>
      <c r="D1854" s="39">
        <f t="shared" si="59"/>
        <v>5828115.9577339832</v>
      </c>
    </row>
    <row r="1855" spans="2:4" x14ac:dyDescent="0.25">
      <c r="B1855" s="90">
        <v>1851</v>
      </c>
      <c r="C1855" s="39">
        <f t="shared" si="58"/>
        <v>6655823.7736841254</v>
      </c>
      <c r="D1855" s="39">
        <f t="shared" si="59"/>
        <v>5831266.2906841096</v>
      </c>
    </row>
    <row r="1856" spans="2:4" x14ac:dyDescent="0.25">
      <c r="B1856" s="90">
        <v>1852</v>
      </c>
      <c r="C1856" s="39">
        <f t="shared" si="58"/>
        <v>6658471.1122976774</v>
      </c>
      <c r="D1856" s="39">
        <f t="shared" si="59"/>
        <v>5834416.6236342359</v>
      </c>
    </row>
    <row r="1857" spans="2:4" x14ac:dyDescent="0.25">
      <c r="B1857" s="90">
        <v>1853</v>
      </c>
      <c r="C1857" s="39">
        <f t="shared" si="58"/>
        <v>6661118.4509112295</v>
      </c>
      <c r="D1857" s="39">
        <f t="shared" si="59"/>
        <v>5837566.9565843632</v>
      </c>
    </row>
    <row r="1858" spans="2:4" x14ac:dyDescent="0.25">
      <c r="B1858" s="90">
        <v>1854</v>
      </c>
      <c r="C1858" s="39">
        <f t="shared" si="58"/>
        <v>6663765.7895247806</v>
      </c>
      <c r="D1858" s="39">
        <f t="shared" si="59"/>
        <v>5840717.2895344896</v>
      </c>
    </row>
    <row r="1859" spans="2:4" x14ac:dyDescent="0.25">
      <c r="B1859" s="90">
        <v>1855</v>
      </c>
      <c r="C1859" s="39">
        <f t="shared" si="58"/>
        <v>6666413.1281383326</v>
      </c>
      <c r="D1859" s="39">
        <f t="shared" si="59"/>
        <v>5843867.622484616</v>
      </c>
    </row>
    <row r="1860" spans="2:4" x14ac:dyDescent="0.25">
      <c r="B1860" s="90">
        <v>1856</v>
      </c>
      <c r="C1860" s="39">
        <f t="shared" si="58"/>
        <v>6669060.4667518837</v>
      </c>
      <c r="D1860" s="39">
        <f t="shared" si="59"/>
        <v>5847017.9554347424</v>
      </c>
    </row>
    <row r="1861" spans="2:4" x14ac:dyDescent="0.25">
      <c r="B1861" s="90">
        <v>1857</v>
      </c>
      <c r="C1861" s="39">
        <f t="shared" si="58"/>
        <v>6671707.8053654358</v>
      </c>
      <c r="D1861" s="39">
        <f t="shared" si="59"/>
        <v>5850168.2883848688</v>
      </c>
    </row>
    <row r="1862" spans="2:4" x14ac:dyDescent="0.25">
      <c r="B1862" s="90">
        <v>1858</v>
      </c>
      <c r="C1862" s="39">
        <f t="shared" si="58"/>
        <v>6674355.1439789869</v>
      </c>
      <c r="D1862" s="39">
        <f t="shared" si="59"/>
        <v>5853318.6213349951</v>
      </c>
    </row>
    <row r="1863" spans="2:4" x14ac:dyDescent="0.25">
      <c r="B1863" s="90">
        <v>1859</v>
      </c>
      <c r="C1863" s="39">
        <f t="shared" si="58"/>
        <v>6677002.4825925389</v>
      </c>
      <c r="D1863" s="39">
        <f t="shared" si="59"/>
        <v>5856468.9542851215</v>
      </c>
    </row>
    <row r="1864" spans="2:4" x14ac:dyDescent="0.25">
      <c r="B1864" s="90">
        <v>1860</v>
      </c>
      <c r="C1864" s="39">
        <f t="shared" si="58"/>
        <v>6679649.821206091</v>
      </c>
      <c r="D1864" s="39">
        <f t="shared" si="59"/>
        <v>5859619.2872352479</v>
      </c>
    </row>
    <row r="1865" spans="2:4" x14ac:dyDescent="0.25">
      <c r="B1865" s="90">
        <v>1861</v>
      </c>
      <c r="C1865" s="39">
        <f t="shared" si="58"/>
        <v>6682297.1598196421</v>
      </c>
      <c r="D1865" s="39">
        <f t="shared" si="59"/>
        <v>5862769.6201853743</v>
      </c>
    </row>
    <row r="1866" spans="2:4" x14ac:dyDescent="0.25">
      <c r="B1866" s="90">
        <v>1862</v>
      </c>
      <c r="C1866" s="39">
        <f t="shared" si="58"/>
        <v>6684944.4984331941</v>
      </c>
      <c r="D1866" s="39">
        <f t="shared" si="59"/>
        <v>5865919.9531355007</v>
      </c>
    </row>
    <row r="1867" spans="2:4" x14ac:dyDescent="0.25">
      <c r="B1867" s="90">
        <v>1863</v>
      </c>
      <c r="C1867" s="39">
        <f t="shared" si="58"/>
        <v>6687591.8370467452</v>
      </c>
      <c r="D1867" s="39">
        <f t="shared" si="59"/>
        <v>5869070.286085628</v>
      </c>
    </row>
    <row r="1868" spans="2:4" x14ac:dyDescent="0.25">
      <c r="B1868" s="90">
        <v>1864</v>
      </c>
      <c r="C1868" s="39">
        <f t="shared" si="58"/>
        <v>6690239.1756602973</v>
      </c>
      <c r="D1868" s="39">
        <f t="shared" si="59"/>
        <v>5872220.6190357544</v>
      </c>
    </row>
    <row r="1869" spans="2:4" x14ac:dyDescent="0.25">
      <c r="B1869" s="90">
        <v>1865</v>
      </c>
      <c r="C1869" s="39">
        <f t="shared" si="58"/>
        <v>6692886.5142738493</v>
      </c>
      <c r="D1869" s="39">
        <f t="shared" si="59"/>
        <v>5875370.9519858807</v>
      </c>
    </row>
    <row r="1870" spans="2:4" x14ac:dyDescent="0.25">
      <c r="B1870" s="90">
        <v>1866</v>
      </c>
      <c r="C1870" s="39">
        <f t="shared" si="58"/>
        <v>6695533.8528874004</v>
      </c>
      <c r="D1870" s="39">
        <f t="shared" si="59"/>
        <v>5878521.2849360071</v>
      </c>
    </row>
    <row r="1871" spans="2:4" x14ac:dyDescent="0.25">
      <c r="B1871" s="90">
        <v>1867</v>
      </c>
      <c r="C1871" s="39">
        <f t="shared" si="58"/>
        <v>6698181.1915009525</v>
      </c>
      <c r="D1871" s="39">
        <f t="shared" si="59"/>
        <v>5881671.6178861335</v>
      </c>
    </row>
    <row r="1872" spans="2:4" x14ac:dyDescent="0.25">
      <c r="B1872" s="90">
        <v>1868</v>
      </c>
      <c r="C1872" s="39">
        <f t="shared" si="58"/>
        <v>6700828.5301145036</v>
      </c>
      <c r="D1872" s="39">
        <f t="shared" si="59"/>
        <v>5884821.9508362599</v>
      </c>
    </row>
    <row r="1873" spans="2:4" x14ac:dyDescent="0.25">
      <c r="B1873" s="90">
        <v>1869</v>
      </c>
      <c r="C1873" s="39">
        <f t="shared" si="58"/>
        <v>6703475.8687280556</v>
      </c>
      <c r="D1873" s="39">
        <f t="shared" si="59"/>
        <v>5887972.2837863863</v>
      </c>
    </row>
    <row r="1874" spans="2:4" x14ac:dyDescent="0.25">
      <c r="B1874" s="90">
        <v>1870</v>
      </c>
      <c r="C1874" s="39">
        <f t="shared" si="58"/>
        <v>6706123.2073416077</v>
      </c>
      <c r="D1874" s="39">
        <f t="shared" si="59"/>
        <v>5891122.6167365126</v>
      </c>
    </row>
    <row r="1875" spans="2:4" x14ac:dyDescent="0.25">
      <c r="B1875" s="90">
        <v>1871</v>
      </c>
      <c r="C1875" s="39">
        <f t="shared" si="58"/>
        <v>6708770.5459551588</v>
      </c>
      <c r="D1875" s="39">
        <f t="shared" si="59"/>
        <v>5894272.949686639</v>
      </c>
    </row>
    <row r="1876" spans="2:4" x14ac:dyDescent="0.25">
      <c r="B1876" s="90">
        <v>1872</v>
      </c>
      <c r="C1876" s="39">
        <f t="shared" si="58"/>
        <v>6711417.8845687108</v>
      </c>
      <c r="D1876" s="39">
        <f t="shared" si="59"/>
        <v>5897423.2826367663</v>
      </c>
    </row>
    <row r="1877" spans="2:4" x14ac:dyDescent="0.25">
      <c r="B1877" s="90">
        <v>1873</v>
      </c>
      <c r="C1877" s="39">
        <f t="shared" si="58"/>
        <v>6714065.2231822619</v>
      </c>
      <c r="D1877" s="39">
        <f t="shared" si="59"/>
        <v>5900573.6155868927</v>
      </c>
    </row>
    <row r="1878" spans="2:4" x14ac:dyDescent="0.25">
      <c r="B1878" s="90">
        <v>1874</v>
      </c>
      <c r="C1878" s="39">
        <f t="shared" si="58"/>
        <v>6716712.561795814</v>
      </c>
      <c r="D1878" s="39">
        <f t="shared" si="59"/>
        <v>5903723.9485370191</v>
      </c>
    </row>
    <row r="1879" spans="2:4" x14ac:dyDescent="0.25">
      <c r="B1879" s="90">
        <v>1875</v>
      </c>
      <c r="C1879" s="39">
        <f t="shared" si="58"/>
        <v>6719359.900409366</v>
      </c>
      <c r="D1879" s="39">
        <f t="shared" si="59"/>
        <v>5906874.2814871455</v>
      </c>
    </row>
    <row r="1880" spans="2:4" x14ac:dyDescent="0.25">
      <c r="B1880" s="90">
        <v>1876</v>
      </c>
      <c r="C1880" s="39">
        <f t="shared" si="58"/>
        <v>6722007.2390229171</v>
      </c>
      <c r="D1880" s="39">
        <f t="shared" si="59"/>
        <v>5910024.6144372718</v>
      </c>
    </row>
    <row r="1881" spans="2:4" x14ac:dyDescent="0.25">
      <c r="B1881" s="90">
        <v>1877</v>
      </c>
      <c r="C1881" s="39">
        <f t="shared" si="58"/>
        <v>6724654.5776364692</v>
      </c>
      <c r="D1881" s="39">
        <f t="shared" si="59"/>
        <v>5913174.9473873982</v>
      </c>
    </row>
    <row r="1882" spans="2:4" x14ac:dyDescent="0.25">
      <c r="B1882" s="90">
        <v>1878</v>
      </c>
      <c r="C1882" s="39">
        <f t="shared" si="58"/>
        <v>6727301.9162500203</v>
      </c>
      <c r="D1882" s="39">
        <f t="shared" si="59"/>
        <v>5916325.2803375246</v>
      </c>
    </row>
    <row r="1883" spans="2:4" x14ac:dyDescent="0.25">
      <c r="B1883" s="90">
        <v>1879</v>
      </c>
      <c r="C1883" s="39">
        <f t="shared" si="58"/>
        <v>6729949.2548635723</v>
      </c>
      <c r="D1883" s="39">
        <f t="shared" si="59"/>
        <v>5919475.613287651</v>
      </c>
    </row>
    <row r="1884" spans="2:4" x14ac:dyDescent="0.25">
      <c r="B1884" s="90">
        <v>1880</v>
      </c>
      <c r="C1884" s="39">
        <f t="shared" si="58"/>
        <v>6732596.5934771234</v>
      </c>
      <c r="D1884" s="39">
        <f t="shared" si="59"/>
        <v>5922625.9462377774</v>
      </c>
    </row>
    <row r="1885" spans="2:4" x14ac:dyDescent="0.25">
      <c r="B1885" s="90">
        <v>1881</v>
      </c>
      <c r="C1885" s="39">
        <f t="shared" si="58"/>
        <v>6735243.9320906755</v>
      </c>
      <c r="D1885" s="39">
        <f t="shared" si="59"/>
        <v>5925776.2791879037</v>
      </c>
    </row>
    <row r="1886" spans="2:4" x14ac:dyDescent="0.25">
      <c r="B1886" s="90">
        <v>1882</v>
      </c>
      <c r="C1886" s="39">
        <f t="shared" si="58"/>
        <v>6737891.2707042275</v>
      </c>
      <c r="D1886" s="39">
        <f t="shared" si="59"/>
        <v>5928926.6121380311</v>
      </c>
    </row>
    <row r="1887" spans="2:4" x14ac:dyDescent="0.25">
      <c r="B1887" s="90">
        <v>1883</v>
      </c>
      <c r="C1887" s="39">
        <f t="shared" si="58"/>
        <v>6740538.6093177786</v>
      </c>
      <c r="D1887" s="39">
        <f t="shared" si="59"/>
        <v>5932076.9450881574</v>
      </c>
    </row>
    <row r="1888" spans="2:4" x14ac:dyDescent="0.25">
      <c r="B1888" s="90">
        <v>1884</v>
      </c>
      <c r="C1888" s="39">
        <f t="shared" si="58"/>
        <v>6743185.9479313307</v>
      </c>
      <c r="D1888" s="39">
        <f t="shared" si="59"/>
        <v>5935227.2780382838</v>
      </c>
    </row>
    <row r="1889" spans="2:4" x14ac:dyDescent="0.25">
      <c r="B1889" s="90">
        <v>1885</v>
      </c>
      <c r="C1889" s="39">
        <f t="shared" si="58"/>
        <v>6745833.2865448818</v>
      </c>
      <c r="D1889" s="39">
        <f t="shared" si="59"/>
        <v>5938377.6109884102</v>
      </c>
    </row>
    <row r="1890" spans="2:4" x14ac:dyDescent="0.25">
      <c r="B1890" s="90">
        <v>1886</v>
      </c>
      <c r="C1890" s="39">
        <f t="shared" si="58"/>
        <v>6748480.6251584338</v>
      </c>
      <c r="D1890" s="39">
        <f t="shared" si="59"/>
        <v>5941527.9439385366</v>
      </c>
    </row>
    <row r="1891" spans="2:4" x14ac:dyDescent="0.25">
      <c r="B1891" s="90">
        <v>1887</v>
      </c>
      <c r="C1891" s="39">
        <f t="shared" si="58"/>
        <v>6751127.9637719858</v>
      </c>
      <c r="D1891" s="39">
        <f t="shared" si="59"/>
        <v>5944678.2768886629</v>
      </c>
    </row>
    <row r="1892" spans="2:4" x14ac:dyDescent="0.25">
      <c r="B1892" s="90">
        <v>1888</v>
      </c>
      <c r="C1892" s="39">
        <f t="shared" si="58"/>
        <v>6753775.302385537</v>
      </c>
      <c r="D1892" s="39">
        <f t="shared" si="59"/>
        <v>5947828.6098387893</v>
      </c>
    </row>
    <row r="1893" spans="2:4" x14ac:dyDescent="0.25">
      <c r="B1893" s="90">
        <v>1889</v>
      </c>
      <c r="C1893" s="39">
        <f t="shared" si="58"/>
        <v>6756422.640999089</v>
      </c>
      <c r="D1893" s="39">
        <f t="shared" si="59"/>
        <v>5950978.9427889157</v>
      </c>
    </row>
    <row r="1894" spans="2:4" x14ac:dyDescent="0.25">
      <c r="B1894" s="90">
        <v>1890</v>
      </c>
      <c r="C1894" s="39">
        <f t="shared" si="58"/>
        <v>6759069.9796126401</v>
      </c>
      <c r="D1894" s="39">
        <f t="shared" si="59"/>
        <v>5954129.2757390421</v>
      </c>
    </row>
    <row r="1895" spans="2:4" x14ac:dyDescent="0.25">
      <c r="B1895" s="90">
        <v>1891</v>
      </c>
      <c r="C1895" s="39">
        <f t="shared" si="58"/>
        <v>6761717.3182261921</v>
      </c>
      <c r="D1895" s="39">
        <f t="shared" si="59"/>
        <v>5957279.6086891694</v>
      </c>
    </row>
    <row r="1896" spans="2:4" x14ac:dyDescent="0.25">
      <c r="B1896" s="90">
        <v>1892</v>
      </c>
      <c r="C1896" s="39">
        <f t="shared" si="58"/>
        <v>6764364.6568397442</v>
      </c>
      <c r="D1896" s="39">
        <f t="shared" si="59"/>
        <v>5960429.9416392958</v>
      </c>
    </row>
    <row r="1897" spans="2:4" x14ac:dyDescent="0.25">
      <c r="B1897" s="90">
        <v>1893</v>
      </c>
      <c r="C1897" s="39">
        <f t="shared" si="58"/>
        <v>6767011.9954532953</v>
      </c>
      <c r="D1897" s="39">
        <f t="shared" si="59"/>
        <v>5963580.2745894222</v>
      </c>
    </row>
    <row r="1898" spans="2:4" x14ac:dyDescent="0.25">
      <c r="B1898" s="90">
        <v>1894</v>
      </c>
      <c r="C1898" s="39">
        <f t="shared" si="58"/>
        <v>6769659.3340668473</v>
      </c>
      <c r="D1898" s="39">
        <f t="shared" si="59"/>
        <v>5966730.6075395485</v>
      </c>
    </row>
    <row r="1899" spans="2:4" x14ac:dyDescent="0.25">
      <c r="B1899" s="90">
        <v>1895</v>
      </c>
      <c r="C1899" s="39">
        <f t="shared" si="58"/>
        <v>6772306.6726803984</v>
      </c>
      <c r="D1899" s="39">
        <f t="shared" si="59"/>
        <v>5969880.9404896749</v>
      </c>
    </row>
    <row r="1900" spans="2:4" x14ac:dyDescent="0.25">
      <c r="B1900" s="90">
        <v>1896</v>
      </c>
      <c r="C1900" s="39">
        <f t="shared" si="58"/>
        <v>6774954.0112939505</v>
      </c>
      <c r="D1900" s="39">
        <f t="shared" si="59"/>
        <v>5973031.2734398013</v>
      </c>
    </row>
    <row r="1901" spans="2:4" x14ac:dyDescent="0.25">
      <c r="B1901" s="90">
        <v>1897</v>
      </c>
      <c r="C1901" s="39">
        <f t="shared" si="58"/>
        <v>6777601.3499075025</v>
      </c>
      <c r="D1901" s="39">
        <f t="shared" si="59"/>
        <v>5976181.6063899277</v>
      </c>
    </row>
    <row r="1902" spans="2:4" x14ac:dyDescent="0.25">
      <c r="B1902" s="90">
        <v>1898</v>
      </c>
      <c r="C1902" s="39">
        <f t="shared" si="58"/>
        <v>6780248.6885210536</v>
      </c>
      <c r="D1902" s="39">
        <f t="shared" si="59"/>
        <v>5979331.9393400541</v>
      </c>
    </row>
    <row r="1903" spans="2:4" x14ac:dyDescent="0.25">
      <c r="B1903" s="90">
        <v>1899</v>
      </c>
      <c r="C1903" s="39">
        <f t="shared" si="58"/>
        <v>6782896.0271346057</v>
      </c>
      <c r="D1903" s="39">
        <f t="shared" si="59"/>
        <v>5982482.2722901804</v>
      </c>
    </row>
    <row r="1904" spans="2:4" x14ac:dyDescent="0.25">
      <c r="B1904" s="90">
        <v>1900</v>
      </c>
      <c r="C1904" s="39">
        <f t="shared" si="58"/>
        <v>6785543.3657481568</v>
      </c>
      <c r="D1904" s="39">
        <f t="shared" si="59"/>
        <v>5985632.6052403068</v>
      </c>
    </row>
    <row r="1905" spans="2:4" x14ac:dyDescent="0.25">
      <c r="B1905" s="90">
        <v>1901</v>
      </c>
      <c r="C1905" s="39">
        <f t="shared" ref="C1905:C1968" si="60">($C$2*B1905)+$C$1</f>
        <v>6788190.7043617088</v>
      </c>
      <c r="D1905" s="39">
        <f t="shared" ref="D1905:D1968" si="61">$D$2*B1905</f>
        <v>5988782.9381904341</v>
      </c>
    </row>
    <row r="1906" spans="2:4" x14ac:dyDescent="0.25">
      <c r="B1906" s="90">
        <v>1902</v>
      </c>
      <c r="C1906" s="39">
        <f t="shared" si="60"/>
        <v>6790838.0429752609</v>
      </c>
      <c r="D1906" s="39">
        <f t="shared" si="61"/>
        <v>5991933.2711405605</v>
      </c>
    </row>
    <row r="1907" spans="2:4" x14ac:dyDescent="0.25">
      <c r="B1907" s="90">
        <v>1903</v>
      </c>
      <c r="C1907" s="39">
        <f t="shared" si="60"/>
        <v>6793485.381588812</v>
      </c>
      <c r="D1907" s="39">
        <f t="shared" si="61"/>
        <v>5995083.6040906869</v>
      </c>
    </row>
    <row r="1908" spans="2:4" x14ac:dyDescent="0.25">
      <c r="B1908" s="90">
        <v>1904</v>
      </c>
      <c r="C1908" s="39">
        <f t="shared" si="60"/>
        <v>6796132.720202364</v>
      </c>
      <c r="D1908" s="39">
        <f t="shared" si="61"/>
        <v>5998233.9370408133</v>
      </c>
    </row>
    <row r="1909" spans="2:4" x14ac:dyDescent="0.25">
      <c r="B1909" s="90">
        <v>1905</v>
      </c>
      <c r="C1909" s="39">
        <f t="shared" si="60"/>
        <v>6798780.0588159151</v>
      </c>
      <c r="D1909" s="39">
        <f t="shared" si="61"/>
        <v>6001384.2699909396</v>
      </c>
    </row>
    <row r="1910" spans="2:4" x14ac:dyDescent="0.25">
      <c r="B1910" s="90">
        <v>1906</v>
      </c>
      <c r="C1910" s="39">
        <f t="shared" si="60"/>
        <v>6801427.3974294672</v>
      </c>
      <c r="D1910" s="39">
        <f t="shared" si="61"/>
        <v>6004534.602941066</v>
      </c>
    </row>
    <row r="1911" spans="2:4" x14ac:dyDescent="0.25">
      <c r="B1911" s="90">
        <v>1907</v>
      </c>
      <c r="C1911" s="39">
        <f t="shared" si="60"/>
        <v>6804074.7360430183</v>
      </c>
      <c r="D1911" s="39">
        <f t="shared" si="61"/>
        <v>6007684.9358911924</v>
      </c>
    </row>
    <row r="1912" spans="2:4" x14ac:dyDescent="0.25">
      <c r="B1912" s="90">
        <v>1908</v>
      </c>
      <c r="C1912" s="39">
        <f t="shared" si="60"/>
        <v>6806722.0746565703</v>
      </c>
      <c r="D1912" s="39">
        <f t="shared" si="61"/>
        <v>6010835.2688413188</v>
      </c>
    </row>
    <row r="1913" spans="2:4" x14ac:dyDescent="0.25">
      <c r="B1913" s="90">
        <v>1909</v>
      </c>
      <c r="C1913" s="39">
        <f t="shared" si="60"/>
        <v>6809369.4132701224</v>
      </c>
      <c r="D1913" s="39">
        <f t="shared" si="61"/>
        <v>6013985.6017914452</v>
      </c>
    </row>
    <row r="1914" spans="2:4" x14ac:dyDescent="0.25">
      <c r="B1914" s="90">
        <v>1910</v>
      </c>
      <c r="C1914" s="39">
        <f t="shared" si="60"/>
        <v>6812016.7518836735</v>
      </c>
      <c r="D1914" s="39">
        <f t="shared" si="61"/>
        <v>6017135.9347415725</v>
      </c>
    </row>
    <row r="1915" spans="2:4" x14ac:dyDescent="0.25">
      <c r="B1915" s="90">
        <v>1911</v>
      </c>
      <c r="C1915" s="39">
        <f t="shared" si="60"/>
        <v>6814664.0904972255</v>
      </c>
      <c r="D1915" s="39">
        <f t="shared" si="61"/>
        <v>6020286.2676916989</v>
      </c>
    </row>
    <row r="1916" spans="2:4" x14ac:dyDescent="0.25">
      <c r="B1916" s="90">
        <v>1912</v>
      </c>
      <c r="C1916" s="39">
        <f t="shared" si="60"/>
        <v>6817311.4291107766</v>
      </c>
      <c r="D1916" s="39">
        <f t="shared" si="61"/>
        <v>6023436.6006418252</v>
      </c>
    </row>
    <row r="1917" spans="2:4" x14ac:dyDescent="0.25">
      <c r="B1917" s="90">
        <v>1913</v>
      </c>
      <c r="C1917" s="39">
        <f t="shared" si="60"/>
        <v>6819958.7677243287</v>
      </c>
      <c r="D1917" s="39">
        <f t="shared" si="61"/>
        <v>6026586.9335919516</v>
      </c>
    </row>
    <row r="1918" spans="2:4" x14ac:dyDescent="0.25">
      <c r="B1918" s="90">
        <v>1914</v>
      </c>
      <c r="C1918" s="39">
        <f t="shared" si="60"/>
        <v>6822606.1063378807</v>
      </c>
      <c r="D1918" s="39">
        <f t="shared" si="61"/>
        <v>6029737.266542078</v>
      </c>
    </row>
    <row r="1919" spans="2:4" x14ac:dyDescent="0.25">
      <c r="B1919" s="90">
        <v>1915</v>
      </c>
      <c r="C1919" s="39">
        <f t="shared" si="60"/>
        <v>6825253.4449514318</v>
      </c>
      <c r="D1919" s="39">
        <f t="shared" si="61"/>
        <v>6032887.5994922044</v>
      </c>
    </row>
    <row r="1920" spans="2:4" x14ac:dyDescent="0.25">
      <c r="B1920" s="90">
        <v>1916</v>
      </c>
      <c r="C1920" s="39">
        <f t="shared" si="60"/>
        <v>6827900.7835649839</v>
      </c>
      <c r="D1920" s="39">
        <f t="shared" si="61"/>
        <v>6036037.9324423308</v>
      </c>
    </row>
    <row r="1921" spans="2:4" x14ac:dyDescent="0.25">
      <c r="B1921" s="90">
        <v>1917</v>
      </c>
      <c r="C1921" s="39">
        <f t="shared" si="60"/>
        <v>6830548.122178535</v>
      </c>
      <c r="D1921" s="39">
        <f t="shared" si="61"/>
        <v>6039188.2653924571</v>
      </c>
    </row>
    <row r="1922" spans="2:4" x14ac:dyDescent="0.25">
      <c r="B1922" s="90">
        <v>1918</v>
      </c>
      <c r="C1922" s="39">
        <f t="shared" si="60"/>
        <v>6833195.460792087</v>
      </c>
      <c r="D1922" s="39">
        <f t="shared" si="61"/>
        <v>6042338.5983425835</v>
      </c>
    </row>
    <row r="1923" spans="2:4" x14ac:dyDescent="0.25">
      <c r="B1923" s="90">
        <v>1919</v>
      </c>
      <c r="C1923" s="39">
        <f t="shared" si="60"/>
        <v>6835842.7994056391</v>
      </c>
      <c r="D1923" s="39">
        <f t="shared" si="61"/>
        <v>6045488.9312927099</v>
      </c>
    </row>
    <row r="1924" spans="2:4" x14ac:dyDescent="0.25">
      <c r="B1924" s="90">
        <v>1920</v>
      </c>
      <c r="C1924" s="39">
        <f t="shared" si="60"/>
        <v>6838490.1380191902</v>
      </c>
      <c r="D1924" s="39">
        <f t="shared" si="61"/>
        <v>6048639.2642428372</v>
      </c>
    </row>
    <row r="1925" spans="2:4" x14ac:dyDescent="0.25">
      <c r="B1925" s="90">
        <v>1921</v>
      </c>
      <c r="C1925" s="39">
        <f t="shared" si="60"/>
        <v>6841137.4766327422</v>
      </c>
      <c r="D1925" s="39">
        <f t="shared" si="61"/>
        <v>6051789.5971929636</v>
      </c>
    </row>
    <row r="1926" spans="2:4" x14ac:dyDescent="0.25">
      <c r="B1926" s="90">
        <v>1922</v>
      </c>
      <c r="C1926" s="39">
        <f t="shared" si="60"/>
        <v>6843784.8152462933</v>
      </c>
      <c r="D1926" s="39">
        <f t="shared" si="61"/>
        <v>6054939.93014309</v>
      </c>
    </row>
    <row r="1927" spans="2:4" x14ac:dyDescent="0.25">
      <c r="B1927" s="90">
        <v>1923</v>
      </c>
      <c r="C1927" s="39">
        <f t="shared" si="60"/>
        <v>6846432.1538598454</v>
      </c>
      <c r="D1927" s="39">
        <f t="shared" si="61"/>
        <v>6058090.2630932163</v>
      </c>
    </row>
    <row r="1928" spans="2:4" x14ac:dyDescent="0.25">
      <c r="B1928" s="90">
        <v>1924</v>
      </c>
      <c r="C1928" s="39">
        <f t="shared" si="60"/>
        <v>6849079.4924733974</v>
      </c>
      <c r="D1928" s="39">
        <f t="shared" si="61"/>
        <v>6061240.5960433427</v>
      </c>
    </row>
    <row r="1929" spans="2:4" x14ac:dyDescent="0.25">
      <c r="B1929" s="90">
        <v>1925</v>
      </c>
      <c r="C1929" s="39">
        <f t="shared" si="60"/>
        <v>6851726.8310869485</v>
      </c>
      <c r="D1929" s="39">
        <f t="shared" si="61"/>
        <v>6064390.9289934691</v>
      </c>
    </row>
    <row r="1930" spans="2:4" x14ac:dyDescent="0.25">
      <c r="B1930" s="90">
        <v>1926</v>
      </c>
      <c r="C1930" s="39">
        <f t="shared" si="60"/>
        <v>6854374.1697005006</v>
      </c>
      <c r="D1930" s="39">
        <f t="shared" si="61"/>
        <v>6067541.2619435955</v>
      </c>
    </row>
    <row r="1931" spans="2:4" x14ac:dyDescent="0.25">
      <c r="B1931" s="90">
        <v>1927</v>
      </c>
      <c r="C1931" s="39">
        <f t="shared" si="60"/>
        <v>6857021.5083140517</v>
      </c>
      <c r="D1931" s="39">
        <f t="shared" si="61"/>
        <v>6070691.5948937219</v>
      </c>
    </row>
    <row r="1932" spans="2:4" x14ac:dyDescent="0.25">
      <c r="B1932" s="90">
        <v>1928</v>
      </c>
      <c r="C1932" s="39">
        <f t="shared" si="60"/>
        <v>6859668.8469276037</v>
      </c>
      <c r="D1932" s="39">
        <f t="shared" si="61"/>
        <v>6073841.9278438482</v>
      </c>
    </row>
    <row r="1933" spans="2:4" x14ac:dyDescent="0.25">
      <c r="B1933" s="90">
        <v>1929</v>
      </c>
      <c r="C1933" s="39">
        <f t="shared" si="60"/>
        <v>6862316.1855411557</v>
      </c>
      <c r="D1933" s="39">
        <f t="shared" si="61"/>
        <v>6076992.2607939756</v>
      </c>
    </row>
    <row r="1934" spans="2:4" x14ac:dyDescent="0.25">
      <c r="B1934" s="90">
        <v>1930</v>
      </c>
      <c r="C1934" s="39">
        <f t="shared" si="60"/>
        <v>6864963.5241547069</v>
      </c>
      <c r="D1934" s="39">
        <f t="shared" si="61"/>
        <v>6080142.5937441019</v>
      </c>
    </row>
    <row r="1935" spans="2:4" x14ac:dyDescent="0.25">
      <c r="B1935" s="90">
        <v>1931</v>
      </c>
      <c r="C1935" s="39">
        <f t="shared" si="60"/>
        <v>6867610.8627682589</v>
      </c>
      <c r="D1935" s="39">
        <f t="shared" si="61"/>
        <v>6083292.9266942283</v>
      </c>
    </row>
    <row r="1936" spans="2:4" x14ac:dyDescent="0.25">
      <c r="B1936" s="90">
        <v>1932</v>
      </c>
      <c r="C1936" s="39">
        <f t="shared" si="60"/>
        <v>6870258.20138181</v>
      </c>
      <c r="D1936" s="39">
        <f t="shared" si="61"/>
        <v>6086443.2596443547</v>
      </c>
    </row>
    <row r="1937" spans="2:4" x14ac:dyDescent="0.25">
      <c r="B1937" s="90">
        <v>1933</v>
      </c>
      <c r="C1937" s="39">
        <f t="shared" si="60"/>
        <v>6872905.5399953621</v>
      </c>
      <c r="D1937" s="39">
        <f t="shared" si="61"/>
        <v>6089593.5925944811</v>
      </c>
    </row>
    <row r="1938" spans="2:4" x14ac:dyDescent="0.25">
      <c r="B1938" s="90">
        <v>1934</v>
      </c>
      <c r="C1938" s="39">
        <f t="shared" si="60"/>
        <v>6875552.8786089132</v>
      </c>
      <c r="D1938" s="39">
        <f t="shared" si="61"/>
        <v>6092743.9255446075</v>
      </c>
    </row>
    <row r="1939" spans="2:4" x14ac:dyDescent="0.25">
      <c r="B1939" s="90">
        <v>1935</v>
      </c>
      <c r="C1939" s="39">
        <f t="shared" si="60"/>
        <v>6878200.2172224652</v>
      </c>
      <c r="D1939" s="39">
        <f t="shared" si="61"/>
        <v>6095894.2584947338</v>
      </c>
    </row>
    <row r="1940" spans="2:4" x14ac:dyDescent="0.25">
      <c r="B1940" s="90">
        <v>1936</v>
      </c>
      <c r="C1940" s="39">
        <f t="shared" si="60"/>
        <v>6880847.5558360172</v>
      </c>
      <c r="D1940" s="39">
        <f t="shared" si="61"/>
        <v>6099044.5914448602</v>
      </c>
    </row>
    <row r="1941" spans="2:4" x14ac:dyDescent="0.25">
      <c r="B1941" s="90">
        <v>1937</v>
      </c>
      <c r="C1941" s="39">
        <f t="shared" si="60"/>
        <v>6883494.8944495684</v>
      </c>
      <c r="D1941" s="39">
        <f t="shared" si="61"/>
        <v>6102194.9243949866</v>
      </c>
    </row>
    <row r="1942" spans="2:4" x14ac:dyDescent="0.25">
      <c r="B1942" s="90">
        <v>1938</v>
      </c>
      <c r="C1942" s="39">
        <f t="shared" si="60"/>
        <v>6886142.2330631204</v>
      </c>
      <c r="D1942" s="39">
        <f t="shared" si="61"/>
        <v>6105345.257345113</v>
      </c>
    </row>
    <row r="1943" spans="2:4" x14ac:dyDescent="0.25">
      <c r="B1943" s="90">
        <v>1939</v>
      </c>
      <c r="C1943" s="39">
        <f t="shared" si="60"/>
        <v>6888789.5716766715</v>
      </c>
      <c r="D1943" s="39">
        <f t="shared" si="61"/>
        <v>6108495.5902952403</v>
      </c>
    </row>
    <row r="1944" spans="2:4" x14ac:dyDescent="0.25">
      <c r="B1944" s="90">
        <v>1940</v>
      </c>
      <c r="C1944" s="39">
        <f t="shared" si="60"/>
        <v>6891436.9102902235</v>
      </c>
      <c r="D1944" s="39">
        <f t="shared" si="61"/>
        <v>6111645.9232453667</v>
      </c>
    </row>
    <row r="1945" spans="2:4" x14ac:dyDescent="0.25">
      <c r="B1945" s="90">
        <v>1941</v>
      </c>
      <c r="C1945" s="39">
        <f t="shared" si="60"/>
        <v>6894084.2489037756</v>
      </c>
      <c r="D1945" s="39">
        <f t="shared" si="61"/>
        <v>6114796.256195493</v>
      </c>
    </row>
    <row r="1946" spans="2:4" x14ac:dyDescent="0.25">
      <c r="B1946" s="90">
        <v>1942</v>
      </c>
      <c r="C1946" s="39">
        <f t="shared" si="60"/>
        <v>6896731.5875173267</v>
      </c>
      <c r="D1946" s="39">
        <f t="shared" si="61"/>
        <v>6117946.5891456194</v>
      </c>
    </row>
    <row r="1947" spans="2:4" x14ac:dyDescent="0.25">
      <c r="B1947" s="90">
        <v>1943</v>
      </c>
      <c r="C1947" s="39">
        <f t="shared" si="60"/>
        <v>6899378.9261308787</v>
      </c>
      <c r="D1947" s="39">
        <f t="shared" si="61"/>
        <v>6121096.9220957458</v>
      </c>
    </row>
    <row r="1948" spans="2:4" x14ac:dyDescent="0.25">
      <c r="B1948" s="90">
        <v>1944</v>
      </c>
      <c r="C1948" s="39">
        <f t="shared" si="60"/>
        <v>6902026.2647444298</v>
      </c>
      <c r="D1948" s="39">
        <f t="shared" si="61"/>
        <v>6124247.2550458722</v>
      </c>
    </row>
    <row r="1949" spans="2:4" x14ac:dyDescent="0.25">
      <c r="B1949" s="90">
        <v>1945</v>
      </c>
      <c r="C1949" s="39">
        <f t="shared" si="60"/>
        <v>6904673.6033579819</v>
      </c>
      <c r="D1949" s="39">
        <f t="shared" si="61"/>
        <v>6127397.5879959986</v>
      </c>
    </row>
    <row r="1950" spans="2:4" x14ac:dyDescent="0.25">
      <c r="B1950" s="90">
        <v>1946</v>
      </c>
      <c r="C1950" s="39">
        <f t="shared" si="60"/>
        <v>6907320.9419715339</v>
      </c>
      <c r="D1950" s="39">
        <f t="shared" si="61"/>
        <v>6130547.9209461249</v>
      </c>
    </row>
    <row r="1951" spans="2:4" x14ac:dyDescent="0.25">
      <c r="B1951" s="90">
        <v>1947</v>
      </c>
      <c r="C1951" s="39">
        <f t="shared" si="60"/>
        <v>6909968.280585085</v>
      </c>
      <c r="D1951" s="39">
        <f t="shared" si="61"/>
        <v>6133698.2538962513</v>
      </c>
    </row>
    <row r="1952" spans="2:4" x14ac:dyDescent="0.25">
      <c r="B1952" s="90">
        <v>1948</v>
      </c>
      <c r="C1952" s="39">
        <f t="shared" si="60"/>
        <v>6912615.6191986371</v>
      </c>
      <c r="D1952" s="39">
        <f t="shared" si="61"/>
        <v>6136848.5868463786</v>
      </c>
    </row>
    <row r="1953" spans="2:4" x14ac:dyDescent="0.25">
      <c r="B1953" s="90">
        <v>1949</v>
      </c>
      <c r="C1953" s="39">
        <f t="shared" si="60"/>
        <v>6915262.9578121882</v>
      </c>
      <c r="D1953" s="39">
        <f t="shared" si="61"/>
        <v>6139998.919796505</v>
      </c>
    </row>
    <row r="1954" spans="2:4" x14ac:dyDescent="0.25">
      <c r="B1954" s="90">
        <v>1950</v>
      </c>
      <c r="C1954" s="39">
        <f t="shared" si="60"/>
        <v>6917910.2964257402</v>
      </c>
      <c r="D1954" s="39">
        <f t="shared" si="61"/>
        <v>6143149.2527466314</v>
      </c>
    </row>
    <row r="1955" spans="2:4" x14ac:dyDescent="0.25">
      <c r="B1955" s="90">
        <v>1951</v>
      </c>
      <c r="C1955" s="39">
        <f t="shared" si="60"/>
        <v>6920557.6350392923</v>
      </c>
      <c r="D1955" s="39">
        <f t="shared" si="61"/>
        <v>6146299.5856967578</v>
      </c>
    </row>
    <row r="1956" spans="2:4" x14ac:dyDescent="0.25">
      <c r="B1956" s="90">
        <v>1952</v>
      </c>
      <c r="C1956" s="39">
        <f t="shared" si="60"/>
        <v>6923204.9736528434</v>
      </c>
      <c r="D1956" s="39">
        <f t="shared" si="61"/>
        <v>6149449.9186468842</v>
      </c>
    </row>
    <row r="1957" spans="2:4" x14ac:dyDescent="0.25">
      <c r="B1957" s="90">
        <v>1953</v>
      </c>
      <c r="C1957" s="39">
        <f t="shared" si="60"/>
        <v>6925852.3122663954</v>
      </c>
      <c r="D1957" s="39">
        <f t="shared" si="61"/>
        <v>6152600.2515970105</v>
      </c>
    </row>
    <row r="1958" spans="2:4" x14ac:dyDescent="0.25">
      <c r="B1958" s="90">
        <v>1954</v>
      </c>
      <c r="C1958" s="39">
        <f t="shared" si="60"/>
        <v>6928499.6508799465</v>
      </c>
      <c r="D1958" s="39">
        <f t="shared" si="61"/>
        <v>6155750.5845471369</v>
      </c>
    </row>
    <row r="1959" spans="2:4" x14ac:dyDescent="0.25">
      <c r="B1959" s="90">
        <v>1955</v>
      </c>
      <c r="C1959" s="39">
        <f t="shared" si="60"/>
        <v>6931146.9894934986</v>
      </c>
      <c r="D1959" s="39">
        <f t="shared" si="61"/>
        <v>6158900.9174972633</v>
      </c>
    </row>
    <row r="1960" spans="2:4" x14ac:dyDescent="0.25">
      <c r="B1960" s="90">
        <v>1956</v>
      </c>
      <c r="C1960" s="39">
        <f t="shared" si="60"/>
        <v>6933794.3281070506</v>
      </c>
      <c r="D1960" s="39">
        <f t="shared" si="61"/>
        <v>6162051.2504473897</v>
      </c>
    </row>
    <row r="1961" spans="2:4" x14ac:dyDescent="0.25">
      <c r="B1961" s="90">
        <v>1957</v>
      </c>
      <c r="C1961" s="39">
        <f t="shared" si="60"/>
        <v>6936441.6667206017</v>
      </c>
      <c r="D1961" s="39">
        <f t="shared" si="61"/>
        <v>6165201.583397516</v>
      </c>
    </row>
    <row r="1962" spans="2:4" x14ac:dyDescent="0.25">
      <c r="B1962" s="90">
        <v>1958</v>
      </c>
      <c r="C1962" s="39">
        <f t="shared" si="60"/>
        <v>6939089.0053341538</v>
      </c>
      <c r="D1962" s="39">
        <f t="shared" si="61"/>
        <v>6168351.9163476434</v>
      </c>
    </row>
    <row r="1963" spans="2:4" x14ac:dyDescent="0.25">
      <c r="B1963" s="90">
        <v>1959</v>
      </c>
      <c r="C1963" s="39">
        <f t="shared" si="60"/>
        <v>6941736.3439477049</v>
      </c>
      <c r="D1963" s="39">
        <f t="shared" si="61"/>
        <v>6171502.2492977697</v>
      </c>
    </row>
    <row r="1964" spans="2:4" x14ac:dyDescent="0.25">
      <c r="B1964" s="90">
        <v>1960</v>
      </c>
      <c r="C1964" s="39">
        <f t="shared" si="60"/>
        <v>6944383.6825612569</v>
      </c>
      <c r="D1964" s="39">
        <f t="shared" si="61"/>
        <v>6174652.5822478961</v>
      </c>
    </row>
    <row r="1965" spans="2:4" x14ac:dyDescent="0.25">
      <c r="B1965" s="90">
        <v>1961</v>
      </c>
      <c r="C1965" s="39">
        <f t="shared" si="60"/>
        <v>6947031.021174808</v>
      </c>
      <c r="D1965" s="39">
        <f t="shared" si="61"/>
        <v>6177802.9151980225</v>
      </c>
    </row>
    <row r="1966" spans="2:4" x14ac:dyDescent="0.25">
      <c r="B1966" s="90">
        <v>1962</v>
      </c>
      <c r="C1966" s="39">
        <f t="shared" si="60"/>
        <v>6949678.3597883601</v>
      </c>
      <c r="D1966" s="39">
        <f t="shared" si="61"/>
        <v>6180953.2481481489</v>
      </c>
    </row>
    <row r="1967" spans="2:4" x14ac:dyDescent="0.25">
      <c r="B1967" s="90">
        <v>1963</v>
      </c>
      <c r="C1967" s="39">
        <f t="shared" si="60"/>
        <v>6952325.6984019121</v>
      </c>
      <c r="D1967" s="39">
        <f t="shared" si="61"/>
        <v>6184103.5810982753</v>
      </c>
    </row>
    <row r="1968" spans="2:4" x14ac:dyDescent="0.25">
      <c r="B1968" s="90">
        <v>1964</v>
      </c>
      <c r="C1968" s="39">
        <f t="shared" si="60"/>
        <v>6954973.0370154632</v>
      </c>
      <c r="D1968" s="39">
        <f t="shared" si="61"/>
        <v>6187253.9140484016</v>
      </c>
    </row>
    <row r="1969" spans="2:4" x14ac:dyDescent="0.25">
      <c r="B1969" s="90">
        <v>1965</v>
      </c>
      <c r="C1969" s="39">
        <f t="shared" ref="C1969:C2032" si="62">($C$2*B1969)+$C$1</f>
        <v>6957620.3756290153</v>
      </c>
      <c r="D1969" s="39">
        <f t="shared" ref="D1969:D2032" si="63">$D$2*B1969</f>
        <v>6190404.246998528</v>
      </c>
    </row>
    <row r="1970" spans="2:4" x14ac:dyDescent="0.25">
      <c r="B1970" s="90">
        <v>1966</v>
      </c>
      <c r="C1970" s="39">
        <f t="shared" si="62"/>
        <v>6960267.7142425664</v>
      </c>
      <c r="D1970" s="39">
        <f t="shared" si="63"/>
        <v>6193554.5799486544</v>
      </c>
    </row>
    <row r="1971" spans="2:4" x14ac:dyDescent="0.25">
      <c r="B1971" s="90">
        <v>1967</v>
      </c>
      <c r="C1971" s="39">
        <f t="shared" si="62"/>
        <v>6962915.0528561184</v>
      </c>
      <c r="D1971" s="39">
        <f t="shared" si="63"/>
        <v>6196704.9128987808</v>
      </c>
    </row>
    <row r="1972" spans="2:4" x14ac:dyDescent="0.25">
      <c r="B1972" s="90">
        <v>1968</v>
      </c>
      <c r="C1972" s="39">
        <f t="shared" si="62"/>
        <v>6965562.3914696705</v>
      </c>
      <c r="D1972" s="39">
        <f t="shared" si="63"/>
        <v>6199855.2458489081</v>
      </c>
    </row>
    <row r="1973" spans="2:4" x14ac:dyDescent="0.25">
      <c r="B1973" s="90">
        <v>1969</v>
      </c>
      <c r="C1973" s="39">
        <f t="shared" si="62"/>
        <v>6968209.7300832216</v>
      </c>
      <c r="D1973" s="39">
        <f t="shared" si="63"/>
        <v>6203005.5787990345</v>
      </c>
    </row>
    <row r="1974" spans="2:4" x14ac:dyDescent="0.25">
      <c r="B1974" s="90">
        <v>1970</v>
      </c>
      <c r="C1974" s="39">
        <f t="shared" si="62"/>
        <v>6970857.0686967736</v>
      </c>
      <c r="D1974" s="39">
        <f t="shared" si="63"/>
        <v>6206155.9117491608</v>
      </c>
    </row>
    <row r="1975" spans="2:4" x14ac:dyDescent="0.25">
      <c r="B1975" s="90">
        <v>1971</v>
      </c>
      <c r="C1975" s="39">
        <f t="shared" si="62"/>
        <v>6973504.4073103247</v>
      </c>
      <c r="D1975" s="39">
        <f t="shared" si="63"/>
        <v>6209306.2446992872</v>
      </c>
    </row>
    <row r="1976" spans="2:4" x14ac:dyDescent="0.25">
      <c r="B1976" s="90">
        <v>1972</v>
      </c>
      <c r="C1976" s="39">
        <f t="shared" si="62"/>
        <v>6976151.7459238768</v>
      </c>
      <c r="D1976" s="39">
        <f t="shared" si="63"/>
        <v>6212456.5776494136</v>
      </c>
    </row>
    <row r="1977" spans="2:4" x14ac:dyDescent="0.25">
      <c r="B1977" s="90">
        <v>1973</v>
      </c>
      <c r="C1977" s="39">
        <f t="shared" si="62"/>
        <v>6978799.0845374288</v>
      </c>
      <c r="D1977" s="39">
        <f t="shared" si="63"/>
        <v>6215606.91059954</v>
      </c>
    </row>
    <row r="1978" spans="2:4" x14ac:dyDescent="0.25">
      <c r="B1978" s="90">
        <v>1974</v>
      </c>
      <c r="C1978" s="39">
        <f t="shared" si="62"/>
        <v>6981446.4231509799</v>
      </c>
      <c r="D1978" s="39">
        <f t="shared" si="63"/>
        <v>6218757.2435496664</v>
      </c>
    </row>
    <row r="1979" spans="2:4" x14ac:dyDescent="0.25">
      <c r="B1979" s="90">
        <v>1975</v>
      </c>
      <c r="C1979" s="39">
        <f t="shared" si="62"/>
        <v>6984093.761764532</v>
      </c>
      <c r="D1979" s="39">
        <f t="shared" si="63"/>
        <v>6221907.5764997927</v>
      </c>
    </row>
    <row r="1980" spans="2:4" x14ac:dyDescent="0.25">
      <c r="B1980" s="90">
        <v>1976</v>
      </c>
      <c r="C1980" s="39">
        <f t="shared" si="62"/>
        <v>6986741.1003780831</v>
      </c>
      <c r="D1980" s="39">
        <f t="shared" si="63"/>
        <v>6225057.9094499191</v>
      </c>
    </row>
    <row r="1981" spans="2:4" x14ac:dyDescent="0.25">
      <c r="B1981" s="90">
        <v>1977</v>
      </c>
      <c r="C1981" s="39">
        <f t="shared" si="62"/>
        <v>6989388.4389916351</v>
      </c>
      <c r="D1981" s="39">
        <f t="shared" si="63"/>
        <v>6228208.2424000464</v>
      </c>
    </row>
    <row r="1982" spans="2:4" x14ac:dyDescent="0.25">
      <c r="B1982" s="90">
        <v>1978</v>
      </c>
      <c r="C1982" s="39">
        <f t="shared" si="62"/>
        <v>6992035.7776051871</v>
      </c>
      <c r="D1982" s="39">
        <f t="shared" si="63"/>
        <v>6231358.5753501728</v>
      </c>
    </row>
    <row r="1983" spans="2:4" x14ac:dyDescent="0.25">
      <c r="B1983" s="90">
        <v>1979</v>
      </c>
      <c r="C1983" s="39">
        <f t="shared" si="62"/>
        <v>6994683.1162187383</v>
      </c>
      <c r="D1983" s="39">
        <f t="shared" si="63"/>
        <v>6234508.9083002992</v>
      </c>
    </row>
    <row r="1984" spans="2:4" x14ac:dyDescent="0.25">
      <c r="B1984" s="90">
        <v>1980</v>
      </c>
      <c r="C1984" s="39">
        <f t="shared" si="62"/>
        <v>6997330.4548322903</v>
      </c>
      <c r="D1984" s="39">
        <f t="shared" si="63"/>
        <v>6237659.2412504256</v>
      </c>
    </row>
    <row r="1985" spans="2:4" x14ac:dyDescent="0.25">
      <c r="B1985" s="90">
        <v>1981</v>
      </c>
      <c r="C1985" s="39">
        <f t="shared" si="62"/>
        <v>6999977.7934458414</v>
      </c>
      <c r="D1985" s="39">
        <f t="shared" si="63"/>
        <v>6240809.574200552</v>
      </c>
    </row>
    <row r="1986" spans="2:4" x14ac:dyDescent="0.25">
      <c r="B1986" s="90">
        <v>1982</v>
      </c>
      <c r="C1986" s="39">
        <f t="shared" si="62"/>
        <v>7002625.1320593935</v>
      </c>
      <c r="D1986" s="39">
        <f t="shared" si="63"/>
        <v>6243959.9071506783</v>
      </c>
    </row>
    <row r="1987" spans="2:4" x14ac:dyDescent="0.25">
      <c r="B1987" s="90">
        <v>1983</v>
      </c>
      <c r="C1987" s="39">
        <f t="shared" si="62"/>
        <v>7005272.4706729455</v>
      </c>
      <c r="D1987" s="39">
        <f t="shared" si="63"/>
        <v>6247110.2401008047</v>
      </c>
    </row>
    <row r="1988" spans="2:4" x14ac:dyDescent="0.25">
      <c r="B1988" s="90">
        <v>1984</v>
      </c>
      <c r="C1988" s="39">
        <f t="shared" si="62"/>
        <v>7007919.8092864966</v>
      </c>
      <c r="D1988" s="39">
        <f t="shared" si="63"/>
        <v>6250260.5730509311</v>
      </c>
    </row>
    <row r="1989" spans="2:4" x14ac:dyDescent="0.25">
      <c r="B1989" s="90">
        <v>1985</v>
      </c>
      <c r="C1989" s="39">
        <f t="shared" si="62"/>
        <v>7010567.1479000486</v>
      </c>
      <c r="D1989" s="39">
        <f t="shared" si="63"/>
        <v>6253410.9060010575</v>
      </c>
    </row>
    <row r="1990" spans="2:4" x14ac:dyDescent="0.25">
      <c r="B1990" s="90">
        <v>1986</v>
      </c>
      <c r="C1990" s="39">
        <f t="shared" si="62"/>
        <v>7013214.4865135998</v>
      </c>
      <c r="D1990" s="39">
        <f t="shared" si="63"/>
        <v>6256561.2389511839</v>
      </c>
    </row>
    <row r="1991" spans="2:4" x14ac:dyDescent="0.25">
      <c r="B1991" s="90">
        <v>1987</v>
      </c>
      <c r="C1991" s="39">
        <f t="shared" si="62"/>
        <v>7015861.8251271518</v>
      </c>
      <c r="D1991" s="39">
        <f t="shared" si="63"/>
        <v>6259711.5719013112</v>
      </c>
    </row>
    <row r="1992" spans="2:4" x14ac:dyDescent="0.25">
      <c r="B1992" s="90">
        <v>1988</v>
      </c>
      <c r="C1992" s="39">
        <f t="shared" si="62"/>
        <v>7018509.1637407029</v>
      </c>
      <c r="D1992" s="39">
        <f t="shared" si="63"/>
        <v>6262861.9048514375</v>
      </c>
    </row>
    <row r="1993" spans="2:4" x14ac:dyDescent="0.25">
      <c r="B1993" s="90">
        <v>1989</v>
      </c>
      <c r="C1993" s="39">
        <f t="shared" si="62"/>
        <v>7021156.5023542549</v>
      </c>
      <c r="D1993" s="39">
        <f t="shared" si="63"/>
        <v>6266012.2378015639</v>
      </c>
    </row>
    <row r="1994" spans="2:4" x14ac:dyDescent="0.25">
      <c r="B1994" s="90">
        <v>1990</v>
      </c>
      <c r="C1994" s="39">
        <f t="shared" si="62"/>
        <v>7023803.840967807</v>
      </c>
      <c r="D1994" s="39">
        <f t="shared" si="63"/>
        <v>6269162.5707516903</v>
      </c>
    </row>
    <row r="1995" spans="2:4" x14ac:dyDescent="0.25">
      <c r="B1995" s="90">
        <v>1991</v>
      </c>
      <c r="C1995" s="39">
        <f t="shared" si="62"/>
        <v>7026451.1795813581</v>
      </c>
      <c r="D1995" s="39">
        <f t="shared" si="63"/>
        <v>6272312.9037018167</v>
      </c>
    </row>
    <row r="1996" spans="2:4" x14ac:dyDescent="0.25">
      <c r="B1996" s="90">
        <v>1992</v>
      </c>
      <c r="C1996" s="39">
        <f t="shared" si="62"/>
        <v>7029098.5181949101</v>
      </c>
      <c r="D1996" s="39">
        <f t="shared" si="63"/>
        <v>6275463.2366519431</v>
      </c>
    </row>
    <row r="1997" spans="2:4" x14ac:dyDescent="0.25">
      <c r="B1997" s="90">
        <v>1993</v>
      </c>
      <c r="C1997" s="39">
        <f t="shared" si="62"/>
        <v>7031745.8568084612</v>
      </c>
      <c r="D1997" s="39">
        <f t="shared" si="63"/>
        <v>6278613.5696020694</v>
      </c>
    </row>
    <row r="1998" spans="2:4" x14ac:dyDescent="0.25">
      <c r="B1998" s="90">
        <v>1994</v>
      </c>
      <c r="C1998" s="39">
        <f t="shared" si="62"/>
        <v>7034393.1954220133</v>
      </c>
      <c r="D1998" s="39">
        <f t="shared" si="63"/>
        <v>6281763.9025521958</v>
      </c>
    </row>
    <row r="1999" spans="2:4" x14ac:dyDescent="0.25">
      <c r="B1999" s="90">
        <v>1995</v>
      </c>
      <c r="C1999" s="39">
        <f t="shared" si="62"/>
        <v>7037040.5340355653</v>
      </c>
      <c r="D1999" s="39">
        <f t="shared" si="63"/>
        <v>6284914.2355023222</v>
      </c>
    </row>
    <row r="2000" spans="2:4" x14ac:dyDescent="0.25">
      <c r="B2000" s="90">
        <v>1996</v>
      </c>
      <c r="C2000" s="39">
        <f t="shared" si="62"/>
        <v>7039687.8726491164</v>
      </c>
      <c r="D2000" s="39">
        <f t="shared" si="63"/>
        <v>6288064.5684524495</v>
      </c>
    </row>
    <row r="2001" spans="2:4" x14ac:dyDescent="0.25">
      <c r="B2001" s="90">
        <v>1997</v>
      </c>
      <c r="C2001" s="39">
        <f t="shared" si="62"/>
        <v>7042335.2112626685</v>
      </c>
      <c r="D2001" s="39">
        <f t="shared" si="63"/>
        <v>6291214.9014025759</v>
      </c>
    </row>
    <row r="2002" spans="2:4" x14ac:dyDescent="0.25">
      <c r="B2002" s="90">
        <v>1998</v>
      </c>
      <c r="C2002" s="39">
        <f t="shared" si="62"/>
        <v>7044982.5498762196</v>
      </c>
      <c r="D2002" s="39">
        <f t="shared" si="63"/>
        <v>6294365.2343527023</v>
      </c>
    </row>
    <row r="2003" spans="2:4" x14ac:dyDescent="0.25">
      <c r="B2003" s="90">
        <v>1999</v>
      </c>
      <c r="C2003" s="39">
        <f t="shared" si="62"/>
        <v>7047629.8884897716</v>
      </c>
      <c r="D2003" s="39">
        <f t="shared" si="63"/>
        <v>6297515.5673028287</v>
      </c>
    </row>
    <row r="2004" spans="2:4" x14ac:dyDescent="0.25">
      <c r="B2004" s="90">
        <v>2000</v>
      </c>
      <c r="C2004" s="39">
        <f t="shared" si="62"/>
        <v>7050277.2271033237</v>
      </c>
      <c r="D2004" s="39">
        <f t="shared" si="63"/>
        <v>6300665.900252955</v>
      </c>
    </row>
    <row r="2005" spans="2:4" x14ac:dyDescent="0.25">
      <c r="B2005" s="90">
        <v>2001</v>
      </c>
      <c r="C2005" s="39">
        <f t="shared" si="62"/>
        <v>7052924.5657168748</v>
      </c>
      <c r="D2005" s="39">
        <f t="shared" si="63"/>
        <v>6303816.2332030814</v>
      </c>
    </row>
    <row r="2006" spans="2:4" x14ac:dyDescent="0.25">
      <c r="B2006" s="90">
        <v>2002</v>
      </c>
      <c r="C2006" s="39">
        <f t="shared" si="62"/>
        <v>7055571.9043304268</v>
      </c>
      <c r="D2006" s="39">
        <f t="shared" si="63"/>
        <v>6306966.5661532078</v>
      </c>
    </row>
    <row r="2007" spans="2:4" x14ac:dyDescent="0.25">
      <c r="B2007" s="90">
        <v>2003</v>
      </c>
      <c r="C2007" s="39">
        <f t="shared" si="62"/>
        <v>7058219.2429439779</v>
      </c>
      <c r="D2007" s="39">
        <f t="shared" si="63"/>
        <v>6310116.8991033342</v>
      </c>
    </row>
    <row r="2008" spans="2:4" x14ac:dyDescent="0.25">
      <c r="B2008" s="90">
        <v>2004</v>
      </c>
      <c r="C2008" s="39">
        <f t="shared" si="62"/>
        <v>7060866.58155753</v>
      </c>
      <c r="D2008" s="39">
        <f t="shared" si="63"/>
        <v>6313267.2320534606</v>
      </c>
    </row>
    <row r="2009" spans="2:4" x14ac:dyDescent="0.25">
      <c r="B2009" s="90">
        <v>2005</v>
      </c>
      <c r="C2009" s="39">
        <f t="shared" si="62"/>
        <v>7063513.920171082</v>
      </c>
      <c r="D2009" s="39">
        <f t="shared" si="63"/>
        <v>6316417.5650035869</v>
      </c>
    </row>
    <row r="2010" spans="2:4" x14ac:dyDescent="0.25">
      <c r="B2010" s="90">
        <v>2006</v>
      </c>
      <c r="C2010" s="39">
        <f t="shared" si="62"/>
        <v>7066161.2587846331</v>
      </c>
      <c r="D2010" s="39">
        <f t="shared" si="63"/>
        <v>6319567.8979537142</v>
      </c>
    </row>
    <row r="2011" spans="2:4" x14ac:dyDescent="0.25">
      <c r="B2011" s="90">
        <v>2007</v>
      </c>
      <c r="C2011" s="39">
        <f t="shared" si="62"/>
        <v>7068808.5973981852</v>
      </c>
      <c r="D2011" s="39">
        <f t="shared" si="63"/>
        <v>6322718.2309038406</v>
      </c>
    </row>
    <row r="2012" spans="2:4" x14ac:dyDescent="0.25">
      <c r="B2012" s="90">
        <v>2008</v>
      </c>
      <c r="C2012" s="39">
        <f t="shared" si="62"/>
        <v>7071455.9360117363</v>
      </c>
      <c r="D2012" s="39">
        <f t="shared" si="63"/>
        <v>6325868.563853967</v>
      </c>
    </row>
    <row r="2013" spans="2:4" x14ac:dyDescent="0.25">
      <c r="B2013" s="90">
        <v>2009</v>
      </c>
      <c r="C2013" s="39">
        <f t="shared" si="62"/>
        <v>7074103.2746252883</v>
      </c>
      <c r="D2013" s="39">
        <f t="shared" si="63"/>
        <v>6329018.8968040934</v>
      </c>
    </row>
    <row r="2014" spans="2:4" x14ac:dyDescent="0.25">
      <c r="B2014" s="90">
        <v>2010</v>
      </c>
      <c r="C2014" s="39">
        <f t="shared" si="62"/>
        <v>7076750.6132388394</v>
      </c>
      <c r="D2014" s="39">
        <f t="shared" si="63"/>
        <v>6332169.2297542198</v>
      </c>
    </row>
    <row r="2015" spans="2:4" x14ac:dyDescent="0.25">
      <c r="B2015" s="90">
        <v>2011</v>
      </c>
      <c r="C2015" s="39">
        <f t="shared" si="62"/>
        <v>7079397.9518523915</v>
      </c>
      <c r="D2015" s="39">
        <f t="shared" si="63"/>
        <v>6335319.5627043461</v>
      </c>
    </row>
    <row r="2016" spans="2:4" x14ac:dyDescent="0.25">
      <c r="B2016" s="90">
        <v>2012</v>
      </c>
      <c r="C2016" s="39">
        <f t="shared" si="62"/>
        <v>7082045.2904659435</v>
      </c>
      <c r="D2016" s="39">
        <f t="shared" si="63"/>
        <v>6338469.8956544725</v>
      </c>
    </row>
    <row r="2017" spans="2:4" x14ac:dyDescent="0.25">
      <c r="B2017" s="90">
        <v>2013</v>
      </c>
      <c r="C2017" s="39">
        <f t="shared" si="62"/>
        <v>7084692.6290794946</v>
      </c>
      <c r="D2017" s="39">
        <f t="shared" si="63"/>
        <v>6341620.2286045989</v>
      </c>
    </row>
    <row r="2018" spans="2:4" x14ac:dyDescent="0.25">
      <c r="B2018" s="90">
        <v>2014</v>
      </c>
      <c r="C2018" s="39">
        <f t="shared" si="62"/>
        <v>7087339.9676930467</v>
      </c>
      <c r="D2018" s="39">
        <f t="shared" si="63"/>
        <v>6344770.5615547253</v>
      </c>
    </row>
    <row r="2019" spans="2:4" x14ac:dyDescent="0.25">
      <c r="B2019" s="90">
        <v>2015</v>
      </c>
      <c r="C2019" s="39">
        <f t="shared" si="62"/>
        <v>7089987.3063065978</v>
      </c>
      <c r="D2019" s="39">
        <f t="shared" si="63"/>
        <v>6347920.8945048526</v>
      </c>
    </row>
    <row r="2020" spans="2:4" x14ac:dyDescent="0.25">
      <c r="B2020" s="90">
        <v>2016</v>
      </c>
      <c r="C2020" s="39">
        <f t="shared" si="62"/>
        <v>7092634.6449201498</v>
      </c>
      <c r="D2020" s="39">
        <f t="shared" si="63"/>
        <v>6351071.227454979</v>
      </c>
    </row>
    <row r="2021" spans="2:4" x14ac:dyDescent="0.25">
      <c r="B2021" s="90">
        <v>2017</v>
      </c>
      <c r="C2021" s="39">
        <f t="shared" si="62"/>
        <v>7095281.9835337019</v>
      </c>
      <c r="D2021" s="39">
        <f t="shared" si="63"/>
        <v>6354221.5604051054</v>
      </c>
    </row>
    <row r="2022" spans="2:4" x14ac:dyDescent="0.25">
      <c r="B2022" s="90">
        <v>2018</v>
      </c>
      <c r="C2022" s="39">
        <f t="shared" si="62"/>
        <v>7097929.322147253</v>
      </c>
      <c r="D2022" s="39">
        <f t="shared" si="63"/>
        <v>6357371.8933552317</v>
      </c>
    </row>
    <row r="2023" spans="2:4" x14ac:dyDescent="0.25">
      <c r="B2023" s="90">
        <v>2019</v>
      </c>
      <c r="C2023" s="39">
        <f t="shared" si="62"/>
        <v>7100576.660760805</v>
      </c>
      <c r="D2023" s="39">
        <f t="shared" si="63"/>
        <v>6360522.2263053581</v>
      </c>
    </row>
    <row r="2024" spans="2:4" x14ac:dyDescent="0.25">
      <c r="B2024" s="90">
        <v>2020</v>
      </c>
      <c r="C2024" s="39">
        <f t="shared" si="62"/>
        <v>7103223.9993743561</v>
      </c>
      <c r="D2024" s="39">
        <f t="shared" si="63"/>
        <v>6363672.5592554845</v>
      </c>
    </row>
    <row r="2025" spans="2:4" x14ac:dyDescent="0.25">
      <c r="B2025" s="90">
        <v>2021</v>
      </c>
      <c r="C2025" s="39">
        <f t="shared" si="62"/>
        <v>7105871.3379879082</v>
      </c>
      <c r="D2025" s="39">
        <f t="shared" si="63"/>
        <v>6366822.8922056109</v>
      </c>
    </row>
    <row r="2026" spans="2:4" x14ac:dyDescent="0.25">
      <c r="B2026" s="90">
        <v>2022</v>
      </c>
      <c r="C2026" s="39">
        <f t="shared" si="62"/>
        <v>7108518.6766014602</v>
      </c>
      <c r="D2026" s="39">
        <f t="shared" si="63"/>
        <v>6369973.2251557373</v>
      </c>
    </row>
    <row r="2027" spans="2:4" x14ac:dyDescent="0.25">
      <c r="B2027" s="90">
        <v>2023</v>
      </c>
      <c r="C2027" s="39">
        <f t="shared" si="62"/>
        <v>7111166.0152150113</v>
      </c>
      <c r="D2027" s="39">
        <f t="shared" si="63"/>
        <v>6373123.5581058636</v>
      </c>
    </row>
    <row r="2028" spans="2:4" x14ac:dyDescent="0.25">
      <c r="B2028" s="90">
        <v>2024</v>
      </c>
      <c r="C2028" s="39">
        <f t="shared" si="62"/>
        <v>7113813.3538285634</v>
      </c>
      <c r="D2028" s="39">
        <f t="shared" si="63"/>
        <v>6376273.89105599</v>
      </c>
    </row>
    <row r="2029" spans="2:4" x14ac:dyDescent="0.25">
      <c r="B2029" s="90">
        <v>2025</v>
      </c>
      <c r="C2029" s="39">
        <f t="shared" si="62"/>
        <v>7116460.6924421145</v>
      </c>
      <c r="D2029" s="39">
        <f t="shared" si="63"/>
        <v>6379424.2240061173</v>
      </c>
    </row>
    <row r="2030" spans="2:4" x14ac:dyDescent="0.25">
      <c r="B2030" s="90">
        <v>2026</v>
      </c>
      <c r="C2030" s="39">
        <f t="shared" si="62"/>
        <v>7119108.0310556665</v>
      </c>
      <c r="D2030" s="39">
        <f t="shared" si="63"/>
        <v>6382574.5569562437</v>
      </c>
    </row>
    <row r="2031" spans="2:4" x14ac:dyDescent="0.25">
      <c r="B2031" s="90">
        <v>2027</v>
      </c>
      <c r="C2031" s="39">
        <f t="shared" si="62"/>
        <v>7121755.3696692185</v>
      </c>
      <c r="D2031" s="39">
        <f t="shared" si="63"/>
        <v>6385724.8899063701</v>
      </c>
    </row>
    <row r="2032" spans="2:4" x14ac:dyDescent="0.25">
      <c r="B2032" s="90">
        <v>2028</v>
      </c>
      <c r="C2032" s="39">
        <f t="shared" si="62"/>
        <v>7124402.7082827697</v>
      </c>
      <c r="D2032" s="39">
        <f t="shared" si="63"/>
        <v>6388875.2228564965</v>
      </c>
    </row>
    <row r="2033" spans="2:4" x14ac:dyDescent="0.25">
      <c r="B2033" s="90">
        <v>2029</v>
      </c>
      <c r="C2033" s="39">
        <f t="shared" ref="C2033:C2096" si="64">($C$2*B2033)+$C$1</f>
        <v>7127050.0468963217</v>
      </c>
      <c r="D2033" s="39">
        <f t="shared" ref="D2033:D2096" si="65">$D$2*B2033</f>
        <v>6392025.5558066228</v>
      </c>
    </row>
    <row r="2034" spans="2:4" x14ac:dyDescent="0.25">
      <c r="B2034" s="90">
        <v>2030</v>
      </c>
      <c r="C2034" s="39">
        <f t="shared" si="64"/>
        <v>7129697.3855098728</v>
      </c>
      <c r="D2034" s="39">
        <f t="shared" si="65"/>
        <v>6395175.8887567492</v>
      </c>
    </row>
    <row r="2035" spans="2:4" x14ac:dyDescent="0.25">
      <c r="B2035" s="90">
        <v>2031</v>
      </c>
      <c r="C2035" s="39">
        <f t="shared" si="64"/>
        <v>7132344.7241234249</v>
      </c>
      <c r="D2035" s="39">
        <f t="shared" si="65"/>
        <v>6398326.2217068756</v>
      </c>
    </row>
    <row r="2036" spans="2:4" x14ac:dyDescent="0.25">
      <c r="B2036" s="90">
        <v>2032</v>
      </c>
      <c r="C2036" s="39">
        <f t="shared" si="64"/>
        <v>7134992.0627369769</v>
      </c>
      <c r="D2036" s="39">
        <f t="shared" si="65"/>
        <v>6401476.554657002</v>
      </c>
    </row>
    <row r="2037" spans="2:4" x14ac:dyDescent="0.25">
      <c r="B2037" s="90">
        <v>2033</v>
      </c>
      <c r="C2037" s="39">
        <f t="shared" si="64"/>
        <v>7137639.401350528</v>
      </c>
      <c r="D2037" s="39">
        <f t="shared" si="65"/>
        <v>6404626.8876071284</v>
      </c>
    </row>
    <row r="2038" spans="2:4" x14ac:dyDescent="0.25">
      <c r="B2038" s="90">
        <v>2034</v>
      </c>
      <c r="C2038" s="39">
        <f t="shared" si="64"/>
        <v>7140286.73996408</v>
      </c>
      <c r="D2038" s="39">
        <f t="shared" si="65"/>
        <v>6407777.2205572557</v>
      </c>
    </row>
    <row r="2039" spans="2:4" x14ac:dyDescent="0.25">
      <c r="B2039" s="90">
        <v>2035</v>
      </c>
      <c r="C2039" s="39">
        <f t="shared" si="64"/>
        <v>7142934.0785776312</v>
      </c>
      <c r="D2039" s="39">
        <f t="shared" si="65"/>
        <v>6410927.5535073821</v>
      </c>
    </row>
    <row r="2040" spans="2:4" x14ac:dyDescent="0.25">
      <c r="B2040" s="90">
        <v>2036</v>
      </c>
      <c r="C2040" s="39">
        <f t="shared" si="64"/>
        <v>7145581.4171911832</v>
      </c>
      <c r="D2040" s="39">
        <f t="shared" si="65"/>
        <v>6414077.8864575084</v>
      </c>
    </row>
    <row r="2041" spans="2:4" x14ac:dyDescent="0.25">
      <c r="B2041" s="90">
        <v>2037</v>
      </c>
      <c r="C2041" s="39">
        <f t="shared" si="64"/>
        <v>7148228.7558047343</v>
      </c>
      <c r="D2041" s="39">
        <f t="shared" si="65"/>
        <v>6417228.2194076348</v>
      </c>
    </row>
    <row r="2042" spans="2:4" x14ac:dyDescent="0.25">
      <c r="B2042" s="90">
        <v>2038</v>
      </c>
      <c r="C2042" s="39">
        <f t="shared" si="64"/>
        <v>7150876.0944182863</v>
      </c>
      <c r="D2042" s="39">
        <f t="shared" si="65"/>
        <v>6420378.5523577612</v>
      </c>
    </row>
    <row r="2043" spans="2:4" x14ac:dyDescent="0.25">
      <c r="B2043" s="90">
        <v>2039</v>
      </c>
      <c r="C2043" s="39">
        <f t="shared" si="64"/>
        <v>7153523.4330318384</v>
      </c>
      <c r="D2043" s="39">
        <f t="shared" si="65"/>
        <v>6423528.8853078876</v>
      </c>
    </row>
    <row r="2044" spans="2:4" x14ac:dyDescent="0.25">
      <c r="B2044" s="90">
        <v>2040</v>
      </c>
      <c r="C2044" s="39">
        <f t="shared" si="64"/>
        <v>7156170.7716453895</v>
      </c>
      <c r="D2044" s="39">
        <f t="shared" si="65"/>
        <v>6426679.2182580139</v>
      </c>
    </row>
    <row r="2045" spans="2:4" x14ac:dyDescent="0.25">
      <c r="B2045" s="90">
        <v>2041</v>
      </c>
      <c r="C2045" s="39">
        <f t="shared" si="64"/>
        <v>7158818.1102589415</v>
      </c>
      <c r="D2045" s="39">
        <f t="shared" si="65"/>
        <v>6429829.5512081403</v>
      </c>
    </row>
    <row r="2046" spans="2:4" x14ac:dyDescent="0.25">
      <c r="B2046" s="90">
        <v>2042</v>
      </c>
      <c r="C2046" s="39">
        <f t="shared" si="64"/>
        <v>7161465.4488724926</v>
      </c>
      <c r="D2046" s="39">
        <f t="shared" si="65"/>
        <v>6432979.8841582667</v>
      </c>
    </row>
    <row r="2047" spans="2:4" x14ac:dyDescent="0.25">
      <c r="B2047" s="90">
        <v>2043</v>
      </c>
      <c r="C2047" s="39">
        <f t="shared" si="64"/>
        <v>7164112.7874860447</v>
      </c>
      <c r="D2047" s="39">
        <f t="shared" si="65"/>
        <v>6436130.2171083931</v>
      </c>
    </row>
    <row r="2048" spans="2:4" x14ac:dyDescent="0.25">
      <c r="B2048" s="90">
        <v>2044</v>
      </c>
      <c r="C2048" s="39">
        <f t="shared" si="64"/>
        <v>7166760.1260995967</v>
      </c>
      <c r="D2048" s="39">
        <f t="shared" si="65"/>
        <v>6439280.5500585204</v>
      </c>
    </row>
    <row r="2049" spans="2:4" x14ac:dyDescent="0.25">
      <c r="B2049" s="90">
        <v>2045</v>
      </c>
      <c r="C2049" s="39">
        <f t="shared" si="64"/>
        <v>7169407.4647131478</v>
      </c>
      <c r="D2049" s="39">
        <f t="shared" si="65"/>
        <v>6442430.8830086468</v>
      </c>
    </row>
    <row r="2050" spans="2:4" x14ac:dyDescent="0.25">
      <c r="B2050" s="90">
        <v>2046</v>
      </c>
      <c r="C2050" s="39">
        <f t="shared" si="64"/>
        <v>7172054.8033266999</v>
      </c>
      <c r="D2050" s="39">
        <f t="shared" si="65"/>
        <v>6445581.2159587732</v>
      </c>
    </row>
    <row r="2051" spans="2:4" x14ac:dyDescent="0.25">
      <c r="B2051" s="90">
        <v>2047</v>
      </c>
      <c r="C2051" s="39">
        <f t="shared" si="64"/>
        <v>7174702.141940251</v>
      </c>
      <c r="D2051" s="39">
        <f t="shared" si="65"/>
        <v>6448731.5489088995</v>
      </c>
    </row>
    <row r="2052" spans="2:4" x14ac:dyDescent="0.25">
      <c r="B2052" s="90">
        <v>2048</v>
      </c>
      <c r="C2052" s="39">
        <f t="shared" si="64"/>
        <v>7177349.480553803</v>
      </c>
      <c r="D2052" s="39">
        <f t="shared" si="65"/>
        <v>6451881.8818590259</v>
      </c>
    </row>
    <row r="2053" spans="2:4" x14ac:dyDescent="0.25">
      <c r="B2053" s="90">
        <v>2049</v>
      </c>
      <c r="C2053" s="39">
        <f t="shared" si="64"/>
        <v>7179996.8191673551</v>
      </c>
      <c r="D2053" s="39">
        <f t="shared" si="65"/>
        <v>6455032.2148091523</v>
      </c>
    </row>
    <row r="2054" spans="2:4" x14ac:dyDescent="0.25">
      <c r="B2054" s="90">
        <v>2050</v>
      </c>
      <c r="C2054" s="39">
        <f t="shared" si="64"/>
        <v>7182644.1577809062</v>
      </c>
      <c r="D2054" s="39">
        <f t="shared" si="65"/>
        <v>6458182.5477592787</v>
      </c>
    </row>
    <row r="2055" spans="2:4" x14ac:dyDescent="0.25">
      <c r="B2055" s="90">
        <v>2051</v>
      </c>
      <c r="C2055" s="39">
        <f t="shared" si="64"/>
        <v>7185291.4963944582</v>
      </c>
      <c r="D2055" s="39">
        <f t="shared" si="65"/>
        <v>6461332.8807094051</v>
      </c>
    </row>
    <row r="2056" spans="2:4" x14ac:dyDescent="0.25">
      <c r="B2056" s="90">
        <v>2052</v>
      </c>
      <c r="C2056" s="39">
        <f t="shared" si="64"/>
        <v>7187938.8350080093</v>
      </c>
      <c r="D2056" s="39">
        <f t="shared" si="65"/>
        <v>6464483.2136595314</v>
      </c>
    </row>
    <row r="2057" spans="2:4" x14ac:dyDescent="0.25">
      <c r="B2057" s="90">
        <v>2053</v>
      </c>
      <c r="C2057" s="39">
        <f t="shared" si="64"/>
        <v>7190586.1736215614</v>
      </c>
      <c r="D2057" s="39">
        <f t="shared" si="65"/>
        <v>6467633.5466096587</v>
      </c>
    </row>
    <row r="2058" spans="2:4" x14ac:dyDescent="0.25">
      <c r="B2058" s="90">
        <v>2054</v>
      </c>
      <c r="C2058" s="39">
        <f t="shared" si="64"/>
        <v>7193233.5122351134</v>
      </c>
      <c r="D2058" s="39">
        <f t="shared" si="65"/>
        <v>6470783.8795597851</v>
      </c>
    </row>
    <row r="2059" spans="2:4" x14ac:dyDescent="0.25">
      <c r="B2059" s="90">
        <v>2055</v>
      </c>
      <c r="C2059" s="39">
        <f t="shared" si="64"/>
        <v>7195880.8508486645</v>
      </c>
      <c r="D2059" s="39">
        <f t="shared" si="65"/>
        <v>6473934.2125099115</v>
      </c>
    </row>
    <row r="2060" spans="2:4" x14ac:dyDescent="0.25">
      <c r="B2060" s="90">
        <v>2056</v>
      </c>
      <c r="C2060" s="39">
        <f t="shared" si="64"/>
        <v>7198528.1894622166</v>
      </c>
      <c r="D2060" s="39">
        <f t="shared" si="65"/>
        <v>6477084.5454600379</v>
      </c>
    </row>
    <row r="2061" spans="2:4" x14ac:dyDescent="0.25">
      <c r="B2061" s="90">
        <v>2057</v>
      </c>
      <c r="C2061" s="39">
        <f t="shared" si="64"/>
        <v>7201175.5280757677</v>
      </c>
      <c r="D2061" s="39">
        <f t="shared" si="65"/>
        <v>6480234.8784101643</v>
      </c>
    </row>
    <row r="2062" spans="2:4" x14ac:dyDescent="0.25">
      <c r="B2062" s="90">
        <v>2058</v>
      </c>
      <c r="C2062" s="39">
        <f t="shared" si="64"/>
        <v>7203822.8666893197</v>
      </c>
      <c r="D2062" s="39">
        <f t="shared" si="65"/>
        <v>6483385.2113602906</v>
      </c>
    </row>
    <row r="2063" spans="2:4" x14ac:dyDescent="0.25">
      <c r="B2063" s="90">
        <v>2059</v>
      </c>
      <c r="C2063" s="39">
        <f t="shared" si="64"/>
        <v>7206470.2053028718</v>
      </c>
      <c r="D2063" s="39">
        <f t="shared" si="65"/>
        <v>6486535.544310417</v>
      </c>
    </row>
    <row r="2064" spans="2:4" x14ac:dyDescent="0.25">
      <c r="B2064" s="90">
        <v>2060</v>
      </c>
      <c r="C2064" s="39">
        <f t="shared" si="64"/>
        <v>7209117.5439164229</v>
      </c>
      <c r="D2064" s="39">
        <f t="shared" si="65"/>
        <v>6489685.8772605434</v>
      </c>
    </row>
    <row r="2065" spans="2:4" x14ac:dyDescent="0.25">
      <c r="B2065" s="90">
        <v>2061</v>
      </c>
      <c r="C2065" s="39">
        <f t="shared" si="64"/>
        <v>7211764.8825299749</v>
      </c>
      <c r="D2065" s="39">
        <f t="shared" si="65"/>
        <v>6492836.2102106698</v>
      </c>
    </row>
    <row r="2066" spans="2:4" x14ac:dyDescent="0.25">
      <c r="B2066" s="90">
        <v>2062</v>
      </c>
      <c r="C2066" s="39">
        <f t="shared" si="64"/>
        <v>7214412.221143526</v>
      </c>
      <c r="D2066" s="39">
        <f t="shared" si="65"/>
        <v>6495986.5431607962</v>
      </c>
    </row>
    <row r="2067" spans="2:4" x14ac:dyDescent="0.25">
      <c r="B2067" s="90">
        <v>2063</v>
      </c>
      <c r="C2067" s="39">
        <f t="shared" si="64"/>
        <v>7217059.5597570781</v>
      </c>
      <c r="D2067" s="39">
        <f t="shared" si="65"/>
        <v>6499136.8761109235</v>
      </c>
    </row>
    <row r="2068" spans="2:4" x14ac:dyDescent="0.25">
      <c r="B2068" s="90">
        <v>2064</v>
      </c>
      <c r="C2068" s="39">
        <f t="shared" si="64"/>
        <v>7219706.8983706292</v>
      </c>
      <c r="D2068" s="39">
        <f t="shared" si="65"/>
        <v>6502287.2090610499</v>
      </c>
    </row>
    <row r="2069" spans="2:4" x14ac:dyDescent="0.25">
      <c r="B2069" s="90">
        <v>2065</v>
      </c>
      <c r="C2069" s="39">
        <f t="shared" si="64"/>
        <v>7222354.2369841812</v>
      </c>
      <c r="D2069" s="39">
        <f t="shared" si="65"/>
        <v>6505437.5420111762</v>
      </c>
    </row>
    <row r="2070" spans="2:4" x14ac:dyDescent="0.25">
      <c r="B2070" s="90">
        <v>2066</v>
      </c>
      <c r="C2070" s="39">
        <f t="shared" si="64"/>
        <v>7225001.5755977333</v>
      </c>
      <c r="D2070" s="39">
        <f t="shared" si="65"/>
        <v>6508587.8749613026</v>
      </c>
    </row>
    <row r="2071" spans="2:4" x14ac:dyDescent="0.25">
      <c r="B2071" s="90">
        <v>2067</v>
      </c>
      <c r="C2071" s="39">
        <f t="shared" si="64"/>
        <v>7227648.9142112844</v>
      </c>
      <c r="D2071" s="39">
        <f t="shared" si="65"/>
        <v>6511738.207911429</v>
      </c>
    </row>
    <row r="2072" spans="2:4" x14ac:dyDescent="0.25">
      <c r="B2072" s="90">
        <v>2068</v>
      </c>
      <c r="C2072" s="39">
        <f t="shared" si="64"/>
        <v>7230296.2528248364</v>
      </c>
      <c r="D2072" s="39">
        <f t="shared" si="65"/>
        <v>6514888.5408615554</v>
      </c>
    </row>
    <row r="2073" spans="2:4" x14ac:dyDescent="0.25">
      <c r="B2073" s="90">
        <v>2069</v>
      </c>
      <c r="C2073" s="39">
        <f t="shared" si="64"/>
        <v>7232943.5914383875</v>
      </c>
      <c r="D2073" s="39">
        <f t="shared" si="65"/>
        <v>6518038.8738116818</v>
      </c>
    </row>
    <row r="2074" spans="2:4" x14ac:dyDescent="0.25">
      <c r="B2074" s="90">
        <v>2070</v>
      </c>
      <c r="C2074" s="39">
        <f t="shared" si="64"/>
        <v>7235590.9300519396</v>
      </c>
      <c r="D2074" s="39">
        <f t="shared" si="65"/>
        <v>6521189.2067618081</v>
      </c>
    </row>
    <row r="2075" spans="2:4" x14ac:dyDescent="0.25">
      <c r="B2075" s="90">
        <v>2071</v>
      </c>
      <c r="C2075" s="39">
        <f t="shared" si="64"/>
        <v>7238238.2686654916</v>
      </c>
      <c r="D2075" s="39">
        <f t="shared" si="65"/>
        <v>6524339.5397119345</v>
      </c>
    </row>
    <row r="2076" spans="2:4" x14ac:dyDescent="0.25">
      <c r="B2076" s="90">
        <v>2072</v>
      </c>
      <c r="C2076" s="39">
        <f t="shared" si="64"/>
        <v>7240885.6072790427</v>
      </c>
      <c r="D2076" s="39">
        <f t="shared" si="65"/>
        <v>6527489.8726620618</v>
      </c>
    </row>
    <row r="2077" spans="2:4" x14ac:dyDescent="0.25">
      <c r="B2077" s="90">
        <v>2073</v>
      </c>
      <c r="C2077" s="39">
        <f t="shared" si="64"/>
        <v>7243532.9458925948</v>
      </c>
      <c r="D2077" s="39">
        <f t="shared" si="65"/>
        <v>6530640.2056121882</v>
      </c>
    </row>
    <row r="2078" spans="2:4" x14ac:dyDescent="0.25">
      <c r="B2078" s="90">
        <v>2074</v>
      </c>
      <c r="C2078" s="39">
        <f t="shared" si="64"/>
        <v>7246180.2845061459</v>
      </c>
      <c r="D2078" s="39">
        <f t="shared" si="65"/>
        <v>6533790.5385623146</v>
      </c>
    </row>
    <row r="2079" spans="2:4" x14ac:dyDescent="0.25">
      <c r="B2079" s="90">
        <v>2075</v>
      </c>
      <c r="C2079" s="39">
        <f t="shared" si="64"/>
        <v>7248827.6231196979</v>
      </c>
      <c r="D2079" s="39">
        <f t="shared" si="65"/>
        <v>6536940.871512441</v>
      </c>
    </row>
    <row r="2080" spans="2:4" x14ac:dyDescent="0.25">
      <c r="B2080" s="90">
        <v>2076</v>
      </c>
      <c r="C2080" s="39">
        <f t="shared" si="64"/>
        <v>7251474.9617332499</v>
      </c>
      <c r="D2080" s="39">
        <f t="shared" si="65"/>
        <v>6540091.2044625673</v>
      </c>
    </row>
    <row r="2081" spans="2:4" x14ac:dyDescent="0.25">
      <c r="B2081" s="90">
        <v>2077</v>
      </c>
      <c r="C2081" s="39">
        <f t="shared" si="64"/>
        <v>7254122.3003468011</v>
      </c>
      <c r="D2081" s="39">
        <f t="shared" si="65"/>
        <v>6543241.5374126937</v>
      </c>
    </row>
    <row r="2082" spans="2:4" x14ac:dyDescent="0.25">
      <c r="B2082" s="90">
        <v>2078</v>
      </c>
      <c r="C2082" s="39">
        <f t="shared" si="64"/>
        <v>7256769.6389603531</v>
      </c>
      <c r="D2082" s="39">
        <f t="shared" si="65"/>
        <v>6546391.8703628201</v>
      </c>
    </row>
    <row r="2083" spans="2:4" x14ac:dyDescent="0.25">
      <c r="B2083" s="90">
        <v>2079</v>
      </c>
      <c r="C2083" s="39">
        <f t="shared" si="64"/>
        <v>7259416.9775739042</v>
      </c>
      <c r="D2083" s="39">
        <f t="shared" si="65"/>
        <v>6549542.2033129465</v>
      </c>
    </row>
    <row r="2084" spans="2:4" x14ac:dyDescent="0.25">
      <c r="B2084" s="90">
        <v>2080</v>
      </c>
      <c r="C2084" s="39">
        <f t="shared" si="64"/>
        <v>7262064.3161874563</v>
      </c>
      <c r="D2084" s="39">
        <f t="shared" si="65"/>
        <v>6552692.5362630729</v>
      </c>
    </row>
    <row r="2085" spans="2:4" x14ac:dyDescent="0.25">
      <c r="B2085" s="90">
        <v>2081</v>
      </c>
      <c r="C2085" s="39">
        <f t="shared" si="64"/>
        <v>7264711.6548010083</v>
      </c>
      <c r="D2085" s="39">
        <f t="shared" si="65"/>
        <v>6555842.8692131992</v>
      </c>
    </row>
    <row r="2086" spans="2:4" x14ac:dyDescent="0.25">
      <c r="B2086" s="90">
        <v>2082</v>
      </c>
      <c r="C2086" s="39">
        <f t="shared" si="64"/>
        <v>7267358.9934145594</v>
      </c>
      <c r="D2086" s="39">
        <f t="shared" si="65"/>
        <v>6558993.2021633266</v>
      </c>
    </row>
    <row r="2087" spans="2:4" x14ac:dyDescent="0.25">
      <c r="B2087" s="90">
        <v>2083</v>
      </c>
      <c r="C2087" s="39">
        <f t="shared" si="64"/>
        <v>7270006.3320281114</v>
      </c>
      <c r="D2087" s="39">
        <f t="shared" si="65"/>
        <v>6562143.5351134529</v>
      </c>
    </row>
    <row r="2088" spans="2:4" x14ac:dyDescent="0.25">
      <c r="B2088" s="90">
        <v>2084</v>
      </c>
      <c r="C2088" s="39">
        <f t="shared" si="64"/>
        <v>7272653.6706416626</v>
      </c>
      <c r="D2088" s="39">
        <f t="shared" si="65"/>
        <v>6565293.8680635793</v>
      </c>
    </row>
    <row r="2089" spans="2:4" x14ac:dyDescent="0.25">
      <c r="B2089" s="90">
        <v>2085</v>
      </c>
      <c r="C2089" s="39">
        <f t="shared" si="64"/>
        <v>7275301.0092552146</v>
      </c>
      <c r="D2089" s="39">
        <f t="shared" si="65"/>
        <v>6568444.2010137057</v>
      </c>
    </row>
    <row r="2090" spans="2:4" x14ac:dyDescent="0.25">
      <c r="B2090" s="90">
        <v>2086</v>
      </c>
      <c r="C2090" s="39">
        <f t="shared" si="64"/>
        <v>7277948.3478687666</v>
      </c>
      <c r="D2090" s="39">
        <f t="shared" si="65"/>
        <v>6571594.5339638321</v>
      </c>
    </row>
    <row r="2091" spans="2:4" x14ac:dyDescent="0.25">
      <c r="B2091" s="90">
        <v>2087</v>
      </c>
      <c r="C2091" s="39">
        <f t="shared" si="64"/>
        <v>7280595.6864823177</v>
      </c>
      <c r="D2091" s="39">
        <f t="shared" si="65"/>
        <v>6574744.8669139585</v>
      </c>
    </row>
    <row r="2092" spans="2:4" x14ac:dyDescent="0.25">
      <c r="B2092" s="90">
        <v>2088</v>
      </c>
      <c r="C2092" s="39">
        <f t="shared" si="64"/>
        <v>7283243.0250958698</v>
      </c>
      <c r="D2092" s="39">
        <f t="shared" si="65"/>
        <v>6577895.1998640848</v>
      </c>
    </row>
    <row r="2093" spans="2:4" x14ac:dyDescent="0.25">
      <c r="B2093" s="90">
        <v>2089</v>
      </c>
      <c r="C2093" s="39">
        <f t="shared" si="64"/>
        <v>7285890.3637094209</v>
      </c>
      <c r="D2093" s="39">
        <f t="shared" si="65"/>
        <v>6581045.5328142112</v>
      </c>
    </row>
    <row r="2094" spans="2:4" x14ac:dyDescent="0.25">
      <c r="B2094" s="90">
        <v>2090</v>
      </c>
      <c r="C2094" s="39">
        <f t="shared" si="64"/>
        <v>7288537.7023229729</v>
      </c>
      <c r="D2094" s="39">
        <f t="shared" si="65"/>
        <v>6584195.8657643376</v>
      </c>
    </row>
    <row r="2095" spans="2:4" x14ac:dyDescent="0.25">
      <c r="B2095" s="90">
        <v>2091</v>
      </c>
      <c r="C2095" s="39">
        <f t="shared" si="64"/>
        <v>7291185.040936524</v>
      </c>
      <c r="D2095" s="39">
        <f t="shared" si="65"/>
        <v>6587346.1987144649</v>
      </c>
    </row>
    <row r="2096" spans="2:4" x14ac:dyDescent="0.25">
      <c r="B2096" s="90">
        <v>2092</v>
      </c>
      <c r="C2096" s="39">
        <f t="shared" si="64"/>
        <v>7293832.3795500761</v>
      </c>
      <c r="D2096" s="39">
        <f t="shared" si="65"/>
        <v>6590496.5316645913</v>
      </c>
    </row>
    <row r="2097" spans="2:4" x14ac:dyDescent="0.25">
      <c r="B2097" s="90">
        <v>2093</v>
      </c>
      <c r="C2097" s="39">
        <f t="shared" ref="C2097:C2160" si="66">($C$2*B2097)+$C$1</f>
        <v>7296479.7181636281</v>
      </c>
      <c r="D2097" s="39">
        <f t="shared" ref="D2097:D2160" si="67">$D$2*B2097</f>
        <v>6593646.8646147177</v>
      </c>
    </row>
    <row r="2098" spans="2:4" x14ac:dyDescent="0.25">
      <c r="B2098" s="90">
        <v>2094</v>
      </c>
      <c r="C2098" s="39">
        <f t="shared" si="66"/>
        <v>7299127.0567771792</v>
      </c>
      <c r="D2098" s="39">
        <f t="shared" si="67"/>
        <v>6596797.197564844</v>
      </c>
    </row>
    <row r="2099" spans="2:4" x14ac:dyDescent="0.25">
      <c r="B2099" s="90">
        <v>2095</v>
      </c>
      <c r="C2099" s="39">
        <f t="shared" si="66"/>
        <v>7301774.3953907313</v>
      </c>
      <c r="D2099" s="39">
        <f t="shared" si="67"/>
        <v>6599947.5305149704</v>
      </c>
    </row>
    <row r="2100" spans="2:4" x14ac:dyDescent="0.25">
      <c r="B2100" s="90">
        <v>2096</v>
      </c>
      <c r="C2100" s="39">
        <f t="shared" si="66"/>
        <v>7304421.7340042824</v>
      </c>
      <c r="D2100" s="39">
        <f t="shared" si="67"/>
        <v>6603097.8634650968</v>
      </c>
    </row>
    <row r="2101" spans="2:4" x14ac:dyDescent="0.25">
      <c r="B2101" s="90">
        <v>2097</v>
      </c>
      <c r="C2101" s="39">
        <f t="shared" si="66"/>
        <v>7307069.0726178344</v>
      </c>
      <c r="D2101" s="39">
        <f t="shared" si="67"/>
        <v>6606248.1964152232</v>
      </c>
    </row>
    <row r="2102" spans="2:4" x14ac:dyDescent="0.25">
      <c r="B2102" s="90">
        <v>2098</v>
      </c>
      <c r="C2102" s="39">
        <f t="shared" si="66"/>
        <v>7309716.4112313865</v>
      </c>
      <c r="D2102" s="39">
        <f t="shared" si="67"/>
        <v>6609398.5293653496</v>
      </c>
    </row>
    <row r="2103" spans="2:4" x14ac:dyDescent="0.25">
      <c r="B2103" s="90">
        <v>2099</v>
      </c>
      <c r="C2103" s="39">
        <f t="shared" si="66"/>
        <v>7312363.7498449376</v>
      </c>
      <c r="D2103" s="39">
        <f t="shared" si="67"/>
        <v>6612548.8623154759</v>
      </c>
    </row>
    <row r="2104" spans="2:4" x14ac:dyDescent="0.25">
      <c r="B2104" s="90">
        <v>2100</v>
      </c>
      <c r="C2104" s="39">
        <f t="shared" si="66"/>
        <v>7315011.0884584896</v>
      </c>
      <c r="D2104" s="39">
        <f t="shared" si="67"/>
        <v>6615699.1952656023</v>
      </c>
    </row>
    <row r="2105" spans="2:4" x14ac:dyDescent="0.25">
      <c r="B2105" s="90">
        <v>2101</v>
      </c>
      <c r="C2105" s="39">
        <f t="shared" si="66"/>
        <v>7317658.4270720407</v>
      </c>
      <c r="D2105" s="39">
        <f t="shared" si="67"/>
        <v>6618849.5282157296</v>
      </c>
    </row>
    <row r="2106" spans="2:4" x14ac:dyDescent="0.25">
      <c r="B2106" s="90">
        <v>2102</v>
      </c>
      <c r="C2106" s="39">
        <f t="shared" si="66"/>
        <v>7320305.7656855928</v>
      </c>
      <c r="D2106" s="39">
        <f t="shared" si="67"/>
        <v>6621999.861165856</v>
      </c>
    </row>
    <row r="2107" spans="2:4" x14ac:dyDescent="0.25">
      <c r="B2107" s="90">
        <v>2103</v>
      </c>
      <c r="C2107" s="39">
        <f t="shared" si="66"/>
        <v>7322953.1042991448</v>
      </c>
      <c r="D2107" s="39">
        <f t="shared" si="67"/>
        <v>6625150.1941159824</v>
      </c>
    </row>
    <row r="2108" spans="2:4" x14ac:dyDescent="0.25">
      <c r="B2108" s="90">
        <v>2104</v>
      </c>
      <c r="C2108" s="39">
        <f t="shared" si="66"/>
        <v>7325600.4429126959</v>
      </c>
      <c r="D2108" s="39">
        <f t="shared" si="67"/>
        <v>6628300.5270661088</v>
      </c>
    </row>
    <row r="2109" spans="2:4" x14ac:dyDescent="0.25">
      <c r="B2109" s="90">
        <v>2105</v>
      </c>
      <c r="C2109" s="39">
        <f t="shared" si="66"/>
        <v>7328247.781526248</v>
      </c>
      <c r="D2109" s="39">
        <f t="shared" si="67"/>
        <v>6631450.8600162352</v>
      </c>
    </row>
    <row r="2110" spans="2:4" x14ac:dyDescent="0.25">
      <c r="B2110" s="90">
        <v>2106</v>
      </c>
      <c r="C2110" s="39">
        <f t="shared" si="66"/>
        <v>7330895.1201397991</v>
      </c>
      <c r="D2110" s="39">
        <f t="shared" si="67"/>
        <v>6634601.1929663615</v>
      </c>
    </row>
    <row r="2111" spans="2:4" x14ac:dyDescent="0.25">
      <c r="B2111" s="90">
        <v>2107</v>
      </c>
      <c r="C2111" s="39">
        <f t="shared" si="66"/>
        <v>7333542.4587533511</v>
      </c>
      <c r="D2111" s="39">
        <f t="shared" si="67"/>
        <v>6637751.5259164879</v>
      </c>
    </row>
    <row r="2112" spans="2:4" x14ac:dyDescent="0.25">
      <c r="B2112" s="90">
        <v>2108</v>
      </c>
      <c r="C2112" s="39">
        <f t="shared" si="66"/>
        <v>7336189.7973669032</v>
      </c>
      <c r="D2112" s="39">
        <f t="shared" si="67"/>
        <v>6640901.8588666143</v>
      </c>
    </row>
    <row r="2113" spans="2:4" x14ac:dyDescent="0.25">
      <c r="B2113" s="90">
        <v>2109</v>
      </c>
      <c r="C2113" s="39">
        <f t="shared" si="66"/>
        <v>7338837.1359804543</v>
      </c>
      <c r="D2113" s="39">
        <f t="shared" si="67"/>
        <v>6644052.1918167407</v>
      </c>
    </row>
    <row r="2114" spans="2:4" x14ac:dyDescent="0.25">
      <c r="B2114" s="90">
        <v>2110</v>
      </c>
      <c r="C2114" s="39">
        <f t="shared" si="66"/>
        <v>7341484.4745940063</v>
      </c>
      <c r="D2114" s="39">
        <f t="shared" si="67"/>
        <v>6647202.524766868</v>
      </c>
    </row>
    <row r="2115" spans="2:4" x14ac:dyDescent="0.25">
      <c r="B2115" s="90">
        <v>2111</v>
      </c>
      <c r="C2115" s="39">
        <f t="shared" si="66"/>
        <v>7344131.8132075574</v>
      </c>
      <c r="D2115" s="39">
        <f t="shared" si="67"/>
        <v>6650352.8577169944</v>
      </c>
    </row>
    <row r="2116" spans="2:4" x14ac:dyDescent="0.25">
      <c r="B2116" s="90">
        <v>2112</v>
      </c>
      <c r="C2116" s="39">
        <f t="shared" si="66"/>
        <v>7346779.1518211095</v>
      </c>
      <c r="D2116" s="39">
        <f t="shared" si="67"/>
        <v>6653503.1906671207</v>
      </c>
    </row>
    <row r="2117" spans="2:4" x14ac:dyDescent="0.25">
      <c r="B2117" s="90">
        <v>2113</v>
      </c>
      <c r="C2117" s="39">
        <f t="shared" si="66"/>
        <v>7349426.4904346606</v>
      </c>
      <c r="D2117" s="39">
        <f t="shared" si="67"/>
        <v>6656653.5236172471</v>
      </c>
    </row>
    <row r="2118" spans="2:4" x14ac:dyDescent="0.25">
      <c r="B2118" s="90">
        <v>2114</v>
      </c>
      <c r="C2118" s="39">
        <f t="shared" si="66"/>
        <v>7352073.8290482126</v>
      </c>
      <c r="D2118" s="39">
        <f t="shared" si="67"/>
        <v>6659803.8565673735</v>
      </c>
    </row>
    <row r="2119" spans="2:4" x14ac:dyDescent="0.25">
      <c r="B2119" s="90">
        <v>2115</v>
      </c>
      <c r="C2119" s="39">
        <f t="shared" si="66"/>
        <v>7354721.1676617647</v>
      </c>
      <c r="D2119" s="39">
        <f t="shared" si="67"/>
        <v>6662954.1895174999</v>
      </c>
    </row>
    <row r="2120" spans="2:4" x14ac:dyDescent="0.25">
      <c r="B2120" s="90">
        <v>2116</v>
      </c>
      <c r="C2120" s="39">
        <f t="shared" si="66"/>
        <v>7357368.5062753158</v>
      </c>
      <c r="D2120" s="39">
        <f t="shared" si="67"/>
        <v>6666104.5224676263</v>
      </c>
    </row>
    <row r="2121" spans="2:4" x14ac:dyDescent="0.25">
      <c r="B2121" s="90">
        <v>2117</v>
      </c>
      <c r="C2121" s="39">
        <f t="shared" si="66"/>
        <v>7360015.8448888678</v>
      </c>
      <c r="D2121" s="39">
        <f t="shared" si="67"/>
        <v>6669254.8554177526</v>
      </c>
    </row>
    <row r="2122" spans="2:4" x14ac:dyDescent="0.25">
      <c r="B2122" s="90">
        <v>2118</v>
      </c>
      <c r="C2122" s="39">
        <f t="shared" si="66"/>
        <v>7362663.1835024189</v>
      </c>
      <c r="D2122" s="39">
        <f t="shared" si="67"/>
        <v>6672405.188367879</v>
      </c>
    </row>
    <row r="2123" spans="2:4" x14ac:dyDescent="0.25">
      <c r="B2123" s="90">
        <v>2119</v>
      </c>
      <c r="C2123" s="39">
        <f t="shared" si="66"/>
        <v>7365310.522115971</v>
      </c>
      <c r="D2123" s="39">
        <f t="shared" si="67"/>
        <v>6675555.5213180054</v>
      </c>
    </row>
    <row r="2124" spans="2:4" x14ac:dyDescent="0.25">
      <c r="B2124" s="90">
        <v>2120</v>
      </c>
      <c r="C2124" s="39">
        <f t="shared" si="66"/>
        <v>7367957.860729523</v>
      </c>
      <c r="D2124" s="39">
        <f t="shared" si="67"/>
        <v>6678705.8542681327</v>
      </c>
    </row>
    <row r="2125" spans="2:4" x14ac:dyDescent="0.25">
      <c r="B2125" s="90">
        <v>2121</v>
      </c>
      <c r="C2125" s="39">
        <f t="shared" si="66"/>
        <v>7370605.1993430741</v>
      </c>
      <c r="D2125" s="39">
        <f t="shared" si="67"/>
        <v>6681856.1872182591</v>
      </c>
    </row>
    <row r="2126" spans="2:4" x14ac:dyDescent="0.25">
      <c r="B2126" s="90">
        <v>2122</v>
      </c>
      <c r="C2126" s="39">
        <f t="shared" si="66"/>
        <v>7373252.5379566262</v>
      </c>
      <c r="D2126" s="39">
        <f t="shared" si="67"/>
        <v>6685006.5201683855</v>
      </c>
    </row>
    <row r="2127" spans="2:4" x14ac:dyDescent="0.25">
      <c r="B2127" s="90">
        <v>2123</v>
      </c>
      <c r="C2127" s="39">
        <f t="shared" si="66"/>
        <v>7375899.8765701773</v>
      </c>
      <c r="D2127" s="39">
        <f t="shared" si="67"/>
        <v>6688156.8531185118</v>
      </c>
    </row>
    <row r="2128" spans="2:4" x14ac:dyDescent="0.25">
      <c r="B2128" s="90">
        <v>2124</v>
      </c>
      <c r="C2128" s="39">
        <f t="shared" si="66"/>
        <v>7378547.2151837293</v>
      </c>
      <c r="D2128" s="39">
        <f t="shared" si="67"/>
        <v>6691307.1860686382</v>
      </c>
    </row>
    <row r="2129" spans="2:4" x14ac:dyDescent="0.25">
      <c r="B2129" s="90">
        <v>2125</v>
      </c>
      <c r="C2129" s="39">
        <f t="shared" si="66"/>
        <v>7381194.5537972813</v>
      </c>
      <c r="D2129" s="39">
        <f t="shared" si="67"/>
        <v>6694457.5190187646</v>
      </c>
    </row>
    <row r="2130" spans="2:4" x14ac:dyDescent="0.25">
      <c r="B2130" s="90">
        <v>2126</v>
      </c>
      <c r="C2130" s="39">
        <f t="shared" si="66"/>
        <v>7383841.8924108325</v>
      </c>
      <c r="D2130" s="39">
        <f t="shared" si="67"/>
        <v>6697607.851968891</v>
      </c>
    </row>
    <row r="2131" spans="2:4" x14ac:dyDescent="0.25">
      <c r="B2131" s="90">
        <v>2127</v>
      </c>
      <c r="C2131" s="39">
        <f t="shared" si="66"/>
        <v>7386489.2310243845</v>
      </c>
      <c r="D2131" s="39">
        <f t="shared" si="67"/>
        <v>6700758.1849190174</v>
      </c>
    </row>
    <row r="2132" spans="2:4" x14ac:dyDescent="0.25">
      <c r="B2132" s="90">
        <v>2128</v>
      </c>
      <c r="C2132" s="39">
        <f t="shared" si="66"/>
        <v>7389136.5696379356</v>
      </c>
      <c r="D2132" s="39">
        <f t="shared" si="67"/>
        <v>6703908.5178691437</v>
      </c>
    </row>
    <row r="2133" spans="2:4" x14ac:dyDescent="0.25">
      <c r="B2133" s="90">
        <v>2129</v>
      </c>
      <c r="C2133" s="39">
        <f t="shared" si="66"/>
        <v>7391783.9082514876</v>
      </c>
      <c r="D2133" s="39">
        <f t="shared" si="67"/>
        <v>6707058.8508192711</v>
      </c>
    </row>
    <row r="2134" spans="2:4" x14ac:dyDescent="0.25">
      <c r="B2134" s="90">
        <v>2130</v>
      </c>
      <c r="C2134" s="39">
        <f t="shared" si="66"/>
        <v>7394431.2468650397</v>
      </c>
      <c r="D2134" s="39">
        <f t="shared" si="67"/>
        <v>6710209.1837693974</v>
      </c>
    </row>
    <row r="2135" spans="2:4" x14ac:dyDescent="0.25">
      <c r="B2135" s="90">
        <v>2131</v>
      </c>
      <c r="C2135" s="39">
        <f t="shared" si="66"/>
        <v>7397078.5854785908</v>
      </c>
      <c r="D2135" s="39">
        <f t="shared" si="67"/>
        <v>6713359.5167195238</v>
      </c>
    </row>
    <row r="2136" spans="2:4" x14ac:dyDescent="0.25">
      <c r="B2136" s="90">
        <v>2132</v>
      </c>
      <c r="C2136" s="39">
        <f t="shared" si="66"/>
        <v>7399725.9240921428</v>
      </c>
      <c r="D2136" s="39">
        <f t="shared" si="67"/>
        <v>6716509.8496696502</v>
      </c>
    </row>
    <row r="2137" spans="2:4" x14ac:dyDescent="0.25">
      <c r="B2137" s="90">
        <v>2133</v>
      </c>
      <c r="C2137" s="39">
        <f t="shared" si="66"/>
        <v>7402373.262705694</v>
      </c>
      <c r="D2137" s="39">
        <f t="shared" si="67"/>
        <v>6719660.1826197766</v>
      </c>
    </row>
    <row r="2138" spans="2:4" x14ac:dyDescent="0.25">
      <c r="B2138" s="90">
        <v>2134</v>
      </c>
      <c r="C2138" s="39">
        <f t="shared" si="66"/>
        <v>7405020.601319246</v>
      </c>
      <c r="D2138" s="39">
        <f t="shared" si="67"/>
        <v>6722810.515569903</v>
      </c>
    </row>
    <row r="2139" spans="2:4" x14ac:dyDescent="0.25">
      <c r="B2139" s="90">
        <v>2135</v>
      </c>
      <c r="C2139" s="39">
        <f t="shared" si="66"/>
        <v>7407667.939932798</v>
      </c>
      <c r="D2139" s="39">
        <f t="shared" si="67"/>
        <v>6725960.8485200293</v>
      </c>
    </row>
    <row r="2140" spans="2:4" x14ac:dyDescent="0.25">
      <c r="B2140" s="90">
        <v>2136</v>
      </c>
      <c r="C2140" s="39">
        <f t="shared" si="66"/>
        <v>7410315.2785463491</v>
      </c>
      <c r="D2140" s="39">
        <f t="shared" si="67"/>
        <v>6729111.1814701557</v>
      </c>
    </row>
    <row r="2141" spans="2:4" x14ac:dyDescent="0.25">
      <c r="B2141" s="90">
        <v>2137</v>
      </c>
      <c r="C2141" s="39">
        <f t="shared" si="66"/>
        <v>7412962.6171599012</v>
      </c>
      <c r="D2141" s="39">
        <f t="shared" si="67"/>
        <v>6732261.5144202821</v>
      </c>
    </row>
    <row r="2142" spans="2:4" x14ac:dyDescent="0.25">
      <c r="B2142" s="90">
        <v>2138</v>
      </c>
      <c r="C2142" s="39">
        <f t="shared" si="66"/>
        <v>7415609.9557734523</v>
      </c>
      <c r="D2142" s="39">
        <f t="shared" si="67"/>
        <v>6735411.8473704085</v>
      </c>
    </row>
    <row r="2143" spans="2:4" x14ac:dyDescent="0.25">
      <c r="B2143" s="90">
        <v>2139</v>
      </c>
      <c r="C2143" s="39">
        <f t="shared" si="66"/>
        <v>7418257.2943870043</v>
      </c>
      <c r="D2143" s="39">
        <f t="shared" si="67"/>
        <v>6738562.1803205358</v>
      </c>
    </row>
    <row r="2144" spans="2:4" x14ac:dyDescent="0.25">
      <c r="B2144" s="90">
        <v>2140</v>
      </c>
      <c r="C2144" s="39">
        <f t="shared" si="66"/>
        <v>7420904.6330005554</v>
      </c>
      <c r="D2144" s="39">
        <f t="shared" si="67"/>
        <v>6741712.5132706622</v>
      </c>
    </row>
    <row r="2145" spans="2:4" x14ac:dyDescent="0.25">
      <c r="B2145" s="90">
        <v>2141</v>
      </c>
      <c r="C2145" s="39">
        <f t="shared" si="66"/>
        <v>7423551.9716141075</v>
      </c>
      <c r="D2145" s="39">
        <f t="shared" si="67"/>
        <v>6744862.8462207885</v>
      </c>
    </row>
    <row r="2146" spans="2:4" x14ac:dyDescent="0.25">
      <c r="B2146" s="90">
        <v>2142</v>
      </c>
      <c r="C2146" s="39">
        <f t="shared" si="66"/>
        <v>7426199.3102276595</v>
      </c>
      <c r="D2146" s="39">
        <f t="shared" si="67"/>
        <v>6748013.1791709149</v>
      </c>
    </row>
    <row r="2147" spans="2:4" x14ac:dyDescent="0.25">
      <c r="B2147" s="90">
        <v>2143</v>
      </c>
      <c r="C2147" s="39">
        <f t="shared" si="66"/>
        <v>7428846.6488412106</v>
      </c>
      <c r="D2147" s="39">
        <f t="shared" si="67"/>
        <v>6751163.5121210413</v>
      </c>
    </row>
    <row r="2148" spans="2:4" x14ac:dyDescent="0.25">
      <c r="B2148" s="90">
        <v>2144</v>
      </c>
      <c r="C2148" s="39">
        <f t="shared" si="66"/>
        <v>7431493.9874547627</v>
      </c>
      <c r="D2148" s="39">
        <f t="shared" si="67"/>
        <v>6754313.8450711677</v>
      </c>
    </row>
    <row r="2149" spans="2:4" x14ac:dyDescent="0.25">
      <c r="B2149" s="90">
        <v>2145</v>
      </c>
      <c r="C2149" s="39">
        <f t="shared" si="66"/>
        <v>7434141.3260683138</v>
      </c>
      <c r="D2149" s="39">
        <f t="shared" si="67"/>
        <v>6757464.1780212941</v>
      </c>
    </row>
    <row r="2150" spans="2:4" x14ac:dyDescent="0.25">
      <c r="B2150" s="90">
        <v>2146</v>
      </c>
      <c r="C2150" s="39">
        <f t="shared" si="66"/>
        <v>7436788.6646818658</v>
      </c>
      <c r="D2150" s="39">
        <f t="shared" si="67"/>
        <v>6760614.5109714204</v>
      </c>
    </row>
    <row r="2151" spans="2:4" x14ac:dyDescent="0.25">
      <c r="B2151" s="90">
        <v>2147</v>
      </c>
      <c r="C2151" s="39">
        <f t="shared" si="66"/>
        <v>7439436.0032954179</v>
      </c>
      <c r="D2151" s="39">
        <f t="shared" si="67"/>
        <v>6763764.8439215468</v>
      </c>
    </row>
    <row r="2152" spans="2:4" x14ac:dyDescent="0.25">
      <c r="B2152" s="90">
        <v>2148</v>
      </c>
      <c r="C2152" s="39">
        <f t="shared" si="66"/>
        <v>7442083.341908969</v>
      </c>
      <c r="D2152" s="39">
        <f t="shared" si="67"/>
        <v>6766915.1768716732</v>
      </c>
    </row>
    <row r="2153" spans="2:4" x14ac:dyDescent="0.25">
      <c r="B2153" s="90">
        <v>2149</v>
      </c>
      <c r="C2153" s="39">
        <f t="shared" si="66"/>
        <v>7444730.680522521</v>
      </c>
      <c r="D2153" s="39">
        <f t="shared" si="67"/>
        <v>6770065.5098218005</v>
      </c>
    </row>
    <row r="2154" spans="2:4" x14ac:dyDescent="0.25">
      <c r="B2154" s="90">
        <v>2150</v>
      </c>
      <c r="C2154" s="39">
        <f t="shared" si="66"/>
        <v>7447378.0191360721</v>
      </c>
      <c r="D2154" s="39">
        <f t="shared" si="67"/>
        <v>6773215.8427719269</v>
      </c>
    </row>
    <row r="2155" spans="2:4" x14ac:dyDescent="0.25">
      <c r="B2155" s="90">
        <v>2151</v>
      </c>
      <c r="C2155" s="39">
        <f t="shared" si="66"/>
        <v>7450025.3577496242</v>
      </c>
      <c r="D2155" s="39">
        <f t="shared" si="67"/>
        <v>6776366.1757220533</v>
      </c>
    </row>
    <row r="2156" spans="2:4" x14ac:dyDescent="0.25">
      <c r="B2156" s="90">
        <v>2152</v>
      </c>
      <c r="C2156" s="39">
        <f t="shared" si="66"/>
        <v>7452672.6963631762</v>
      </c>
      <c r="D2156" s="39">
        <f t="shared" si="67"/>
        <v>6779516.5086721797</v>
      </c>
    </row>
    <row r="2157" spans="2:4" x14ac:dyDescent="0.25">
      <c r="B2157" s="90">
        <v>2153</v>
      </c>
      <c r="C2157" s="39">
        <f t="shared" si="66"/>
        <v>7455320.0349767273</v>
      </c>
      <c r="D2157" s="39">
        <f t="shared" si="67"/>
        <v>6782666.841622306</v>
      </c>
    </row>
    <row r="2158" spans="2:4" x14ac:dyDescent="0.25">
      <c r="B2158" s="90">
        <v>2154</v>
      </c>
      <c r="C2158" s="39">
        <f t="shared" si="66"/>
        <v>7457967.3735902794</v>
      </c>
      <c r="D2158" s="39">
        <f t="shared" si="67"/>
        <v>6785817.1745724324</v>
      </c>
    </row>
    <row r="2159" spans="2:4" x14ac:dyDescent="0.25">
      <c r="B2159" s="90">
        <v>2155</v>
      </c>
      <c r="C2159" s="39">
        <f t="shared" si="66"/>
        <v>7460614.7122038305</v>
      </c>
      <c r="D2159" s="39">
        <f t="shared" si="67"/>
        <v>6788967.5075225588</v>
      </c>
    </row>
    <row r="2160" spans="2:4" x14ac:dyDescent="0.25">
      <c r="B2160" s="90">
        <v>2156</v>
      </c>
      <c r="C2160" s="39">
        <f t="shared" si="66"/>
        <v>7463262.0508173825</v>
      </c>
      <c r="D2160" s="39">
        <f t="shared" si="67"/>
        <v>6792117.8404726852</v>
      </c>
    </row>
    <row r="2161" spans="2:4" x14ac:dyDescent="0.25">
      <c r="B2161" s="90">
        <v>2157</v>
      </c>
      <c r="C2161" s="39">
        <f t="shared" ref="C2161:C2224" si="68">($C$2*B2161)+$C$1</f>
        <v>7465909.3894309346</v>
      </c>
      <c r="D2161" s="39">
        <f t="shared" ref="D2161:D2224" si="69">$D$2*B2161</f>
        <v>6795268.1734228116</v>
      </c>
    </row>
    <row r="2162" spans="2:4" x14ac:dyDescent="0.25">
      <c r="B2162" s="90">
        <v>2158</v>
      </c>
      <c r="C2162" s="39">
        <f t="shared" si="68"/>
        <v>7468556.7280444857</v>
      </c>
      <c r="D2162" s="39">
        <f t="shared" si="69"/>
        <v>6798418.5063729389</v>
      </c>
    </row>
    <row r="2163" spans="2:4" x14ac:dyDescent="0.25">
      <c r="B2163" s="90">
        <v>2159</v>
      </c>
      <c r="C2163" s="39">
        <f t="shared" si="68"/>
        <v>7471204.0666580377</v>
      </c>
      <c r="D2163" s="39">
        <f t="shared" si="69"/>
        <v>6801568.8393230652</v>
      </c>
    </row>
    <row r="2164" spans="2:4" x14ac:dyDescent="0.25">
      <c r="B2164" s="90">
        <v>2160</v>
      </c>
      <c r="C2164" s="39">
        <f t="shared" si="68"/>
        <v>7473851.4052715888</v>
      </c>
      <c r="D2164" s="39">
        <f t="shared" si="69"/>
        <v>6804719.1722731916</v>
      </c>
    </row>
    <row r="2165" spans="2:4" x14ac:dyDescent="0.25">
      <c r="B2165" s="90">
        <v>2161</v>
      </c>
      <c r="C2165" s="39">
        <f t="shared" si="68"/>
        <v>7476498.7438851409</v>
      </c>
      <c r="D2165" s="39">
        <f t="shared" si="69"/>
        <v>6807869.505223318</v>
      </c>
    </row>
    <row r="2166" spans="2:4" x14ac:dyDescent="0.25">
      <c r="B2166" s="90">
        <v>2162</v>
      </c>
      <c r="C2166" s="39">
        <f t="shared" si="68"/>
        <v>7479146.0824986929</v>
      </c>
      <c r="D2166" s="39">
        <f t="shared" si="69"/>
        <v>6811019.8381734444</v>
      </c>
    </row>
    <row r="2167" spans="2:4" x14ac:dyDescent="0.25">
      <c r="B2167" s="90">
        <v>2163</v>
      </c>
      <c r="C2167" s="39">
        <f t="shared" si="68"/>
        <v>7481793.421112244</v>
      </c>
      <c r="D2167" s="39">
        <f t="shared" si="69"/>
        <v>6814170.1711235708</v>
      </c>
    </row>
    <row r="2168" spans="2:4" x14ac:dyDescent="0.25">
      <c r="B2168" s="90">
        <v>2164</v>
      </c>
      <c r="C2168" s="39">
        <f t="shared" si="68"/>
        <v>7484440.7597257961</v>
      </c>
      <c r="D2168" s="39">
        <f t="shared" si="69"/>
        <v>6817320.5040736971</v>
      </c>
    </row>
    <row r="2169" spans="2:4" x14ac:dyDescent="0.25">
      <c r="B2169" s="90">
        <v>2165</v>
      </c>
      <c r="C2169" s="39">
        <f t="shared" si="68"/>
        <v>7487088.0983393472</v>
      </c>
      <c r="D2169" s="39">
        <f t="shared" si="69"/>
        <v>6820470.8370238235</v>
      </c>
    </row>
    <row r="2170" spans="2:4" x14ac:dyDescent="0.25">
      <c r="B2170" s="90">
        <v>2166</v>
      </c>
      <c r="C2170" s="39">
        <f t="shared" si="68"/>
        <v>7489735.4369528992</v>
      </c>
      <c r="D2170" s="39">
        <f t="shared" si="69"/>
        <v>6823621.1699739499</v>
      </c>
    </row>
    <row r="2171" spans="2:4" x14ac:dyDescent="0.25">
      <c r="B2171" s="90">
        <v>2167</v>
      </c>
      <c r="C2171" s="39">
        <f t="shared" si="68"/>
        <v>7492382.7755664503</v>
      </c>
      <c r="D2171" s="39">
        <f t="shared" si="69"/>
        <v>6826771.5029240763</v>
      </c>
    </row>
    <row r="2172" spans="2:4" x14ac:dyDescent="0.25">
      <c r="B2172" s="90">
        <v>2168</v>
      </c>
      <c r="C2172" s="39">
        <f t="shared" si="68"/>
        <v>7495030.1141800024</v>
      </c>
      <c r="D2172" s="39">
        <f t="shared" si="69"/>
        <v>6829921.8358742036</v>
      </c>
    </row>
    <row r="2173" spans="2:4" x14ac:dyDescent="0.25">
      <c r="B2173" s="90">
        <v>2169</v>
      </c>
      <c r="C2173" s="39">
        <f t="shared" si="68"/>
        <v>7497677.4527935544</v>
      </c>
      <c r="D2173" s="39">
        <f t="shared" si="69"/>
        <v>6833072.16882433</v>
      </c>
    </row>
    <row r="2174" spans="2:4" x14ac:dyDescent="0.25">
      <c r="B2174" s="90">
        <v>2170</v>
      </c>
      <c r="C2174" s="39">
        <f t="shared" si="68"/>
        <v>7500324.7914071055</v>
      </c>
      <c r="D2174" s="39">
        <f t="shared" si="69"/>
        <v>6836222.5017744564</v>
      </c>
    </row>
    <row r="2175" spans="2:4" x14ac:dyDescent="0.25">
      <c r="B2175" s="90">
        <v>2171</v>
      </c>
      <c r="C2175" s="39">
        <f t="shared" si="68"/>
        <v>7502972.1300206576</v>
      </c>
      <c r="D2175" s="39">
        <f t="shared" si="69"/>
        <v>6839372.8347245827</v>
      </c>
    </row>
    <row r="2176" spans="2:4" x14ac:dyDescent="0.25">
      <c r="B2176" s="90">
        <v>2172</v>
      </c>
      <c r="C2176" s="39">
        <f t="shared" si="68"/>
        <v>7505619.4686342087</v>
      </c>
      <c r="D2176" s="39">
        <f t="shared" si="69"/>
        <v>6842523.1676747091</v>
      </c>
    </row>
    <row r="2177" spans="2:4" x14ac:dyDescent="0.25">
      <c r="B2177" s="90">
        <v>2173</v>
      </c>
      <c r="C2177" s="39">
        <f t="shared" si="68"/>
        <v>7508266.8072477607</v>
      </c>
      <c r="D2177" s="39">
        <f t="shared" si="69"/>
        <v>6845673.5006248355</v>
      </c>
    </row>
    <row r="2178" spans="2:4" x14ac:dyDescent="0.25">
      <c r="B2178" s="90">
        <v>2174</v>
      </c>
      <c r="C2178" s="39">
        <f t="shared" si="68"/>
        <v>7510914.1458613127</v>
      </c>
      <c r="D2178" s="39">
        <f t="shared" si="69"/>
        <v>6848823.8335749619</v>
      </c>
    </row>
    <row r="2179" spans="2:4" x14ac:dyDescent="0.25">
      <c r="B2179" s="90">
        <v>2175</v>
      </c>
      <c r="C2179" s="39">
        <f t="shared" si="68"/>
        <v>7513561.4844748639</v>
      </c>
      <c r="D2179" s="39">
        <f t="shared" si="69"/>
        <v>6851974.1665250883</v>
      </c>
    </row>
    <row r="2180" spans="2:4" x14ac:dyDescent="0.25">
      <c r="B2180" s="90">
        <v>2176</v>
      </c>
      <c r="C2180" s="39">
        <f t="shared" si="68"/>
        <v>7516208.8230884159</v>
      </c>
      <c r="D2180" s="39">
        <f t="shared" si="69"/>
        <v>6855124.4994752146</v>
      </c>
    </row>
    <row r="2181" spans="2:4" x14ac:dyDescent="0.25">
      <c r="B2181" s="90">
        <v>2177</v>
      </c>
      <c r="C2181" s="39">
        <f t="shared" si="68"/>
        <v>7518856.161701967</v>
      </c>
      <c r="D2181" s="39">
        <f t="shared" si="69"/>
        <v>6858274.8324253419</v>
      </c>
    </row>
    <row r="2182" spans="2:4" x14ac:dyDescent="0.25">
      <c r="B2182" s="90">
        <v>2178</v>
      </c>
      <c r="C2182" s="39">
        <f t="shared" si="68"/>
        <v>7521503.500315519</v>
      </c>
      <c r="D2182" s="39">
        <f t="shared" si="69"/>
        <v>6861425.1653754683</v>
      </c>
    </row>
    <row r="2183" spans="2:4" x14ac:dyDescent="0.25">
      <c r="B2183" s="90">
        <v>2179</v>
      </c>
      <c r="C2183" s="39">
        <f t="shared" si="68"/>
        <v>7524150.8389290711</v>
      </c>
      <c r="D2183" s="39">
        <f t="shared" si="69"/>
        <v>6864575.4983255947</v>
      </c>
    </row>
    <row r="2184" spans="2:4" x14ac:dyDescent="0.25">
      <c r="B2184" s="90">
        <v>2180</v>
      </c>
      <c r="C2184" s="39">
        <f t="shared" si="68"/>
        <v>7526798.1775426222</v>
      </c>
      <c r="D2184" s="39">
        <f t="shared" si="69"/>
        <v>6867725.8312757211</v>
      </c>
    </row>
    <row r="2185" spans="2:4" x14ac:dyDescent="0.25">
      <c r="B2185" s="90">
        <v>2181</v>
      </c>
      <c r="C2185" s="39">
        <f t="shared" si="68"/>
        <v>7529445.5161561742</v>
      </c>
      <c r="D2185" s="39">
        <f t="shared" si="69"/>
        <v>6870876.1642258475</v>
      </c>
    </row>
    <row r="2186" spans="2:4" x14ac:dyDescent="0.25">
      <c r="B2186" s="90">
        <v>2182</v>
      </c>
      <c r="C2186" s="39">
        <f t="shared" si="68"/>
        <v>7532092.8547697254</v>
      </c>
      <c r="D2186" s="39">
        <f t="shared" si="69"/>
        <v>6874026.4971759738</v>
      </c>
    </row>
    <row r="2187" spans="2:4" x14ac:dyDescent="0.25">
      <c r="B2187" s="90">
        <v>2183</v>
      </c>
      <c r="C2187" s="39">
        <f t="shared" si="68"/>
        <v>7534740.1933832774</v>
      </c>
      <c r="D2187" s="39">
        <f t="shared" si="69"/>
        <v>6877176.8301261002</v>
      </c>
    </row>
    <row r="2188" spans="2:4" x14ac:dyDescent="0.25">
      <c r="B2188" s="90">
        <v>2184</v>
      </c>
      <c r="C2188" s="39">
        <f t="shared" si="68"/>
        <v>7537387.5319968294</v>
      </c>
      <c r="D2188" s="39">
        <f t="shared" si="69"/>
        <v>6880327.1630762266</v>
      </c>
    </row>
    <row r="2189" spans="2:4" x14ac:dyDescent="0.25">
      <c r="B2189" s="90">
        <v>2185</v>
      </c>
      <c r="C2189" s="39">
        <f t="shared" si="68"/>
        <v>7540034.8706103805</v>
      </c>
      <c r="D2189" s="39">
        <f t="shared" si="69"/>
        <v>6883477.496026353</v>
      </c>
    </row>
    <row r="2190" spans="2:4" x14ac:dyDescent="0.25">
      <c r="B2190" s="90">
        <v>2186</v>
      </c>
      <c r="C2190" s="39">
        <f t="shared" si="68"/>
        <v>7542682.2092239326</v>
      </c>
      <c r="D2190" s="39">
        <f t="shared" si="69"/>
        <v>6886627.8289764794</v>
      </c>
    </row>
    <row r="2191" spans="2:4" x14ac:dyDescent="0.25">
      <c r="B2191" s="90">
        <v>2187</v>
      </c>
      <c r="C2191" s="39">
        <f t="shared" si="68"/>
        <v>7545329.5478374837</v>
      </c>
      <c r="D2191" s="39">
        <f t="shared" si="69"/>
        <v>6889778.1619266067</v>
      </c>
    </row>
    <row r="2192" spans="2:4" x14ac:dyDescent="0.25">
      <c r="B2192" s="90">
        <v>2188</v>
      </c>
      <c r="C2192" s="39">
        <f t="shared" si="68"/>
        <v>7547976.8864510357</v>
      </c>
      <c r="D2192" s="39">
        <f t="shared" si="69"/>
        <v>6892928.494876733</v>
      </c>
    </row>
    <row r="2193" spans="2:4" x14ac:dyDescent="0.25">
      <c r="B2193" s="90">
        <v>2189</v>
      </c>
      <c r="C2193" s="39">
        <f t="shared" si="68"/>
        <v>7550624.2250645878</v>
      </c>
      <c r="D2193" s="39">
        <f t="shared" si="69"/>
        <v>6896078.8278268594</v>
      </c>
    </row>
    <row r="2194" spans="2:4" x14ac:dyDescent="0.25">
      <c r="B2194" s="90">
        <v>2190</v>
      </c>
      <c r="C2194" s="39">
        <f t="shared" si="68"/>
        <v>7553271.5636781389</v>
      </c>
      <c r="D2194" s="39">
        <f t="shared" si="69"/>
        <v>6899229.1607769858</v>
      </c>
    </row>
    <row r="2195" spans="2:4" x14ac:dyDescent="0.25">
      <c r="B2195" s="90">
        <v>2191</v>
      </c>
      <c r="C2195" s="39">
        <f t="shared" si="68"/>
        <v>7555918.9022916909</v>
      </c>
      <c r="D2195" s="39">
        <f t="shared" si="69"/>
        <v>6902379.4937271122</v>
      </c>
    </row>
    <row r="2196" spans="2:4" x14ac:dyDescent="0.25">
      <c r="B2196" s="90">
        <v>2192</v>
      </c>
      <c r="C2196" s="39">
        <f t="shared" si="68"/>
        <v>7558566.240905242</v>
      </c>
      <c r="D2196" s="39">
        <f t="shared" si="69"/>
        <v>6905529.8266772386</v>
      </c>
    </row>
    <row r="2197" spans="2:4" x14ac:dyDescent="0.25">
      <c r="B2197" s="90">
        <v>2193</v>
      </c>
      <c r="C2197" s="39">
        <f t="shared" si="68"/>
        <v>7561213.5795187941</v>
      </c>
      <c r="D2197" s="39">
        <f t="shared" si="69"/>
        <v>6908680.1596273649</v>
      </c>
    </row>
    <row r="2198" spans="2:4" x14ac:dyDescent="0.25">
      <c r="B2198" s="90">
        <v>2194</v>
      </c>
      <c r="C2198" s="39">
        <f t="shared" si="68"/>
        <v>7563860.9181323452</v>
      </c>
      <c r="D2198" s="39">
        <f t="shared" si="69"/>
        <v>6911830.4925774913</v>
      </c>
    </row>
    <row r="2199" spans="2:4" x14ac:dyDescent="0.25">
      <c r="B2199" s="90">
        <v>2195</v>
      </c>
      <c r="C2199" s="39">
        <f t="shared" si="68"/>
        <v>7566508.2567458972</v>
      </c>
      <c r="D2199" s="39">
        <f t="shared" si="69"/>
        <v>6914980.8255276177</v>
      </c>
    </row>
    <row r="2200" spans="2:4" x14ac:dyDescent="0.25">
      <c r="B2200" s="90">
        <v>2196</v>
      </c>
      <c r="C2200" s="39">
        <f t="shared" si="68"/>
        <v>7569155.5953594493</v>
      </c>
      <c r="D2200" s="39">
        <f t="shared" si="69"/>
        <v>6918131.158477745</v>
      </c>
    </row>
    <row r="2201" spans="2:4" x14ac:dyDescent="0.25">
      <c r="B2201" s="90">
        <v>2197</v>
      </c>
      <c r="C2201" s="39">
        <f t="shared" si="68"/>
        <v>7571802.9339730004</v>
      </c>
      <c r="D2201" s="39">
        <f t="shared" si="69"/>
        <v>6921281.4914278714</v>
      </c>
    </row>
    <row r="2202" spans="2:4" x14ac:dyDescent="0.25">
      <c r="B2202" s="90">
        <v>2198</v>
      </c>
      <c r="C2202" s="39">
        <f t="shared" si="68"/>
        <v>7574450.2725865524</v>
      </c>
      <c r="D2202" s="39">
        <f t="shared" si="69"/>
        <v>6924431.8243779978</v>
      </c>
    </row>
    <row r="2203" spans="2:4" x14ac:dyDescent="0.25">
      <c r="B2203" s="90">
        <v>2199</v>
      </c>
      <c r="C2203" s="39">
        <f t="shared" si="68"/>
        <v>7577097.6112001035</v>
      </c>
      <c r="D2203" s="39">
        <f t="shared" si="69"/>
        <v>6927582.1573281242</v>
      </c>
    </row>
    <row r="2204" spans="2:4" x14ac:dyDescent="0.25">
      <c r="B2204" s="90">
        <v>2200</v>
      </c>
      <c r="C2204" s="39">
        <f t="shared" si="68"/>
        <v>7579744.9498136556</v>
      </c>
      <c r="D2204" s="39">
        <f t="shared" si="69"/>
        <v>6930732.4902782505</v>
      </c>
    </row>
    <row r="2205" spans="2:4" x14ac:dyDescent="0.25">
      <c r="B2205" s="90">
        <v>2201</v>
      </c>
      <c r="C2205" s="39">
        <f t="shared" si="68"/>
        <v>7582392.2884272076</v>
      </c>
      <c r="D2205" s="39">
        <f t="shared" si="69"/>
        <v>6933882.8232283769</v>
      </c>
    </row>
    <row r="2206" spans="2:4" x14ac:dyDescent="0.25">
      <c r="B2206" s="90">
        <v>2202</v>
      </c>
      <c r="C2206" s="39">
        <f t="shared" si="68"/>
        <v>7585039.6270407587</v>
      </c>
      <c r="D2206" s="39">
        <f t="shared" si="69"/>
        <v>6937033.1561785033</v>
      </c>
    </row>
    <row r="2207" spans="2:4" x14ac:dyDescent="0.25">
      <c r="B2207" s="90">
        <v>2203</v>
      </c>
      <c r="C2207" s="39">
        <f t="shared" si="68"/>
        <v>7587686.9656543108</v>
      </c>
      <c r="D2207" s="39">
        <f t="shared" si="69"/>
        <v>6940183.4891286297</v>
      </c>
    </row>
    <row r="2208" spans="2:4" x14ac:dyDescent="0.25">
      <c r="B2208" s="90">
        <v>2204</v>
      </c>
      <c r="C2208" s="39">
        <f t="shared" si="68"/>
        <v>7590334.3042678619</v>
      </c>
      <c r="D2208" s="39">
        <f t="shared" si="69"/>
        <v>6943333.8220787561</v>
      </c>
    </row>
    <row r="2209" spans="2:4" x14ac:dyDescent="0.25">
      <c r="B2209" s="90">
        <v>2205</v>
      </c>
      <c r="C2209" s="39">
        <f t="shared" si="68"/>
        <v>7592981.6428814139</v>
      </c>
      <c r="D2209" s="39">
        <f t="shared" si="69"/>
        <v>6946484.1550288824</v>
      </c>
    </row>
    <row r="2210" spans="2:4" x14ac:dyDescent="0.25">
      <c r="B2210" s="90">
        <v>2206</v>
      </c>
      <c r="C2210" s="39">
        <f t="shared" si="68"/>
        <v>7595628.981494966</v>
      </c>
      <c r="D2210" s="39">
        <f t="shared" si="69"/>
        <v>6949634.4879790097</v>
      </c>
    </row>
    <row r="2211" spans="2:4" x14ac:dyDescent="0.25">
      <c r="B2211" s="90">
        <v>2207</v>
      </c>
      <c r="C2211" s="39">
        <f t="shared" si="68"/>
        <v>7598276.3201085171</v>
      </c>
      <c r="D2211" s="39">
        <f t="shared" si="69"/>
        <v>6952784.8209291361</v>
      </c>
    </row>
    <row r="2212" spans="2:4" x14ac:dyDescent="0.25">
      <c r="B2212" s="90">
        <v>2208</v>
      </c>
      <c r="C2212" s="39">
        <f t="shared" si="68"/>
        <v>7600923.6587220691</v>
      </c>
      <c r="D2212" s="39">
        <f t="shared" si="69"/>
        <v>6955935.1538792625</v>
      </c>
    </row>
    <row r="2213" spans="2:4" x14ac:dyDescent="0.25">
      <c r="B2213" s="90">
        <v>2209</v>
      </c>
      <c r="C2213" s="39">
        <f t="shared" si="68"/>
        <v>7603570.9973356202</v>
      </c>
      <c r="D2213" s="39">
        <f t="shared" si="69"/>
        <v>6959085.4868293889</v>
      </c>
    </row>
    <row r="2214" spans="2:4" x14ac:dyDescent="0.25">
      <c r="B2214" s="90">
        <v>2210</v>
      </c>
      <c r="C2214" s="39">
        <f t="shared" si="68"/>
        <v>7606218.3359491723</v>
      </c>
      <c r="D2214" s="39">
        <f t="shared" si="69"/>
        <v>6962235.8197795153</v>
      </c>
    </row>
    <row r="2215" spans="2:4" x14ac:dyDescent="0.25">
      <c r="B2215" s="90">
        <v>2211</v>
      </c>
      <c r="C2215" s="39">
        <f t="shared" si="68"/>
        <v>7608865.6745627243</v>
      </c>
      <c r="D2215" s="39">
        <f t="shared" si="69"/>
        <v>6965386.1527296416</v>
      </c>
    </row>
    <row r="2216" spans="2:4" x14ac:dyDescent="0.25">
      <c r="B2216" s="90">
        <v>2212</v>
      </c>
      <c r="C2216" s="39">
        <f t="shared" si="68"/>
        <v>7611513.0131762754</v>
      </c>
      <c r="D2216" s="39">
        <f t="shared" si="69"/>
        <v>6968536.485679768</v>
      </c>
    </row>
    <row r="2217" spans="2:4" x14ac:dyDescent="0.25">
      <c r="B2217" s="90">
        <v>2213</v>
      </c>
      <c r="C2217" s="39">
        <f t="shared" si="68"/>
        <v>7614160.3517898275</v>
      </c>
      <c r="D2217" s="39">
        <f t="shared" si="69"/>
        <v>6971686.8186298944</v>
      </c>
    </row>
    <row r="2218" spans="2:4" x14ac:dyDescent="0.25">
      <c r="B2218" s="90">
        <v>2214</v>
      </c>
      <c r="C2218" s="39">
        <f t="shared" si="68"/>
        <v>7616807.6904033786</v>
      </c>
      <c r="D2218" s="39">
        <f t="shared" si="69"/>
        <v>6974837.1515800208</v>
      </c>
    </row>
    <row r="2219" spans="2:4" x14ac:dyDescent="0.25">
      <c r="B2219" s="90">
        <v>2215</v>
      </c>
      <c r="C2219" s="39">
        <f t="shared" si="68"/>
        <v>7619455.0290169306</v>
      </c>
      <c r="D2219" s="39">
        <f t="shared" si="69"/>
        <v>6977987.4845301481</v>
      </c>
    </row>
    <row r="2220" spans="2:4" x14ac:dyDescent="0.25">
      <c r="B2220" s="90">
        <v>2216</v>
      </c>
      <c r="C2220" s="39">
        <f t="shared" si="68"/>
        <v>7622102.3676304827</v>
      </c>
      <c r="D2220" s="39">
        <f t="shared" si="69"/>
        <v>6981137.8174802745</v>
      </c>
    </row>
    <row r="2221" spans="2:4" x14ac:dyDescent="0.25">
      <c r="B2221" s="90">
        <v>2217</v>
      </c>
      <c r="C2221" s="39">
        <f t="shared" si="68"/>
        <v>7624749.7062440338</v>
      </c>
      <c r="D2221" s="39">
        <f t="shared" si="69"/>
        <v>6984288.1504304009</v>
      </c>
    </row>
    <row r="2222" spans="2:4" x14ac:dyDescent="0.25">
      <c r="B2222" s="90">
        <v>2218</v>
      </c>
      <c r="C2222" s="39">
        <f t="shared" si="68"/>
        <v>7627397.0448575858</v>
      </c>
      <c r="D2222" s="39">
        <f t="shared" si="69"/>
        <v>6987438.4833805272</v>
      </c>
    </row>
    <row r="2223" spans="2:4" x14ac:dyDescent="0.25">
      <c r="B2223" s="90">
        <v>2219</v>
      </c>
      <c r="C2223" s="39">
        <f t="shared" si="68"/>
        <v>7630044.3834711369</v>
      </c>
      <c r="D2223" s="39">
        <f t="shared" si="69"/>
        <v>6990588.8163306536</v>
      </c>
    </row>
    <row r="2224" spans="2:4" x14ac:dyDescent="0.25">
      <c r="B2224" s="90">
        <v>2220</v>
      </c>
      <c r="C2224" s="39">
        <f t="shared" si="68"/>
        <v>7632691.722084689</v>
      </c>
      <c r="D2224" s="39">
        <f t="shared" si="69"/>
        <v>6993739.14928078</v>
      </c>
    </row>
    <row r="2225" spans="2:4" x14ac:dyDescent="0.25">
      <c r="B2225" s="90">
        <v>2221</v>
      </c>
      <c r="C2225" s="39">
        <f t="shared" ref="C2225:C2288" si="70">($C$2*B2225)+$C$1</f>
        <v>7635339.0606982401</v>
      </c>
      <c r="D2225" s="39">
        <f t="shared" ref="D2225:D2288" si="71">$D$2*B2225</f>
        <v>6996889.4822309064</v>
      </c>
    </row>
    <row r="2226" spans="2:4" x14ac:dyDescent="0.25">
      <c r="B2226" s="90">
        <v>2222</v>
      </c>
      <c r="C2226" s="39">
        <f t="shared" si="70"/>
        <v>7637986.3993117921</v>
      </c>
      <c r="D2226" s="39">
        <f t="shared" si="71"/>
        <v>7000039.8151810328</v>
      </c>
    </row>
    <row r="2227" spans="2:4" x14ac:dyDescent="0.25">
      <c r="B2227" s="90">
        <v>2223</v>
      </c>
      <c r="C2227" s="39">
        <f t="shared" si="70"/>
        <v>7640633.7379253441</v>
      </c>
      <c r="D2227" s="39">
        <f t="shared" si="71"/>
        <v>7003190.1481311591</v>
      </c>
    </row>
    <row r="2228" spans="2:4" x14ac:dyDescent="0.25">
      <c r="B2228" s="90">
        <v>2224</v>
      </c>
      <c r="C2228" s="39">
        <f t="shared" si="70"/>
        <v>7643281.0765388953</v>
      </c>
      <c r="D2228" s="39">
        <f t="shared" si="71"/>
        <v>7006340.4810812855</v>
      </c>
    </row>
    <row r="2229" spans="2:4" x14ac:dyDescent="0.25">
      <c r="B2229" s="90">
        <v>2225</v>
      </c>
      <c r="C2229" s="39">
        <f t="shared" si="70"/>
        <v>7645928.4151524473</v>
      </c>
      <c r="D2229" s="39">
        <f t="shared" si="71"/>
        <v>7009490.8140314128</v>
      </c>
    </row>
    <row r="2230" spans="2:4" x14ac:dyDescent="0.25">
      <c r="B2230" s="90">
        <v>2226</v>
      </c>
      <c r="C2230" s="39">
        <f t="shared" si="70"/>
        <v>7648575.7537659984</v>
      </c>
      <c r="D2230" s="39">
        <f t="shared" si="71"/>
        <v>7012641.1469815392</v>
      </c>
    </row>
    <row r="2231" spans="2:4" x14ac:dyDescent="0.25">
      <c r="B2231" s="90">
        <v>2227</v>
      </c>
      <c r="C2231" s="39">
        <f t="shared" si="70"/>
        <v>7651223.0923795504</v>
      </c>
      <c r="D2231" s="39">
        <f t="shared" si="71"/>
        <v>7015791.4799316656</v>
      </c>
    </row>
    <row r="2232" spans="2:4" x14ac:dyDescent="0.25">
      <c r="B2232" s="90">
        <v>2228</v>
      </c>
      <c r="C2232" s="39">
        <f t="shared" si="70"/>
        <v>7653870.4309931025</v>
      </c>
      <c r="D2232" s="39">
        <f t="shared" si="71"/>
        <v>7018941.812881792</v>
      </c>
    </row>
    <row r="2233" spans="2:4" x14ac:dyDescent="0.25">
      <c r="B2233" s="90">
        <v>2229</v>
      </c>
      <c r="C2233" s="39">
        <f t="shared" si="70"/>
        <v>7656517.7696066536</v>
      </c>
      <c r="D2233" s="39">
        <f t="shared" si="71"/>
        <v>7022092.1458319183</v>
      </c>
    </row>
    <row r="2234" spans="2:4" x14ac:dyDescent="0.25">
      <c r="B2234" s="90">
        <v>2230</v>
      </c>
      <c r="C2234" s="39">
        <f t="shared" si="70"/>
        <v>7659165.1082202056</v>
      </c>
      <c r="D2234" s="39">
        <f t="shared" si="71"/>
        <v>7025242.4787820447</v>
      </c>
    </row>
    <row r="2235" spans="2:4" x14ac:dyDescent="0.25">
      <c r="B2235" s="90">
        <v>2231</v>
      </c>
      <c r="C2235" s="39">
        <f t="shared" si="70"/>
        <v>7661812.4468337568</v>
      </c>
      <c r="D2235" s="39">
        <f t="shared" si="71"/>
        <v>7028392.8117321711</v>
      </c>
    </row>
    <row r="2236" spans="2:4" x14ac:dyDescent="0.25">
      <c r="B2236" s="90">
        <v>2232</v>
      </c>
      <c r="C2236" s="39">
        <f t="shared" si="70"/>
        <v>7664459.7854473088</v>
      </c>
      <c r="D2236" s="39">
        <f t="shared" si="71"/>
        <v>7031543.1446822975</v>
      </c>
    </row>
    <row r="2237" spans="2:4" x14ac:dyDescent="0.25">
      <c r="B2237" s="90">
        <v>2233</v>
      </c>
      <c r="C2237" s="39">
        <f t="shared" si="70"/>
        <v>7667107.1240608608</v>
      </c>
      <c r="D2237" s="39">
        <f t="shared" si="71"/>
        <v>7034693.4776324239</v>
      </c>
    </row>
    <row r="2238" spans="2:4" x14ac:dyDescent="0.25">
      <c r="B2238" s="90">
        <v>2234</v>
      </c>
      <c r="C2238" s="39">
        <f t="shared" si="70"/>
        <v>7669754.4626744119</v>
      </c>
      <c r="D2238" s="39">
        <f t="shared" si="71"/>
        <v>7037843.8105825512</v>
      </c>
    </row>
    <row r="2239" spans="2:4" x14ac:dyDescent="0.25">
      <c r="B2239" s="90">
        <v>2235</v>
      </c>
      <c r="C2239" s="39">
        <f t="shared" si="70"/>
        <v>7672401.801287964</v>
      </c>
      <c r="D2239" s="39">
        <f t="shared" si="71"/>
        <v>7040994.1435326776</v>
      </c>
    </row>
    <row r="2240" spans="2:4" x14ac:dyDescent="0.25">
      <c r="B2240" s="90">
        <v>2236</v>
      </c>
      <c r="C2240" s="39">
        <f t="shared" si="70"/>
        <v>7675049.1399015151</v>
      </c>
      <c r="D2240" s="39">
        <f t="shared" si="71"/>
        <v>7044144.4764828039</v>
      </c>
    </row>
    <row r="2241" spans="2:4" x14ac:dyDescent="0.25">
      <c r="B2241" s="90">
        <v>2237</v>
      </c>
      <c r="C2241" s="39">
        <f t="shared" si="70"/>
        <v>7677696.4785150671</v>
      </c>
      <c r="D2241" s="39">
        <f t="shared" si="71"/>
        <v>7047294.8094329303</v>
      </c>
    </row>
    <row r="2242" spans="2:4" x14ac:dyDescent="0.25">
      <c r="B2242" s="90">
        <v>2238</v>
      </c>
      <c r="C2242" s="39">
        <f t="shared" si="70"/>
        <v>7680343.8171286192</v>
      </c>
      <c r="D2242" s="39">
        <f t="shared" si="71"/>
        <v>7050445.1423830567</v>
      </c>
    </row>
    <row r="2243" spans="2:4" x14ac:dyDescent="0.25">
      <c r="B2243" s="90">
        <v>2239</v>
      </c>
      <c r="C2243" s="39">
        <f t="shared" si="70"/>
        <v>7682991.1557421703</v>
      </c>
      <c r="D2243" s="39">
        <f t="shared" si="71"/>
        <v>7053595.4753331831</v>
      </c>
    </row>
    <row r="2244" spans="2:4" x14ac:dyDescent="0.25">
      <c r="B2244" s="90">
        <v>2240</v>
      </c>
      <c r="C2244" s="39">
        <f t="shared" si="70"/>
        <v>7685638.4943557223</v>
      </c>
      <c r="D2244" s="39">
        <f t="shared" si="71"/>
        <v>7056745.8082833095</v>
      </c>
    </row>
    <row r="2245" spans="2:4" x14ac:dyDescent="0.25">
      <c r="B2245" s="90">
        <v>2241</v>
      </c>
      <c r="C2245" s="39">
        <f t="shared" si="70"/>
        <v>7688285.8329692734</v>
      </c>
      <c r="D2245" s="39">
        <f t="shared" si="71"/>
        <v>7059896.1412334358</v>
      </c>
    </row>
    <row r="2246" spans="2:4" x14ac:dyDescent="0.25">
      <c r="B2246" s="90">
        <v>2242</v>
      </c>
      <c r="C2246" s="39">
        <f t="shared" si="70"/>
        <v>7690933.1715828255</v>
      </c>
      <c r="D2246" s="39">
        <f t="shared" si="71"/>
        <v>7063046.4741835622</v>
      </c>
    </row>
    <row r="2247" spans="2:4" x14ac:dyDescent="0.25">
      <c r="B2247" s="90">
        <v>2243</v>
      </c>
      <c r="C2247" s="39">
        <f t="shared" si="70"/>
        <v>7693580.5101963766</v>
      </c>
      <c r="D2247" s="39">
        <f t="shared" si="71"/>
        <v>7066196.8071336886</v>
      </c>
    </row>
    <row r="2248" spans="2:4" x14ac:dyDescent="0.25">
      <c r="B2248" s="90">
        <v>2244</v>
      </c>
      <c r="C2248" s="39">
        <f t="shared" si="70"/>
        <v>7696227.8488099286</v>
      </c>
      <c r="D2248" s="39">
        <f t="shared" si="71"/>
        <v>7069347.1400838159</v>
      </c>
    </row>
    <row r="2249" spans="2:4" x14ac:dyDescent="0.25">
      <c r="B2249" s="90">
        <v>2245</v>
      </c>
      <c r="C2249" s="39">
        <f t="shared" si="70"/>
        <v>7698875.1874234807</v>
      </c>
      <c r="D2249" s="39">
        <f t="shared" si="71"/>
        <v>7072497.4730339423</v>
      </c>
    </row>
    <row r="2250" spans="2:4" x14ac:dyDescent="0.25">
      <c r="B2250" s="90">
        <v>2246</v>
      </c>
      <c r="C2250" s="39">
        <f t="shared" si="70"/>
        <v>7701522.5260370318</v>
      </c>
      <c r="D2250" s="39">
        <f t="shared" si="71"/>
        <v>7075647.8059840687</v>
      </c>
    </row>
    <row r="2251" spans="2:4" x14ac:dyDescent="0.25">
      <c r="B2251" s="90">
        <v>2247</v>
      </c>
      <c r="C2251" s="39">
        <f t="shared" si="70"/>
        <v>7704169.8646505838</v>
      </c>
      <c r="D2251" s="39">
        <f t="shared" si="71"/>
        <v>7078798.138934195</v>
      </c>
    </row>
    <row r="2252" spans="2:4" x14ac:dyDescent="0.25">
      <c r="B2252" s="90">
        <v>2248</v>
      </c>
      <c r="C2252" s="39">
        <f t="shared" si="70"/>
        <v>7706817.2032641349</v>
      </c>
      <c r="D2252" s="39">
        <f t="shared" si="71"/>
        <v>7081948.4718843214</v>
      </c>
    </row>
    <row r="2253" spans="2:4" x14ac:dyDescent="0.25">
      <c r="B2253" s="90">
        <v>2249</v>
      </c>
      <c r="C2253" s="39">
        <f t="shared" si="70"/>
        <v>7709464.541877687</v>
      </c>
      <c r="D2253" s="39">
        <f t="shared" si="71"/>
        <v>7085098.8048344478</v>
      </c>
    </row>
    <row r="2254" spans="2:4" x14ac:dyDescent="0.25">
      <c r="B2254" s="90">
        <v>2250</v>
      </c>
      <c r="C2254" s="39">
        <f t="shared" si="70"/>
        <v>7712111.880491239</v>
      </c>
      <c r="D2254" s="39">
        <f t="shared" si="71"/>
        <v>7088249.1377845742</v>
      </c>
    </row>
    <row r="2255" spans="2:4" x14ac:dyDescent="0.25">
      <c r="B2255" s="90">
        <v>2251</v>
      </c>
      <c r="C2255" s="39">
        <f t="shared" si="70"/>
        <v>7714759.2191047901</v>
      </c>
      <c r="D2255" s="39">
        <f t="shared" si="71"/>
        <v>7091399.4707347006</v>
      </c>
    </row>
    <row r="2256" spans="2:4" x14ac:dyDescent="0.25">
      <c r="B2256" s="90">
        <v>2252</v>
      </c>
      <c r="C2256" s="39">
        <f t="shared" si="70"/>
        <v>7717406.5577183422</v>
      </c>
      <c r="D2256" s="39">
        <f t="shared" si="71"/>
        <v>7094549.8036848269</v>
      </c>
    </row>
    <row r="2257" spans="2:4" x14ac:dyDescent="0.25">
      <c r="B2257" s="90">
        <v>2253</v>
      </c>
      <c r="C2257" s="39">
        <f t="shared" si="70"/>
        <v>7720053.8963318933</v>
      </c>
      <c r="D2257" s="39">
        <f t="shared" si="71"/>
        <v>7097700.1366349543</v>
      </c>
    </row>
    <row r="2258" spans="2:4" x14ac:dyDescent="0.25">
      <c r="B2258" s="90">
        <v>2254</v>
      </c>
      <c r="C2258" s="39">
        <f t="shared" si="70"/>
        <v>7722701.2349454453</v>
      </c>
      <c r="D2258" s="39">
        <f t="shared" si="71"/>
        <v>7100850.4695850806</v>
      </c>
    </row>
    <row r="2259" spans="2:4" x14ac:dyDescent="0.25">
      <c r="B2259" s="90">
        <v>2255</v>
      </c>
      <c r="C2259" s="39">
        <f t="shared" si="70"/>
        <v>7725348.5735589974</v>
      </c>
      <c r="D2259" s="39">
        <f t="shared" si="71"/>
        <v>7104000.802535207</v>
      </c>
    </row>
    <row r="2260" spans="2:4" x14ac:dyDescent="0.25">
      <c r="B2260" s="90">
        <v>2256</v>
      </c>
      <c r="C2260" s="39">
        <f t="shared" si="70"/>
        <v>7727995.9121725485</v>
      </c>
      <c r="D2260" s="39">
        <f t="shared" si="71"/>
        <v>7107151.1354853334</v>
      </c>
    </row>
    <row r="2261" spans="2:4" x14ac:dyDescent="0.25">
      <c r="B2261" s="90">
        <v>2257</v>
      </c>
      <c r="C2261" s="39">
        <f t="shared" si="70"/>
        <v>7730643.2507861005</v>
      </c>
      <c r="D2261" s="39">
        <f t="shared" si="71"/>
        <v>7110301.4684354598</v>
      </c>
    </row>
    <row r="2262" spans="2:4" x14ac:dyDescent="0.25">
      <c r="B2262" s="90">
        <v>2258</v>
      </c>
      <c r="C2262" s="39">
        <f t="shared" si="70"/>
        <v>7733290.5893996516</v>
      </c>
      <c r="D2262" s="39">
        <f t="shared" si="71"/>
        <v>7113451.8013855861</v>
      </c>
    </row>
    <row r="2263" spans="2:4" x14ac:dyDescent="0.25">
      <c r="B2263" s="90">
        <v>2259</v>
      </c>
      <c r="C2263" s="39">
        <f t="shared" si="70"/>
        <v>7735937.9280132037</v>
      </c>
      <c r="D2263" s="39">
        <f t="shared" si="71"/>
        <v>7116602.1343357125</v>
      </c>
    </row>
    <row r="2264" spans="2:4" x14ac:dyDescent="0.25">
      <c r="B2264" s="90">
        <v>2260</v>
      </c>
      <c r="C2264" s="39">
        <f t="shared" si="70"/>
        <v>7738585.2666267557</v>
      </c>
      <c r="D2264" s="39">
        <f t="shared" si="71"/>
        <v>7119752.4672858389</v>
      </c>
    </row>
    <row r="2265" spans="2:4" x14ac:dyDescent="0.25">
      <c r="B2265" s="90">
        <v>2261</v>
      </c>
      <c r="C2265" s="39">
        <f t="shared" si="70"/>
        <v>7741232.6052403068</v>
      </c>
      <c r="D2265" s="39">
        <f t="shared" si="71"/>
        <v>7122902.8002359653</v>
      </c>
    </row>
    <row r="2266" spans="2:4" x14ac:dyDescent="0.25">
      <c r="B2266" s="90">
        <v>2262</v>
      </c>
      <c r="C2266" s="39">
        <f t="shared" si="70"/>
        <v>7743879.9438538589</v>
      </c>
      <c r="D2266" s="39">
        <f t="shared" si="71"/>
        <v>7126053.1331860917</v>
      </c>
    </row>
    <row r="2267" spans="2:4" x14ac:dyDescent="0.25">
      <c r="B2267" s="90">
        <v>2263</v>
      </c>
      <c r="C2267" s="39">
        <f t="shared" si="70"/>
        <v>7746527.28246741</v>
      </c>
      <c r="D2267" s="39">
        <f t="shared" si="71"/>
        <v>7129203.466136219</v>
      </c>
    </row>
    <row r="2268" spans="2:4" x14ac:dyDescent="0.25">
      <c r="B2268" s="90">
        <v>2264</v>
      </c>
      <c r="C2268" s="39">
        <f t="shared" si="70"/>
        <v>7749174.621080962</v>
      </c>
      <c r="D2268" s="39">
        <f t="shared" si="71"/>
        <v>7132353.7990863454</v>
      </c>
    </row>
    <row r="2269" spans="2:4" x14ac:dyDescent="0.25">
      <c r="B2269" s="90">
        <v>2265</v>
      </c>
      <c r="C2269" s="39">
        <f t="shared" si="70"/>
        <v>7751821.9596945141</v>
      </c>
      <c r="D2269" s="39">
        <f t="shared" si="71"/>
        <v>7135504.1320364717</v>
      </c>
    </row>
    <row r="2270" spans="2:4" x14ac:dyDescent="0.25">
      <c r="B2270" s="90">
        <v>2266</v>
      </c>
      <c r="C2270" s="39">
        <f t="shared" si="70"/>
        <v>7754469.2983080652</v>
      </c>
      <c r="D2270" s="39">
        <f t="shared" si="71"/>
        <v>7138654.4649865981</v>
      </c>
    </row>
    <row r="2271" spans="2:4" x14ac:dyDescent="0.25">
      <c r="B2271" s="90">
        <v>2267</v>
      </c>
      <c r="C2271" s="39">
        <f t="shared" si="70"/>
        <v>7757116.6369216172</v>
      </c>
      <c r="D2271" s="39">
        <f t="shared" si="71"/>
        <v>7141804.7979367245</v>
      </c>
    </row>
    <row r="2272" spans="2:4" x14ac:dyDescent="0.25">
      <c r="B2272" s="90">
        <v>2268</v>
      </c>
      <c r="C2272" s="39">
        <f t="shared" si="70"/>
        <v>7759763.9755351683</v>
      </c>
      <c r="D2272" s="39">
        <f t="shared" si="71"/>
        <v>7144955.1308868509</v>
      </c>
    </row>
    <row r="2273" spans="2:4" x14ac:dyDescent="0.25">
      <c r="B2273" s="90">
        <v>2269</v>
      </c>
      <c r="C2273" s="39">
        <f t="shared" si="70"/>
        <v>7762411.3141487204</v>
      </c>
      <c r="D2273" s="39">
        <f t="shared" si="71"/>
        <v>7148105.4638369773</v>
      </c>
    </row>
    <row r="2274" spans="2:4" x14ac:dyDescent="0.25">
      <c r="B2274" s="90">
        <v>2270</v>
      </c>
      <c r="C2274" s="39">
        <f t="shared" si="70"/>
        <v>7765058.6527622715</v>
      </c>
      <c r="D2274" s="39">
        <f t="shared" si="71"/>
        <v>7151255.7967871036</v>
      </c>
    </row>
    <row r="2275" spans="2:4" x14ac:dyDescent="0.25">
      <c r="B2275" s="90">
        <v>2271</v>
      </c>
      <c r="C2275" s="39">
        <f t="shared" si="70"/>
        <v>7767705.9913758235</v>
      </c>
      <c r="D2275" s="39">
        <f t="shared" si="71"/>
        <v>7154406.12973723</v>
      </c>
    </row>
    <row r="2276" spans="2:4" x14ac:dyDescent="0.25">
      <c r="B2276" s="90">
        <v>2272</v>
      </c>
      <c r="C2276" s="39">
        <f t="shared" si="70"/>
        <v>7770353.3299893755</v>
      </c>
      <c r="D2276" s="39">
        <f t="shared" si="71"/>
        <v>7157556.4626873573</v>
      </c>
    </row>
    <row r="2277" spans="2:4" x14ac:dyDescent="0.25">
      <c r="B2277" s="90">
        <v>2273</v>
      </c>
      <c r="C2277" s="39">
        <f t="shared" si="70"/>
        <v>7773000.6686029267</v>
      </c>
      <c r="D2277" s="39">
        <f t="shared" si="71"/>
        <v>7160706.7956374837</v>
      </c>
    </row>
    <row r="2278" spans="2:4" x14ac:dyDescent="0.25">
      <c r="B2278" s="90">
        <v>2274</v>
      </c>
      <c r="C2278" s="39">
        <f t="shared" si="70"/>
        <v>7775648.0072164787</v>
      </c>
      <c r="D2278" s="39">
        <f t="shared" si="71"/>
        <v>7163857.1285876101</v>
      </c>
    </row>
    <row r="2279" spans="2:4" x14ac:dyDescent="0.25">
      <c r="B2279" s="90">
        <v>2275</v>
      </c>
      <c r="C2279" s="39">
        <f t="shared" si="70"/>
        <v>7778295.3458300298</v>
      </c>
      <c r="D2279" s="39">
        <f t="shared" si="71"/>
        <v>7167007.4615377365</v>
      </c>
    </row>
    <row r="2280" spans="2:4" x14ac:dyDescent="0.25">
      <c r="B2280" s="90">
        <v>2276</v>
      </c>
      <c r="C2280" s="39">
        <f t="shared" si="70"/>
        <v>7780942.6844435818</v>
      </c>
      <c r="D2280" s="39">
        <f t="shared" si="71"/>
        <v>7170157.7944878628</v>
      </c>
    </row>
    <row r="2281" spans="2:4" x14ac:dyDescent="0.25">
      <c r="B2281" s="90">
        <v>2277</v>
      </c>
      <c r="C2281" s="39">
        <f t="shared" si="70"/>
        <v>7783590.0230571339</v>
      </c>
      <c r="D2281" s="39">
        <f t="shared" si="71"/>
        <v>7173308.1274379892</v>
      </c>
    </row>
    <row r="2282" spans="2:4" x14ac:dyDescent="0.25">
      <c r="B2282" s="90">
        <v>2278</v>
      </c>
      <c r="C2282" s="39">
        <f t="shared" si="70"/>
        <v>7786237.361670685</v>
      </c>
      <c r="D2282" s="39">
        <f t="shared" si="71"/>
        <v>7176458.4603881156</v>
      </c>
    </row>
    <row r="2283" spans="2:4" x14ac:dyDescent="0.25">
      <c r="B2283" s="90">
        <v>2279</v>
      </c>
      <c r="C2283" s="39">
        <f t="shared" si="70"/>
        <v>7788884.700284237</v>
      </c>
      <c r="D2283" s="39">
        <f t="shared" si="71"/>
        <v>7179608.793338242</v>
      </c>
    </row>
    <row r="2284" spans="2:4" x14ac:dyDescent="0.25">
      <c r="B2284" s="90">
        <v>2280</v>
      </c>
      <c r="C2284" s="39">
        <f t="shared" si="70"/>
        <v>7791532.0388977882</v>
      </c>
      <c r="D2284" s="39">
        <f t="shared" si="71"/>
        <v>7182759.1262883684</v>
      </c>
    </row>
    <row r="2285" spans="2:4" x14ac:dyDescent="0.25">
      <c r="B2285" s="90">
        <v>2281</v>
      </c>
      <c r="C2285" s="39">
        <f t="shared" si="70"/>
        <v>7794179.3775113402</v>
      </c>
      <c r="D2285" s="39">
        <f t="shared" si="71"/>
        <v>7185909.4592384947</v>
      </c>
    </row>
    <row r="2286" spans="2:4" x14ac:dyDescent="0.25">
      <c r="B2286" s="90">
        <v>2282</v>
      </c>
      <c r="C2286" s="39">
        <f t="shared" si="70"/>
        <v>7796826.7161248922</v>
      </c>
      <c r="D2286" s="39">
        <f t="shared" si="71"/>
        <v>7189059.7921886221</v>
      </c>
    </row>
    <row r="2287" spans="2:4" x14ac:dyDescent="0.25">
      <c r="B2287" s="90">
        <v>2283</v>
      </c>
      <c r="C2287" s="39">
        <f t="shared" si="70"/>
        <v>7799474.0547384433</v>
      </c>
      <c r="D2287" s="39">
        <f t="shared" si="71"/>
        <v>7192210.1251387484</v>
      </c>
    </row>
    <row r="2288" spans="2:4" x14ac:dyDescent="0.25">
      <c r="B2288" s="90">
        <v>2284</v>
      </c>
      <c r="C2288" s="39">
        <f t="shared" si="70"/>
        <v>7802121.3933519954</v>
      </c>
      <c r="D2288" s="39">
        <f t="shared" si="71"/>
        <v>7195360.4580888748</v>
      </c>
    </row>
    <row r="2289" spans="2:4" x14ac:dyDescent="0.25">
      <c r="B2289" s="90">
        <v>2285</v>
      </c>
      <c r="C2289" s="39">
        <f t="shared" ref="C2289:C2352" si="72">($C$2*B2289)+$C$1</f>
        <v>7804768.7319655465</v>
      </c>
      <c r="D2289" s="39">
        <f t="shared" ref="D2289:D2352" si="73">$D$2*B2289</f>
        <v>7198510.7910390012</v>
      </c>
    </row>
    <row r="2290" spans="2:4" x14ac:dyDescent="0.25">
      <c r="B2290" s="90">
        <v>2286</v>
      </c>
      <c r="C2290" s="39">
        <f t="shared" si="72"/>
        <v>7807416.0705790985</v>
      </c>
      <c r="D2290" s="39">
        <f t="shared" si="73"/>
        <v>7201661.1239891276</v>
      </c>
    </row>
    <row r="2291" spans="2:4" x14ac:dyDescent="0.25">
      <c r="B2291" s="90">
        <v>2287</v>
      </c>
      <c r="C2291" s="39">
        <f t="shared" si="72"/>
        <v>7810063.4091926506</v>
      </c>
      <c r="D2291" s="39">
        <f t="shared" si="73"/>
        <v>7204811.456939254</v>
      </c>
    </row>
    <row r="2292" spans="2:4" x14ac:dyDescent="0.25">
      <c r="B2292" s="90">
        <v>2288</v>
      </c>
      <c r="C2292" s="39">
        <f t="shared" si="72"/>
        <v>7812710.7478062017</v>
      </c>
      <c r="D2292" s="39">
        <f t="shared" si="73"/>
        <v>7207961.7898893803</v>
      </c>
    </row>
    <row r="2293" spans="2:4" x14ac:dyDescent="0.25">
      <c r="B2293" s="90">
        <v>2289</v>
      </c>
      <c r="C2293" s="39">
        <f t="shared" si="72"/>
        <v>7815358.0864197537</v>
      </c>
      <c r="D2293" s="39">
        <f t="shared" si="73"/>
        <v>7211112.1228395067</v>
      </c>
    </row>
    <row r="2294" spans="2:4" x14ac:dyDescent="0.25">
      <c r="B2294" s="90">
        <v>2290</v>
      </c>
      <c r="C2294" s="39">
        <f t="shared" si="72"/>
        <v>7818005.4250333048</v>
      </c>
      <c r="D2294" s="39">
        <f t="shared" si="73"/>
        <v>7214262.4557896331</v>
      </c>
    </row>
    <row r="2295" spans="2:4" x14ac:dyDescent="0.25">
      <c r="B2295" s="90">
        <v>2291</v>
      </c>
      <c r="C2295" s="39">
        <f t="shared" si="72"/>
        <v>7820652.7636468569</v>
      </c>
      <c r="D2295" s="39">
        <f t="shared" si="73"/>
        <v>7217412.7887397604</v>
      </c>
    </row>
    <row r="2296" spans="2:4" x14ac:dyDescent="0.25">
      <c r="B2296" s="90">
        <v>2292</v>
      </c>
      <c r="C2296" s="39">
        <f t="shared" si="72"/>
        <v>7823300.1022604089</v>
      </c>
      <c r="D2296" s="39">
        <f t="shared" si="73"/>
        <v>7220563.1216898868</v>
      </c>
    </row>
    <row r="2297" spans="2:4" x14ac:dyDescent="0.25">
      <c r="B2297" s="90">
        <v>2293</v>
      </c>
      <c r="C2297" s="39">
        <f t="shared" si="72"/>
        <v>7825947.44087396</v>
      </c>
      <c r="D2297" s="39">
        <f t="shared" si="73"/>
        <v>7223713.4546400132</v>
      </c>
    </row>
    <row r="2298" spans="2:4" x14ac:dyDescent="0.25">
      <c r="B2298" s="90">
        <v>2294</v>
      </c>
      <c r="C2298" s="39">
        <f t="shared" si="72"/>
        <v>7828594.7794875121</v>
      </c>
      <c r="D2298" s="39">
        <f t="shared" si="73"/>
        <v>7226863.7875901395</v>
      </c>
    </row>
    <row r="2299" spans="2:4" x14ac:dyDescent="0.25">
      <c r="B2299" s="90">
        <v>2295</v>
      </c>
      <c r="C2299" s="39">
        <f t="shared" si="72"/>
        <v>7831242.1181010632</v>
      </c>
      <c r="D2299" s="39">
        <f t="shared" si="73"/>
        <v>7230014.1205402659</v>
      </c>
    </row>
    <row r="2300" spans="2:4" x14ac:dyDescent="0.25">
      <c r="B2300" s="90">
        <v>2296</v>
      </c>
      <c r="C2300" s="39">
        <f t="shared" si="72"/>
        <v>7833889.4567146152</v>
      </c>
      <c r="D2300" s="39">
        <f t="shared" si="73"/>
        <v>7233164.4534903923</v>
      </c>
    </row>
    <row r="2301" spans="2:4" x14ac:dyDescent="0.25">
      <c r="B2301" s="90">
        <v>2297</v>
      </c>
      <c r="C2301" s="39">
        <f t="shared" si="72"/>
        <v>7836536.7953281663</v>
      </c>
      <c r="D2301" s="39">
        <f t="shared" si="73"/>
        <v>7236314.7864405187</v>
      </c>
    </row>
    <row r="2302" spans="2:4" x14ac:dyDescent="0.25">
      <c r="B2302" s="90">
        <v>2298</v>
      </c>
      <c r="C2302" s="39">
        <f t="shared" si="72"/>
        <v>7839184.1339417184</v>
      </c>
      <c r="D2302" s="39">
        <f t="shared" si="73"/>
        <v>7239465.1193906451</v>
      </c>
    </row>
    <row r="2303" spans="2:4" x14ac:dyDescent="0.25">
      <c r="B2303" s="90">
        <v>2299</v>
      </c>
      <c r="C2303" s="39">
        <f t="shared" si="72"/>
        <v>7841831.4725552704</v>
      </c>
      <c r="D2303" s="39">
        <f t="shared" si="73"/>
        <v>7242615.4523407714</v>
      </c>
    </row>
    <row r="2304" spans="2:4" x14ac:dyDescent="0.25">
      <c r="B2304" s="90">
        <v>2300</v>
      </c>
      <c r="C2304" s="39">
        <f t="shared" si="72"/>
        <v>7844478.8111688215</v>
      </c>
      <c r="D2304" s="39">
        <f t="shared" si="73"/>
        <v>7245765.7852908978</v>
      </c>
    </row>
    <row r="2305" spans="2:4" x14ac:dyDescent="0.25">
      <c r="B2305" s="90">
        <v>2301</v>
      </c>
      <c r="C2305" s="39">
        <f t="shared" si="72"/>
        <v>7847126.1497823736</v>
      </c>
      <c r="D2305" s="39">
        <f t="shared" si="73"/>
        <v>7248916.1182410251</v>
      </c>
    </row>
    <row r="2306" spans="2:4" x14ac:dyDescent="0.25">
      <c r="B2306" s="90">
        <v>2302</v>
      </c>
      <c r="C2306" s="39">
        <f t="shared" si="72"/>
        <v>7849773.4883959247</v>
      </c>
      <c r="D2306" s="39">
        <f t="shared" si="73"/>
        <v>7252066.4511911515</v>
      </c>
    </row>
    <row r="2307" spans="2:4" x14ac:dyDescent="0.25">
      <c r="B2307" s="90">
        <v>2303</v>
      </c>
      <c r="C2307" s="39">
        <f t="shared" si="72"/>
        <v>7852420.8270094767</v>
      </c>
      <c r="D2307" s="39">
        <f t="shared" si="73"/>
        <v>7255216.7841412779</v>
      </c>
    </row>
    <row r="2308" spans="2:4" x14ac:dyDescent="0.25">
      <c r="B2308" s="90">
        <v>2304</v>
      </c>
      <c r="C2308" s="39">
        <f t="shared" si="72"/>
        <v>7855068.1656230288</v>
      </c>
      <c r="D2308" s="39">
        <f t="shared" si="73"/>
        <v>7258367.1170914043</v>
      </c>
    </row>
    <row r="2309" spans="2:4" x14ac:dyDescent="0.25">
      <c r="B2309" s="90">
        <v>2305</v>
      </c>
      <c r="C2309" s="39">
        <f t="shared" si="72"/>
        <v>7857715.5042365799</v>
      </c>
      <c r="D2309" s="39">
        <f t="shared" si="73"/>
        <v>7261517.4500415307</v>
      </c>
    </row>
    <row r="2310" spans="2:4" x14ac:dyDescent="0.25">
      <c r="B2310" s="90">
        <v>2306</v>
      </c>
      <c r="C2310" s="39">
        <f t="shared" si="72"/>
        <v>7860362.8428501319</v>
      </c>
      <c r="D2310" s="39">
        <f t="shared" si="73"/>
        <v>7264667.782991657</v>
      </c>
    </row>
    <row r="2311" spans="2:4" x14ac:dyDescent="0.25">
      <c r="B2311" s="90">
        <v>2307</v>
      </c>
      <c r="C2311" s="39">
        <f t="shared" si="72"/>
        <v>7863010.181463683</v>
      </c>
      <c r="D2311" s="39">
        <f t="shared" si="73"/>
        <v>7267818.1159417834</v>
      </c>
    </row>
    <row r="2312" spans="2:4" x14ac:dyDescent="0.25">
      <c r="B2312" s="90">
        <v>2308</v>
      </c>
      <c r="C2312" s="39">
        <f t="shared" si="72"/>
        <v>7865657.5200772351</v>
      </c>
      <c r="D2312" s="39">
        <f t="shared" si="73"/>
        <v>7270968.4488919098</v>
      </c>
    </row>
    <row r="2313" spans="2:4" x14ac:dyDescent="0.25">
      <c r="B2313" s="90">
        <v>2309</v>
      </c>
      <c r="C2313" s="39">
        <f t="shared" si="72"/>
        <v>7868304.8586907871</v>
      </c>
      <c r="D2313" s="39">
        <f t="shared" si="73"/>
        <v>7274118.7818420362</v>
      </c>
    </row>
    <row r="2314" spans="2:4" x14ac:dyDescent="0.25">
      <c r="B2314" s="90">
        <v>2310</v>
      </c>
      <c r="C2314" s="39">
        <f t="shared" si="72"/>
        <v>7870952.1973043382</v>
      </c>
      <c r="D2314" s="39">
        <f t="shared" si="73"/>
        <v>7277269.1147921635</v>
      </c>
    </row>
    <row r="2315" spans="2:4" x14ac:dyDescent="0.25">
      <c r="B2315" s="90">
        <v>2311</v>
      </c>
      <c r="C2315" s="39">
        <f t="shared" si="72"/>
        <v>7873599.5359178903</v>
      </c>
      <c r="D2315" s="39">
        <f t="shared" si="73"/>
        <v>7280419.4477422899</v>
      </c>
    </row>
    <row r="2316" spans="2:4" x14ac:dyDescent="0.25">
      <c r="B2316" s="90">
        <v>2312</v>
      </c>
      <c r="C2316" s="39">
        <f t="shared" si="72"/>
        <v>7876246.8745314414</v>
      </c>
      <c r="D2316" s="39">
        <f t="shared" si="73"/>
        <v>7283569.7806924162</v>
      </c>
    </row>
    <row r="2317" spans="2:4" x14ac:dyDescent="0.25">
      <c r="B2317" s="90">
        <v>2313</v>
      </c>
      <c r="C2317" s="39">
        <f t="shared" si="72"/>
        <v>7878894.2131449934</v>
      </c>
      <c r="D2317" s="39">
        <f t="shared" si="73"/>
        <v>7286720.1136425426</v>
      </c>
    </row>
    <row r="2318" spans="2:4" x14ac:dyDescent="0.25">
      <c r="B2318" s="90">
        <v>2314</v>
      </c>
      <c r="C2318" s="39">
        <f t="shared" si="72"/>
        <v>7881541.5517585455</v>
      </c>
      <c r="D2318" s="39">
        <f t="shared" si="73"/>
        <v>7289870.446592669</v>
      </c>
    </row>
    <row r="2319" spans="2:4" x14ac:dyDescent="0.25">
      <c r="B2319" s="90">
        <v>2315</v>
      </c>
      <c r="C2319" s="39">
        <f t="shared" si="72"/>
        <v>7884188.8903720966</v>
      </c>
      <c r="D2319" s="39">
        <f t="shared" si="73"/>
        <v>7293020.7795427954</v>
      </c>
    </row>
    <row r="2320" spans="2:4" x14ac:dyDescent="0.25">
      <c r="B2320" s="90">
        <v>2316</v>
      </c>
      <c r="C2320" s="39">
        <f t="shared" si="72"/>
        <v>7886836.2289856486</v>
      </c>
      <c r="D2320" s="39">
        <f t="shared" si="73"/>
        <v>7296171.1124929218</v>
      </c>
    </row>
    <row r="2321" spans="2:4" x14ac:dyDescent="0.25">
      <c r="B2321" s="90">
        <v>2317</v>
      </c>
      <c r="C2321" s="39">
        <f t="shared" si="72"/>
        <v>7889483.5675991997</v>
      </c>
      <c r="D2321" s="39">
        <f t="shared" si="73"/>
        <v>7299321.4454430481</v>
      </c>
    </row>
    <row r="2322" spans="2:4" x14ac:dyDescent="0.25">
      <c r="B2322" s="90">
        <v>2318</v>
      </c>
      <c r="C2322" s="39">
        <f t="shared" si="72"/>
        <v>7892130.9062127518</v>
      </c>
      <c r="D2322" s="39">
        <f t="shared" si="73"/>
        <v>7302471.7783931745</v>
      </c>
    </row>
    <row r="2323" spans="2:4" x14ac:dyDescent="0.25">
      <c r="B2323" s="90">
        <v>2319</v>
      </c>
      <c r="C2323" s="39">
        <f t="shared" si="72"/>
        <v>7894778.2448263038</v>
      </c>
      <c r="D2323" s="39">
        <f t="shared" si="73"/>
        <v>7305622.1113433009</v>
      </c>
    </row>
    <row r="2324" spans="2:4" x14ac:dyDescent="0.25">
      <c r="B2324" s="90">
        <v>2320</v>
      </c>
      <c r="C2324" s="39">
        <f t="shared" si="72"/>
        <v>7897425.5834398549</v>
      </c>
      <c r="D2324" s="39">
        <f t="shared" si="73"/>
        <v>7308772.4442934282</v>
      </c>
    </row>
    <row r="2325" spans="2:4" x14ac:dyDescent="0.25">
      <c r="B2325" s="90">
        <v>2321</v>
      </c>
      <c r="C2325" s="39">
        <f t="shared" si="72"/>
        <v>7900072.9220534069</v>
      </c>
      <c r="D2325" s="39">
        <f t="shared" si="73"/>
        <v>7311922.7772435546</v>
      </c>
    </row>
    <row r="2326" spans="2:4" x14ac:dyDescent="0.25">
      <c r="B2326" s="90">
        <v>2322</v>
      </c>
      <c r="C2326" s="39">
        <f t="shared" si="72"/>
        <v>7902720.2606669581</v>
      </c>
      <c r="D2326" s="39">
        <f t="shared" si="73"/>
        <v>7315073.110193681</v>
      </c>
    </row>
    <row r="2327" spans="2:4" x14ac:dyDescent="0.25">
      <c r="B2327" s="90">
        <v>2323</v>
      </c>
      <c r="C2327" s="39">
        <f t="shared" si="72"/>
        <v>7905367.5992805101</v>
      </c>
      <c r="D2327" s="39">
        <f t="shared" si="73"/>
        <v>7318223.4431438074</v>
      </c>
    </row>
    <row r="2328" spans="2:4" x14ac:dyDescent="0.25">
      <c r="B2328" s="90">
        <v>2324</v>
      </c>
      <c r="C2328" s="39">
        <f t="shared" si="72"/>
        <v>7908014.9378940612</v>
      </c>
      <c r="D2328" s="39">
        <f t="shared" si="73"/>
        <v>7321373.7760939337</v>
      </c>
    </row>
    <row r="2329" spans="2:4" x14ac:dyDescent="0.25">
      <c r="B2329" s="90">
        <v>2325</v>
      </c>
      <c r="C2329" s="39">
        <f t="shared" si="72"/>
        <v>7910662.2765076132</v>
      </c>
      <c r="D2329" s="39">
        <f t="shared" si="73"/>
        <v>7324524.1090440601</v>
      </c>
    </row>
    <row r="2330" spans="2:4" x14ac:dyDescent="0.25">
      <c r="B2330" s="90">
        <v>2326</v>
      </c>
      <c r="C2330" s="39">
        <f t="shared" si="72"/>
        <v>7913309.6151211653</v>
      </c>
      <c r="D2330" s="39">
        <f t="shared" si="73"/>
        <v>7327674.4419941865</v>
      </c>
    </row>
    <row r="2331" spans="2:4" x14ac:dyDescent="0.25">
      <c r="B2331" s="90">
        <v>2327</v>
      </c>
      <c r="C2331" s="39">
        <f t="shared" si="72"/>
        <v>7915956.9537347164</v>
      </c>
      <c r="D2331" s="39">
        <f t="shared" si="73"/>
        <v>7330824.7749443129</v>
      </c>
    </row>
    <row r="2332" spans="2:4" x14ac:dyDescent="0.25">
      <c r="B2332" s="90">
        <v>2328</v>
      </c>
      <c r="C2332" s="39">
        <f t="shared" si="72"/>
        <v>7918604.2923482684</v>
      </c>
      <c r="D2332" s="39">
        <f t="shared" si="73"/>
        <v>7333975.1078944393</v>
      </c>
    </row>
    <row r="2333" spans="2:4" x14ac:dyDescent="0.25">
      <c r="B2333" s="90">
        <v>2329</v>
      </c>
      <c r="C2333" s="39">
        <f t="shared" si="72"/>
        <v>7921251.6309618196</v>
      </c>
      <c r="D2333" s="39">
        <f t="shared" si="73"/>
        <v>7337125.4408445656</v>
      </c>
    </row>
    <row r="2334" spans="2:4" x14ac:dyDescent="0.25">
      <c r="B2334" s="90">
        <v>2330</v>
      </c>
      <c r="C2334" s="39">
        <f t="shared" si="72"/>
        <v>7923898.9695753716</v>
      </c>
      <c r="D2334" s="39">
        <f t="shared" si="73"/>
        <v>7340275.7737946929</v>
      </c>
    </row>
    <row r="2335" spans="2:4" x14ac:dyDescent="0.25">
      <c r="B2335" s="90">
        <v>2331</v>
      </c>
      <c r="C2335" s="39">
        <f t="shared" si="72"/>
        <v>7926546.3081889236</v>
      </c>
      <c r="D2335" s="39">
        <f t="shared" si="73"/>
        <v>7343426.1067448193</v>
      </c>
    </row>
    <row r="2336" spans="2:4" x14ac:dyDescent="0.25">
      <c r="B2336" s="90">
        <v>2332</v>
      </c>
      <c r="C2336" s="39">
        <f t="shared" si="72"/>
        <v>7929193.6468024747</v>
      </c>
      <c r="D2336" s="39">
        <f t="shared" si="73"/>
        <v>7346576.4396949457</v>
      </c>
    </row>
    <row r="2337" spans="2:4" x14ac:dyDescent="0.25">
      <c r="B2337" s="90">
        <v>2333</v>
      </c>
      <c r="C2337" s="39">
        <f t="shared" si="72"/>
        <v>7931840.9854160268</v>
      </c>
      <c r="D2337" s="39">
        <f t="shared" si="73"/>
        <v>7349726.7726450721</v>
      </c>
    </row>
    <row r="2338" spans="2:4" x14ac:dyDescent="0.25">
      <c r="B2338" s="90">
        <v>2334</v>
      </c>
      <c r="C2338" s="39">
        <f t="shared" si="72"/>
        <v>7934488.3240295779</v>
      </c>
      <c r="D2338" s="39">
        <f t="shared" si="73"/>
        <v>7352877.1055951985</v>
      </c>
    </row>
    <row r="2339" spans="2:4" x14ac:dyDescent="0.25">
      <c r="B2339" s="90">
        <v>2335</v>
      </c>
      <c r="C2339" s="39">
        <f t="shared" si="72"/>
        <v>7937135.6626431299</v>
      </c>
      <c r="D2339" s="39">
        <f t="shared" si="73"/>
        <v>7356027.4385453248</v>
      </c>
    </row>
    <row r="2340" spans="2:4" x14ac:dyDescent="0.25">
      <c r="B2340" s="90">
        <v>2336</v>
      </c>
      <c r="C2340" s="39">
        <f t="shared" si="72"/>
        <v>7939783.001256682</v>
      </c>
      <c r="D2340" s="39">
        <f t="shared" si="73"/>
        <v>7359177.7714954512</v>
      </c>
    </row>
    <row r="2341" spans="2:4" x14ac:dyDescent="0.25">
      <c r="B2341" s="90">
        <v>2337</v>
      </c>
      <c r="C2341" s="39">
        <f t="shared" si="72"/>
        <v>7942430.3398702331</v>
      </c>
      <c r="D2341" s="39">
        <f t="shared" si="73"/>
        <v>7362328.1044455776</v>
      </c>
    </row>
    <row r="2342" spans="2:4" x14ac:dyDescent="0.25">
      <c r="B2342" s="90">
        <v>2338</v>
      </c>
      <c r="C2342" s="39">
        <f t="shared" si="72"/>
        <v>7945077.6784837851</v>
      </c>
      <c r="D2342" s="39">
        <f t="shared" si="73"/>
        <v>7365478.437395704</v>
      </c>
    </row>
    <row r="2343" spans="2:4" x14ac:dyDescent="0.25">
      <c r="B2343" s="90">
        <v>2339</v>
      </c>
      <c r="C2343" s="39">
        <f t="shared" si="72"/>
        <v>7947725.0170973362</v>
      </c>
      <c r="D2343" s="39">
        <f t="shared" si="73"/>
        <v>7368628.7703458313</v>
      </c>
    </row>
    <row r="2344" spans="2:4" x14ac:dyDescent="0.25">
      <c r="B2344" s="90">
        <v>2340</v>
      </c>
      <c r="C2344" s="39">
        <f t="shared" si="72"/>
        <v>7950372.3557108883</v>
      </c>
      <c r="D2344" s="39">
        <f t="shared" si="73"/>
        <v>7371779.1032959577</v>
      </c>
    </row>
    <row r="2345" spans="2:4" x14ac:dyDescent="0.25">
      <c r="B2345" s="90">
        <v>2341</v>
      </c>
      <c r="C2345" s="39">
        <f t="shared" si="72"/>
        <v>7953019.6943244403</v>
      </c>
      <c r="D2345" s="39">
        <f t="shared" si="73"/>
        <v>7374929.436246084</v>
      </c>
    </row>
    <row r="2346" spans="2:4" x14ac:dyDescent="0.25">
      <c r="B2346" s="90">
        <v>2342</v>
      </c>
      <c r="C2346" s="39">
        <f t="shared" si="72"/>
        <v>7955667.0329379914</v>
      </c>
      <c r="D2346" s="39">
        <f t="shared" si="73"/>
        <v>7378079.7691962104</v>
      </c>
    </row>
    <row r="2347" spans="2:4" x14ac:dyDescent="0.25">
      <c r="B2347" s="90">
        <v>2343</v>
      </c>
      <c r="C2347" s="39">
        <f t="shared" si="72"/>
        <v>7958314.3715515435</v>
      </c>
      <c r="D2347" s="39">
        <f t="shared" si="73"/>
        <v>7381230.1021463368</v>
      </c>
    </row>
    <row r="2348" spans="2:4" x14ac:dyDescent="0.25">
      <c r="B2348" s="90">
        <v>2344</v>
      </c>
      <c r="C2348" s="39">
        <f t="shared" si="72"/>
        <v>7960961.7101650946</v>
      </c>
      <c r="D2348" s="39">
        <f t="shared" si="73"/>
        <v>7384380.4350964632</v>
      </c>
    </row>
    <row r="2349" spans="2:4" x14ac:dyDescent="0.25">
      <c r="B2349" s="90">
        <v>2345</v>
      </c>
      <c r="C2349" s="39">
        <f t="shared" si="72"/>
        <v>7963609.0487786466</v>
      </c>
      <c r="D2349" s="39">
        <f t="shared" si="73"/>
        <v>7387530.7680465896</v>
      </c>
    </row>
    <row r="2350" spans="2:4" x14ac:dyDescent="0.25">
      <c r="B2350" s="90">
        <v>2346</v>
      </c>
      <c r="C2350" s="39">
        <f t="shared" si="72"/>
        <v>7966256.3873921987</v>
      </c>
      <c r="D2350" s="39">
        <f t="shared" si="73"/>
        <v>7390681.1009967159</v>
      </c>
    </row>
    <row r="2351" spans="2:4" x14ac:dyDescent="0.25">
      <c r="B2351" s="90">
        <v>2347</v>
      </c>
      <c r="C2351" s="39">
        <f t="shared" si="72"/>
        <v>7968903.7260057498</v>
      </c>
      <c r="D2351" s="39">
        <f t="shared" si="73"/>
        <v>7393831.4339468423</v>
      </c>
    </row>
    <row r="2352" spans="2:4" x14ac:dyDescent="0.25">
      <c r="B2352" s="90">
        <v>2348</v>
      </c>
      <c r="C2352" s="39">
        <f t="shared" si="72"/>
        <v>7971551.0646193018</v>
      </c>
      <c r="D2352" s="39">
        <f t="shared" si="73"/>
        <v>7396981.7668969687</v>
      </c>
    </row>
    <row r="2353" spans="2:4" x14ac:dyDescent="0.25">
      <c r="B2353" s="90">
        <v>2349</v>
      </c>
      <c r="C2353" s="39">
        <f t="shared" ref="C2353:C2416" si="74">($C$2*B2353)+$C$1</f>
        <v>7974198.4032328529</v>
      </c>
      <c r="D2353" s="39">
        <f t="shared" ref="D2353:D2416" si="75">$D$2*B2353</f>
        <v>7400132.099847096</v>
      </c>
    </row>
    <row r="2354" spans="2:4" x14ac:dyDescent="0.25">
      <c r="B2354" s="90">
        <v>2350</v>
      </c>
      <c r="C2354" s="39">
        <f t="shared" si="74"/>
        <v>7976845.741846405</v>
      </c>
      <c r="D2354" s="39">
        <f t="shared" si="75"/>
        <v>7403282.4327972224</v>
      </c>
    </row>
    <row r="2355" spans="2:4" x14ac:dyDescent="0.25">
      <c r="B2355" s="90">
        <v>2351</v>
      </c>
      <c r="C2355" s="39">
        <f t="shared" si="74"/>
        <v>7979493.0804599561</v>
      </c>
      <c r="D2355" s="39">
        <f t="shared" si="75"/>
        <v>7406432.7657473488</v>
      </c>
    </row>
    <row r="2356" spans="2:4" x14ac:dyDescent="0.25">
      <c r="B2356" s="90">
        <v>2352</v>
      </c>
      <c r="C2356" s="39">
        <f t="shared" si="74"/>
        <v>7982140.4190735081</v>
      </c>
      <c r="D2356" s="39">
        <f t="shared" si="75"/>
        <v>7409583.0986974752</v>
      </c>
    </row>
    <row r="2357" spans="2:4" x14ac:dyDescent="0.25">
      <c r="B2357" s="90">
        <v>2353</v>
      </c>
      <c r="C2357" s="39">
        <f t="shared" si="74"/>
        <v>7984787.7576870602</v>
      </c>
      <c r="D2357" s="39">
        <f t="shared" si="75"/>
        <v>7412733.4316476015</v>
      </c>
    </row>
    <row r="2358" spans="2:4" x14ac:dyDescent="0.25">
      <c r="B2358" s="90">
        <v>2354</v>
      </c>
      <c r="C2358" s="39">
        <f t="shared" si="74"/>
        <v>7987435.0963006113</v>
      </c>
      <c r="D2358" s="39">
        <f t="shared" si="75"/>
        <v>7415883.7645977279</v>
      </c>
    </row>
    <row r="2359" spans="2:4" x14ac:dyDescent="0.25">
      <c r="B2359" s="90">
        <v>2355</v>
      </c>
      <c r="C2359" s="39">
        <f t="shared" si="74"/>
        <v>7990082.4349141633</v>
      </c>
      <c r="D2359" s="39">
        <f t="shared" si="75"/>
        <v>7419034.0975478543</v>
      </c>
    </row>
    <row r="2360" spans="2:4" x14ac:dyDescent="0.25">
      <c r="B2360" s="90">
        <v>2356</v>
      </c>
      <c r="C2360" s="39">
        <f t="shared" si="74"/>
        <v>7992729.7735277144</v>
      </c>
      <c r="D2360" s="39">
        <f t="shared" si="75"/>
        <v>7422184.4304979807</v>
      </c>
    </row>
    <row r="2361" spans="2:4" x14ac:dyDescent="0.25">
      <c r="B2361" s="90">
        <v>2357</v>
      </c>
      <c r="C2361" s="39">
        <f t="shared" si="74"/>
        <v>7995377.1121412665</v>
      </c>
      <c r="D2361" s="39">
        <f t="shared" si="75"/>
        <v>7425334.7634481071</v>
      </c>
    </row>
    <row r="2362" spans="2:4" x14ac:dyDescent="0.25">
      <c r="B2362" s="90">
        <v>2358</v>
      </c>
      <c r="C2362" s="39">
        <f t="shared" si="74"/>
        <v>7998024.4507548185</v>
      </c>
      <c r="D2362" s="39">
        <f t="shared" si="75"/>
        <v>7428485.0963982344</v>
      </c>
    </row>
    <row r="2363" spans="2:4" x14ac:dyDescent="0.25">
      <c r="B2363" s="90">
        <v>2359</v>
      </c>
      <c r="C2363" s="39">
        <f t="shared" si="74"/>
        <v>8000671.7893683696</v>
      </c>
      <c r="D2363" s="39">
        <f t="shared" si="75"/>
        <v>7431635.4293483607</v>
      </c>
    </row>
    <row r="2364" spans="2:4" x14ac:dyDescent="0.25">
      <c r="B2364" s="90">
        <v>2360</v>
      </c>
      <c r="C2364" s="39">
        <f t="shared" si="74"/>
        <v>8003319.1279819217</v>
      </c>
      <c r="D2364" s="39">
        <f t="shared" si="75"/>
        <v>7434785.7622984871</v>
      </c>
    </row>
    <row r="2365" spans="2:4" x14ac:dyDescent="0.25">
      <c r="B2365" s="90">
        <v>2361</v>
      </c>
      <c r="C2365" s="39">
        <f t="shared" si="74"/>
        <v>8005966.4665954728</v>
      </c>
      <c r="D2365" s="39">
        <f t="shared" si="75"/>
        <v>7437936.0952486135</v>
      </c>
    </row>
    <row r="2366" spans="2:4" x14ac:dyDescent="0.25">
      <c r="B2366" s="90">
        <v>2362</v>
      </c>
      <c r="C2366" s="39">
        <f t="shared" si="74"/>
        <v>8008613.8052090248</v>
      </c>
      <c r="D2366" s="39">
        <f t="shared" si="75"/>
        <v>7441086.4281987399</v>
      </c>
    </row>
    <row r="2367" spans="2:4" x14ac:dyDescent="0.25">
      <c r="B2367" s="90">
        <v>2363</v>
      </c>
      <c r="C2367" s="39">
        <f t="shared" si="74"/>
        <v>8011261.1438225769</v>
      </c>
      <c r="D2367" s="39">
        <f t="shared" si="75"/>
        <v>7444236.7611488663</v>
      </c>
    </row>
    <row r="2368" spans="2:4" x14ac:dyDescent="0.25">
      <c r="B2368" s="90">
        <v>2364</v>
      </c>
      <c r="C2368" s="39">
        <f t="shared" si="74"/>
        <v>8013908.482436128</v>
      </c>
      <c r="D2368" s="39">
        <f t="shared" si="75"/>
        <v>7447387.0940989926</v>
      </c>
    </row>
    <row r="2369" spans="2:4" x14ac:dyDescent="0.25">
      <c r="B2369" s="90">
        <v>2365</v>
      </c>
      <c r="C2369" s="39">
        <f t="shared" si="74"/>
        <v>8016555.82104968</v>
      </c>
      <c r="D2369" s="39">
        <f t="shared" si="75"/>
        <v>7450537.427049119</v>
      </c>
    </row>
    <row r="2370" spans="2:4" x14ac:dyDescent="0.25">
      <c r="B2370" s="90">
        <v>2366</v>
      </c>
      <c r="C2370" s="39">
        <f t="shared" si="74"/>
        <v>8019203.1596632311</v>
      </c>
      <c r="D2370" s="39">
        <f t="shared" si="75"/>
        <v>7453687.7599992454</v>
      </c>
    </row>
    <row r="2371" spans="2:4" x14ac:dyDescent="0.25">
      <c r="B2371" s="90">
        <v>2367</v>
      </c>
      <c r="C2371" s="39">
        <f t="shared" si="74"/>
        <v>8021850.4982767832</v>
      </c>
      <c r="D2371" s="39">
        <f t="shared" si="75"/>
        <v>7456838.0929493718</v>
      </c>
    </row>
    <row r="2372" spans="2:4" x14ac:dyDescent="0.25">
      <c r="B2372" s="90">
        <v>2368</v>
      </c>
      <c r="C2372" s="39">
        <f t="shared" si="74"/>
        <v>8024497.8368903352</v>
      </c>
      <c r="D2372" s="39">
        <f t="shared" si="75"/>
        <v>7459988.4258994991</v>
      </c>
    </row>
    <row r="2373" spans="2:4" x14ac:dyDescent="0.25">
      <c r="B2373" s="90">
        <v>2369</v>
      </c>
      <c r="C2373" s="39">
        <f t="shared" si="74"/>
        <v>8027145.1755038863</v>
      </c>
      <c r="D2373" s="39">
        <f t="shared" si="75"/>
        <v>7463138.7588496255</v>
      </c>
    </row>
    <row r="2374" spans="2:4" x14ac:dyDescent="0.25">
      <c r="B2374" s="90">
        <v>2370</v>
      </c>
      <c r="C2374" s="39">
        <f t="shared" si="74"/>
        <v>8029792.5141174383</v>
      </c>
      <c r="D2374" s="39">
        <f t="shared" si="75"/>
        <v>7466289.0917997519</v>
      </c>
    </row>
    <row r="2375" spans="2:4" x14ac:dyDescent="0.25">
      <c r="B2375" s="90">
        <v>2371</v>
      </c>
      <c r="C2375" s="39">
        <f t="shared" si="74"/>
        <v>8032439.8527309895</v>
      </c>
      <c r="D2375" s="39">
        <f t="shared" si="75"/>
        <v>7469439.4247498782</v>
      </c>
    </row>
    <row r="2376" spans="2:4" x14ac:dyDescent="0.25">
      <c r="B2376" s="90">
        <v>2372</v>
      </c>
      <c r="C2376" s="39">
        <f t="shared" si="74"/>
        <v>8035087.1913445415</v>
      </c>
      <c r="D2376" s="39">
        <f t="shared" si="75"/>
        <v>7472589.7577000046</v>
      </c>
    </row>
    <row r="2377" spans="2:4" x14ac:dyDescent="0.25">
      <c r="B2377" s="90">
        <v>2373</v>
      </c>
      <c r="C2377" s="39">
        <f t="shared" si="74"/>
        <v>8037734.5299580926</v>
      </c>
      <c r="D2377" s="39">
        <f t="shared" si="75"/>
        <v>7475740.090650131</v>
      </c>
    </row>
    <row r="2378" spans="2:4" x14ac:dyDescent="0.25">
      <c r="B2378" s="90">
        <v>2374</v>
      </c>
      <c r="C2378" s="39">
        <f t="shared" si="74"/>
        <v>8040381.8685716446</v>
      </c>
      <c r="D2378" s="39">
        <f t="shared" si="75"/>
        <v>7478890.4236002574</v>
      </c>
    </row>
    <row r="2379" spans="2:4" x14ac:dyDescent="0.25">
      <c r="B2379" s="90">
        <v>2375</v>
      </c>
      <c r="C2379" s="39">
        <f t="shared" si="74"/>
        <v>8043029.2071851967</v>
      </c>
      <c r="D2379" s="39">
        <f t="shared" si="75"/>
        <v>7482040.7565503838</v>
      </c>
    </row>
    <row r="2380" spans="2:4" x14ac:dyDescent="0.25">
      <c r="B2380" s="90">
        <v>2376</v>
      </c>
      <c r="C2380" s="39">
        <f t="shared" si="74"/>
        <v>8045676.5457987478</v>
      </c>
      <c r="D2380" s="39">
        <f t="shared" si="75"/>
        <v>7485191.0895005101</v>
      </c>
    </row>
    <row r="2381" spans="2:4" x14ac:dyDescent="0.25">
      <c r="B2381" s="90">
        <v>2377</v>
      </c>
      <c r="C2381" s="39">
        <f t="shared" si="74"/>
        <v>8048323.8844122998</v>
      </c>
      <c r="D2381" s="39">
        <f t="shared" si="75"/>
        <v>7488341.4224506374</v>
      </c>
    </row>
    <row r="2382" spans="2:4" x14ac:dyDescent="0.25">
      <c r="B2382" s="90">
        <v>2378</v>
      </c>
      <c r="C2382" s="39">
        <f t="shared" si="74"/>
        <v>8050971.223025851</v>
      </c>
      <c r="D2382" s="39">
        <f t="shared" si="75"/>
        <v>7491491.7554007638</v>
      </c>
    </row>
    <row r="2383" spans="2:4" x14ac:dyDescent="0.25">
      <c r="B2383" s="90">
        <v>2379</v>
      </c>
      <c r="C2383" s="39">
        <f t="shared" si="74"/>
        <v>8053618.561639403</v>
      </c>
      <c r="D2383" s="39">
        <f t="shared" si="75"/>
        <v>7494642.0883508902</v>
      </c>
    </row>
    <row r="2384" spans="2:4" x14ac:dyDescent="0.25">
      <c r="B2384" s="90">
        <v>2380</v>
      </c>
      <c r="C2384" s="39">
        <f t="shared" si="74"/>
        <v>8056265.900252955</v>
      </c>
      <c r="D2384" s="39">
        <f t="shared" si="75"/>
        <v>7497792.4213010166</v>
      </c>
    </row>
    <row r="2385" spans="2:4" x14ac:dyDescent="0.25">
      <c r="B2385" s="90">
        <v>2381</v>
      </c>
      <c r="C2385" s="39">
        <f t="shared" si="74"/>
        <v>8058913.2388665061</v>
      </c>
      <c r="D2385" s="39">
        <f t="shared" si="75"/>
        <v>7500942.754251143</v>
      </c>
    </row>
    <row r="2386" spans="2:4" x14ac:dyDescent="0.25">
      <c r="B2386" s="90">
        <v>2382</v>
      </c>
      <c r="C2386" s="39">
        <f t="shared" si="74"/>
        <v>8061560.5774800582</v>
      </c>
      <c r="D2386" s="39">
        <f t="shared" si="75"/>
        <v>7504093.0872012693</v>
      </c>
    </row>
    <row r="2387" spans="2:4" x14ac:dyDescent="0.25">
      <c r="B2387" s="90">
        <v>2383</v>
      </c>
      <c r="C2387" s="39">
        <f t="shared" si="74"/>
        <v>8064207.9160936093</v>
      </c>
      <c r="D2387" s="39">
        <f t="shared" si="75"/>
        <v>7507243.4201513957</v>
      </c>
    </row>
    <row r="2388" spans="2:4" x14ac:dyDescent="0.25">
      <c r="B2388" s="90">
        <v>2384</v>
      </c>
      <c r="C2388" s="39">
        <f t="shared" si="74"/>
        <v>8066855.2547071613</v>
      </c>
      <c r="D2388" s="39">
        <f t="shared" si="75"/>
        <v>7510393.7531015221</v>
      </c>
    </row>
    <row r="2389" spans="2:4" x14ac:dyDescent="0.25">
      <c r="B2389" s="90">
        <v>2385</v>
      </c>
      <c r="C2389" s="39">
        <f t="shared" si="74"/>
        <v>8069502.5933207134</v>
      </c>
      <c r="D2389" s="39">
        <f t="shared" si="75"/>
        <v>7513544.0860516485</v>
      </c>
    </row>
    <row r="2390" spans="2:4" x14ac:dyDescent="0.25">
      <c r="B2390" s="90">
        <v>2386</v>
      </c>
      <c r="C2390" s="39">
        <f t="shared" si="74"/>
        <v>8072149.9319342645</v>
      </c>
      <c r="D2390" s="39">
        <f t="shared" si="75"/>
        <v>7516694.4190017749</v>
      </c>
    </row>
    <row r="2391" spans="2:4" x14ac:dyDescent="0.25">
      <c r="B2391" s="90">
        <v>2387</v>
      </c>
      <c r="C2391" s="39">
        <f t="shared" si="74"/>
        <v>8074797.2705478165</v>
      </c>
      <c r="D2391" s="39">
        <f t="shared" si="75"/>
        <v>7519844.7519519022</v>
      </c>
    </row>
    <row r="2392" spans="2:4" x14ac:dyDescent="0.25">
      <c r="B2392" s="90">
        <v>2388</v>
      </c>
      <c r="C2392" s="39">
        <f t="shared" si="74"/>
        <v>8077444.6091613676</v>
      </c>
      <c r="D2392" s="39">
        <f t="shared" si="75"/>
        <v>7522995.0849020286</v>
      </c>
    </row>
    <row r="2393" spans="2:4" x14ac:dyDescent="0.25">
      <c r="B2393" s="90">
        <v>2389</v>
      </c>
      <c r="C2393" s="39">
        <f t="shared" si="74"/>
        <v>8080091.9477749197</v>
      </c>
      <c r="D2393" s="39">
        <f t="shared" si="75"/>
        <v>7526145.4178521549</v>
      </c>
    </row>
    <row r="2394" spans="2:4" x14ac:dyDescent="0.25">
      <c r="B2394" s="90">
        <v>2390</v>
      </c>
      <c r="C2394" s="39">
        <f t="shared" si="74"/>
        <v>8082739.2863884717</v>
      </c>
      <c r="D2394" s="39">
        <f t="shared" si="75"/>
        <v>7529295.7508022813</v>
      </c>
    </row>
    <row r="2395" spans="2:4" x14ac:dyDescent="0.25">
      <c r="B2395" s="90">
        <v>2391</v>
      </c>
      <c r="C2395" s="39">
        <f t="shared" si="74"/>
        <v>8085386.6250020228</v>
      </c>
      <c r="D2395" s="39">
        <f t="shared" si="75"/>
        <v>7532446.0837524077</v>
      </c>
    </row>
    <row r="2396" spans="2:4" x14ac:dyDescent="0.25">
      <c r="B2396" s="90">
        <v>2392</v>
      </c>
      <c r="C2396" s="39">
        <f t="shared" si="74"/>
        <v>8088033.9636155749</v>
      </c>
      <c r="D2396" s="39">
        <f t="shared" si="75"/>
        <v>7535596.4167025341</v>
      </c>
    </row>
    <row r="2397" spans="2:4" x14ac:dyDescent="0.25">
      <c r="B2397" s="90">
        <v>2393</v>
      </c>
      <c r="C2397" s="39">
        <f t="shared" si="74"/>
        <v>8090681.302229126</v>
      </c>
      <c r="D2397" s="39">
        <f t="shared" si="75"/>
        <v>7538746.7496526605</v>
      </c>
    </row>
    <row r="2398" spans="2:4" x14ac:dyDescent="0.25">
      <c r="B2398" s="90">
        <v>2394</v>
      </c>
      <c r="C2398" s="39">
        <f t="shared" si="74"/>
        <v>8093328.640842678</v>
      </c>
      <c r="D2398" s="39">
        <f t="shared" si="75"/>
        <v>7541897.0826027868</v>
      </c>
    </row>
    <row r="2399" spans="2:4" x14ac:dyDescent="0.25">
      <c r="B2399" s="90">
        <v>2395</v>
      </c>
      <c r="C2399" s="39">
        <f t="shared" si="74"/>
        <v>8095975.9794562301</v>
      </c>
      <c r="D2399" s="39">
        <f t="shared" si="75"/>
        <v>7545047.4155529132</v>
      </c>
    </row>
    <row r="2400" spans="2:4" x14ac:dyDescent="0.25">
      <c r="B2400" s="90">
        <v>2396</v>
      </c>
      <c r="C2400" s="39">
        <f t="shared" si="74"/>
        <v>8098623.3180697812</v>
      </c>
      <c r="D2400" s="39">
        <f t="shared" si="75"/>
        <v>7548197.7485030405</v>
      </c>
    </row>
    <row r="2401" spans="2:4" x14ac:dyDescent="0.25">
      <c r="B2401" s="90">
        <v>2397</v>
      </c>
      <c r="C2401" s="39">
        <f t="shared" si="74"/>
        <v>8101270.6566833332</v>
      </c>
      <c r="D2401" s="39">
        <f t="shared" si="75"/>
        <v>7551348.0814531669</v>
      </c>
    </row>
    <row r="2402" spans="2:4" x14ac:dyDescent="0.25">
      <c r="B2402" s="90">
        <v>2398</v>
      </c>
      <c r="C2402" s="39">
        <f t="shared" si="74"/>
        <v>8103917.9952968843</v>
      </c>
      <c r="D2402" s="39">
        <f t="shared" si="75"/>
        <v>7554498.4144032933</v>
      </c>
    </row>
    <row r="2403" spans="2:4" x14ac:dyDescent="0.25">
      <c r="B2403" s="90">
        <v>2399</v>
      </c>
      <c r="C2403" s="39">
        <f t="shared" si="74"/>
        <v>8106565.3339104364</v>
      </c>
      <c r="D2403" s="39">
        <f t="shared" si="75"/>
        <v>7557648.7473534197</v>
      </c>
    </row>
    <row r="2404" spans="2:4" x14ac:dyDescent="0.25">
      <c r="B2404" s="90">
        <v>2400</v>
      </c>
      <c r="C2404" s="39">
        <f t="shared" si="74"/>
        <v>8109212.6725239875</v>
      </c>
      <c r="D2404" s="39">
        <f t="shared" si="75"/>
        <v>7560799.080303546</v>
      </c>
    </row>
    <row r="2405" spans="2:4" x14ac:dyDescent="0.25">
      <c r="B2405" s="90">
        <v>2401</v>
      </c>
      <c r="C2405" s="39">
        <f t="shared" si="74"/>
        <v>8111860.0111375395</v>
      </c>
      <c r="D2405" s="39">
        <f t="shared" si="75"/>
        <v>7563949.4132536724</v>
      </c>
    </row>
    <row r="2406" spans="2:4" x14ac:dyDescent="0.25">
      <c r="B2406" s="90">
        <v>2402</v>
      </c>
      <c r="C2406" s="39">
        <f t="shared" si="74"/>
        <v>8114507.3497510916</v>
      </c>
      <c r="D2406" s="39">
        <f t="shared" si="75"/>
        <v>7567099.7462037988</v>
      </c>
    </row>
    <row r="2407" spans="2:4" x14ac:dyDescent="0.25">
      <c r="B2407" s="90">
        <v>2403</v>
      </c>
      <c r="C2407" s="39">
        <f t="shared" si="74"/>
        <v>8117154.6883646427</v>
      </c>
      <c r="D2407" s="39">
        <f t="shared" si="75"/>
        <v>7570250.0791539252</v>
      </c>
    </row>
    <row r="2408" spans="2:4" x14ac:dyDescent="0.25">
      <c r="B2408" s="90">
        <v>2404</v>
      </c>
      <c r="C2408" s="39">
        <f t="shared" si="74"/>
        <v>8119802.0269781947</v>
      </c>
      <c r="D2408" s="39">
        <f t="shared" si="75"/>
        <v>7573400.4121040516</v>
      </c>
    </row>
    <row r="2409" spans="2:4" x14ac:dyDescent="0.25">
      <c r="B2409" s="90">
        <v>2405</v>
      </c>
      <c r="C2409" s="39">
        <f t="shared" si="74"/>
        <v>8122449.3655917458</v>
      </c>
      <c r="D2409" s="39">
        <f t="shared" si="75"/>
        <v>7576550.7450541779</v>
      </c>
    </row>
    <row r="2410" spans="2:4" x14ac:dyDescent="0.25">
      <c r="B2410" s="90">
        <v>2406</v>
      </c>
      <c r="C2410" s="39">
        <f t="shared" si="74"/>
        <v>8125096.7042052979</v>
      </c>
      <c r="D2410" s="39">
        <f t="shared" si="75"/>
        <v>7579701.0780043053</v>
      </c>
    </row>
    <row r="2411" spans="2:4" x14ac:dyDescent="0.25">
      <c r="B2411" s="90">
        <v>2407</v>
      </c>
      <c r="C2411" s="39">
        <f t="shared" si="74"/>
        <v>8127744.0428188499</v>
      </c>
      <c r="D2411" s="39">
        <f t="shared" si="75"/>
        <v>7582851.4109544316</v>
      </c>
    </row>
    <row r="2412" spans="2:4" x14ac:dyDescent="0.25">
      <c r="B2412" s="90">
        <v>2408</v>
      </c>
      <c r="C2412" s="39">
        <f t="shared" si="74"/>
        <v>8130391.381432401</v>
      </c>
      <c r="D2412" s="39">
        <f t="shared" si="75"/>
        <v>7586001.743904558</v>
      </c>
    </row>
    <row r="2413" spans="2:4" x14ac:dyDescent="0.25">
      <c r="B2413" s="90">
        <v>2409</v>
      </c>
      <c r="C2413" s="39">
        <f t="shared" si="74"/>
        <v>8133038.7200459531</v>
      </c>
      <c r="D2413" s="39">
        <f t="shared" si="75"/>
        <v>7589152.0768546844</v>
      </c>
    </row>
    <row r="2414" spans="2:4" x14ac:dyDescent="0.25">
      <c r="B2414" s="90">
        <v>2410</v>
      </c>
      <c r="C2414" s="39">
        <f t="shared" si="74"/>
        <v>8135686.0586595042</v>
      </c>
      <c r="D2414" s="39">
        <f t="shared" si="75"/>
        <v>7592302.4098048108</v>
      </c>
    </row>
    <row r="2415" spans="2:4" x14ac:dyDescent="0.25">
      <c r="B2415" s="90">
        <v>2411</v>
      </c>
      <c r="C2415" s="39">
        <f t="shared" si="74"/>
        <v>8138333.3972730562</v>
      </c>
      <c r="D2415" s="39">
        <f t="shared" si="75"/>
        <v>7595452.7427549371</v>
      </c>
    </row>
    <row r="2416" spans="2:4" x14ac:dyDescent="0.25">
      <c r="B2416" s="90">
        <v>2412</v>
      </c>
      <c r="C2416" s="39">
        <f t="shared" si="74"/>
        <v>8140980.7358866083</v>
      </c>
      <c r="D2416" s="39">
        <f t="shared" si="75"/>
        <v>7598603.0757050635</v>
      </c>
    </row>
    <row r="2417" spans="2:4" x14ac:dyDescent="0.25">
      <c r="B2417" s="90">
        <v>2413</v>
      </c>
      <c r="C2417" s="39">
        <f t="shared" ref="C2417:C2480" si="76">($C$2*B2417)+$C$1</f>
        <v>8143628.0745001594</v>
      </c>
      <c r="D2417" s="39">
        <f t="shared" ref="D2417:D2480" si="77">$D$2*B2417</f>
        <v>7601753.4086551899</v>
      </c>
    </row>
    <row r="2418" spans="2:4" x14ac:dyDescent="0.25">
      <c r="B2418" s="90">
        <v>2414</v>
      </c>
      <c r="C2418" s="39">
        <f t="shared" si="76"/>
        <v>8146275.4131137114</v>
      </c>
      <c r="D2418" s="39">
        <f t="shared" si="77"/>
        <v>7604903.7416053163</v>
      </c>
    </row>
    <row r="2419" spans="2:4" x14ac:dyDescent="0.25">
      <c r="B2419" s="90">
        <v>2415</v>
      </c>
      <c r="C2419" s="39">
        <f t="shared" si="76"/>
        <v>8148922.7517272625</v>
      </c>
      <c r="D2419" s="39">
        <f t="shared" si="77"/>
        <v>7608054.0745554436</v>
      </c>
    </row>
    <row r="2420" spans="2:4" x14ac:dyDescent="0.25">
      <c r="B2420" s="90">
        <v>2416</v>
      </c>
      <c r="C2420" s="39">
        <f t="shared" si="76"/>
        <v>8151570.0903408146</v>
      </c>
      <c r="D2420" s="39">
        <f t="shared" si="77"/>
        <v>7611204.40750557</v>
      </c>
    </row>
    <row r="2421" spans="2:4" x14ac:dyDescent="0.25">
      <c r="B2421" s="90">
        <v>2417</v>
      </c>
      <c r="C2421" s="39">
        <f t="shared" si="76"/>
        <v>8154217.4289543666</v>
      </c>
      <c r="D2421" s="39">
        <f t="shared" si="77"/>
        <v>7614354.7404556964</v>
      </c>
    </row>
    <row r="2422" spans="2:4" x14ac:dyDescent="0.25">
      <c r="B2422" s="90">
        <v>2418</v>
      </c>
      <c r="C2422" s="39">
        <f t="shared" si="76"/>
        <v>8156864.7675679177</v>
      </c>
      <c r="D2422" s="39">
        <f t="shared" si="77"/>
        <v>7617505.0734058227</v>
      </c>
    </row>
    <row r="2423" spans="2:4" x14ac:dyDescent="0.25">
      <c r="B2423" s="90">
        <v>2419</v>
      </c>
      <c r="C2423" s="39">
        <f t="shared" si="76"/>
        <v>8159512.1061814697</v>
      </c>
      <c r="D2423" s="39">
        <f t="shared" si="77"/>
        <v>7620655.4063559491</v>
      </c>
    </row>
    <row r="2424" spans="2:4" x14ac:dyDescent="0.25">
      <c r="B2424" s="90">
        <v>2420</v>
      </c>
      <c r="C2424" s="39">
        <f t="shared" si="76"/>
        <v>8162159.4447950209</v>
      </c>
      <c r="D2424" s="39">
        <f t="shared" si="77"/>
        <v>7623805.7393060755</v>
      </c>
    </row>
    <row r="2425" spans="2:4" x14ac:dyDescent="0.25">
      <c r="B2425" s="90">
        <v>2421</v>
      </c>
      <c r="C2425" s="39">
        <f t="shared" si="76"/>
        <v>8164806.7834085729</v>
      </c>
      <c r="D2425" s="39">
        <f t="shared" si="77"/>
        <v>7626956.0722562019</v>
      </c>
    </row>
    <row r="2426" spans="2:4" x14ac:dyDescent="0.25">
      <c r="B2426" s="90">
        <v>2422</v>
      </c>
      <c r="C2426" s="39">
        <f t="shared" si="76"/>
        <v>8167454.1220221249</v>
      </c>
      <c r="D2426" s="39">
        <f t="shared" si="77"/>
        <v>7630106.4052063283</v>
      </c>
    </row>
    <row r="2427" spans="2:4" x14ac:dyDescent="0.25">
      <c r="B2427" s="90">
        <v>2423</v>
      </c>
      <c r="C2427" s="39">
        <f t="shared" si="76"/>
        <v>8170101.460635676</v>
      </c>
      <c r="D2427" s="39">
        <f t="shared" si="77"/>
        <v>7633256.7381564546</v>
      </c>
    </row>
    <row r="2428" spans="2:4" x14ac:dyDescent="0.25">
      <c r="B2428" s="90">
        <v>2424</v>
      </c>
      <c r="C2428" s="39">
        <f t="shared" si="76"/>
        <v>8172748.7992492281</v>
      </c>
      <c r="D2428" s="39">
        <f t="shared" si="77"/>
        <v>7636407.071106581</v>
      </c>
    </row>
    <row r="2429" spans="2:4" x14ac:dyDescent="0.25">
      <c r="B2429" s="90">
        <v>2425</v>
      </c>
      <c r="C2429" s="39">
        <f t="shared" si="76"/>
        <v>8175396.1378627792</v>
      </c>
      <c r="D2429" s="39">
        <f t="shared" si="77"/>
        <v>7639557.4040567083</v>
      </c>
    </row>
    <row r="2430" spans="2:4" x14ac:dyDescent="0.25">
      <c r="B2430" s="90">
        <v>2426</v>
      </c>
      <c r="C2430" s="39">
        <f t="shared" si="76"/>
        <v>8178043.4764763312</v>
      </c>
      <c r="D2430" s="39">
        <f t="shared" si="77"/>
        <v>7642707.7370068347</v>
      </c>
    </row>
    <row r="2431" spans="2:4" x14ac:dyDescent="0.25">
      <c r="B2431" s="90">
        <v>2427</v>
      </c>
      <c r="C2431" s="39">
        <f t="shared" si="76"/>
        <v>8180690.8150898824</v>
      </c>
      <c r="D2431" s="39">
        <f t="shared" si="77"/>
        <v>7645858.0699569611</v>
      </c>
    </row>
    <row r="2432" spans="2:4" x14ac:dyDescent="0.25">
      <c r="B2432" s="90">
        <v>2428</v>
      </c>
      <c r="C2432" s="39">
        <f t="shared" si="76"/>
        <v>8183338.1537034344</v>
      </c>
      <c r="D2432" s="39">
        <f t="shared" si="77"/>
        <v>7649008.4029070875</v>
      </c>
    </row>
    <row r="2433" spans="2:4" x14ac:dyDescent="0.25">
      <c r="B2433" s="90">
        <v>2429</v>
      </c>
      <c r="C2433" s="39">
        <f t="shared" si="76"/>
        <v>8185985.4923169864</v>
      </c>
      <c r="D2433" s="39">
        <f t="shared" si="77"/>
        <v>7652158.7358572138</v>
      </c>
    </row>
    <row r="2434" spans="2:4" x14ac:dyDescent="0.25">
      <c r="B2434" s="90">
        <v>2430</v>
      </c>
      <c r="C2434" s="39">
        <f t="shared" si="76"/>
        <v>8188632.8309305375</v>
      </c>
      <c r="D2434" s="39">
        <f t="shared" si="77"/>
        <v>7655309.0688073402</v>
      </c>
    </row>
    <row r="2435" spans="2:4" x14ac:dyDescent="0.25">
      <c r="B2435" s="90">
        <v>2431</v>
      </c>
      <c r="C2435" s="39">
        <f t="shared" si="76"/>
        <v>8191280.1695440896</v>
      </c>
      <c r="D2435" s="39">
        <f t="shared" si="77"/>
        <v>7658459.4017574666</v>
      </c>
    </row>
    <row r="2436" spans="2:4" x14ac:dyDescent="0.25">
      <c r="B2436" s="90">
        <v>2432</v>
      </c>
      <c r="C2436" s="39">
        <f t="shared" si="76"/>
        <v>8193927.5081576407</v>
      </c>
      <c r="D2436" s="39">
        <f t="shared" si="77"/>
        <v>7661609.734707593</v>
      </c>
    </row>
    <row r="2437" spans="2:4" x14ac:dyDescent="0.25">
      <c r="B2437" s="90">
        <v>2433</v>
      </c>
      <c r="C2437" s="39">
        <f t="shared" si="76"/>
        <v>8196574.8467711927</v>
      </c>
      <c r="D2437" s="39">
        <f t="shared" si="77"/>
        <v>7664760.0676577194</v>
      </c>
    </row>
    <row r="2438" spans="2:4" x14ac:dyDescent="0.25">
      <c r="B2438" s="90">
        <v>2434</v>
      </c>
      <c r="C2438" s="39">
        <f t="shared" si="76"/>
        <v>8199222.1853847448</v>
      </c>
      <c r="D2438" s="39">
        <f t="shared" si="77"/>
        <v>7667910.4006078467</v>
      </c>
    </row>
    <row r="2439" spans="2:4" x14ac:dyDescent="0.25">
      <c r="B2439" s="90">
        <v>2435</v>
      </c>
      <c r="C2439" s="39">
        <f t="shared" si="76"/>
        <v>8201869.5239982959</v>
      </c>
      <c r="D2439" s="39">
        <f t="shared" si="77"/>
        <v>7671060.7335579731</v>
      </c>
    </row>
    <row r="2440" spans="2:4" x14ac:dyDescent="0.25">
      <c r="B2440" s="90">
        <v>2436</v>
      </c>
      <c r="C2440" s="39">
        <f t="shared" si="76"/>
        <v>8204516.8626118479</v>
      </c>
      <c r="D2440" s="39">
        <f t="shared" si="77"/>
        <v>7674211.0665080994</v>
      </c>
    </row>
    <row r="2441" spans="2:4" x14ac:dyDescent="0.25">
      <c r="B2441" s="90">
        <v>2437</v>
      </c>
      <c r="C2441" s="39">
        <f t="shared" si="76"/>
        <v>8207164.201225399</v>
      </c>
      <c r="D2441" s="39">
        <f t="shared" si="77"/>
        <v>7677361.3994582258</v>
      </c>
    </row>
    <row r="2442" spans="2:4" x14ac:dyDescent="0.25">
      <c r="B2442" s="90">
        <v>2438</v>
      </c>
      <c r="C2442" s="39">
        <f t="shared" si="76"/>
        <v>8209811.5398389511</v>
      </c>
      <c r="D2442" s="39">
        <f t="shared" si="77"/>
        <v>7680511.7324083522</v>
      </c>
    </row>
    <row r="2443" spans="2:4" x14ac:dyDescent="0.25">
      <c r="B2443" s="90">
        <v>2439</v>
      </c>
      <c r="C2443" s="39">
        <f t="shared" si="76"/>
        <v>8212458.8784525031</v>
      </c>
      <c r="D2443" s="39">
        <f t="shared" si="77"/>
        <v>7683662.0653584786</v>
      </c>
    </row>
    <row r="2444" spans="2:4" x14ac:dyDescent="0.25">
      <c r="B2444" s="90">
        <v>2440</v>
      </c>
      <c r="C2444" s="39">
        <f t="shared" si="76"/>
        <v>8215106.2170660542</v>
      </c>
      <c r="D2444" s="39">
        <f t="shared" si="77"/>
        <v>7686812.398308605</v>
      </c>
    </row>
    <row r="2445" spans="2:4" x14ac:dyDescent="0.25">
      <c r="B2445" s="90">
        <v>2441</v>
      </c>
      <c r="C2445" s="39">
        <f t="shared" si="76"/>
        <v>8217753.5556796063</v>
      </c>
      <c r="D2445" s="39">
        <f t="shared" si="77"/>
        <v>7689962.7312587313</v>
      </c>
    </row>
    <row r="2446" spans="2:4" x14ac:dyDescent="0.25">
      <c r="B2446" s="90">
        <v>2442</v>
      </c>
      <c r="C2446" s="39">
        <f t="shared" si="76"/>
        <v>8220400.8942931574</v>
      </c>
      <c r="D2446" s="39">
        <f t="shared" si="77"/>
        <v>7693113.0642088577</v>
      </c>
    </row>
    <row r="2447" spans="2:4" x14ac:dyDescent="0.25">
      <c r="B2447" s="90">
        <v>2443</v>
      </c>
      <c r="C2447" s="39">
        <f t="shared" si="76"/>
        <v>8223048.2329067094</v>
      </c>
      <c r="D2447" s="39">
        <f t="shared" si="77"/>
        <v>7696263.3971589841</v>
      </c>
    </row>
    <row r="2448" spans="2:4" x14ac:dyDescent="0.25">
      <c r="B2448" s="90">
        <v>2444</v>
      </c>
      <c r="C2448" s="39">
        <f t="shared" si="76"/>
        <v>8225695.5715202615</v>
      </c>
      <c r="D2448" s="39">
        <f t="shared" si="77"/>
        <v>7699413.7301091114</v>
      </c>
    </row>
    <row r="2449" spans="2:4" x14ac:dyDescent="0.25">
      <c r="B2449" s="90">
        <v>2445</v>
      </c>
      <c r="C2449" s="39">
        <f t="shared" si="76"/>
        <v>8228342.9101338126</v>
      </c>
      <c r="D2449" s="39">
        <f t="shared" si="77"/>
        <v>7702564.0630592378</v>
      </c>
    </row>
    <row r="2450" spans="2:4" x14ac:dyDescent="0.25">
      <c r="B2450" s="90">
        <v>2446</v>
      </c>
      <c r="C2450" s="39">
        <f t="shared" si="76"/>
        <v>8230990.2487473646</v>
      </c>
      <c r="D2450" s="39">
        <f t="shared" si="77"/>
        <v>7705714.3960093642</v>
      </c>
    </row>
    <row r="2451" spans="2:4" x14ac:dyDescent="0.25">
      <c r="B2451" s="90">
        <v>2447</v>
      </c>
      <c r="C2451" s="39">
        <f t="shared" si="76"/>
        <v>8233637.5873609157</v>
      </c>
      <c r="D2451" s="39">
        <f t="shared" si="77"/>
        <v>7708864.7289594905</v>
      </c>
    </row>
    <row r="2452" spans="2:4" x14ac:dyDescent="0.25">
      <c r="B2452" s="90">
        <v>2448</v>
      </c>
      <c r="C2452" s="39">
        <f t="shared" si="76"/>
        <v>8236284.9259744678</v>
      </c>
      <c r="D2452" s="39">
        <f t="shared" si="77"/>
        <v>7712015.0619096169</v>
      </c>
    </row>
    <row r="2453" spans="2:4" x14ac:dyDescent="0.25">
      <c r="B2453" s="90">
        <v>2449</v>
      </c>
      <c r="C2453" s="39">
        <f t="shared" si="76"/>
        <v>8238932.2645880198</v>
      </c>
      <c r="D2453" s="39">
        <f t="shared" si="77"/>
        <v>7715165.3948597433</v>
      </c>
    </row>
    <row r="2454" spans="2:4" x14ac:dyDescent="0.25">
      <c r="B2454" s="90">
        <v>2450</v>
      </c>
      <c r="C2454" s="39">
        <f t="shared" si="76"/>
        <v>8241579.6032015709</v>
      </c>
      <c r="D2454" s="39">
        <f t="shared" si="77"/>
        <v>7718315.7278098697</v>
      </c>
    </row>
    <row r="2455" spans="2:4" x14ac:dyDescent="0.25">
      <c r="B2455" s="90">
        <v>2451</v>
      </c>
      <c r="C2455" s="39">
        <f t="shared" si="76"/>
        <v>8244226.941815123</v>
      </c>
      <c r="D2455" s="39">
        <f t="shared" si="77"/>
        <v>7721466.0607599961</v>
      </c>
    </row>
    <row r="2456" spans="2:4" x14ac:dyDescent="0.25">
      <c r="B2456" s="90">
        <v>2452</v>
      </c>
      <c r="C2456" s="39">
        <f t="shared" si="76"/>
        <v>8246874.2804286741</v>
      </c>
      <c r="D2456" s="39">
        <f t="shared" si="77"/>
        <v>7724616.3937101224</v>
      </c>
    </row>
    <row r="2457" spans="2:4" x14ac:dyDescent="0.25">
      <c r="B2457" s="90">
        <v>2453</v>
      </c>
      <c r="C2457" s="39">
        <f t="shared" si="76"/>
        <v>8249521.6190422261</v>
      </c>
      <c r="D2457" s="39">
        <f t="shared" si="77"/>
        <v>7727766.7266602498</v>
      </c>
    </row>
    <row r="2458" spans="2:4" x14ac:dyDescent="0.25">
      <c r="B2458" s="90">
        <v>2454</v>
      </c>
      <c r="C2458" s="39">
        <f t="shared" si="76"/>
        <v>8252168.9576557772</v>
      </c>
      <c r="D2458" s="39">
        <f t="shared" si="77"/>
        <v>7730917.0596103761</v>
      </c>
    </row>
    <row r="2459" spans="2:4" x14ac:dyDescent="0.25">
      <c r="B2459" s="90">
        <v>2455</v>
      </c>
      <c r="C2459" s="39">
        <f t="shared" si="76"/>
        <v>8254816.2962693293</v>
      </c>
      <c r="D2459" s="39">
        <f t="shared" si="77"/>
        <v>7734067.3925605025</v>
      </c>
    </row>
    <row r="2460" spans="2:4" x14ac:dyDescent="0.25">
      <c r="B2460" s="90">
        <v>2456</v>
      </c>
      <c r="C2460" s="39">
        <f t="shared" si="76"/>
        <v>8257463.6348828813</v>
      </c>
      <c r="D2460" s="39">
        <f t="shared" si="77"/>
        <v>7737217.7255106289</v>
      </c>
    </row>
    <row r="2461" spans="2:4" x14ac:dyDescent="0.25">
      <c r="B2461" s="90">
        <v>2457</v>
      </c>
      <c r="C2461" s="39">
        <f t="shared" si="76"/>
        <v>8260110.9734964324</v>
      </c>
      <c r="D2461" s="39">
        <f t="shared" si="77"/>
        <v>7740368.0584607553</v>
      </c>
    </row>
    <row r="2462" spans="2:4" x14ac:dyDescent="0.25">
      <c r="B2462" s="90">
        <v>2458</v>
      </c>
      <c r="C2462" s="39">
        <f t="shared" si="76"/>
        <v>8262758.3121099845</v>
      </c>
      <c r="D2462" s="39">
        <f t="shared" si="77"/>
        <v>7743518.3914108817</v>
      </c>
    </row>
    <row r="2463" spans="2:4" x14ac:dyDescent="0.25">
      <c r="B2463" s="90">
        <v>2459</v>
      </c>
      <c r="C2463" s="39">
        <f t="shared" si="76"/>
        <v>8265405.6507235356</v>
      </c>
      <c r="D2463" s="39">
        <f t="shared" si="77"/>
        <v>7746668.724361008</v>
      </c>
    </row>
    <row r="2464" spans="2:4" x14ac:dyDescent="0.25">
      <c r="B2464" s="90">
        <v>2460</v>
      </c>
      <c r="C2464" s="39">
        <f t="shared" si="76"/>
        <v>8268052.9893370876</v>
      </c>
      <c r="D2464" s="39">
        <f t="shared" si="77"/>
        <v>7749819.0573111344</v>
      </c>
    </row>
    <row r="2465" spans="2:4" x14ac:dyDescent="0.25">
      <c r="B2465" s="90">
        <v>2461</v>
      </c>
      <c r="C2465" s="39">
        <f t="shared" si="76"/>
        <v>8270700.3279506397</v>
      </c>
      <c r="D2465" s="39">
        <f t="shared" si="77"/>
        <v>7752969.3902612608</v>
      </c>
    </row>
    <row r="2466" spans="2:4" x14ac:dyDescent="0.25">
      <c r="B2466" s="90">
        <v>2462</v>
      </c>
      <c r="C2466" s="39">
        <f t="shared" si="76"/>
        <v>8273347.6665641908</v>
      </c>
      <c r="D2466" s="39">
        <f t="shared" si="77"/>
        <v>7756119.7232113872</v>
      </c>
    </row>
    <row r="2467" spans="2:4" x14ac:dyDescent="0.25">
      <c r="B2467" s="90">
        <v>2463</v>
      </c>
      <c r="C2467" s="39">
        <f t="shared" si="76"/>
        <v>8275995.0051777428</v>
      </c>
      <c r="D2467" s="39">
        <f t="shared" si="77"/>
        <v>7759270.0561615145</v>
      </c>
    </row>
    <row r="2468" spans="2:4" x14ac:dyDescent="0.25">
      <c r="B2468" s="90">
        <v>2464</v>
      </c>
      <c r="C2468" s="39">
        <f t="shared" si="76"/>
        <v>8278642.3437912939</v>
      </c>
      <c r="D2468" s="39">
        <f t="shared" si="77"/>
        <v>7762420.3891116409</v>
      </c>
    </row>
    <row r="2469" spans="2:4" x14ac:dyDescent="0.25">
      <c r="B2469" s="90">
        <v>2465</v>
      </c>
      <c r="C2469" s="39">
        <f t="shared" si="76"/>
        <v>8281289.682404846</v>
      </c>
      <c r="D2469" s="39">
        <f t="shared" si="77"/>
        <v>7765570.7220617672</v>
      </c>
    </row>
    <row r="2470" spans="2:4" x14ac:dyDescent="0.25">
      <c r="B2470" s="90">
        <v>2466</v>
      </c>
      <c r="C2470" s="39">
        <f t="shared" si="76"/>
        <v>8283937.021018398</v>
      </c>
      <c r="D2470" s="39">
        <f t="shared" si="77"/>
        <v>7768721.0550118936</v>
      </c>
    </row>
    <row r="2471" spans="2:4" x14ac:dyDescent="0.25">
      <c r="B2471" s="90">
        <v>2467</v>
      </c>
      <c r="C2471" s="39">
        <f t="shared" si="76"/>
        <v>8286584.3596319491</v>
      </c>
      <c r="D2471" s="39">
        <f t="shared" si="77"/>
        <v>7771871.38796202</v>
      </c>
    </row>
    <row r="2472" spans="2:4" x14ac:dyDescent="0.25">
      <c r="B2472" s="90">
        <v>2468</v>
      </c>
      <c r="C2472" s="39">
        <f t="shared" si="76"/>
        <v>8289231.6982455011</v>
      </c>
      <c r="D2472" s="39">
        <f t="shared" si="77"/>
        <v>7775021.7209121464</v>
      </c>
    </row>
    <row r="2473" spans="2:4" x14ac:dyDescent="0.25">
      <c r="B2473" s="90">
        <v>2469</v>
      </c>
      <c r="C2473" s="39">
        <f t="shared" si="76"/>
        <v>8291879.0368590523</v>
      </c>
      <c r="D2473" s="39">
        <f t="shared" si="77"/>
        <v>7778172.0538622728</v>
      </c>
    </row>
    <row r="2474" spans="2:4" x14ac:dyDescent="0.25">
      <c r="B2474" s="90">
        <v>2470</v>
      </c>
      <c r="C2474" s="39">
        <f t="shared" si="76"/>
        <v>8294526.3754726043</v>
      </c>
      <c r="D2474" s="39">
        <f t="shared" si="77"/>
        <v>7781322.3868123991</v>
      </c>
    </row>
    <row r="2475" spans="2:4" x14ac:dyDescent="0.25">
      <c r="B2475" s="90">
        <v>2471</v>
      </c>
      <c r="C2475" s="39">
        <f t="shared" si="76"/>
        <v>8297173.7140861563</v>
      </c>
      <c r="D2475" s="39">
        <f t="shared" si="77"/>
        <v>7784472.7197625255</v>
      </c>
    </row>
    <row r="2476" spans="2:4" x14ac:dyDescent="0.25">
      <c r="B2476" s="90">
        <v>2472</v>
      </c>
      <c r="C2476" s="39">
        <f t="shared" si="76"/>
        <v>8299821.0526997074</v>
      </c>
      <c r="D2476" s="39">
        <f t="shared" si="77"/>
        <v>7787623.0527126528</v>
      </c>
    </row>
    <row r="2477" spans="2:4" x14ac:dyDescent="0.25">
      <c r="B2477" s="90">
        <v>2473</v>
      </c>
      <c r="C2477" s="39">
        <f t="shared" si="76"/>
        <v>8302468.3913132595</v>
      </c>
      <c r="D2477" s="39">
        <f t="shared" si="77"/>
        <v>7790773.3856627792</v>
      </c>
    </row>
    <row r="2478" spans="2:4" x14ac:dyDescent="0.25">
      <c r="B2478" s="90">
        <v>2474</v>
      </c>
      <c r="C2478" s="39">
        <f t="shared" si="76"/>
        <v>8305115.7299268106</v>
      </c>
      <c r="D2478" s="39">
        <f t="shared" si="77"/>
        <v>7793923.7186129056</v>
      </c>
    </row>
    <row r="2479" spans="2:4" x14ac:dyDescent="0.25">
      <c r="B2479" s="90">
        <v>2475</v>
      </c>
      <c r="C2479" s="39">
        <f t="shared" si="76"/>
        <v>8307763.0685403626</v>
      </c>
      <c r="D2479" s="39">
        <f t="shared" si="77"/>
        <v>7797074.051563032</v>
      </c>
    </row>
    <row r="2480" spans="2:4" x14ac:dyDescent="0.25">
      <c r="B2480" s="90">
        <v>2476</v>
      </c>
      <c r="C2480" s="39">
        <f t="shared" si="76"/>
        <v>8310410.4071539138</v>
      </c>
      <c r="D2480" s="39">
        <f t="shared" si="77"/>
        <v>7800224.3845131584</v>
      </c>
    </row>
    <row r="2481" spans="2:4" x14ac:dyDescent="0.25">
      <c r="B2481" s="90">
        <v>2477</v>
      </c>
      <c r="C2481" s="39">
        <f t="shared" ref="C2481:C2544" si="78">($C$2*B2481)+$C$1</f>
        <v>8313057.7457674658</v>
      </c>
      <c r="D2481" s="39">
        <f t="shared" ref="D2481:D2544" si="79">$D$2*B2481</f>
        <v>7803374.7174632847</v>
      </c>
    </row>
    <row r="2482" spans="2:4" x14ac:dyDescent="0.25">
      <c r="B2482" s="90">
        <v>2478</v>
      </c>
      <c r="C2482" s="39">
        <f t="shared" si="78"/>
        <v>8315705.0843810178</v>
      </c>
      <c r="D2482" s="39">
        <f t="shared" si="79"/>
        <v>7806525.0504134111</v>
      </c>
    </row>
    <row r="2483" spans="2:4" x14ac:dyDescent="0.25">
      <c r="B2483" s="90">
        <v>2479</v>
      </c>
      <c r="C2483" s="39">
        <f t="shared" si="78"/>
        <v>8318352.4229945689</v>
      </c>
      <c r="D2483" s="39">
        <f t="shared" si="79"/>
        <v>7809675.3833635375</v>
      </c>
    </row>
    <row r="2484" spans="2:4" x14ac:dyDescent="0.25">
      <c r="B2484" s="90">
        <v>2480</v>
      </c>
      <c r="C2484" s="39">
        <f t="shared" si="78"/>
        <v>8320999.761608121</v>
      </c>
      <c r="D2484" s="39">
        <f t="shared" si="79"/>
        <v>7812825.7163136639</v>
      </c>
    </row>
    <row r="2485" spans="2:4" x14ac:dyDescent="0.25">
      <c r="B2485" s="90">
        <v>2481</v>
      </c>
      <c r="C2485" s="39">
        <f t="shared" si="78"/>
        <v>8323647.1002216721</v>
      </c>
      <c r="D2485" s="39">
        <f t="shared" si="79"/>
        <v>7815976.0492637902</v>
      </c>
    </row>
    <row r="2486" spans="2:4" x14ac:dyDescent="0.25">
      <c r="B2486" s="90">
        <v>2482</v>
      </c>
      <c r="C2486" s="39">
        <f t="shared" si="78"/>
        <v>8326294.4388352241</v>
      </c>
      <c r="D2486" s="39">
        <f t="shared" si="79"/>
        <v>7819126.3822139176</v>
      </c>
    </row>
    <row r="2487" spans="2:4" x14ac:dyDescent="0.25">
      <c r="B2487" s="90">
        <v>2483</v>
      </c>
      <c r="C2487" s="39">
        <f t="shared" si="78"/>
        <v>8328941.7774487762</v>
      </c>
      <c r="D2487" s="39">
        <f t="shared" si="79"/>
        <v>7822276.7151640439</v>
      </c>
    </row>
    <row r="2488" spans="2:4" x14ac:dyDescent="0.25">
      <c r="B2488" s="90">
        <v>2484</v>
      </c>
      <c r="C2488" s="39">
        <f t="shared" si="78"/>
        <v>8331589.1160623273</v>
      </c>
      <c r="D2488" s="39">
        <f t="shared" si="79"/>
        <v>7825427.0481141703</v>
      </c>
    </row>
    <row r="2489" spans="2:4" x14ac:dyDescent="0.25">
      <c r="B2489" s="90">
        <v>2485</v>
      </c>
      <c r="C2489" s="39">
        <f t="shared" si="78"/>
        <v>8334236.4546758793</v>
      </c>
      <c r="D2489" s="39">
        <f t="shared" si="79"/>
        <v>7828577.3810642967</v>
      </c>
    </row>
    <row r="2490" spans="2:4" x14ac:dyDescent="0.25">
      <c r="B2490" s="90">
        <v>2486</v>
      </c>
      <c r="C2490" s="39">
        <f t="shared" si="78"/>
        <v>8336883.7932894304</v>
      </c>
      <c r="D2490" s="39">
        <f t="shared" si="79"/>
        <v>7831727.7140144231</v>
      </c>
    </row>
    <row r="2491" spans="2:4" x14ac:dyDescent="0.25">
      <c r="B2491" s="90">
        <v>2487</v>
      </c>
      <c r="C2491" s="39">
        <f t="shared" si="78"/>
        <v>8339531.1319029825</v>
      </c>
      <c r="D2491" s="39">
        <f t="shared" si="79"/>
        <v>7834878.0469645495</v>
      </c>
    </row>
    <row r="2492" spans="2:4" x14ac:dyDescent="0.25">
      <c r="B2492" s="90">
        <v>2488</v>
      </c>
      <c r="C2492" s="39">
        <f t="shared" si="78"/>
        <v>8342178.4705165345</v>
      </c>
      <c r="D2492" s="39">
        <f t="shared" si="79"/>
        <v>7838028.3799146758</v>
      </c>
    </row>
    <row r="2493" spans="2:4" x14ac:dyDescent="0.25">
      <c r="B2493" s="90">
        <v>2489</v>
      </c>
      <c r="C2493" s="39">
        <f t="shared" si="78"/>
        <v>8344825.8091300856</v>
      </c>
      <c r="D2493" s="39">
        <f t="shared" si="79"/>
        <v>7841178.7128648022</v>
      </c>
    </row>
    <row r="2494" spans="2:4" x14ac:dyDescent="0.25">
      <c r="B2494" s="90">
        <v>2490</v>
      </c>
      <c r="C2494" s="39">
        <f t="shared" si="78"/>
        <v>8347473.1477436377</v>
      </c>
      <c r="D2494" s="39">
        <f t="shared" si="79"/>
        <v>7844329.0458149286</v>
      </c>
    </row>
    <row r="2495" spans="2:4" x14ac:dyDescent="0.25">
      <c r="B2495" s="90">
        <v>2491</v>
      </c>
      <c r="C2495" s="39">
        <f t="shared" si="78"/>
        <v>8350120.4863571888</v>
      </c>
      <c r="D2495" s="39">
        <f t="shared" si="79"/>
        <v>7847479.3787650559</v>
      </c>
    </row>
    <row r="2496" spans="2:4" x14ac:dyDescent="0.25">
      <c r="B2496" s="90">
        <v>2492</v>
      </c>
      <c r="C2496" s="39">
        <f t="shared" si="78"/>
        <v>8352767.8249707408</v>
      </c>
      <c r="D2496" s="39">
        <f t="shared" si="79"/>
        <v>7850629.7117151823</v>
      </c>
    </row>
    <row r="2497" spans="2:4" x14ac:dyDescent="0.25">
      <c r="B2497" s="90">
        <v>2493</v>
      </c>
      <c r="C2497" s="39">
        <f t="shared" si="78"/>
        <v>8355415.1635842929</v>
      </c>
      <c r="D2497" s="39">
        <f t="shared" si="79"/>
        <v>7853780.0446653087</v>
      </c>
    </row>
    <row r="2498" spans="2:4" x14ac:dyDescent="0.25">
      <c r="B2498" s="90">
        <v>2494</v>
      </c>
      <c r="C2498" s="39">
        <f t="shared" si="78"/>
        <v>8358062.502197844</v>
      </c>
      <c r="D2498" s="39">
        <f t="shared" si="79"/>
        <v>7856930.377615435</v>
      </c>
    </row>
    <row r="2499" spans="2:4" x14ac:dyDescent="0.25">
      <c r="B2499" s="90">
        <v>2495</v>
      </c>
      <c r="C2499" s="39">
        <f t="shared" si="78"/>
        <v>8360709.840811396</v>
      </c>
      <c r="D2499" s="39">
        <f t="shared" si="79"/>
        <v>7860080.7105655614</v>
      </c>
    </row>
    <row r="2500" spans="2:4" x14ac:dyDescent="0.25">
      <c r="B2500" s="90">
        <v>2496</v>
      </c>
      <c r="C2500" s="39">
        <f t="shared" si="78"/>
        <v>8363357.1794249471</v>
      </c>
      <c r="D2500" s="39">
        <f t="shared" si="79"/>
        <v>7863231.0435156878</v>
      </c>
    </row>
    <row r="2501" spans="2:4" x14ac:dyDescent="0.25">
      <c r="B2501" s="90">
        <v>2497</v>
      </c>
      <c r="C2501" s="39">
        <f t="shared" si="78"/>
        <v>8366004.5180384992</v>
      </c>
      <c r="D2501" s="39">
        <f t="shared" si="79"/>
        <v>7866381.3764658142</v>
      </c>
    </row>
    <row r="2502" spans="2:4" x14ac:dyDescent="0.25">
      <c r="B2502" s="90">
        <v>2498</v>
      </c>
      <c r="C2502" s="39">
        <f t="shared" si="78"/>
        <v>8368651.8566520512</v>
      </c>
      <c r="D2502" s="39">
        <f t="shared" si="79"/>
        <v>7869531.7094159406</v>
      </c>
    </row>
    <row r="2503" spans="2:4" x14ac:dyDescent="0.25">
      <c r="B2503" s="90">
        <v>2499</v>
      </c>
      <c r="C2503" s="39">
        <f t="shared" si="78"/>
        <v>8371299.1952656023</v>
      </c>
      <c r="D2503" s="39">
        <f t="shared" si="79"/>
        <v>7872682.0423660669</v>
      </c>
    </row>
    <row r="2504" spans="2:4" x14ac:dyDescent="0.25">
      <c r="B2504" s="90">
        <v>2500</v>
      </c>
      <c r="C2504" s="39">
        <f t="shared" si="78"/>
        <v>8373946.5338791544</v>
      </c>
      <c r="D2504" s="39">
        <f t="shared" si="79"/>
        <v>7875832.3753161933</v>
      </c>
    </row>
    <row r="2505" spans="2:4" x14ac:dyDescent="0.25">
      <c r="B2505" s="90">
        <v>2501</v>
      </c>
      <c r="C2505" s="39">
        <f t="shared" si="78"/>
        <v>8376593.8724927055</v>
      </c>
      <c r="D2505" s="39">
        <f t="shared" si="79"/>
        <v>7878982.7082663206</v>
      </c>
    </row>
    <row r="2506" spans="2:4" x14ac:dyDescent="0.25">
      <c r="B2506" s="90">
        <v>2502</v>
      </c>
      <c r="C2506" s="39">
        <f t="shared" si="78"/>
        <v>8379241.2111062575</v>
      </c>
      <c r="D2506" s="39">
        <f t="shared" si="79"/>
        <v>7882133.041216447</v>
      </c>
    </row>
    <row r="2507" spans="2:4" x14ac:dyDescent="0.25">
      <c r="B2507" s="90">
        <v>2503</v>
      </c>
      <c r="C2507" s="39">
        <f t="shared" si="78"/>
        <v>8381888.5497198086</v>
      </c>
      <c r="D2507" s="39">
        <f t="shared" si="79"/>
        <v>7885283.3741665734</v>
      </c>
    </row>
    <row r="2508" spans="2:4" x14ac:dyDescent="0.25">
      <c r="B2508" s="90">
        <v>2504</v>
      </c>
      <c r="C2508" s="39">
        <f t="shared" si="78"/>
        <v>8384535.8883333607</v>
      </c>
      <c r="D2508" s="39">
        <f t="shared" si="79"/>
        <v>7888433.7071166998</v>
      </c>
    </row>
    <row r="2509" spans="2:4" x14ac:dyDescent="0.25">
      <c r="B2509" s="90">
        <v>2505</v>
      </c>
      <c r="C2509" s="39">
        <f t="shared" si="78"/>
        <v>8387183.2269469127</v>
      </c>
      <c r="D2509" s="39">
        <f t="shared" si="79"/>
        <v>7891584.0400668262</v>
      </c>
    </row>
    <row r="2510" spans="2:4" x14ac:dyDescent="0.25">
      <c r="B2510" s="90">
        <v>2506</v>
      </c>
      <c r="C2510" s="39">
        <f t="shared" si="78"/>
        <v>8389830.5655604638</v>
      </c>
      <c r="D2510" s="39">
        <f t="shared" si="79"/>
        <v>7894734.3730169525</v>
      </c>
    </row>
    <row r="2511" spans="2:4" x14ac:dyDescent="0.25">
      <c r="B2511" s="90">
        <v>2507</v>
      </c>
      <c r="C2511" s="39">
        <f t="shared" si="78"/>
        <v>8392477.9041740149</v>
      </c>
      <c r="D2511" s="39">
        <f t="shared" si="79"/>
        <v>7897884.7059670789</v>
      </c>
    </row>
    <row r="2512" spans="2:4" x14ac:dyDescent="0.25">
      <c r="B2512" s="90">
        <v>2508</v>
      </c>
      <c r="C2512" s="39">
        <f t="shared" si="78"/>
        <v>8395125.242787566</v>
      </c>
      <c r="D2512" s="39">
        <f t="shared" si="79"/>
        <v>7901035.0389172053</v>
      </c>
    </row>
    <row r="2513" spans="2:4" x14ac:dyDescent="0.25">
      <c r="B2513" s="90">
        <v>2509</v>
      </c>
      <c r="C2513" s="39">
        <f t="shared" si="78"/>
        <v>8397772.581401119</v>
      </c>
      <c r="D2513" s="39">
        <f t="shared" si="79"/>
        <v>7904185.3718673317</v>
      </c>
    </row>
    <row r="2514" spans="2:4" x14ac:dyDescent="0.25">
      <c r="B2514" s="90">
        <v>2510</v>
      </c>
      <c r="C2514" s="39">
        <f t="shared" si="78"/>
        <v>8400419.920014672</v>
      </c>
      <c r="D2514" s="39">
        <f t="shared" si="79"/>
        <v>7907335.704817459</v>
      </c>
    </row>
    <row r="2515" spans="2:4" x14ac:dyDescent="0.25">
      <c r="B2515" s="90">
        <v>2511</v>
      </c>
      <c r="C2515" s="39">
        <f t="shared" si="78"/>
        <v>8403067.2586282231</v>
      </c>
      <c r="D2515" s="39">
        <f t="shared" si="79"/>
        <v>7910486.0377675854</v>
      </c>
    </row>
    <row r="2516" spans="2:4" x14ac:dyDescent="0.25">
      <c r="B2516" s="90">
        <v>2512</v>
      </c>
      <c r="C2516" s="39">
        <f t="shared" si="78"/>
        <v>8405714.5972417742</v>
      </c>
      <c r="D2516" s="39">
        <f t="shared" si="79"/>
        <v>7913636.3707177117</v>
      </c>
    </row>
    <row r="2517" spans="2:4" x14ac:dyDescent="0.25">
      <c r="B2517" s="90">
        <v>2513</v>
      </c>
      <c r="C2517" s="39">
        <f t="shared" si="78"/>
        <v>8408361.9358553253</v>
      </c>
      <c r="D2517" s="39">
        <f t="shared" si="79"/>
        <v>7916786.7036678381</v>
      </c>
    </row>
    <row r="2518" spans="2:4" x14ac:dyDescent="0.25">
      <c r="B2518" s="90">
        <v>2514</v>
      </c>
      <c r="C2518" s="39">
        <f t="shared" si="78"/>
        <v>8411009.2744688764</v>
      </c>
      <c r="D2518" s="39">
        <f t="shared" si="79"/>
        <v>7919937.0366179645</v>
      </c>
    </row>
    <row r="2519" spans="2:4" x14ac:dyDescent="0.25">
      <c r="B2519" s="90">
        <v>2515</v>
      </c>
      <c r="C2519" s="39">
        <f t="shared" si="78"/>
        <v>8413656.6130824294</v>
      </c>
      <c r="D2519" s="39">
        <f t="shared" si="79"/>
        <v>7923087.3695680909</v>
      </c>
    </row>
    <row r="2520" spans="2:4" x14ac:dyDescent="0.25">
      <c r="B2520" s="90">
        <v>2516</v>
      </c>
      <c r="C2520" s="39">
        <f t="shared" si="78"/>
        <v>8416303.9516959805</v>
      </c>
      <c r="D2520" s="39">
        <f t="shared" si="79"/>
        <v>7926237.7025182173</v>
      </c>
    </row>
    <row r="2521" spans="2:4" x14ac:dyDescent="0.25">
      <c r="B2521" s="90">
        <v>2517</v>
      </c>
      <c r="C2521" s="39">
        <f t="shared" si="78"/>
        <v>8418951.2903095335</v>
      </c>
      <c r="D2521" s="39">
        <f t="shared" si="79"/>
        <v>7929388.0354683436</v>
      </c>
    </row>
    <row r="2522" spans="2:4" x14ac:dyDescent="0.25">
      <c r="B2522" s="90">
        <v>2518</v>
      </c>
      <c r="C2522" s="39">
        <f t="shared" si="78"/>
        <v>8421598.6289230846</v>
      </c>
      <c r="D2522" s="39">
        <f t="shared" si="79"/>
        <v>7932538.36841847</v>
      </c>
    </row>
    <row r="2523" spans="2:4" x14ac:dyDescent="0.25">
      <c r="B2523" s="90">
        <v>2519</v>
      </c>
      <c r="C2523" s="39">
        <f t="shared" si="78"/>
        <v>8424245.9675366357</v>
      </c>
      <c r="D2523" s="39">
        <f t="shared" si="79"/>
        <v>7935688.7013685964</v>
      </c>
    </row>
    <row r="2524" spans="2:4" x14ac:dyDescent="0.25">
      <c r="B2524" s="90">
        <v>2520</v>
      </c>
      <c r="C2524" s="39">
        <f t="shared" si="78"/>
        <v>8426893.3061501868</v>
      </c>
      <c r="D2524" s="39">
        <f t="shared" si="79"/>
        <v>7938839.0343187237</v>
      </c>
    </row>
    <row r="2525" spans="2:4" x14ac:dyDescent="0.25">
      <c r="B2525" s="90">
        <v>2521</v>
      </c>
      <c r="C2525" s="39">
        <f t="shared" si="78"/>
        <v>8429540.6447637379</v>
      </c>
      <c r="D2525" s="39">
        <f t="shared" si="79"/>
        <v>7941989.3672688501</v>
      </c>
    </row>
    <row r="2526" spans="2:4" x14ac:dyDescent="0.25">
      <c r="B2526" s="90">
        <v>2522</v>
      </c>
      <c r="C2526" s="39">
        <f t="shared" si="78"/>
        <v>8432187.9833772909</v>
      </c>
      <c r="D2526" s="39">
        <f t="shared" si="79"/>
        <v>7945139.7002189765</v>
      </c>
    </row>
    <row r="2527" spans="2:4" x14ac:dyDescent="0.25">
      <c r="B2527" s="90">
        <v>2523</v>
      </c>
      <c r="C2527" s="39">
        <f t="shared" si="78"/>
        <v>8434835.321990842</v>
      </c>
      <c r="D2527" s="39">
        <f t="shared" si="79"/>
        <v>7948290.0331691029</v>
      </c>
    </row>
    <row r="2528" spans="2:4" x14ac:dyDescent="0.25">
      <c r="B2528" s="90">
        <v>2524</v>
      </c>
      <c r="C2528" s="39">
        <f t="shared" si="78"/>
        <v>8437482.660604395</v>
      </c>
      <c r="D2528" s="39">
        <f t="shared" si="79"/>
        <v>7951440.3661192292</v>
      </c>
    </row>
    <row r="2529" spans="2:4" x14ac:dyDescent="0.25">
      <c r="B2529" s="90">
        <v>2525</v>
      </c>
      <c r="C2529" s="39">
        <f t="shared" si="78"/>
        <v>8440129.9992179461</v>
      </c>
      <c r="D2529" s="39">
        <f t="shared" si="79"/>
        <v>7954590.6990693556</v>
      </c>
    </row>
    <row r="2530" spans="2:4" x14ac:dyDescent="0.25">
      <c r="B2530" s="90">
        <v>2526</v>
      </c>
      <c r="C2530" s="39">
        <f t="shared" si="78"/>
        <v>8442777.3378314972</v>
      </c>
      <c r="D2530" s="39">
        <f t="shared" si="79"/>
        <v>7957741.032019482</v>
      </c>
    </row>
    <row r="2531" spans="2:4" x14ac:dyDescent="0.25">
      <c r="B2531" s="90">
        <v>2527</v>
      </c>
      <c r="C2531" s="39">
        <f t="shared" si="78"/>
        <v>8445424.6764450483</v>
      </c>
      <c r="D2531" s="39">
        <f t="shared" si="79"/>
        <v>7960891.3649696084</v>
      </c>
    </row>
    <row r="2532" spans="2:4" x14ac:dyDescent="0.25">
      <c r="B2532" s="90">
        <v>2528</v>
      </c>
      <c r="C2532" s="39">
        <f t="shared" si="78"/>
        <v>8448072.0150585994</v>
      </c>
      <c r="D2532" s="39">
        <f t="shared" si="79"/>
        <v>7964041.6979197348</v>
      </c>
    </row>
    <row r="2533" spans="2:4" x14ac:dyDescent="0.25">
      <c r="B2533" s="90">
        <v>2529</v>
      </c>
      <c r="C2533" s="39">
        <f t="shared" si="78"/>
        <v>8450719.3536721524</v>
      </c>
      <c r="D2533" s="39">
        <f t="shared" si="79"/>
        <v>7967192.0308698611</v>
      </c>
    </row>
    <row r="2534" spans="2:4" x14ac:dyDescent="0.25">
      <c r="B2534" s="90">
        <v>2530</v>
      </c>
      <c r="C2534" s="39">
        <f t="shared" si="78"/>
        <v>8453366.6922857035</v>
      </c>
      <c r="D2534" s="39">
        <f t="shared" si="79"/>
        <v>7970342.3638199884</v>
      </c>
    </row>
    <row r="2535" spans="2:4" x14ac:dyDescent="0.25">
      <c r="B2535" s="90">
        <v>2531</v>
      </c>
      <c r="C2535" s="39">
        <f t="shared" si="78"/>
        <v>8456014.0308992565</v>
      </c>
      <c r="D2535" s="39">
        <f t="shared" si="79"/>
        <v>7973492.6967701148</v>
      </c>
    </row>
    <row r="2536" spans="2:4" x14ac:dyDescent="0.25">
      <c r="B2536" s="90">
        <v>2532</v>
      </c>
      <c r="C2536" s="39">
        <f t="shared" si="78"/>
        <v>8458661.3695128076</v>
      </c>
      <c r="D2536" s="39">
        <f t="shared" si="79"/>
        <v>7976643.0297202412</v>
      </c>
    </row>
    <row r="2537" spans="2:4" x14ac:dyDescent="0.25">
      <c r="B2537" s="90">
        <v>2533</v>
      </c>
      <c r="C2537" s="39">
        <f t="shared" si="78"/>
        <v>8461308.7081263587</v>
      </c>
      <c r="D2537" s="39">
        <f t="shared" si="79"/>
        <v>7979793.3626703676</v>
      </c>
    </row>
    <row r="2538" spans="2:4" x14ac:dyDescent="0.25">
      <c r="B2538" s="90">
        <v>2534</v>
      </c>
      <c r="C2538" s="39">
        <f t="shared" si="78"/>
        <v>8463956.0467399098</v>
      </c>
      <c r="D2538" s="39">
        <f t="shared" si="79"/>
        <v>7982943.695620494</v>
      </c>
    </row>
    <row r="2539" spans="2:4" x14ac:dyDescent="0.25">
      <c r="B2539" s="90">
        <v>2535</v>
      </c>
      <c r="C2539" s="39">
        <f t="shared" si="78"/>
        <v>8466603.3853534609</v>
      </c>
      <c r="D2539" s="39">
        <f t="shared" si="79"/>
        <v>7986094.0285706203</v>
      </c>
    </row>
    <row r="2540" spans="2:4" x14ac:dyDescent="0.25">
      <c r="B2540" s="90">
        <v>2536</v>
      </c>
      <c r="C2540" s="39">
        <f t="shared" si="78"/>
        <v>8469250.7239670139</v>
      </c>
      <c r="D2540" s="39">
        <f t="shared" si="79"/>
        <v>7989244.3615207467</v>
      </c>
    </row>
    <row r="2541" spans="2:4" x14ac:dyDescent="0.25">
      <c r="B2541" s="90">
        <v>2537</v>
      </c>
      <c r="C2541" s="39">
        <f t="shared" si="78"/>
        <v>8471898.0625805669</v>
      </c>
      <c r="D2541" s="39">
        <f t="shared" si="79"/>
        <v>7992394.6944708731</v>
      </c>
    </row>
    <row r="2542" spans="2:4" x14ac:dyDescent="0.25">
      <c r="B2542" s="90">
        <v>2538</v>
      </c>
      <c r="C2542" s="39">
        <f t="shared" si="78"/>
        <v>8474545.401194118</v>
      </c>
      <c r="D2542" s="39">
        <f t="shared" si="79"/>
        <v>7995545.0274209995</v>
      </c>
    </row>
    <row r="2543" spans="2:4" x14ac:dyDescent="0.25">
      <c r="B2543" s="90">
        <v>2539</v>
      </c>
      <c r="C2543" s="39">
        <f t="shared" si="78"/>
        <v>8477192.7398076691</v>
      </c>
      <c r="D2543" s="39">
        <f t="shared" si="79"/>
        <v>7998695.3603711268</v>
      </c>
    </row>
    <row r="2544" spans="2:4" x14ac:dyDescent="0.25">
      <c r="B2544" s="90">
        <v>2540</v>
      </c>
      <c r="C2544" s="39">
        <f t="shared" si="78"/>
        <v>8479840.0784212202</v>
      </c>
      <c r="D2544" s="39">
        <f t="shared" si="79"/>
        <v>8001845.6933212532</v>
      </c>
    </row>
    <row r="2545" spans="2:4" x14ac:dyDescent="0.25">
      <c r="B2545" s="90">
        <v>2541</v>
      </c>
      <c r="C2545" s="39">
        <f t="shared" ref="C2545:C2608" si="80">($C$2*B2545)+$C$1</f>
        <v>8482487.4170347713</v>
      </c>
      <c r="D2545" s="39">
        <f t="shared" ref="D2545:D2608" si="81">$D$2*B2545</f>
        <v>8004996.0262713796</v>
      </c>
    </row>
    <row r="2546" spans="2:4" x14ac:dyDescent="0.25">
      <c r="B2546" s="90">
        <v>2542</v>
      </c>
      <c r="C2546" s="39">
        <f t="shared" si="80"/>
        <v>8485134.7556483243</v>
      </c>
      <c r="D2546" s="39">
        <f t="shared" si="81"/>
        <v>8008146.3592215059</v>
      </c>
    </row>
    <row r="2547" spans="2:4" x14ac:dyDescent="0.25">
      <c r="B2547" s="90">
        <v>2543</v>
      </c>
      <c r="C2547" s="39">
        <f t="shared" si="80"/>
        <v>8487782.0942618754</v>
      </c>
      <c r="D2547" s="39">
        <f t="shared" si="81"/>
        <v>8011296.6921716323</v>
      </c>
    </row>
    <row r="2548" spans="2:4" x14ac:dyDescent="0.25">
      <c r="B2548" s="90">
        <v>2544</v>
      </c>
      <c r="C2548" s="39">
        <f t="shared" si="80"/>
        <v>8490429.4328754283</v>
      </c>
      <c r="D2548" s="39">
        <f t="shared" si="81"/>
        <v>8014447.0251217587</v>
      </c>
    </row>
    <row r="2549" spans="2:4" x14ac:dyDescent="0.25">
      <c r="B2549" s="90">
        <v>2545</v>
      </c>
      <c r="C2549" s="39">
        <f t="shared" si="80"/>
        <v>8493076.7714889795</v>
      </c>
      <c r="D2549" s="39">
        <f t="shared" si="81"/>
        <v>8017597.3580718851</v>
      </c>
    </row>
    <row r="2550" spans="2:4" x14ac:dyDescent="0.25">
      <c r="B2550" s="90">
        <v>2546</v>
      </c>
      <c r="C2550" s="39">
        <f t="shared" si="80"/>
        <v>8495724.1101025306</v>
      </c>
      <c r="D2550" s="39">
        <f t="shared" si="81"/>
        <v>8020747.6910220115</v>
      </c>
    </row>
    <row r="2551" spans="2:4" x14ac:dyDescent="0.25">
      <c r="B2551" s="90">
        <v>2547</v>
      </c>
      <c r="C2551" s="39">
        <f t="shared" si="80"/>
        <v>8498371.4487160817</v>
      </c>
      <c r="D2551" s="39">
        <f t="shared" si="81"/>
        <v>8023898.0239721378</v>
      </c>
    </row>
    <row r="2552" spans="2:4" x14ac:dyDescent="0.25">
      <c r="B2552" s="90">
        <v>2548</v>
      </c>
      <c r="C2552" s="39">
        <f t="shared" si="80"/>
        <v>8501018.7873296328</v>
      </c>
      <c r="D2552" s="39">
        <f t="shared" si="81"/>
        <v>8027048.3569222642</v>
      </c>
    </row>
    <row r="2553" spans="2:4" x14ac:dyDescent="0.25">
      <c r="B2553" s="90">
        <v>2549</v>
      </c>
      <c r="C2553" s="39">
        <f t="shared" si="80"/>
        <v>8503666.1259431858</v>
      </c>
      <c r="D2553" s="39">
        <f t="shared" si="81"/>
        <v>8030198.6898723915</v>
      </c>
    </row>
    <row r="2554" spans="2:4" x14ac:dyDescent="0.25">
      <c r="B2554" s="90">
        <v>2550</v>
      </c>
      <c r="C2554" s="39">
        <f t="shared" si="80"/>
        <v>8506313.4645567369</v>
      </c>
      <c r="D2554" s="39">
        <f t="shared" si="81"/>
        <v>8033349.0228225179</v>
      </c>
    </row>
    <row r="2555" spans="2:4" x14ac:dyDescent="0.25">
      <c r="B2555" s="90">
        <v>2551</v>
      </c>
      <c r="C2555" s="39">
        <f t="shared" si="80"/>
        <v>8508960.8031702898</v>
      </c>
      <c r="D2555" s="39">
        <f t="shared" si="81"/>
        <v>8036499.3557726443</v>
      </c>
    </row>
    <row r="2556" spans="2:4" x14ac:dyDescent="0.25">
      <c r="B2556" s="90">
        <v>2552</v>
      </c>
      <c r="C2556" s="39">
        <f t="shared" si="80"/>
        <v>8511608.141783841</v>
      </c>
      <c r="D2556" s="39">
        <f t="shared" si="81"/>
        <v>8039649.6887227707</v>
      </c>
    </row>
    <row r="2557" spans="2:4" x14ac:dyDescent="0.25">
      <c r="B2557" s="90">
        <v>2553</v>
      </c>
      <c r="C2557" s="39">
        <f t="shared" si="80"/>
        <v>8514255.4803973921</v>
      </c>
      <c r="D2557" s="39">
        <f t="shared" si="81"/>
        <v>8042800.021672897</v>
      </c>
    </row>
    <row r="2558" spans="2:4" x14ac:dyDescent="0.25">
      <c r="B2558" s="90">
        <v>2554</v>
      </c>
      <c r="C2558" s="39">
        <f t="shared" si="80"/>
        <v>8516902.8190109432</v>
      </c>
      <c r="D2558" s="39">
        <f t="shared" si="81"/>
        <v>8045950.3546230234</v>
      </c>
    </row>
    <row r="2559" spans="2:4" x14ac:dyDescent="0.25">
      <c r="B2559" s="90">
        <v>2555</v>
      </c>
      <c r="C2559" s="39">
        <f t="shared" si="80"/>
        <v>8519550.1576244943</v>
      </c>
      <c r="D2559" s="39">
        <f t="shared" si="81"/>
        <v>8049100.6875731498</v>
      </c>
    </row>
    <row r="2560" spans="2:4" x14ac:dyDescent="0.25">
      <c r="B2560" s="90">
        <v>2556</v>
      </c>
      <c r="C2560" s="39">
        <f t="shared" si="80"/>
        <v>8522197.4962380473</v>
      </c>
      <c r="D2560" s="39">
        <f t="shared" si="81"/>
        <v>8052251.0205232762</v>
      </c>
    </row>
    <row r="2561" spans="2:4" x14ac:dyDescent="0.25">
      <c r="B2561" s="90">
        <v>2557</v>
      </c>
      <c r="C2561" s="39">
        <f t="shared" si="80"/>
        <v>8524844.8348515984</v>
      </c>
      <c r="D2561" s="39">
        <f t="shared" si="81"/>
        <v>8055401.3534734026</v>
      </c>
    </row>
    <row r="2562" spans="2:4" x14ac:dyDescent="0.25">
      <c r="B2562" s="90">
        <v>2558</v>
      </c>
      <c r="C2562" s="39">
        <f t="shared" si="80"/>
        <v>8527492.1734651513</v>
      </c>
      <c r="D2562" s="39">
        <f t="shared" si="81"/>
        <v>8058551.6864235299</v>
      </c>
    </row>
    <row r="2563" spans="2:4" x14ac:dyDescent="0.25">
      <c r="B2563" s="90">
        <v>2559</v>
      </c>
      <c r="C2563" s="39">
        <f t="shared" si="80"/>
        <v>8530139.5120787024</v>
      </c>
      <c r="D2563" s="39">
        <f t="shared" si="81"/>
        <v>8061702.0193736563</v>
      </c>
    </row>
    <row r="2564" spans="2:4" x14ac:dyDescent="0.25">
      <c r="B2564" s="90">
        <v>2560</v>
      </c>
      <c r="C2564" s="39">
        <f t="shared" si="80"/>
        <v>8532786.8506922536</v>
      </c>
      <c r="D2564" s="39">
        <f t="shared" si="81"/>
        <v>8064852.3523237826</v>
      </c>
    </row>
    <row r="2565" spans="2:4" x14ac:dyDescent="0.25">
      <c r="B2565" s="90">
        <v>2561</v>
      </c>
      <c r="C2565" s="39">
        <f t="shared" si="80"/>
        <v>8535434.1893058047</v>
      </c>
      <c r="D2565" s="39">
        <f t="shared" si="81"/>
        <v>8068002.685273909</v>
      </c>
    </row>
    <row r="2566" spans="2:4" x14ac:dyDescent="0.25">
      <c r="B2566" s="90">
        <v>2562</v>
      </c>
      <c r="C2566" s="39">
        <f t="shared" si="80"/>
        <v>8538081.5279193558</v>
      </c>
      <c r="D2566" s="39">
        <f t="shared" si="81"/>
        <v>8071153.0182240354</v>
      </c>
    </row>
    <row r="2567" spans="2:4" x14ac:dyDescent="0.25">
      <c r="B2567" s="90">
        <v>2563</v>
      </c>
      <c r="C2567" s="39">
        <f t="shared" si="80"/>
        <v>8540728.8665329088</v>
      </c>
      <c r="D2567" s="39">
        <f t="shared" si="81"/>
        <v>8074303.3511741618</v>
      </c>
    </row>
    <row r="2568" spans="2:4" x14ac:dyDescent="0.25">
      <c r="B2568" s="90">
        <v>2564</v>
      </c>
      <c r="C2568" s="39">
        <f t="shared" si="80"/>
        <v>8543376.2051464617</v>
      </c>
      <c r="D2568" s="39">
        <f t="shared" si="81"/>
        <v>8077453.6841242881</v>
      </c>
    </row>
    <row r="2569" spans="2:4" x14ac:dyDescent="0.25">
      <c r="B2569" s="90">
        <v>2565</v>
      </c>
      <c r="C2569" s="39">
        <f t="shared" si="80"/>
        <v>8546023.5437600128</v>
      </c>
      <c r="D2569" s="39">
        <f t="shared" si="81"/>
        <v>8080604.0170744145</v>
      </c>
    </row>
    <row r="2570" spans="2:4" x14ac:dyDescent="0.25">
      <c r="B2570" s="90">
        <v>2566</v>
      </c>
      <c r="C2570" s="39">
        <f t="shared" si="80"/>
        <v>8548670.8823735639</v>
      </c>
      <c r="D2570" s="39">
        <f t="shared" si="81"/>
        <v>8083754.3500245409</v>
      </c>
    </row>
    <row r="2571" spans="2:4" x14ac:dyDescent="0.25">
      <c r="B2571" s="90">
        <v>2567</v>
      </c>
      <c r="C2571" s="39">
        <f t="shared" si="80"/>
        <v>8551318.2209871151</v>
      </c>
      <c r="D2571" s="39">
        <f t="shared" si="81"/>
        <v>8086904.6829746673</v>
      </c>
    </row>
    <row r="2572" spans="2:4" x14ac:dyDescent="0.25">
      <c r="B2572" s="90">
        <v>2568</v>
      </c>
      <c r="C2572" s="39">
        <f t="shared" si="80"/>
        <v>8553965.5596006662</v>
      </c>
      <c r="D2572" s="39">
        <f t="shared" si="81"/>
        <v>8090055.0159247946</v>
      </c>
    </row>
    <row r="2573" spans="2:4" x14ac:dyDescent="0.25">
      <c r="B2573" s="90">
        <v>2569</v>
      </c>
      <c r="C2573" s="39">
        <f t="shared" si="80"/>
        <v>8556612.8982142191</v>
      </c>
      <c r="D2573" s="39">
        <f t="shared" si="81"/>
        <v>8093205.348874921</v>
      </c>
    </row>
    <row r="2574" spans="2:4" x14ac:dyDescent="0.25">
      <c r="B2574" s="90">
        <v>2570</v>
      </c>
      <c r="C2574" s="39">
        <f t="shared" si="80"/>
        <v>8559260.2368277702</v>
      </c>
      <c r="D2574" s="39">
        <f t="shared" si="81"/>
        <v>8096355.6818250474</v>
      </c>
    </row>
    <row r="2575" spans="2:4" x14ac:dyDescent="0.25">
      <c r="B2575" s="90">
        <v>2571</v>
      </c>
      <c r="C2575" s="39">
        <f t="shared" si="80"/>
        <v>8561907.5754413232</v>
      </c>
      <c r="D2575" s="39">
        <f t="shared" si="81"/>
        <v>8099506.0147751737</v>
      </c>
    </row>
    <row r="2576" spans="2:4" x14ac:dyDescent="0.25">
      <c r="B2576" s="90">
        <v>2572</v>
      </c>
      <c r="C2576" s="39">
        <f t="shared" si="80"/>
        <v>8564554.9140548743</v>
      </c>
      <c r="D2576" s="39">
        <f t="shared" si="81"/>
        <v>8102656.3477253001</v>
      </c>
    </row>
    <row r="2577" spans="2:4" x14ac:dyDescent="0.25">
      <c r="B2577" s="90">
        <v>2573</v>
      </c>
      <c r="C2577" s="39">
        <f t="shared" si="80"/>
        <v>8567202.2526684254</v>
      </c>
      <c r="D2577" s="39">
        <f t="shared" si="81"/>
        <v>8105806.6806754265</v>
      </c>
    </row>
    <row r="2578" spans="2:4" x14ac:dyDescent="0.25">
      <c r="B2578" s="90">
        <v>2574</v>
      </c>
      <c r="C2578" s="39">
        <f t="shared" si="80"/>
        <v>8569849.5912819766</v>
      </c>
      <c r="D2578" s="39">
        <f t="shared" si="81"/>
        <v>8108957.0136255529</v>
      </c>
    </row>
    <row r="2579" spans="2:4" x14ac:dyDescent="0.25">
      <c r="B2579" s="90">
        <v>2575</v>
      </c>
      <c r="C2579" s="39">
        <f t="shared" si="80"/>
        <v>8572496.9298955277</v>
      </c>
      <c r="D2579" s="39">
        <f t="shared" si="81"/>
        <v>8112107.3465756793</v>
      </c>
    </row>
    <row r="2580" spans="2:4" x14ac:dyDescent="0.25">
      <c r="B2580" s="90">
        <v>2576</v>
      </c>
      <c r="C2580" s="39">
        <f t="shared" si="80"/>
        <v>8575144.2685090806</v>
      </c>
      <c r="D2580" s="39">
        <f t="shared" si="81"/>
        <v>8115257.6795258056</v>
      </c>
    </row>
    <row r="2581" spans="2:4" x14ac:dyDescent="0.25">
      <c r="B2581" s="90">
        <v>2577</v>
      </c>
      <c r="C2581" s="39">
        <f t="shared" si="80"/>
        <v>8577791.6071226317</v>
      </c>
      <c r="D2581" s="39">
        <f t="shared" si="81"/>
        <v>8118408.0124759329</v>
      </c>
    </row>
    <row r="2582" spans="2:4" x14ac:dyDescent="0.25">
      <c r="B2582" s="90">
        <v>2578</v>
      </c>
      <c r="C2582" s="39">
        <f t="shared" si="80"/>
        <v>8580438.9457361847</v>
      </c>
      <c r="D2582" s="39">
        <f t="shared" si="81"/>
        <v>8121558.3454260593</v>
      </c>
    </row>
    <row r="2583" spans="2:4" x14ac:dyDescent="0.25">
      <c r="B2583" s="90">
        <v>2579</v>
      </c>
      <c r="C2583" s="39">
        <f t="shared" si="80"/>
        <v>8583086.2843497358</v>
      </c>
      <c r="D2583" s="39">
        <f t="shared" si="81"/>
        <v>8124708.6783761857</v>
      </c>
    </row>
    <row r="2584" spans="2:4" x14ac:dyDescent="0.25">
      <c r="B2584" s="90">
        <v>2580</v>
      </c>
      <c r="C2584" s="39">
        <f t="shared" si="80"/>
        <v>8585733.6229632869</v>
      </c>
      <c r="D2584" s="39">
        <f t="shared" si="81"/>
        <v>8127859.0113263121</v>
      </c>
    </row>
    <row r="2585" spans="2:4" x14ac:dyDescent="0.25">
      <c r="B2585" s="90">
        <v>2581</v>
      </c>
      <c r="C2585" s="39">
        <f t="shared" si="80"/>
        <v>8588380.961576838</v>
      </c>
      <c r="D2585" s="39">
        <f t="shared" si="81"/>
        <v>8131009.3442764385</v>
      </c>
    </row>
    <row r="2586" spans="2:4" x14ac:dyDescent="0.25">
      <c r="B2586" s="90">
        <v>2582</v>
      </c>
      <c r="C2586" s="39">
        <f t="shared" si="80"/>
        <v>8591028.3001903892</v>
      </c>
      <c r="D2586" s="39">
        <f t="shared" si="81"/>
        <v>8134159.6772265648</v>
      </c>
    </row>
    <row r="2587" spans="2:4" x14ac:dyDescent="0.25">
      <c r="B2587" s="90">
        <v>2583</v>
      </c>
      <c r="C2587" s="39">
        <f t="shared" si="80"/>
        <v>8593675.6388039421</v>
      </c>
      <c r="D2587" s="39">
        <f t="shared" si="81"/>
        <v>8137310.0101766912</v>
      </c>
    </row>
    <row r="2588" spans="2:4" x14ac:dyDescent="0.25">
      <c r="B2588" s="90">
        <v>2584</v>
      </c>
      <c r="C2588" s="39">
        <f t="shared" si="80"/>
        <v>8596322.9774174932</v>
      </c>
      <c r="D2588" s="39">
        <f t="shared" si="81"/>
        <v>8140460.3431268176</v>
      </c>
    </row>
    <row r="2589" spans="2:4" x14ac:dyDescent="0.25">
      <c r="B2589" s="90">
        <v>2585</v>
      </c>
      <c r="C2589" s="39">
        <f t="shared" si="80"/>
        <v>8598970.3160310462</v>
      </c>
      <c r="D2589" s="39">
        <f t="shared" si="81"/>
        <v>8143610.676076944</v>
      </c>
    </row>
    <row r="2590" spans="2:4" x14ac:dyDescent="0.25">
      <c r="B2590" s="90">
        <v>2586</v>
      </c>
      <c r="C2590" s="39">
        <f t="shared" si="80"/>
        <v>8601617.6546445973</v>
      </c>
      <c r="D2590" s="39">
        <f t="shared" si="81"/>
        <v>8146761.0090270704</v>
      </c>
    </row>
    <row r="2591" spans="2:4" x14ac:dyDescent="0.25">
      <c r="B2591" s="90">
        <v>2587</v>
      </c>
      <c r="C2591" s="39">
        <f t="shared" si="80"/>
        <v>8604264.9932581484</v>
      </c>
      <c r="D2591" s="39">
        <f t="shared" si="81"/>
        <v>8149911.3419771977</v>
      </c>
    </row>
    <row r="2592" spans="2:4" x14ac:dyDescent="0.25">
      <c r="B2592" s="90">
        <v>2588</v>
      </c>
      <c r="C2592" s="39">
        <f t="shared" si="80"/>
        <v>8606912.3318716995</v>
      </c>
      <c r="D2592" s="39">
        <f t="shared" si="81"/>
        <v>8153061.6749273241</v>
      </c>
    </row>
    <row r="2593" spans="2:4" x14ac:dyDescent="0.25">
      <c r="B2593" s="90">
        <v>2589</v>
      </c>
      <c r="C2593" s="39">
        <f t="shared" si="80"/>
        <v>8609559.6704852507</v>
      </c>
      <c r="D2593" s="39">
        <f t="shared" si="81"/>
        <v>8156212.0078774504</v>
      </c>
    </row>
    <row r="2594" spans="2:4" x14ac:dyDescent="0.25">
      <c r="B2594" s="90">
        <v>2590</v>
      </c>
      <c r="C2594" s="39">
        <f t="shared" si="80"/>
        <v>8612207.0090988036</v>
      </c>
      <c r="D2594" s="39">
        <f t="shared" si="81"/>
        <v>8159362.3408275768</v>
      </c>
    </row>
    <row r="2595" spans="2:4" x14ac:dyDescent="0.25">
      <c r="B2595" s="90">
        <v>2591</v>
      </c>
      <c r="C2595" s="39">
        <f t="shared" si="80"/>
        <v>8614854.3477123566</v>
      </c>
      <c r="D2595" s="39">
        <f t="shared" si="81"/>
        <v>8162512.6737777032</v>
      </c>
    </row>
    <row r="2596" spans="2:4" x14ac:dyDescent="0.25">
      <c r="B2596" s="90">
        <v>2592</v>
      </c>
      <c r="C2596" s="39">
        <f t="shared" si="80"/>
        <v>8617501.6863259077</v>
      </c>
      <c r="D2596" s="39">
        <f t="shared" si="81"/>
        <v>8165663.0067278296</v>
      </c>
    </row>
    <row r="2597" spans="2:4" x14ac:dyDescent="0.25">
      <c r="B2597" s="90">
        <v>2593</v>
      </c>
      <c r="C2597" s="39">
        <f t="shared" si="80"/>
        <v>8620149.0249394588</v>
      </c>
      <c r="D2597" s="39">
        <f t="shared" si="81"/>
        <v>8168813.339677956</v>
      </c>
    </row>
    <row r="2598" spans="2:4" x14ac:dyDescent="0.25">
      <c r="B2598" s="90">
        <v>2594</v>
      </c>
      <c r="C2598" s="39">
        <f t="shared" si="80"/>
        <v>8622796.3635530099</v>
      </c>
      <c r="D2598" s="39">
        <f t="shared" si="81"/>
        <v>8171963.6726280823</v>
      </c>
    </row>
    <row r="2599" spans="2:4" x14ac:dyDescent="0.25">
      <c r="B2599" s="90">
        <v>2595</v>
      </c>
      <c r="C2599" s="39">
        <f t="shared" si="80"/>
        <v>8625443.702166561</v>
      </c>
      <c r="D2599" s="39">
        <f t="shared" si="81"/>
        <v>8175114.0055782087</v>
      </c>
    </row>
    <row r="2600" spans="2:4" x14ac:dyDescent="0.25">
      <c r="B2600" s="90">
        <v>2596</v>
      </c>
      <c r="C2600" s="39">
        <f t="shared" si="80"/>
        <v>8628091.040780114</v>
      </c>
      <c r="D2600" s="39">
        <f t="shared" si="81"/>
        <v>8178264.338528336</v>
      </c>
    </row>
    <row r="2601" spans="2:4" x14ac:dyDescent="0.25">
      <c r="B2601" s="90">
        <v>2597</v>
      </c>
      <c r="C2601" s="39">
        <f t="shared" si="80"/>
        <v>8630738.3793936651</v>
      </c>
      <c r="D2601" s="39">
        <f t="shared" si="81"/>
        <v>8181414.6714784624</v>
      </c>
    </row>
    <row r="2602" spans="2:4" x14ac:dyDescent="0.25">
      <c r="B2602" s="90">
        <v>2598</v>
      </c>
      <c r="C2602" s="39">
        <f t="shared" si="80"/>
        <v>8633385.7180072181</v>
      </c>
      <c r="D2602" s="39">
        <f t="shared" si="81"/>
        <v>8184565.0044285888</v>
      </c>
    </row>
    <row r="2603" spans="2:4" x14ac:dyDescent="0.25">
      <c r="B2603" s="90">
        <v>2599</v>
      </c>
      <c r="C2603" s="39">
        <f t="shared" si="80"/>
        <v>8636033.0566207692</v>
      </c>
      <c r="D2603" s="39">
        <f t="shared" si="81"/>
        <v>8187715.3373787152</v>
      </c>
    </row>
    <row r="2604" spans="2:4" x14ac:dyDescent="0.25">
      <c r="B2604" s="90">
        <v>2600</v>
      </c>
      <c r="C2604" s="39">
        <f t="shared" si="80"/>
        <v>8638680.3952343203</v>
      </c>
      <c r="D2604" s="39">
        <f t="shared" si="81"/>
        <v>8190865.6703288415</v>
      </c>
    </row>
    <row r="2605" spans="2:4" x14ac:dyDescent="0.25">
      <c r="B2605" s="90">
        <v>2601</v>
      </c>
      <c r="C2605" s="39">
        <f t="shared" si="80"/>
        <v>8641327.7338478714</v>
      </c>
      <c r="D2605" s="39">
        <f t="shared" si="81"/>
        <v>8194016.0032789679</v>
      </c>
    </row>
    <row r="2606" spans="2:4" x14ac:dyDescent="0.25">
      <c r="B2606" s="90">
        <v>2602</v>
      </c>
      <c r="C2606" s="39">
        <f t="shared" si="80"/>
        <v>8643975.0724614225</v>
      </c>
      <c r="D2606" s="39">
        <f t="shared" si="81"/>
        <v>8197166.3362290943</v>
      </c>
    </row>
    <row r="2607" spans="2:4" x14ac:dyDescent="0.25">
      <c r="B2607" s="90">
        <v>2603</v>
      </c>
      <c r="C2607" s="39">
        <f t="shared" si="80"/>
        <v>8646622.4110749755</v>
      </c>
      <c r="D2607" s="39">
        <f t="shared" si="81"/>
        <v>8200316.6691792207</v>
      </c>
    </row>
    <row r="2608" spans="2:4" x14ac:dyDescent="0.25">
      <c r="B2608" s="90">
        <v>2604</v>
      </c>
      <c r="C2608" s="39">
        <f t="shared" si="80"/>
        <v>8649269.7496885266</v>
      </c>
      <c r="D2608" s="39">
        <f t="shared" si="81"/>
        <v>8203467.0021293471</v>
      </c>
    </row>
    <row r="2609" spans="2:4" x14ac:dyDescent="0.25">
      <c r="B2609" s="90">
        <v>2605</v>
      </c>
      <c r="C2609" s="39">
        <f t="shared" ref="C2609:C2672" si="82">($C$2*B2609)+$C$1</f>
        <v>8651917.0883020796</v>
      </c>
      <c r="D2609" s="39">
        <f t="shared" ref="D2609:D2672" si="83">$D$2*B2609</f>
        <v>8206617.3350794734</v>
      </c>
    </row>
    <row r="2610" spans="2:4" x14ac:dyDescent="0.25">
      <c r="B2610" s="90">
        <v>2606</v>
      </c>
      <c r="C2610" s="39">
        <f t="shared" si="82"/>
        <v>8654564.4269156307</v>
      </c>
      <c r="D2610" s="39">
        <f t="shared" si="83"/>
        <v>8209767.6680296008</v>
      </c>
    </row>
    <row r="2611" spans="2:4" x14ac:dyDescent="0.25">
      <c r="B2611" s="90">
        <v>2607</v>
      </c>
      <c r="C2611" s="39">
        <f t="shared" si="82"/>
        <v>8657211.7655291818</v>
      </c>
      <c r="D2611" s="39">
        <f t="shared" si="83"/>
        <v>8212918.0009797271</v>
      </c>
    </row>
    <row r="2612" spans="2:4" x14ac:dyDescent="0.25">
      <c r="B2612" s="90">
        <v>2608</v>
      </c>
      <c r="C2612" s="39">
        <f t="shared" si="82"/>
        <v>8659859.1041427329</v>
      </c>
      <c r="D2612" s="39">
        <f t="shared" si="83"/>
        <v>8216068.3339298535</v>
      </c>
    </row>
    <row r="2613" spans="2:4" x14ac:dyDescent="0.25">
      <c r="B2613" s="90">
        <v>2609</v>
      </c>
      <c r="C2613" s="39">
        <f t="shared" si="82"/>
        <v>8662506.442756284</v>
      </c>
      <c r="D2613" s="39">
        <f t="shared" si="83"/>
        <v>8219218.6668799799</v>
      </c>
    </row>
    <row r="2614" spans="2:4" x14ac:dyDescent="0.25">
      <c r="B2614" s="90">
        <v>2610</v>
      </c>
      <c r="C2614" s="39">
        <f t="shared" si="82"/>
        <v>8665153.781369837</v>
      </c>
      <c r="D2614" s="39">
        <f t="shared" si="83"/>
        <v>8222368.9998301063</v>
      </c>
    </row>
    <row r="2615" spans="2:4" x14ac:dyDescent="0.25">
      <c r="B2615" s="90">
        <v>2611</v>
      </c>
      <c r="C2615" s="39">
        <f t="shared" si="82"/>
        <v>8667801.1199833881</v>
      </c>
      <c r="D2615" s="39">
        <f t="shared" si="83"/>
        <v>8225519.3327802327</v>
      </c>
    </row>
    <row r="2616" spans="2:4" x14ac:dyDescent="0.25">
      <c r="B2616" s="90">
        <v>2612</v>
      </c>
      <c r="C2616" s="39">
        <f t="shared" si="82"/>
        <v>8670448.4585969411</v>
      </c>
      <c r="D2616" s="39">
        <f t="shared" si="83"/>
        <v>8228669.665730359</v>
      </c>
    </row>
    <row r="2617" spans="2:4" x14ac:dyDescent="0.25">
      <c r="B2617" s="90">
        <v>2613</v>
      </c>
      <c r="C2617" s="39">
        <f t="shared" si="82"/>
        <v>8673095.7972104922</v>
      </c>
      <c r="D2617" s="39">
        <f t="shared" si="83"/>
        <v>8231819.9986804854</v>
      </c>
    </row>
    <row r="2618" spans="2:4" x14ac:dyDescent="0.25">
      <c r="B2618" s="90">
        <v>2614</v>
      </c>
      <c r="C2618" s="39">
        <f t="shared" si="82"/>
        <v>8675743.1358240433</v>
      </c>
      <c r="D2618" s="39">
        <f t="shared" si="83"/>
        <v>8234970.3316306118</v>
      </c>
    </row>
    <row r="2619" spans="2:4" x14ac:dyDescent="0.25">
      <c r="B2619" s="90">
        <v>2615</v>
      </c>
      <c r="C2619" s="39">
        <f t="shared" si="82"/>
        <v>8678390.4744375944</v>
      </c>
      <c r="D2619" s="39">
        <f t="shared" si="83"/>
        <v>8238120.6645807391</v>
      </c>
    </row>
    <row r="2620" spans="2:4" x14ac:dyDescent="0.25">
      <c r="B2620" s="90">
        <v>2616</v>
      </c>
      <c r="C2620" s="39">
        <f t="shared" si="82"/>
        <v>8681037.8130511455</v>
      </c>
      <c r="D2620" s="39">
        <f t="shared" si="83"/>
        <v>8241270.9975308655</v>
      </c>
    </row>
    <row r="2621" spans="2:4" x14ac:dyDescent="0.25">
      <c r="B2621" s="90">
        <v>2617</v>
      </c>
      <c r="C2621" s="39">
        <f t="shared" si="82"/>
        <v>8683685.1516646985</v>
      </c>
      <c r="D2621" s="39">
        <f t="shared" si="83"/>
        <v>8244421.3304809919</v>
      </c>
    </row>
    <row r="2622" spans="2:4" x14ac:dyDescent="0.25">
      <c r="B2622" s="90">
        <v>2618</v>
      </c>
      <c r="C2622" s="39">
        <f t="shared" si="82"/>
        <v>8686332.4902782515</v>
      </c>
      <c r="D2622" s="39">
        <f t="shared" si="83"/>
        <v>8247571.6634311182</v>
      </c>
    </row>
    <row r="2623" spans="2:4" x14ac:dyDescent="0.25">
      <c r="B2623" s="90">
        <v>2619</v>
      </c>
      <c r="C2623" s="39">
        <f t="shared" si="82"/>
        <v>8688979.8288918026</v>
      </c>
      <c r="D2623" s="39">
        <f t="shared" si="83"/>
        <v>8250721.9963812446</v>
      </c>
    </row>
    <row r="2624" spans="2:4" x14ac:dyDescent="0.25">
      <c r="B2624" s="90">
        <v>2620</v>
      </c>
      <c r="C2624" s="39">
        <f t="shared" si="82"/>
        <v>8691627.1675053537</v>
      </c>
      <c r="D2624" s="39">
        <f t="shared" si="83"/>
        <v>8253872.329331371</v>
      </c>
    </row>
    <row r="2625" spans="2:4" x14ac:dyDescent="0.25">
      <c r="B2625" s="90">
        <v>2621</v>
      </c>
      <c r="C2625" s="39">
        <f t="shared" si="82"/>
        <v>8694274.5061189048</v>
      </c>
      <c r="D2625" s="39">
        <f t="shared" si="83"/>
        <v>8257022.6622814974</v>
      </c>
    </row>
    <row r="2626" spans="2:4" x14ac:dyDescent="0.25">
      <c r="B2626" s="90">
        <v>2622</v>
      </c>
      <c r="C2626" s="39">
        <f t="shared" si="82"/>
        <v>8696921.8447324559</v>
      </c>
      <c r="D2626" s="39">
        <f t="shared" si="83"/>
        <v>8260172.9952316238</v>
      </c>
    </row>
    <row r="2627" spans="2:4" x14ac:dyDescent="0.25">
      <c r="B2627" s="90">
        <v>2623</v>
      </c>
      <c r="C2627" s="39">
        <f t="shared" si="82"/>
        <v>8699569.1833460089</v>
      </c>
      <c r="D2627" s="39">
        <f t="shared" si="83"/>
        <v>8263323.3281817501</v>
      </c>
    </row>
    <row r="2628" spans="2:4" x14ac:dyDescent="0.25">
      <c r="B2628" s="90">
        <v>2624</v>
      </c>
      <c r="C2628" s="39">
        <f t="shared" si="82"/>
        <v>8702216.52195956</v>
      </c>
      <c r="D2628" s="39">
        <f t="shared" si="83"/>
        <v>8266473.6611318765</v>
      </c>
    </row>
    <row r="2629" spans="2:4" x14ac:dyDescent="0.25">
      <c r="B2629" s="90">
        <v>2625</v>
      </c>
      <c r="C2629" s="39">
        <f t="shared" si="82"/>
        <v>8704863.860573113</v>
      </c>
      <c r="D2629" s="39">
        <f t="shared" si="83"/>
        <v>8269623.9940820038</v>
      </c>
    </row>
    <row r="2630" spans="2:4" x14ac:dyDescent="0.25">
      <c r="B2630" s="90">
        <v>2626</v>
      </c>
      <c r="C2630" s="39">
        <f t="shared" si="82"/>
        <v>8707511.1991866641</v>
      </c>
      <c r="D2630" s="39">
        <f t="shared" si="83"/>
        <v>8272774.3270321302</v>
      </c>
    </row>
    <row r="2631" spans="2:4" x14ac:dyDescent="0.25">
      <c r="B2631" s="90">
        <v>2627</v>
      </c>
      <c r="C2631" s="39">
        <f t="shared" si="82"/>
        <v>8710158.5378002152</v>
      </c>
      <c r="D2631" s="39">
        <f t="shared" si="83"/>
        <v>8275924.6599822566</v>
      </c>
    </row>
    <row r="2632" spans="2:4" x14ac:dyDescent="0.25">
      <c r="B2632" s="90">
        <v>2628</v>
      </c>
      <c r="C2632" s="39">
        <f t="shared" si="82"/>
        <v>8712805.8764137663</v>
      </c>
      <c r="D2632" s="39">
        <f t="shared" si="83"/>
        <v>8279074.992932383</v>
      </c>
    </row>
    <row r="2633" spans="2:4" x14ac:dyDescent="0.25">
      <c r="B2633" s="90">
        <v>2629</v>
      </c>
      <c r="C2633" s="39">
        <f t="shared" si="82"/>
        <v>8715453.2150273174</v>
      </c>
      <c r="D2633" s="39">
        <f t="shared" si="83"/>
        <v>8282225.3258825094</v>
      </c>
    </row>
    <row r="2634" spans="2:4" x14ac:dyDescent="0.25">
      <c r="B2634" s="90">
        <v>2630</v>
      </c>
      <c r="C2634" s="39">
        <f t="shared" si="82"/>
        <v>8718100.5536408704</v>
      </c>
      <c r="D2634" s="39">
        <f t="shared" si="83"/>
        <v>8285375.6588326357</v>
      </c>
    </row>
    <row r="2635" spans="2:4" x14ac:dyDescent="0.25">
      <c r="B2635" s="90">
        <v>2631</v>
      </c>
      <c r="C2635" s="39">
        <f t="shared" si="82"/>
        <v>8720747.8922544215</v>
      </c>
      <c r="D2635" s="39">
        <f t="shared" si="83"/>
        <v>8288525.9917827621</v>
      </c>
    </row>
    <row r="2636" spans="2:4" x14ac:dyDescent="0.25">
      <c r="B2636" s="90">
        <v>2632</v>
      </c>
      <c r="C2636" s="39">
        <f t="shared" si="82"/>
        <v>8723395.2308679745</v>
      </c>
      <c r="D2636" s="39">
        <f t="shared" si="83"/>
        <v>8291676.3247328885</v>
      </c>
    </row>
    <row r="2637" spans="2:4" x14ac:dyDescent="0.25">
      <c r="B2637" s="90">
        <v>2633</v>
      </c>
      <c r="C2637" s="39">
        <f t="shared" si="82"/>
        <v>8726042.5694815256</v>
      </c>
      <c r="D2637" s="39">
        <f t="shared" si="83"/>
        <v>8294826.6576830149</v>
      </c>
    </row>
    <row r="2638" spans="2:4" x14ac:dyDescent="0.25">
      <c r="B2638" s="90">
        <v>2634</v>
      </c>
      <c r="C2638" s="39">
        <f t="shared" si="82"/>
        <v>8728689.9080950767</v>
      </c>
      <c r="D2638" s="39">
        <f t="shared" si="83"/>
        <v>8297976.9906331422</v>
      </c>
    </row>
    <row r="2639" spans="2:4" x14ac:dyDescent="0.25">
      <c r="B2639" s="90">
        <v>2635</v>
      </c>
      <c r="C2639" s="39">
        <f t="shared" si="82"/>
        <v>8731337.2467086278</v>
      </c>
      <c r="D2639" s="39">
        <f t="shared" si="83"/>
        <v>8301127.3235832686</v>
      </c>
    </row>
    <row r="2640" spans="2:4" x14ac:dyDescent="0.25">
      <c r="B2640" s="90">
        <v>2636</v>
      </c>
      <c r="C2640" s="39">
        <f t="shared" si="82"/>
        <v>8733984.5853221789</v>
      </c>
      <c r="D2640" s="39">
        <f t="shared" si="83"/>
        <v>8304277.6565333949</v>
      </c>
    </row>
    <row r="2641" spans="2:4" x14ac:dyDescent="0.25">
      <c r="B2641" s="90">
        <v>2637</v>
      </c>
      <c r="C2641" s="39">
        <f t="shared" si="82"/>
        <v>8736631.9239357319</v>
      </c>
      <c r="D2641" s="39">
        <f t="shared" si="83"/>
        <v>8307427.9894835213</v>
      </c>
    </row>
    <row r="2642" spans="2:4" x14ac:dyDescent="0.25">
      <c r="B2642" s="90">
        <v>2638</v>
      </c>
      <c r="C2642" s="39">
        <f t="shared" si="82"/>
        <v>8739279.262549283</v>
      </c>
      <c r="D2642" s="39">
        <f t="shared" si="83"/>
        <v>8310578.3224336477</v>
      </c>
    </row>
    <row r="2643" spans="2:4" x14ac:dyDescent="0.25">
      <c r="B2643" s="90">
        <v>2639</v>
      </c>
      <c r="C2643" s="39">
        <f t="shared" si="82"/>
        <v>8741926.601162836</v>
      </c>
      <c r="D2643" s="39">
        <f t="shared" si="83"/>
        <v>8313728.6553837741</v>
      </c>
    </row>
    <row r="2644" spans="2:4" x14ac:dyDescent="0.25">
      <c r="B2644" s="90">
        <v>2640</v>
      </c>
      <c r="C2644" s="39">
        <f t="shared" si="82"/>
        <v>8744573.9397763871</v>
      </c>
      <c r="D2644" s="39">
        <f t="shared" si="83"/>
        <v>8316878.9883339005</v>
      </c>
    </row>
    <row r="2645" spans="2:4" x14ac:dyDescent="0.25">
      <c r="B2645" s="90">
        <v>2641</v>
      </c>
      <c r="C2645" s="39">
        <f t="shared" si="82"/>
        <v>8747221.2783899382</v>
      </c>
      <c r="D2645" s="39">
        <f t="shared" si="83"/>
        <v>8320029.3212840268</v>
      </c>
    </row>
    <row r="2646" spans="2:4" x14ac:dyDescent="0.25">
      <c r="B2646" s="90">
        <v>2642</v>
      </c>
      <c r="C2646" s="39">
        <f t="shared" si="82"/>
        <v>8749868.6170034893</v>
      </c>
      <c r="D2646" s="39">
        <f t="shared" si="83"/>
        <v>8323179.6542341532</v>
      </c>
    </row>
    <row r="2647" spans="2:4" x14ac:dyDescent="0.25">
      <c r="B2647" s="90">
        <v>2643</v>
      </c>
      <c r="C2647" s="39">
        <f t="shared" si="82"/>
        <v>8752515.9556170404</v>
      </c>
      <c r="D2647" s="39">
        <f t="shared" si="83"/>
        <v>8326329.9871842796</v>
      </c>
    </row>
    <row r="2648" spans="2:4" x14ac:dyDescent="0.25">
      <c r="B2648" s="90">
        <v>2644</v>
      </c>
      <c r="C2648" s="39">
        <f t="shared" si="82"/>
        <v>8755163.2942305934</v>
      </c>
      <c r="D2648" s="39">
        <f t="shared" si="83"/>
        <v>8329480.3201344069</v>
      </c>
    </row>
    <row r="2649" spans="2:4" x14ac:dyDescent="0.25">
      <c r="B2649" s="90">
        <v>2645</v>
      </c>
      <c r="C2649" s="39">
        <f t="shared" si="82"/>
        <v>8757810.6328441463</v>
      </c>
      <c r="D2649" s="39">
        <f t="shared" si="83"/>
        <v>8332630.6530845333</v>
      </c>
    </row>
    <row r="2650" spans="2:4" x14ac:dyDescent="0.25">
      <c r="B2650" s="90">
        <v>2646</v>
      </c>
      <c r="C2650" s="39">
        <f t="shared" si="82"/>
        <v>8760457.9714576975</v>
      </c>
      <c r="D2650" s="39">
        <f t="shared" si="83"/>
        <v>8335780.9860346597</v>
      </c>
    </row>
    <row r="2651" spans="2:4" x14ac:dyDescent="0.25">
      <c r="B2651" s="90">
        <v>2647</v>
      </c>
      <c r="C2651" s="39">
        <f t="shared" si="82"/>
        <v>8763105.3100712486</v>
      </c>
      <c r="D2651" s="39">
        <f t="shared" si="83"/>
        <v>8338931.318984786</v>
      </c>
    </row>
    <row r="2652" spans="2:4" x14ac:dyDescent="0.25">
      <c r="B2652" s="90">
        <v>2648</v>
      </c>
      <c r="C2652" s="39">
        <f t="shared" si="82"/>
        <v>8765752.6486847997</v>
      </c>
      <c r="D2652" s="39">
        <f t="shared" si="83"/>
        <v>8342081.6519349124</v>
      </c>
    </row>
    <row r="2653" spans="2:4" x14ac:dyDescent="0.25">
      <c r="B2653" s="90">
        <v>2649</v>
      </c>
      <c r="C2653" s="39">
        <f t="shared" si="82"/>
        <v>8768399.9872983508</v>
      </c>
      <c r="D2653" s="39">
        <f t="shared" si="83"/>
        <v>8345231.9848850388</v>
      </c>
    </row>
    <row r="2654" spans="2:4" x14ac:dyDescent="0.25">
      <c r="B2654" s="90">
        <v>2650</v>
      </c>
      <c r="C2654" s="39">
        <f t="shared" si="82"/>
        <v>8771047.3259119038</v>
      </c>
      <c r="D2654" s="39">
        <f t="shared" si="83"/>
        <v>8348382.3178351652</v>
      </c>
    </row>
    <row r="2655" spans="2:4" x14ac:dyDescent="0.25">
      <c r="B2655" s="90">
        <v>2651</v>
      </c>
      <c r="C2655" s="39">
        <f t="shared" si="82"/>
        <v>8773694.6645254549</v>
      </c>
      <c r="D2655" s="39">
        <f t="shared" si="83"/>
        <v>8351532.6507852916</v>
      </c>
    </row>
    <row r="2656" spans="2:4" x14ac:dyDescent="0.25">
      <c r="B2656" s="90">
        <v>2652</v>
      </c>
      <c r="C2656" s="39">
        <f t="shared" si="82"/>
        <v>8776342.0031390078</v>
      </c>
      <c r="D2656" s="39">
        <f t="shared" si="83"/>
        <v>8354682.9837354179</v>
      </c>
    </row>
    <row r="2657" spans="2:4" x14ac:dyDescent="0.25">
      <c r="B2657" s="90">
        <v>2653</v>
      </c>
      <c r="C2657" s="39">
        <f t="shared" si="82"/>
        <v>8778989.3417525589</v>
      </c>
      <c r="D2657" s="39">
        <f t="shared" si="83"/>
        <v>8357833.3166855453</v>
      </c>
    </row>
    <row r="2658" spans="2:4" x14ac:dyDescent="0.25">
      <c r="B2658" s="90">
        <v>2654</v>
      </c>
      <c r="C2658" s="39">
        <f t="shared" si="82"/>
        <v>8781636.6803661101</v>
      </c>
      <c r="D2658" s="39">
        <f t="shared" si="83"/>
        <v>8360983.6496356716</v>
      </c>
    </row>
    <row r="2659" spans="2:4" x14ac:dyDescent="0.25">
      <c r="B2659" s="90">
        <v>2655</v>
      </c>
      <c r="C2659" s="39">
        <f t="shared" si="82"/>
        <v>8784284.0189796612</v>
      </c>
      <c r="D2659" s="39">
        <f t="shared" si="83"/>
        <v>8364133.982585798</v>
      </c>
    </row>
    <row r="2660" spans="2:4" x14ac:dyDescent="0.25">
      <c r="B2660" s="90">
        <v>2656</v>
      </c>
      <c r="C2660" s="39">
        <f t="shared" si="82"/>
        <v>8786931.3575932123</v>
      </c>
      <c r="D2660" s="39">
        <f t="shared" si="83"/>
        <v>8367284.3155359244</v>
      </c>
    </row>
    <row r="2661" spans="2:4" x14ac:dyDescent="0.25">
      <c r="B2661" s="90">
        <v>2657</v>
      </c>
      <c r="C2661" s="39">
        <f t="shared" si="82"/>
        <v>8789578.6962067652</v>
      </c>
      <c r="D2661" s="39">
        <f t="shared" si="83"/>
        <v>8370434.6484860508</v>
      </c>
    </row>
    <row r="2662" spans="2:4" x14ac:dyDescent="0.25">
      <c r="B2662" s="90">
        <v>2658</v>
      </c>
      <c r="C2662" s="39">
        <f t="shared" si="82"/>
        <v>8792226.0348203164</v>
      </c>
      <c r="D2662" s="39">
        <f t="shared" si="83"/>
        <v>8373584.9814361772</v>
      </c>
    </row>
    <row r="2663" spans="2:4" x14ac:dyDescent="0.25">
      <c r="B2663" s="90">
        <v>2659</v>
      </c>
      <c r="C2663" s="39">
        <f t="shared" si="82"/>
        <v>8794873.3734338693</v>
      </c>
      <c r="D2663" s="39">
        <f t="shared" si="83"/>
        <v>8376735.3143863035</v>
      </c>
    </row>
    <row r="2664" spans="2:4" x14ac:dyDescent="0.25">
      <c r="B2664" s="90">
        <v>2660</v>
      </c>
      <c r="C2664" s="39">
        <f t="shared" si="82"/>
        <v>8797520.7120474204</v>
      </c>
      <c r="D2664" s="39">
        <f t="shared" si="83"/>
        <v>8379885.6473364299</v>
      </c>
    </row>
    <row r="2665" spans="2:4" x14ac:dyDescent="0.25">
      <c r="B2665" s="90">
        <v>2661</v>
      </c>
      <c r="C2665" s="39">
        <f t="shared" si="82"/>
        <v>8800168.0506609716</v>
      </c>
      <c r="D2665" s="39">
        <f t="shared" si="83"/>
        <v>8383035.9802865563</v>
      </c>
    </row>
    <row r="2666" spans="2:4" x14ac:dyDescent="0.25">
      <c r="B2666" s="90">
        <v>2662</v>
      </c>
      <c r="C2666" s="39">
        <f t="shared" si="82"/>
        <v>8802815.3892745227</v>
      </c>
      <c r="D2666" s="39">
        <f t="shared" si="83"/>
        <v>8386186.3132366827</v>
      </c>
    </row>
    <row r="2667" spans="2:4" x14ac:dyDescent="0.25">
      <c r="B2667" s="90">
        <v>2663</v>
      </c>
      <c r="C2667" s="39">
        <f t="shared" si="82"/>
        <v>8805462.7278880738</v>
      </c>
      <c r="D2667" s="39">
        <f t="shared" si="83"/>
        <v>8389336.64618681</v>
      </c>
    </row>
    <row r="2668" spans="2:4" x14ac:dyDescent="0.25">
      <c r="B2668" s="90">
        <v>2664</v>
      </c>
      <c r="C2668" s="39">
        <f t="shared" si="82"/>
        <v>8808110.0665016267</v>
      </c>
      <c r="D2668" s="39">
        <f t="shared" si="83"/>
        <v>8392486.9791369364</v>
      </c>
    </row>
    <row r="2669" spans="2:4" x14ac:dyDescent="0.25">
      <c r="B2669" s="90">
        <v>2665</v>
      </c>
      <c r="C2669" s="39">
        <f t="shared" si="82"/>
        <v>8810757.4051151779</v>
      </c>
      <c r="D2669" s="39">
        <f t="shared" si="83"/>
        <v>8395637.3120870627</v>
      </c>
    </row>
    <row r="2670" spans="2:4" x14ac:dyDescent="0.25">
      <c r="B2670" s="90">
        <v>2666</v>
      </c>
      <c r="C2670" s="39">
        <f t="shared" si="82"/>
        <v>8813404.7437287308</v>
      </c>
      <c r="D2670" s="39">
        <f t="shared" si="83"/>
        <v>8398787.6450371891</v>
      </c>
    </row>
    <row r="2671" spans="2:4" x14ac:dyDescent="0.25">
      <c r="B2671" s="90">
        <v>2667</v>
      </c>
      <c r="C2671" s="39">
        <f t="shared" si="82"/>
        <v>8816052.0823422819</v>
      </c>
      <c r="D2671" s="39">
        <f t="shared" si="83"/>
        <v>8401937.9779873155</v>
      </c>
    </row>
    <row r="2672" spans="2:4" x14ac:dyDescent="0.25">
      <c r="B2672" s="90">
        <v>2668</v>
      </c>
      <c r="C2672" s="39">
        <f t="shared" si="82"/>
        <v>8818699.420955833</v>
      </c>
      <c r="D2672" s="39">
        <f t="shared" si="83"/>
        <v>8405088.3109374419</v>
      </c>
    </row>
    <row r="2673" spans="2:4" x14ac:dyDescent="0.25">
      <c r="B2673" s="90">
        <v>2669</v>
      </c>
      <c r="C2673" s="39">
        <f t="shared" ref="C2673:C2736" si="84">($C$2*B2673)+$C$1</f>
        <v>8821346.7595693842</v>
      </c>
      <c r="D2673" s="39">
        <f t="shared" ref="D2673:D2736" si="85">$D$2*B2673</f>
        <v>8408238.6438875683</v>
      </c>
    </row>
    <row r="2674" spans="2:4" x14ac:dyDescent="0.25">
      <c r="B2674" s="90">
        <v>2670</v>
      </c>
      <c r="C2674" s="39">
        <f t="shared" si="84"/>
        <v>8823994.0981829353</v>
      </c>
      <c r="D2674" s="39">
        <f t="shared" si="85"/>
        <v>8411388.9768376946</v>
      </c>
    </row>
    <row r="2675" spans="2:4" x14ac:dyDescent="0.25">
      <c r="B2675" s="90">
        <v>2671</v>
      </c>
      <c r="C2675" s="39">
        <f t="shared" si="84"/>
        <v>8826641.4367964882</v>
      </c>
      <c r="D2675" s="39">
        <f t="shared" si="85"/>
        <v>8414539.309787821</v>
      </c>
    </row>
    <row r="2676" spans="2:4" x14ac:dyDescent="0.25">
      <c r="B2676" s="90">
        <v>2672</v>
      </c>
      <c r="C2676" s="39">
        <f t="shared" si="84"/>
        <v>8829288.7754100412</v>
      </c>
      <c r="D2676" s="39">
        <f t="shared" si="85"/>
        <v>8417689.6427379474</v>
      </c>
    </row>
    <row r="2677" spans="2:4" x14ac:dyDescent="0.25">
      <c r="B2677" s="90">
        <v>2673</v>
      </c>
      <c r="C2677" s="39">
        <f t="shared" si="84"/>
        <v>8831936.1140235923</v>
      </c>
      <c r="D2677" s="39">
        <f t="shared" si="85"/>
        <v>8420839.9756880738</v>
      </c>
    </row>
    <row r="2678" spans="2:4" x14ac:dyDescent="0.25">
      <c r="B2678" s="90">
        <v>2674</v>
      </c>
      <c r="C2678" s="39">
        <f t="shared" si="84"/>
        <v>8834583.4526371434</v>
      </c>
      <c r="D2678" s="39">
        <f t="shared" si="85"/>
        <v>8423990.3086382002</v>
      </c>
    </row>
    <row r="2679" spans="2:4" x14ac:dyDescent="0.25">
      <c r="B2679" s="90">
        <v>2675</v>
      </c>
      <c r="C2679" s="39">
        <f t="shared" si="84"/>
        <v>8837230.7912506945</v>
      </c>
      <c r="D2679" s="39">
        <f t="shared" si="85"/>
        <v>8427140.6415883265</v>
      </c>
    </row>
    <row r="2680" spans="2:4" x14ac:dyDescent="0.25">
      <c r="B2680" s="90">
        <v>2676</v>
      </c>
      <c r="C2680" s="39">
        <f t="shared" si="84"/>
        <v>8839878.1298642457</v>
      </c>
      <c r="D2680" s="39">
        <f t="shared" si="85"/>
        <v>8430290.9745384529</v>
      </c>
    </row>
    <row r="2681" spans="2:4" x14ac:dyDescent="0.25">
      <c r="B2681" s="90">
        <v>2677</v>
      </c>
      <c r="C2681" s="39">
        <f t="shared" si="84"/>
        <v>8842525.4684777986</v>
      </c>
      <c r="D2681" s="39">
        <f t="shared" si="85"/>
        <v>8433441.3074885812</v>
      </c>
    </row>
    <row r="2682" spans="2:4" x14ac:dyDescent="0.25">
      <c r="B2682" s="90">
        <v>2678</v>
      </c>
      <c r="C2682" s="39">
        <f t="shared" si="84"/>
        <v>8845172.8070913497</v>
      </c>
      <c r="D2682" s="39">
        <f t="shared" si="85"/>
        <v>8436591.6404387075</v>
      </c>
    </row>
    <row r="2683" spans="2:4" x14ac:dyDescent="0.25">
      <c r="B2683" s="90">
        <v>2679</v>
      </c>
      <c r="C2683" s="39">
        <f t="shared" si="84"/>
        <v>8847820.1457049027</v>
      </c>
      <c r="D2683" s="39">
        <f t="shared" si="85"/>
        <v>8439741.9733888339</v>
      </c>
    </row>
    <row r="2684" spans="2:4" x14ac:dyDescent="0.25">
      <c r="B2684" s="90">
        <v>2680</v>
      </c>
      <c r="C2684" s="39">
        <f t="shared" si="84"/>
        <v>8850467.4843184538</v>
      </c>
      <c r="D2684" s="39">
        <f t="shared" si="85"/>
        <v>8442892.3063389603</v>
      </c>
    </row>
    <row r="2685" spans="2:4" x14ac:dyDescent="0.25">
      <c r="B2685" s="90">
        <v>2681</v>
      </c>
      <c r="C2685" s="39">
        <f t="shared" si="84"/>
        <v>8853114.8229320049</v>
      </c>
      <c r="D2685" s="39">
        <f t="shared" si="85"/>
        <v>8446042.6392890867</v>
      </c>
    </row>
    <row r="2686" spans="2:4" x14ac:dyDescent="0.25">
      <c r="B2686" s="90">
        <v>2682</v>
      </c>
      <c r="C2686" s="39">
        <f t="shared" si="84"/>
        <v>8855762.161545556</v>
      </c>
      <c r="D2686" s="39">
        <f t="shared" si="85"/>
        <v>8449192.9722392131</v>
      </c>
    </row>
    <row r="2687" spans="2:4" x14ac:dyDescent="0.25">
      <c r="B2687" s="90">
        <v>2683</v>
      </c>
      <c r="C2687" s="39">
        <f t="shared" si="84"/>
        <v>8858409.5001591071</v>
      </c>
      <c r="D2687" s="39">
        <f t="shared" si="85"/>
        <v>8452343.3051893394</v>
      </c>
    </row>
    <row r="2688" spans="2:4" x14ac:dyDescent="0.25">
      <c r="B2688" s="90">
        <v>2684</v>
      </c>
      <c r="C2688" s="39">
        <f t="shared" si="84"/>
        <v>8861056.8387726601</v>
      </c>
      <c r="D2688" s="39">
        <f t="shared" si="85"/>
        <v>8455493.6381394658</v>
      </c>
    </row>
    <row r="2689" spans="2:4" x14ac:dyDescent="0.25">
      <c r="B2689" s="90">
        <v>2685</v>
      </c>
      <c r="C2689" s="39">
        <f t="shared" si="84"/>
        <v>8863704.1773862112</v>
      </c>
      <c r="D2689" s="39">
        <f t="shared" si="85"/>
        <v>8458643.9710895922</v>
      </c>
    </row>
    <row r="2690" spans="2:4" x14ac:dyDescent="0.25">
      <c r="B2690" s="90">
        <v>2686</v>
      </c>
      <c r="C2690" s="39">
        <f t="shared" si="84"/>
        <v>8866351.5159997642</v>
      </c>
      <c r="D2690" s="39">
        <f t="shared" si="85"/>
        <v>8461794.3040397186</v>
      </c>
    </row>
    <row r="2691" spans="2:4" x14ac:dyDescent="0.25">
      <c r="B2691" s="90">
        <v>2687</v>
      </c>
      <c r="C2691" s="39">
        <f t="shared" si="84"/>
        <v>8868998.8546133153</v>
      </c>
      <c r="D2691" s="39">
        <f t="shared" si="85"/>
        <v>8464944.636989845</v>
      </c>
    </row>
    <row r="2692" spans="2:4" x14ac:dyDescent="0.25">
      <c r="B2692" s="90">
        <v>2688</v>
      </c>
      <c r="C2692" s="39">
        <f t="shared" si="84"/>
        <v>8871646.1932268664</v>
      </c>
      <c r="D2692" s="39">
        <f t="shared" si="85"/>
        <v>8468094.9699399713</v>
      </c>
    </row>
    <row r="2693" spans="2:4" x14ac:dyDescent="0.25">
      <c r="B2693" s="90">
        <v>2689</v>
      </c>
      <c r="C2693" s="39">
        <f t="shared" si="84"/>
        <v>8874293.5318404175</v>
      </c>
      <c r="D2693" s="39">
        <f t="shared" si="85"/>
        <v>8471245.3028900977</v>
      </c>
    </row>
    <row r="2694" spans="2:4" x14ac:dyDescent="0.25">
      <c r="B2694" s="90">
        <v>2690</v>
      </c>
      <c r="C2694" s="39">
        <f t="shared" si="84"/>
        <v>8876940.8704539686</v>
      </c>
      <c r="D2694" s="39">
        <f t="shared" si="85"/>
        <v>8474395.6358402241</v>
      </c>
    </row>
    <row r="2695" spans="2:4" x14ac:dyDescent="0.25">
      <c r="B2695" s="90">
        <v>2691</v>
      </c>
      <c r="C2695" s="39">
        <f t="shared" si="84"/>
        <v>8879588.2090675216</v>
      </c>
      <c r="D2695" s="39">
        <f t="shared" si="85"/>
        <v>8477545.9687903505</v>
      </c>
    </row>
    <row r="2696" spans="2:4" x14ac:dyDescent="0.25">
      <c r="B2696" s="90">
        <v>2692</v>
      </c>
      <c r="C2696" s="39">
        <f t="shared" si="84"/>
        <v>8882235.5476810727</v>
      </c>
      <c r="D2696" s="39">
        <f t="shared" si="85"/>
        <v>8480696.3017404769</v>
      </c>
    </row>
    <row r="2697" spans="2:4" x14ac:dyDescent="0.25">
      <c r="B2697" s="90">
        <v>2693</v>
      </c>
      <c r="C2697" s="39">
        <f t="shared" si="84"/>
        <v>8884882.8862946257</v>
      </c>
      <c r="D2697" s="39">
        <f t="shared" si="85"/>
        <v>8483846.6346906032</v>
      </c>
    </row>
    <row r="2698" spans="2:4" x14ac:dyDescent="0.25">
      <c r="B2698" s="90">
        <v>2694</v>
      </c>
      <c r="C2698" s="39">
        <f t="shared" si="84"/>
        <v>8887530.2249081768</v>
      </c>
      <c r="D2698" s="39">
        <f t="shared" si="85"/>
        <v>8486996.9676407296</v>
      </c>
    </row>
    <row r="2699" spans="2:4" x14ac:dyDescent="0.25">
      <c r="B2699" s="90">
        <v>2695</v>
      </c>
      <c r="C2699" s="39">
        <f t="shared" si="84"/>
        <v>8890177.5635217279</v>
      </c>
      <c r="D2699" s="39">
        <f t="shared" si="85"/>
        <v>8490147.300590856</v>
      </c>
    </row>
    <row r="2700" spans="2:4" x14ac:dyDescent="0.25">
      <c r="B2700" s="90">
        <v>2696</v>
      </c>
      <c r="C2700" s="39">
        <f t="shared" si="84"/>
        <v>8892824.902135279</v>
      </c>
      <c r="D2700" s="39">
        <f t="shared" si="85"/>
        <v>8493297.6335409842</v>
      </c>
    </row>
    <row r="2701" spans="2:4" x14ac:dyDescent="0.25">
      <c r="B2701" s="90">
        <v>2697</v>
      </c>
      <c r="C2701" s="39">
        <f t="shared" si="84"/>
        <v>8895472.2407488301</v>
      </c>
      <c r="D2701" s="39">
        <f t="shared" si="85"/>
        <v>8496447.9664911106</v>
      </c>
    </row>
    <row r="2702" spans="2:4" x14ac:dyDescent="0.25">
      <c r="B2702" s="90">
        <v>2698</v>
      </c>
      <c r="C2702" s="39">
        <f t="shared" si="84"/>
        <v>8898119.5793623831</v>
      </c>
      <c r="D2702" s="39">
        <f t="shared" si="85"/>
        <v>8499598.299441237</v>
      </c>
    </row>
    <row r="2703" spans="2:4" x14ac:dyDescent="0.25">
      <c r="B2703" s="90">
        <v>2699</v>
      </c>
      <c r="C2703" s="39">
        <f t="shared" si="84"/>
        <v>8900766.9179759361</v>
      </c>
      <c r="D2703" s="39">
        <f t="shared" si="85"/>
        <v>8502748.6323913634</v>
      </c>
    </row>
    <row r="2704" spans="2:4" x14ac:dyDescent="0.25">
      <c r="B2704" s="90">
        <v>2700</v>
      </c>
      <c r="C2704" s="39">
        <f t="shared" si="84"/>
        <v>8903414.2565894872</v>
      </c>
      <c r="D2704" s="39">
        <f t="shared" si="85"/>
        <v>8505898.9653414898</v>
      </c>
    </row>
    <row r="2705" spans="2:4" x14ac:dyDescent="0.25">
      <c r="B2705" s="90">
        <v>2701</v>
      </c>
      <c r="C2705" s="39">
        <f t="shared" si="84"/>
        <v>8906061.5952030383</v>
      </c>
      <c r="D2705" s="39">
        <f t="shared" si="85"/>
        <v>8509049.2982916161</v>
      </c>
    </row>
    <row r="2706" spans="2:4" x14ac:dyDescent="0.25">
      <c r="B2706" s="90">
        <v>2702</v>
      </c>
      <c r="C2706" s="39">
        <f t="shared" si="84"/>
        <v>8908708.9338165894</v>
      </c>
      <c r="D2706" s="39">
        <f t="shared" si="85"/>
        <v>8512199.6312417425</v>
      </c>
    </row>
    <row r="2707" spans="2:4" x14ac:dyDescent="0.25">
      <c r="B2707" s="90">
        <v>2703</v>
      </c>
      <c r="C2707" s="39">
        <f t="shared" si="84"/>
        <v>8911356.2724301405</v>
      </c>
      <c r="D2707" s="39">
        <f t="shared" si="85"/>
        <v>8515349.9641918689</v>
      </c>
    </row>
    <row r="2708" spans="2:4" x14ac:dyDescent="0.25">
      <c r="B2708" s="90">
        <v>2704</v>
      </c>
      <c r="C2708" s="39">
        <f t="shared" si="84"/>
        <v>8914003.6110436935</v>
      </c>
      <c r="D2708" s="39">
        <f t="shared" si="85"/>
        <v>8518500.2971419953</v>
      </c>
    </row>
    <row r="2709" spans="2:4" x14ac:dyDescent="0.25">
      <c r="B2709" s="90">
        <v>2705</v>
      </c>
      <c r="C2709" s="39">
        <f t="shared" si="84"/>
        <v>8916650.9496572446</v>
      </c>
      <c r="D2709" s="39">
        <f t="shared" si="85"/>
        <v>8521650.6300921217</v>
      </c>
    </row>
    <row r="2710" spans="2:4" x14ac:dyDescent="0.25">
      <c r="B2710" s="90">
        <v>2706</v>
      </c>
      <c r="C2710" s="39">
        <f t="shared" si="84"/>
        <v>8919298.2882707976</v>
      </c>
      <c r="D2710" s="39">
        <f t="shared" si="85"/>
        <v>8524800.963042248</v>
      </c>
    </row>
    <row r="2711" spans="2:4" x14ac:dyDescent="0.25">
      <c r="B2711" s="90">
        <v>2707</v>
      </c>
      <c r="C2711" s="39">
        <f t="shared" si="84"/>
        <v>8921945.6268843487</v>
      </c>
      <c r="D2711" s="39">
        <f t="shared" si="85"/>
        <v>8527951.2959923744</v>
      </c>
    </row>
    <row r="2712" spans="2:4" x14ac:dyDescent="0.25">
      <c r="B2712" s="90">
        <v>2708</v>
      </c>
      <c r="C2712" s="39">
        <f t="shared" si="84"/>
        <v>8924592.9654978998</v>
      </c>
      <c r="D2712" s="39">
        <f t="shared" si="85"/>
        <v>8531101.6289425008</v>
      </c>
    </row>
    <row r="2713" spans="2:4" x14ac:dyDescent="0.25">
      <c r="B2713" s="90">
        <v>2709</v>
      </c>
      <c r="C2713" s="39">
        <f t="shared" si="84"/>
        <v>8927240.3041114509</v>
      </c>
      <c r="D2713" s="39">
        <f t="shared" si="85"/>
        <v>8534251.9618926272</v>
      </c>
    </row>
    <row r="2714" spans="2:4" x14ac:dyDescent="0.25">
      <c r="B2714" s="90">
        <v>2710</v>
      </c>
      <c r="C2714" s="39">
        <f t="shared" si="84"/>
        <v>8929887.642725002</v>
      </c>
      <c r="D2714" s="39">
        <f t="shared" si="85"/>
        <v>8537402.2948427536</v>
      </c>
    </row>
    <row r="2715" spans="2:4" x14ac:dyDescent="0.25">
      <c r="B2715" s="90">
        <v>2711</v>
      </c>
      <c r="C2715" s="39">
        <f t="shared" si="84"/>
        <v>8932534.981338555</v>
      </c>
      <c r="D2715" s="39">
        <f t="shared" si="85"/>
        <v>8540552.6277928799</v>
      </c>
    </row>
    <row r="2716" spans="2:4" x14ac:dyDescent="0.25">
      <c r="B2716" s="90">
        <v>2712</v>
      </c>
      <c r="C2716" s="39">
        <f t="shared" si="84"/>
        <v>8935182.3199521061</v>
      </c>
      <c r="D2716" s="39">
        <f t="shared" si="85"/>
        <v>8543702.9607430063</v>
      </c>
    </row>
    <row r="2717" spans="2:4" x14ac:dyDescent="0.25">
      <c r="B2717" s="90">
        <v>2713</v>
      </c>
      <c r="C2717" s="39">
        <f t="shared" si="84"/>
        <v>8937829.6585656591</v>
      </c>
      <c r="D2717" s="39">
        <f t="shared" si="85"/>
        <v>8546853.2936931327</v>
      </c>
    </row>
    <row r="2718" spans="2:4" x14ac:dyDescent="0.25">
      <c r="B2718" s="90">
        <v>2714</v>
      </c>
      <c r="C2718" s="39">
        <f t="shared" si="84"/>
        <v>8940476.9971792102</v>
      </c>
      <c r="D2718" s="39">
        <f t="shared" si="85"/>
        <v>8550003.6266432591</v>
      </c>
    </row>
    <row r="2719" spans="2:4" x14ac:dyDescent="0.25">
      <c r="B2719" s="90">
        <v>2715</v>
      </c>
      <c r="C2719" s="39">
        <f t="shared" si="84"/>
        <v>8943124.3357927613</v>
      </c>
      <c r="D2719" s="39">
        <f t="shared" si="85"/>
        <v>8553153.9595933873</v>
      </c>
    </row>
    <row r="2720" spans="2:4" x14ac:dyDescent="0.25">
      <c r="B2720" s="90">
        <v>2716</v>
      </c>
      <c r="C2720" s="39">
        <f t="shared" si="84"/>
        <v>8945771.6744063124</v>
      </c>
      <c r="D2720" s="39">
        <f t="shared" si="85"/>
        <v>8556304.2925435137</v>
      </c>
    </row>
    <row r="2721" spans="2:4" x14ac:dyDescent="0.25">
      <c r="B2721" s="90">
        <v>2717</v>
      </c>
      <c r="C2721" s="39">
        <f t="shared" si="84"/>
        <v>8948419.0130198635</v>
      </c>
      <c r="D2721" s="39">
        <f t="shared" si="85"/>
        <v>8559454.6254936401</v>
      </c>
    </row>
    <row r="2722" spans="2:4" x14ac:dyDescent="0.25">
      <c r="B2722" s="90">
        <v>2718</v>
      </c>
      <c r="C2722" s="39">
        <f t="shared" si="84"/>
        <v>8951066.3516334165</v>
      </c>
      <c r="D2722" s="39">
        <f t="shared" si="85"/>
        <v>8562604.9584437665</v>
      </c>
    </row>
    <row r="2723" spans="2:4" x14ac:dyDescent="0.25">
      <c r="B2723" s="90">
        <v>2719</v>
      </c>
      <c r="C2723" s="39">
        <f t="shared" si="84"/>
        <v>8953713.6902469676</v>
      </c>
      <c r="D2723" s="39">
        <f t="shared" si="85"/>
        <v>8565755.2913938928</v>
      </c>
    </row>
    <row r="2724" spans="2:4" x14ac:dyDescent="0.25">
      <c r="B2724" s="90">
        <v>2720</v>
      </c>
      <c r="C2724" s="39">
        <f t="shared" si="84"/>
        <v>8956361.0288605206</v>
      </c>
      <c r="D2724" s="39">
        <f t="shared" si="85"/>
        <v>8568905.6243440192</v>
      </c>
    </row>
    <row r="2725" spans="2:4" x14ac:dyDescent="0.25">
      <c r="B2725" s="90">
        <v>2721</v>
      </c>
      <c r="C2725" s="39">
        <f t="shared" si="84"/>
        <v>8959008.3674740717</v>
      </c>
      <c r="D2725" s="39">
        <f t="shared" si="85"/>
        <v>8572055.9572941456</v>
      </c>
    </row>
    <row r="2726" spans="2:4" x14ac:dyDescent="0.25">
      <c r="B2726" s="90">
        <v>2722</v>
      </c>
      <c r="C2726" s="39">
        <f t="shared" si="84"/>
        <v>8961655.7060876228</v>
      </c>
      <c r="D2726" s="39">
        <f t="shared" si="85"/>
        <v>8575206.290244272</v>
      </c>
    </row>
    <row r="2727" spans="2:4" x14ac:dyDescent="0.25">
      <c r="B2727" s="90">
        <v>2723</v>
      </c>
      <c r="C2727" s="39">
        <f t="shared" si="84"/>
        <v>8964303.0447011739</v>
      </c>
      <c r="D2727" s="39">
        <f t="shared" si="85"/>
        <v>8578356.6231943984</v>
      </c>
    </row>
    <row r="2728" spans="2:4" x14ac:dyDescent="0.25">
      <c r="B2728" s="90">
        <v>2724</v>
      </c>
      <c r="C2728" s="39">
        <f t="shared" si="84"/>
        <v>8966950.383314725</v>
      </c>
      <c r="D2728" s="39">
        <f t="shared" si="85"/>
        <v>8581506.9561445247</v>
      </c>
    </row>
    <row r="2729" spans="2:4" x14ac:dyDescent="0.25">
      <c r="B2729" s="90">
        <v>2725</v>
      </c>
      <c r="C2729" s="39">
        <f t="shared" si="84"/>
        <v>8969597.721928278</v>
      </c>
      <c r="D2729" s="39">
        <f t="shared" si="85"/>
        <v>8584657.2890946511</v>
      </c>
    </row>
    <row r="2730" spans="2:4" x14ac:dyDescent="0.25">
      <c r="B2730" s="90">
        <v>2726</v>
      </c>
      <c r="C2730" s="39">
        <f t="shared" si="84"/>
        <v>8972245.060541831</v>
      </c>
      <c r="D2730" s="39">
        <f t="shared" si="85"/>
        <v>8587807.6220447775</v>
      </c>
    </row>
    <row r="2731" spans="2:4" x14ac:dyDescent="0.25">
      <c r="B2731" s="90">
        <v>2727</v>
      </c>
      <c r="C2731" s="39">
        <f t="shared" si="84"/>
        <v>8974892.3991553821</v>
      </c>
      <c r="D2731" s="39">
        <f t="shared" si="85"/>
        <v>8590957.9549949039</v>
      </c>
    </row>
    <row r="2732" spans="2:4" x14ac:dyDescent="0.25">
      <c r="B2732" s="90">
        <v>2728</v>
      </c>
      <c r="C2732" s="39">
        <f t="shared" si="84"/>
        <v>8977539.7377689332</v>
      </c>
      <c r="D2732" s="39">
        <f t="shared" si="85"/>
        <v>8594108.2879450303</v>
      </c>
    </row>
    <row r="2733" spans="2:4" x14ac:dyDescent="0.25">
      <c r="B2733" s="90">
        <v>2729</v>
      </c>
      <c r="C2733" s="39">
        <f t="shared" si="84"/>
        <v>8980187.0763824843</v>
      </c>
      <c r="D2733" s="39">
        <f t="shared" si="85"/>
        <v>8597258.6208951566</v>
      </c>
    </row>
    <row r="2734" spans="2:4" x14ac:dyDescent="0.25">
      <c r="B2734" s="90">
        <v>2730</v>
      </c>
      <c r="C2734" s="39">
        <f t="shared" si="84"/>
        <v>8982834.4149960354</v>
      </c>
      <c r="D2734" s="39">
        <f t="shared" si="85"/>
        <v>8600408.953845283</v>
      </c>
    </row>
    <row r="2735" spans="2:4" x14ac:dyDescent="0.25">
      <c r="B2735" s="90">
        <v>2731</v>
      </c>
      <c r="C2735" s="39">
        <f t="shared" si="84"/>
        <v>8985481.7536095884</v>
      </c>
      <c r="D2735" s="39">
        <f t="shared" si="85"/>
        <v>8603559.2867954094</v>
      </c>
    </row>
    <row r="2736" spans="2:4" x14ac:dyDescent="0.25">
      <c r="B2736" s="90">
        <v>2732</v>
      </c>
      <c r="C2736" s="39">
        <f t="shared" si="84"/>
        <v>8988129.0922231395</v>
      </c>
      <c r="D2736" s="39">
        <f t="shared" si="85"/>
        <v>8606709.6197455358</v>
      </c>
    </row>
    <row r="2737" spans="2:4" x14ac:dyDescent="0.25">
      <c r="B2737" s="90">
        <v>2733</v>
      </c>
      <c r="C2737" s="39">
        <f t="shared" ref="C2737:C2800" si="86">($C$2*B2737)+$C$1</f>
        <v>8990776.4308366925</v>
      </c>
      <c r="D2737" s="39">
        <f t="shared" ref="D2737:D2800" si="87">$D$2*B2737</f>
        <v>8609859.9526956622</v>
      </c>
    </row>
    <row r="2738" spans="2:4" x14ac:dyDescent="0.25">
      <c r="B2738" s="90">
        <v>2734</v>
      </c>
      <c r="C2738" s="39">
        <f t="shared" si="86"/>
        <v>8993423.7694502436</v>
      </c>
      <c r="D2738" s="39">
        <f t="shared" si="87"/>
        <v>8613010.2856457904</v>
      </c>
    </row>
    <row r="2739" spans="2:4" x14ac:dyDescent="0.25">
      <c r="B2739" s="90">
        <v>2735</v>
      </c>
      <c r="C2739" s="39">
        <f t="shared" si="86"/>
        <v>8996071.1080637947</v>
      </c>
      <c r="D2739" s="39">
        <f t="shared" si="87"/>
        <v>8616160.6185959168</v>
      </c>
    </row>
    <row r="2740" spans="2:4" x14ac:dyDescent="0.25">
      <c r="B2740" s="90">
        <v>2736</v>
      </c>
      <c r="C2740" s="39">
        <f t="shared" si="86"/>
        <v>8998718.4466773458</v>
      </c>
      <c r="D2740" s="39">
        <f t="shared" si="87"/>
        <v>8619310.9515460432</v>
      </c>
    </row>
    <row r="2741" spans="2:4" x14ac:dyDescent="0.25">
      <c r="B2741" s="90">
        <v>2737</v>
      </c>
      <c r="C2741" s="39">
        <f t="shared" si="86"/>
        <v>9001365.7852908969</v>
      </c>
      <c r="D2741" s="39">
        <f t="shared" si="87"/>
        <v>8622461.2844961695</v>
      </c>
    </row>
    <row r="2742" spans="2:4" x14ac:dyDescent="0.25">
      <c r="B2742" s="90">
        <v>2738</v>
      </c>
      <c r="C2742" s="39">
        <f t="shared" si="86"/>
        <v>9004013.1239044499</v>
      </c>
      <c r="D2742" s="39">
        <f t="shared" si="87"/>
        <v>8625611.6174462959</v>
      </c>
    </row>
    <row r="2743" spans="2:4" x14ac:dyDescent="0.25">
      <c r="B2743" s="90">
        <v>2739</v>
      </c>
      <c r="C2743" s="39">
        <f t="shared" si="86"/>
        <v>9006660.462518001</v>
      </c>
      <c r="D2743" s="39">
        <f t="shared" si="87"/>
        <v>8628761.9503964223</v>
      </c>
    </row>
    <row r="2744" spans="2:4" x14ac:dyDescent="0.25">
      <c r="B2744" s="90">
        <v>2740</v>
      </c>
      <c r="C2744" s="39">
        <f t="shared" si="86"/>
        <v>9009307.8011315539</v>
      </c>
      <c r="D2744" s="39">
        <f t="shared" si="87"/>
        <v>8631912.2833465487</v>
      </c>
    </row>
    <row r="2745" spans="2:4" x14ac:dyDescent="0.25">
      <c r="B2745" s="90">
        <v>2741</v>
      </c>
      <c r="C2745" s="39">
        <f t="shared" si="86"/>
        <v>9011955.1397451051</v>
      </c>
      <c r="D2745" s="39">
        <f t="shared" si="87"/>
        <v>8635062.6162966751</v>
      </c>
    </row>
    <row r="2746" spans="2:4" x14ac:dyDescent="0.25">
      <c r="B2746" s="90">
        <v>2742</v>
      </c>
      <c r="C2746" s="39">
        <f t="shared" si="86"/>
        <v>9014602.4783586562</v>
      </c>
      <c r="D2746" s="39">
        <f t="shared" si="87"/>
        <v>8638212.9492468014</v>
      </c>
    </row>
    <row r="2747" spans="2:4" x14ac:dyDescent="0.25">
      <c r="B2747" s="90">
        <v>2743</v>
      </c>
      <c r="C2747" s="39">
        <f t="shared" si="86"/>
        <v>9017249.8169722073</v>
      </c>
      <c r="D2747" s="39">
        <f t="shared" si="87"/>
        <v>8641363.2821969278</v>
      </c>
    </row>
    <row r="2748" spans="2:4" x14ac:dyDescent="0.25">
      <c r="B2748" s="90">
        <v>2744</v>
      </c>
      <c r="C2748" s="39">
        <f t="shared" si="86"/>
        <v>9019897.1555857584</v>
      </c>
      <c r="D2748" s="39">
        <f t="shared" si="87"/>
        <v>8644513.6151470542</v>
      </c>
    </row>
    <row r="2749" spans="2:4" x14ac:dyDescent="0.25">
      <c r="B2749" s="90">
        <v>2745</v>
      </c>
      <c r="C2749" s="39">
        <f t="shared" si="86"/>
        <v>9022544.4941993114</v>
      </c>
      <c r="D2749" s="39">
        <f t="shared" si="87"/>
        <v>8647663.9480971806</v>
      </c>
    </row>
    <row r="2750" spans="2:4" x14ac:dyDescent="0.25">
      <c r="B2750" s="90">
        <v>2746</v>
      </c>
      <c r="C2750" s="39">
        <f t="shared" si="86"/>
        <v>9025191.8328128625</v>
      </c>
      <c r="D2750" s="39">
        <f t="shared" si="87"/>
        <v>8650814.281047307</v>
      </c>
    </row>
    <row r="2751" spans="2:4" x14ac:dyDescent="0.25">
      <c r="B2751" s="90">
        <v>2747</v>
      </c>
      <c r="C2751" s="39">
        <f t="shared" si="86"/>
        <v>9027839.1714264154</v>
      </c>
      <c r="D2751" s="39">
        <f t="shared" si="87"/>
        <v>8653964.6139974333</v>
      </c>
    </row>
    <row r="2752" spans="2:4" x14ac:dyDescent="0.25">
      <c r="B2752" s="90">
        <v>2748</v>
      </c>
      <c r="C2752" s="39">
        <f t="shared" si="86"/>
        <v>9030486.5100399666</v>
      </c>
      <c r="D2752" s="39">
        <f t="shared" si="87"/>
        <v>8657114.9469475597</v>
      </c>
    </row>
    <row r="2753" spans="2:4" x14ac:dyDescent="0.25">
      <c r="B2753" s="90">
        <v>2749</v>
      </c>
      <c r="C2753" s="39">
        <f t="shared" si="86"/>
        <v>9033133.8486535177</v>
      </c>
      <c r="D2753" s="39">
        <f t="shared" si="87"/>
        <v>8660265.2798976861</v>
      </c>
    </row>
    <row r="2754" spans="2:4" x14ac:dyDescent="0.25">
      <c r="B2754" s="90">
        <v>2750</v>
      </c>
      <c r="C2754" s="39">
        <f t="shared" si="86"/>
        <v>9035781.1872670688</v>
      </c>
      <c r="D2754" s="39">
        <f t="shared" si="87"/>
        <v>8663415.6128478125</v>
      </c>
    </row>
    <row r="2755" spans="2:4" x14ac:dyDescent="0.25">
      <c r="B2755" s="90">
        <v>2751</v>
      </c>
      <c r="C2755" s="39">
        <f t="shared" si="86"/>
        <v>9038428.5258806199</v>
      </c>
      <c r="D2755" s="39">
        <f t="shared" si="87"/>
        <v>8666565.9457979389</v>
      </c>
    </row>
    <row r="2756" spans="2:4" x14ac:dyDescent="0.25">
      <c r="B2756" s="90">
        <v>2752</v>
      </c>
      <c r="C2756" s="39">
        <f t="shared" si="86"/>
        <v>9041075.8644941729</v>
      </c>
      <c r="D2756" s="39">
        <f t="shared" si="87"/>
        <v>8669716.2787480652</v>
      </c>
    </row>
    <row r="2757" spans="2:4" x14ac:dyDescent="0.25">
      <c r="B2757" s="90">
        <v>2753</v>
      </c>
      <c r="C2757" s="39">
        <f t="shared" si="86"/>
        <v>9043723.2031077258</v>
      </c>
      <c r="D2757" s="39">
        <f t="shared" si="87"/>
        <v>8672866.6116981935</v>
      </c>
    </row>
    <row r="2758" spans="2:4" x14ac:dyDescent="0.25">
      <c r="B2758" s="90">
        <v>2754</v>
      </c>
      <c r="C2758" s="39">
        <f t="shared" si="86"/>
        <v>9046370.5417212769</v>
      </c>
      <c r="D2758" s="39">
        <f t="shared" si="87"/>
        <v>8676016.9446483199</v>
      </c>
    </row>
    <row r="2759" spans="2:4" x14ac:dyDescent="0.25">
      <c r="B2759" s="90">
        <v>2755</v>
      </c>
      <c r="C2759" s="39">
        <f t="shared" si="86"/>
        <v>9049017.880334828</v>
      </c>
      <c r="D2759" s="39">
        <f t="shared" si="87"/>
        <v>8679167.2775984462</v>
      </c>
    </row>
    <row r="2760" spans="2:4" x14ac:dyDescent="0.25">
      <c r="B2760" s="90">
        <v>2756</v>
      </c>
      <c r="C2760" s="39">
        <f t="shared" si="86"/>
        <v>9051665.2189483792</v>
      </c>
      <c r="D2760" s="39">
        <f t="shared" si="87"/>
        <v>8682317.6105485726</v>
      </c>
    </row>
    <row r="2761" spans="2:4" x14ac:dyDescent="0.25">
      <c r="B2761" s="90">
        <v>2757</v>
      </c>
      <c r="C2761" s="39">
        <f t="shared" si="86"/>
        <v>9054312.5575619303</v>
      </c>
      <c r="D2761" s="39">
        <f t="shared" si="87"/>
        <v>8685467.943498699</v>
      </c>
    </row>
    <row r="2762" spans="2:4" x14ac:dyDescent="0.25">
      <c r="B2762" s="90">
        <v>2758</v>
      </c>
      <c r="C2762" s="39">
        <f t="shared" si="86"/>
        <v>9056959.8961754832</v>
      </c>
      <c r="D2762" s="39">
        <f t="shared" si="87"/>
        <v>8688618.2764488254</v>
      </c>
    </row>
    <row r="2763" spans="2:4" x14ac:dyDescent="0.25">
      <c r="B2763" s="90">
        <v>2759</v>
      </c>
      <c r="C2763" s="39">
        <f t="shared" si="86"/>
        <v>9059607.2347890344</v>
      </c>
      <c r="D2763" s="39">
        <f t="shared" si="87"/>
        <v>8691768.6093989518</v>
      </c>
    </row>
    <row r="2764" spans="2:4" x14ac:dyDescent="0.25">
      <c r="B2764" s="90">
        <v>2760</v>
      </c>
      <c r="C2764" s="39">
        <f t="shared" si="86"/>
        <v>9062254.5734025873</v>
      </c>
      <c r="D2764" s="39">
        <f t="shared" si="87"/>
        <v>8694918.9423490781</v>
      </c>
    </row>
    <row r="2765" spans="2:4" x14ac:dyDescent="0.25">
      <c r="B2765" s="90">
        <v>2761</v>
      </c>
      <c r="C2765" s="39">
        <f t="shared" si="86"/>
        <v>9064901.9120161384</v>
      </c>
      <c r="D2765" s="39">
        <f t="shared" si="87"/>
        <v>8698069.2752992045</v>
      </c>
    </row>
    <row r="2766" spans="2:4" x14ac:dyDescent="0.25">
      <c r="B2766" s="90">
        <v>2762</v>
      </c>
      <c r="C2766" s="39">
        <f t="shared" si="86"/>
        <v>9067549.2506296895</v>
      </c>
      <c r="D2766" s="39">
        <f t="shared" si="87"/>
        <v>8701219.6082493309</v>
      </c>
    </row>
    <row r="2767" spans="2:4" x14ac:dyDescent="0.25">
      <c r="B2767" s="90">
        <v>2763</v>
      </c>
      <c r="C2767" s="39">
        <f t="shared" si="86"/>
        <v>9070196.5892432407</v>
      </c>
      <c r="D2767" s="39">
        <f t="shared" si="87"/>
        <v>8704369.9411994573</v>
      </c>
    </row>
    <row r="2768" spans="2:4" x14ac:dyDescent="0.25">
      <c r="B2768" s="90">
        <v>2764</v>
      </c>
      <c r="C2768" s="39">
        <f t="shared" si="86"/>
        <v>9072843.9278567918</v>
      </c>
      <c r="D2768" s="39">
        <f t="shared" si="87"/>
        <v>8707520.2741495837</v>
      </c>
    </row>
    <row r="2769" spans="2:4" x14ac:dyDescent="0.25">
      <c r="B2769" s="90">
        <v>2765</v>
      </c>
      <c r="C2769" s="39">
        <f t="shared" si="86"/>
        <v>9075491.2664703447</v>
      </c>
      <c r="D2769" s="39">
        <f t="shared" si="87"/>
        <v>8710670.60709971</v>
      </c>
    </row>
    <row r="2770" spans="2:4" x14ac:dyDescent="0.25">
      <c r="B2770" s="90">
        <v>2766</v>
      </c>
      <c r="C2770" s="39">
        <f t="shared" si="86"/>
        <v>9078138.6050838958</v>
      </c>
      <c r="D2770" s="39">
        <f t="shared" si="87"/>
        <v>8713820.9400498364</v>
      </c>
    </row>
    <row r="2771" spans="2:4" x14ac:dyDescent="0.25">
      <c r="B2771" s="90">
        <v>2767</v>
      </c>
      <c r="C2771" s="39">
        <f t="shared" si="86"/>
        <v>9080785.9436974488</v>
      </c>
      <c r="D2771" s="39">
        <f t="shared" si="87"/>
        <v>8716971.2729999628</v>
      </c>
    </row>
    <row r="2772" spans="2:4" x14ac:dyDescent="0.25">
      <c r="B2772" s="90">
        <v>2768</v>
      </c>
      <c r="C2772" s="39">
        <f t="shared" si="86"/>
        <v>9083433.2823109999</v>
      </c>
      <c r="D2772" s="39">
        <f t="shared" si="87"/>
        <v>8720121.6059500892</v>
      </c>
    </row>
    <row r="2773" spans="2:4" x14ac:dyDescent="0.25">
      <c r="B2773" s="90">
        <v>2769</v>
      </c>
      <c r="C2773" s="39">
        <f t="shared" si="86"/>
        <v>9086080.620924551</v>
      </c>
      <c r="D2773" s="39">
        <f t="shared" si="87"/>
        <v>8723271.9389002156</v>
      </c>
    </row>
    <row r="2774" spans="2:4" x14ac:dyDescent="0.25">
      <c r="B2774" s="90">
        <v>2770</v>
      </c>
      <c r="C2774" s="39">
        <f t="shared" si="86"/>
        <v>9088727.9595381021</v>
      </c>
      <c r="D2774" s="39">
        <f t="shared" si="87"/>
        <v>8726422.2718503419</v>
      </c>
    </row>
    <row r="2775" spans="2:4" x14ac:dyDescent="0.25">
      <c r="B2775" s="90">
        <v>2771</v>
      </c>
      <c r="C2775" s="39">
        <f t="shared" si="86"/>
        <v>9091375.2981516533</v>
      </c>
      <c r="D2775" s="39">
        <f t="shared" si="87"/>
        <v>8729572.6048004683</v>
      </c>
    </row>
    <row r="2776" spans="2:4" x14ac:dyDescent="0.25">
      <c r="B2776" s="90">
        <v>2772</v>
      </c>
      <c r="C2776" s="39">
        <f t="shared" si="86"/>
        <v>9094022.6367652062</v>
      </c>
      <c r="D2776" s="39">
        <f t="shared" si="87"/>
        <v>8732722.9377505966</v>
      </c>
    </row>
    <row r="2777" spans="2:4" x14ac:dyDescent="0.25">
      <c r="B2777" s="90">
        <v>2773</v>
      </c>
      <c r="C2777" s="39">
        <f t="shared" si="86"/>
        <v>9096669.9753787573</v>
      </c>
      <c r="D2777" s="39">
        <f t="shared" si="87"/>
        <v>8735873.2707007229</v>
      </c>
    </row>
    <row r="2778" spans="2:4" x14ac:dyDescent="0.25">
      <c r="B2778" s="90">
        <v>2774</v>
      </c>
      <c r="C2778" s="39">
        <f t="shared" si="86"/>
        <v>9099317.3139923103</v>
      </c>
      <c r="D2778" s="39">
        <f t="shared" si="87"/>
        <v>8739023.6036508493</v>
      </c>
    </row>
    <row r="2779" spans="2:4" x14ac:dyDescent="0.25">
      <c r="B2779" s="90">
        <v>2775</v>
      </c>
      <c r="C2779" s="39">
        <f t="shared" si="86"/>
        <v>9101964.6526058614</v>
      </c>
      <c r="D2779" s="39">
        <f t="shared" si="87"/>
        <v>8742173.9366009757</v>
      </c>
    </row>
    <row r="2780" spans="2:4" x14ac:dyDescent="0.25">
      <c r="B2780" s="90">
        <v>2776</v>
      </c>
      <c r="C2780" s="39">
        <f t="shared" si="86"/>
        <v>9104611.9912194125</v>
      </c>
      <c r="D2780" s="39">
        <f t="shared" si="87"/>
        <v>8745324.2695511021</v>
      </c>
    </row>
    <row r="2781" spans="2:4" x14ac:dyDescent="0.25">
      <c r="B2781" s="90">
        <v>2777</v>
      </c>
      <c r="C2781" s="39">
        <f t="shared" si="86"/>
        <v>9107259.3298329636</v>
      </c>
      <c r="D2781" s="39">
        <f t="shared" si="87"/>
        <v>8748474.6025012285</v>
      </c>
    </row>
    <row r="2782" spans="2:4" x14ac:dyDescent="0.25">
      <c r="B2782" s="90">
        <v>2778</v>
      </c>
      <c r="C2782" s="39">
        <f t="shared" si="86"/>
        <v>9109906.6684465148</v>
      </c>
      <c r="D2782" s="39">
        <f t="shared" si="87"/>
        <v>8751624.9354513548</v>
      </c>
    </row>
    <row r="2783" spans="2:4" x14ac:dyDescent="0.25">
      <c r="B2783" s="90">
        <v>2779</v>
      </c>
      <c r="C2783" s="39">
        <f t="shared" si="86"/>
        <v>9112554.0070600677</v>
      </c>
      <c r="D2783" s="39">
        <f t="shared" si="87"/>
        <v>8754775.2684014812</v>
      </c>
    </row>
    <row r="2784" spans="2:4" x14ac:dyDescent="0.25">
      <c r="B2784" s="90">
        <v>2780</v>
      </c>
      <c r="C2784" s="39">
        <f t="shared" si="86"/>
        <v>9115201.3456736207</v>
      </c>
      <c r="D2784" s="39">
        <f t="shared" si="87"/>
        <v>8757925.6013516076</v>
      </c>
    </row>
    <row r="2785" spans="2:4" x14ac:dyDescent="0.25">
      <c r="B2785" s="90">
        <v>2781</v>
      </c>
      <c r="C2785" s="39">
        <f t="shared" si="86"/>
        <v>9117848.6842871718</v>
      </c>
      <c r="D2785" s="39">
        <f t="shared" si="87"/>
        <v>8761075.934301734</v>
      </c>
    </row>
    <row r="2786" spans="2:4" x14ac:dyDescent="0.25">
      <c r="B2786" s="90">
        <v>2782</v>
      </c>
      <c r="C2786" s="39">
        <f t="shared" si="86"/>
        <v>9120496.0229007229</v>
      </c>
      <c r="D2786" s="39">
        <f t="shared" si="87"/>
        <v>8764226.2672518604</v>
      </c>
    </row>
    <row r="2787" spans="2:4" x14ac:dyDescent="0.25">
      <c r="B2787" s="90">
        <v>2783</v>
      </c>
      <c r="C2787" s="39">
        <f t="shared" si="86"/>
        <v>9123143.361514274</v>
      </c>
      <c r="D2787" s="39">
        <f t="shared" si="87"/>
        <v>8767376.6002019867</v>
      </c>
    </row>
    <row r="2788" spans="2:4" x14ac:dyDescent="0.25">
      <c r="B2788" s="90">
        <v>2784</v>
      </c>
      <c r="C2788" s="39">
        <f t="shared" si="86"/>
        <v>9125790.7001278251</v>
      </c>
      <c r="D2788" s="39">
        <f t="shared" si="87"/>
        <v>8770526.9331521131</v>
      </c>
    </row>
    <row r="2789" spans="2:4" x14ac:dyDescent="0.25">
      <c r="B2789" s="90">
        <v>2785</v>
      </c>
      <c r="C2789" s="39">
        <f t="shared" si="86"/>
        <v>9128438.0387413781</v>
      </c>
      <c r="D2789" s="39">
        <f t="shared" si="87"/>
        <v>8773677.2661022395</v>
      </c>
    </row>
    <row r="2790" spans="2:4" x14ac:dyDescent="0.25">
      <c r="B2790" s="90">
        <v>2786</v>
      </c>
      <c r="C2790" s="39">
        <f t="shared" si="86"/>
        <v>9131085.3773549292</v>
      </c>
      <c r="D2790" s="39">
        <f t="shared" si="87"/>
        <v>8776827.5990523659</v>
      </c>
    </row>
    <row r="2791" spans="2:4" x14ac:dyDescent="0.25">
      <c r="B2791" s="90">
        <v>2787</v>
      </c>
      <c r="C2791" s="39">
        <f t="shared" si="86"/>
        <v>9133732.7159684822</v>
      </c>
      <c r="D2791" s="39">
        <f t="shared" si="87"/>
        <v>8779977.9320024922</v>
      </c>
    </row>
    <row r="2792" spans="2:4" x14ac:dyDescent="0.25">
      <c r="B2792" s="90">
        <v>2788</v>
      </c>
      <c r="C2792" s="39">
        <f t="shared" si="86"/>
        <v>9136380.0545820333</v>
      </c>
      <c r="D2792" s="39">
        <f t="shared" si="87"/>
        <v>8783128.2649526186</v>
      </c>
    </row>
    <row r="2793" spans="2:4" x14ac:dyDescent="0.25">
      <c r="B2793" s="90">
        <v>2789</v>
      </c>
      <c r="C2793" s="39">
        <f t="shared" si="86"/>
        <v>9139027.3931955844</v>
      </c>
      <c r="D2793" s="39">
        <f t="shared" si="87"/>
        <v>8786278.597902745</v>
      </c>
    </row>
    <row r="2794" spans="2:4" x14ac:dyDescent="0.25">
      <c r="B2794" s="90">
        <v>2790</v>
      </c>
      <c r="C2794" s="39">
        <f t="shared" si="86"/>
        <v>9141674.7318091355</v>
      </c>
      <c r="D2794" s="39">
        <f t="shared" si="87"/>
        <v>8789428.9308528714</v>
      </c>
    </row>
    <row r="2795" spans="2:4" x14ac:dyDescent="0.25">
      <c r="B2795" s="90">
        <v>2791</v>
      </c>
      <c r="C2795" s="39">
        <f t="shared" si="86"/>
        <v>9144322.0704226866</v>
      </c>
      <c r="D2795" s="39">
        <f t="shared" si="87"/>
        <v>8792579.2638029978</v>
      </c>
    </row>
    <row r="2796" spans="2:4" x14ac:dyDescent="0.25">
      <c r="B2796" s="90">
        <v>2792</v>
      </c>
      <c r="C2796" s="39">
        <f t="shared" si="86"/>
        <v>9146969.4090362396</v>
      </c>
      <c r="D2796" s="39">
        <f t="shared" si="87"/>
        <v>8795729.596753126</v>
      </c>
    </row>
    <row r="2797" spans="2:4" x14ac:dyDescent="0.25">
      <c r="B2797" s="90">
        <v>2793</v>
      </c>
      <c r="C2797" s="39">
        <f t="shared" si="86"/>
        <v>9149616.7476497907</v>
      </c>
      <c r="D2797" s="39">
        <f t="shared" si="87"/>
        <v>8798879.9297032524</v>
      </c>
    </row>
    <row r="2798" spans="2:4" x14ac:dyDescent="0.25">
      <c r="B2798" s="90">
        <v>2794</v>
      </c>
      <c r="C2798" s="39">
        <f t="shared" si="86"/>
        <v>9152264.0862633437</v>
      </c>
      <c r="D2798" s="39">
        <f t="shared" si="87"/>
        <v>8802030.2626533788</v>
      </c>
    </row>
    <row r="2799" spans="2:4" x14ac:dyDescent="0.25">
      <c r="B2799" s="90">
        <v>2795</v>
      </c>
      <c r="C2799" s="39">
        <f t="shared" si="86"/>
        <v>9154911.4248768948</v>
      </c>
      <c r="D2799" s="39">
        <f t="shared" si="87"/>
        <v>8805180.5956035051</v>
      </c>
    </row>
    <row r="2800" spans="2:4" x14ac:dyDescent="0.25">
      <c r="B2800" s="90">
        <v>2796</v>
      </c>
      <c r="C2800" s="39">
        <f t="shared" si="86"/>
        <v>9157558.7634904459</v>
      </c>
      <c r="D2800" s="39">
        <f t="shared" si="87"/>
        <v>8808330.9285536315</v>
      </c>
    </row>
    <row r="2801" spans="2:4" x14ac:dyDescent="0.25">
      <c r="B2801" s="90">
        <v>2797</v>
      </c>
      <c r="C2801" s="39">
        <f t="shared" ref="C2801:C2864" si="88">($C$2*B2801)+$C$1</f>
        <v>9160206.102103997</v>
      </c>
      <c r="D2801" s="39">
        <f t="shared" ref="D2801:D2864" si="89">$D$2*B2801</f>
        <v>8811481.2615037579</v>
      </c>
    </row>
    <row r="2802" spans="2:4" x14ac:dyDescent="0.25">
      <c r="B2802" s="90">
        <v>2798</v>
      </c>
      <c r="C2802" s="39">
        <f t="shared" si="88"/>
        <v>9162853.4407175481</v>
      </c>
      <c r="D2802" s="39">
        <f t="shared" si="89"/>
        <v>8814631.5944538843</v>
      </c>
    </row>
    <row r="2803" spans="2:4" x14ac:dyDescent="0.25">
      <c r="B2803" s="90">
        <v>2799</v>
      </c>
      <c r="C2803" s="39">
        <f t="shared" si="88"/>
        <v>9165500.7793311011</v>
      </c>
      <c r="D2803" s="39">
        <f t="shared" si="89"/>
        <v>8817781.9274040107</v>
      </c>
    </row>
    <row r="2804" spans="2:4" x14ac:dyDescent="0.25">
      <c r="B2804" s="90">
        <v>2800</v>
      </c>
      <c r="C2804" s="39">
        <f t="shared" si="88"/>
        <v>9168148.1179446522</v>
      </c>
      <c r="D2804" s="39">
        <f t="shared" si="89"/>
        <v>8820932.260354137</v>
      </c>
    </row>
    <row r="2805" spans="2:4" x14ac:dyDescent="0.25">
      <c r="B2805" s="90">
        <v>2801</v>
      </c>
      <c r="C2805" s="39">
        <f t="shared" si="88"/>
        <v>9170795.4565582052</v>
      </c>
      <c r="D2805" s="39">
        <f t="shared" si="89"/>
        <v>8824082.5933042634</v>
      </c>
    </row>
    <row r="2806" spans="2:4" x14ac:dyDescent="0.25">
      <c r="B2806" s="90">
        <v>2802</v>
      </c>
      <c r="C2806" s="39">
        <f t="shared" si="88"/>
        <v>9173442.7951717563</v>
      </c>
      <c r="D2806" s="39">
        <f t="shared" si="89"/>
        <v>8827232.9262543898</v>
      </c>
    </row>
    <row r="2807" spans="2:4" x14ac:dyDescent="0.25">
      <c r="B2807" s="90">
        <v>2803</v>
      </c>
      <c r="C2807" s="39">
        <f t="shared" si="88"/>
        <v>9176090.1337853074</v>
      </c>
      <c r="D2807" s="39">
        <f t="shared" si="89"/>
        <v>8830383.2592045162</v>
      </c>
    </row>
    <row r="2808" spans="2:4" x14ac:dyDescent="0.25">
      <c r="B2808" s="90">
        <v>2804</v>
      </c>
      <c r="C2808" s="39">
        <f t="shared" si="88"/>
        <v>9178737.4723988585</v>
      </c>
      <c r="D2808" s="39">
        <f t="shared" si="89"/>
        <v>8833533.5921546426</v>
      </c>
    </row>
    <row r="2809" spans="2:4" x14ac:dyDescent="0.25">
      <c r="B2809" s="90">
        <v>2805</v>
      </c>
      <c r="C2809" s="39">
        <f t="shared" si="88"/>
        <v>9181384.8110124096</v>
      </c>
      <c r="D2809" s="39">
        <f t="shared" si="89"/>
        <v>8836683.9251047689</v>
      </c>
    </row>
    <row r="2810" spans="2:4" x14ac:dyDescent="0.25">
      <c r="B2810" s="90">
        <v>2806</v>
      </c>
      <c r="C2810" s="39">
        <f t="shared" si="88"/>
        <v>9184032.1496259626</v>
      </c>
      <c r="D2810" s="39">
        <f t="shared" si="89"/>
        <v>8839834.2580548953</v>
      </c>
    </row>
    <row r="2811" spans="2:4" x14ac:dyDescent="0.25">
      <c r="B2811" s="90">
        <v>2807</v>
      </c>
      <c r="C2811" s="39">
        <f t="shared" si="88"/>
        <v>9186679.4882395156</v>
      </c>
      <c r="D2811" s="39">
        <f t="shared" si="89"/>
        <v>8842984.5910050217</v>
      </c>
    </row>
    <row r="2812" spans="2:4" x14ac:dyDescent="0.25">
      <c r="B2812" s="90">
        <v>2808</v>
      </c>
      <c r="C2812" s="39">
        <f t="shared" si="88"/>
        <v>9189326.8268530667</v>
      </c>
      <c r="D2812" s="39">
        <f t="shared" si="89"/>
        <v>8846134.9239551481</v>
      </c>
    </row>
    <row r="2813" spans="2:4" x14ac:dyDescent="0.25">
      <c r="B2813" s="90">
        <v>2809</v>
      </c>
      <c r="C2813" s="39">
        <f t="shared" si="88"/>
        <v>9191974.1654666178</v>
      </c>
      <c r="D2813" s="39">
        <f t="shared" si="89"/>
        <v>8849285.2569052745</v>
      </c>
    </row>
    <row r="2814" spans="2:4" x14ac:dyDescent="0.25">
      <c r="B2814" s="90">
        <v>2810</v>
      </c>
      <c r="C2814" s="39">
        <f t="shared" si="88"/>
        <v>9194621.5040801689</v>
      </c>
      <c r="D2814" s="39">
        <f t="shared" si="89"/>
        <v>8852435.5898554008</v>
      </c>
    </row>
    <row r="2815" spans="2:4" x14ac:dyDescent="0.25">
      <c r="B2815" s="90">
        <v>2811</v>
      </c>
      <c r="C2815" s="39">
        <f t="shared" si="88"/>
        <v>9197268.84269372</v>
      </c>
      <c r="D2815" s="39">
        <f t="shared" si="89"/>
        <v>8855585.9228055291</v>
      </c>
    </row>
    <row r="2816" spans="2:4" x14ac:dyDescent="0.25">
      <c r="B2816" s="90">
        <v>2812</v>
      </c>
      <c r="C2816" s="39">
        <f t="shared" si="88"/>
        <v>9199916.181307273</v>
      </c>
      <c r="D2816" s="39">
        <f t="shared" si="89"/>
        <v>8858736.2557556555</v>
      </c>
    </row>
    <row r="2817" spans="2:4" x14ac:dyDescent="0.25">
      <c r="B2817" s="90">
        <v>2813</v>
      </c>
      <c r="C2817" s="39">
        <f t="shared" si="88"/>
        <v>9202563.5199208241</v>
      </c>
      <c r="D2817" s="39">
        <f t="shared" si="89"/>
        <v>8861886.5887057818</v>
      </c>
    </row>
    <row r="2818" spans="2:4" x14ac:dyDescent="0.25">
      <c r="B2818" s="90">
        <v>2814</v>
      </c>
      <c r="C2818" s="39">
        <f t="shared" si="88"/>
        <v>9205210.8585343771</v>
      </c>
      <c r="D2818" s="39">
        <f t="shared" si="89"/>
        <v>8865036.9216559082</v>
      </c>
    </row>
    <row r="2819" spans="2:4" x14ac:dyDescent="0.25">
      <c r="B2819" s="90">
        <v>2815</v>
      </c>
      <c r="C2819" s="39">
        <f t="shared" si="88"/>
        <v>9207858.1971479282</v>
      </c>
      <c r="D2819" s="39">
        <f t="shared" si="89"/>
        <v>8868187.2546060346</v>
      </c>
    </row>
    <row r="2820" spans="2:4" x14ac:dyDescent="0.25">
      <c r="B2820" s="90">
        <v>2816</v>
      </c>
      <c r="C2820" s="39">
        <f t="shared" si="88"/>
        <v>9210505.5357614793</v>
      </c>
      <c r="D2820" s="39">
        <f t="shared" si="89"/>
        <v>8871337.587556161</v>
      </c>
    </row>
    <row r="2821" spans="2:4" x14ac:dyDescent="0.25">
      <c r="B2821" s="90">
        <v>2817</v>
      </c>
      <c r="C2821" s="39">
        <f t="shared" si="88"/>
        <v>9213152.8743750304</v>
      </c>
      <c r="D2821" s="39">
        <f t="shared" si="89"/>
        <v>8874487.9205062874</v>
      </c>
    </row>
    <row r="2822" spans="2:4" x14ac:dyDescent="0.25">
      <c r="B2822" s="90">
        <v>2818</v>
      </c>
      <c r="C2822" s="39">
        <f t="shared" si="88"/>
        <v>9215800.2129885815</v>
      </c>
      <c r="D2822" s="39">
        <f t="shared" si="89"/>
        <v>8877638.2534564137</v>
      </c>
    </row>
    <row r="2823" spans="2:4" x14ac:dyDescent="0.25">
      <c r="B2823" s="90">
        <v>2819</v>
      </c>
      <c r="C2823" s="39">
        <f t="shared" si="88"/>
        <v>9218447.5516021345</v>
      </c>
      <c r="D2823" s="39">
        <f t="shared" si="89"/>
        <v>8880788.5864065401</v>
      </c>
    </row>
    <row r="2824" spans="2:4" x14ac:dyDescent="0.25">
      <c r="B2824" s="90">
        <v>2820</v>
      </c>
      <c r="C2824" s="39">
        <f t="shared" si="88"/>
        <v>9221094.8902156856</v>
      </c>
      <c r="D2824" s="39">
        <f t="shared" si="89"/>
        <v>8883938.9193566665</v>
      </c>
    </row>
    <row r="2825" spans="2:4" x14ac:dyDescent="0.25">
      <c r="B2825" s="90">
        <v>2821</v>
      </c>
      <c r="C2825" s="39">
        <f t="shared" si="88"/>
        <v>9223742.2288292386</v>
      </c>
      <c r="D2825" s="39">
        <f t="shared" si="89"/>
        <v>8887089.2523067929</v>
      </c>
    </row>
    <row r="2826" spans="2:4" x14ac:dyDescent="0.25">
      <c r="B2826" s="90">
        <v>2822</v>
      </c>
      <c r="C2826" s="39">
        <f t="shared" si="88"/>
        <v>9226389.5674427897</v>
      </c>
      <c r="D2826" s="39">
        <f t="shared" si="89"/>
        <v>8890239.5852569193</v>
      </c>
    </row>
    <row r="2827" spans="2:4" x14ac:dyDescent="0.25">
      <c r="B2827" s="90">
        <v>2823</v>
      </c>
      <c r="C2827" s="39">
        <f t="shared" si="88"/>
        <v>9229036.9060563408</v>
      </c>
      <c r="D2827" s="39">
        <f t="shared" si="89"/>
        <v>8893389.9182070456</v>
      </c>
    </row>
    <row r="2828" spans="2:4" x14ac:dyDescent="0.25">
      <c r="B2828" s="90">
        <v>2824</v>
      </c>
      <c r="C2828" s="39">
        <f t="shared" si="88"/>
        <v>9231684.2446698919</v>
      </c>
      <c r="D2828" s="39">
        <f t="shared" si="89"/>
        <v>8896540.251157172</v>
      </c>
    </row>
    <row r="2829" spans="2:4" x14ac:dyDescent="0.25">
      <c r="B2829" s="90">
        <v>2825</v>
      </c>
      <c r="C2829" s="39">
        <f t="shared" si="88"/>
        <v>9234331.583283443</v>
      </c>
      <c r="D2829" s="39">
        <f t="shared" si="89"/>
        <v>8899690.5841072984</v>
      </c>
    </row>
    <row r="2830" spans="2:4" x14ac:dyDescent="0.25">
      <c r="B2830" s="90">
        <v>2826</v>
      </c>
      <c r="C2830" s="39">
        <f t="shared" si="88"/>
        <v>9236978.921896996</v>
      </c>
      <c r="D2830" s="39">
        <f t="shared" si="89"/>
        <v>8902840.9170574248</v>
      </c>
    </row>
    <row r="2831" spans="2:4" x14ac:dyDescent="0.25">
      <c r="B2831" s="90">
        <v>2827</v>
      </c>
      <c r="C2831" s="39">
        <f t="shared" si="88"/>
        <v>9239626.2605105471</v>
      </c>
      <c r="D2831" s="39">
        <f t="shared" si="89"/>
        <v>8905991.2500075512</v>
      </c>
    </row>
    <row r="2832" spans="2:4" x14ac:dyDescent="0.25">
      <c r="B2832" s="90">
        <v>2828</v>
      </c>
      <c r="C2832" s="39">
        <f t="shared" si="88"/>
        <v>9242273.5991241001</v>
      </c>
      <c r="D2832" s="39">
        <f t="shared" si="89"/>
        <v>8909141.5829576775</v>
      </c>
    </row>
    <row r="2833" spans="2:4" x14ac:dyDescent="0.25">
      <c r="B2833" s="90">
        <v>2829</v>
      </c>
      <c r="C2833" s="39">
        <f t="shared" si="88"/>
        <v>9244920.9377376512</v>
      </c>
      <c r="D2833" s="39">
        <f t="shared" si="89"/>
        <v>8912291.9159078039</v>
      </c>
    </row>
    <row r="2834" spans="2:4" x14ac:dyDescent="0.25">
      <c r="B2834" s="90">
        <v>2830</v>
      </c>
      <c r="C2834" s="39">
        <f t="shared" si="88"/>
        <v>9247568.2763512023</v>
      </c>
      <c r="D2834" s="39">
        <f t="shared" si="89"/>
        <v>8915442.2488579322</v>
      </c>
    </row>
    <row r="2835" spans="2:4" x14ac:dyDescent="0.25">
      <c r="B2835" s="90">
        <v>2831</v>
      </c>
      <c r="C2835" s="39">
        <f t="shared" si="88"/>
        <v>9250215.6149647534</v>
      </c>
      <c r="D2835" s="39">
        <f t="shared" si="89"/>
        <v>8918592.5818080585</v>
      </c>
    </row>
    <row r="2836" spans="2:4" x14ac:dyDescent="0.25">
      <c r="B2836" s="90">
        <v>2832</v>
      </c>
      <c r="C2836" s="39">
        <f t="shared" si="88"/>
        <v>9252862.9535783045</v>
      </c>
      <c r="D2836" s="39">
        <f t="shared" si="89"/>
        <v>8921742.9147581849</v>
      </c>
    </row>
    <row r="2837" spans="2:4" x14ac:dyDescent="0.25">
      <c r="B2837" s="90">
        <v>2833</v>
      </c>
      <c r="C2837" s="39">
        <f t="shared" si="88"/>
        <v>9255510.2921918575</v>
      </c>
      <c r="D2837" s="39">
        <f t="shared" si="89"/>
        <v>8924893.2477083113</v>
      </c>
    </row>
    <row r="2838" spans="2:4" x14ac:dyDescent="0.25">
      <c r="B2838" s="90">
        <v>2834</v>
      </c>
      <c r="C2838" s="39">
        <f t="shared" si="88"/>
        <v>9258157.6308054104</v>
      </c>
      <c r="D2838" s="39">
        <f t="shared" si="89"/>
        <v>8928043.5806584377</v>
      </c>
    </row>
    <row r="2839" spans="2:4" x14ac:dyDescent="0.25">
      <c r="B2839" s="90">
        <v>2835</v>
      </c>
      <c r="C2839" s="39">
        <f t="shared" si="88"/>
        <v>9260804.9694189616</v>
      </c>
      <c r="D2839" s="39">
        <f t="shared" si="89"/>
        <v>8931193.9136085641</v>
      </c>
    </row>
    <row r="2840" spans="2:4" x14ac:dyDescent="0.25">
      <c r="B2840" s="90">
        <v>2836</v>
      </c>
      <c r="C2840" s="39">
        <f t="shared" si="88"/>
        <v>9263452.3080325127</v>
      </c>
      <c r="D2840" s="39">
        <f t="shared" si="89"/>
        <v>8934344.2465586904</v>
      </c>
    </row>
    <row r="2841" spans="2:4" x14ac:dyDescent="0.25">
      <c r="B2841" s="90">
        <v>2837</v>
      </c>
      <c r="C2841" s="39">
        <f t="shared" si="88"/>
        <v>9266099.6466460638</v>
      </c>
      <c r="D2841" s="39">
        <f t="shared" si="89"/>
        <v>8937494.5795088168</v>
      </c>
    </row>
    <row r="2842" spans="2:4" x14ac:dyDescent="0.25">
      <c r="B2842" s="90">
        <v>2838</v>
      </c>
      <c r="C2842" s="39">
        <f t="shared" si="88"/>
        <v>9268746.9852596149</v>
      </c>
      <c r="D2842" s="39">
        <f t="shared" si="89"/>
        <v>8940644.9124589432</v>
      </c>
    </row>
    <row r="2843" spans="2:4" x14ac:dyDescent="0.25">
      <c r="B2843" s="90">
        <v>2839</v>
      </c>
      <c r="C2843" s="39">
        <f t="shared" si="88"/>
        <v>9271394.323873166</v>
      </c>
      <c r="D2843" s="39">
        <f t="shared" si="89"/>
        <v>8943795.2454090696</v>
      </c>
    </row>
    <row r="2844" spans="2:4" x14ac:dyDescent="0.25">
      <c r="B2844" s="90">
        <v>2840</v>
      </c>
      <c r="C2844" s="39">
        <f t="shared" si="88"/>
        <v>9274041.662486719</v>
      </c>
      <c r="D2844" s="39">
        <f t="shared" si="89"/>
        <v>8946945.578359196</v>
      </c>
    </row>
    <row r="2845" spans="2:4" x14ac:dyDescent="0.25">
      <c r="B2845" s="90">
        <v>2841</v>
      </c>
      <c r="C2845" s="39">
        <f t="shared" si="88"/>
        <v>9276689.0011002719</v>
      </c>
      <c r="D2845" s="39">
        <f t="shared" si="89"/>
        <v>8950095.9113093223</v>
      </c>
    </row>
    <row r="2846" spans="2:4" x14ac:dyDescent="0.25">
      <c r="B2846" s="90">
        <v>2842</v>
      </c>
      <c r="C2846" s="39">
        <f t="shared" si="88"/>
        <v>9279336.3397138231</v>
      </c>
      <c r="D2846" s="39">
        <f t="shared" si="89"/>
        <v>8953246.2442594487</v>
      </c>
    </row>
    <row r="2847" spans="2:4" x14ac:dyDescent="0.25">
      <c r="B2847" s="90">
        <v>2843</v>
      </c>
      <c r="C2847" s="39">
        <f t="shared" si="88"/>
        <v>9281983.6783273742</v>
      </c>
      <c r="D2847" s="39">
        <f t="shared" si="89"/>
        <v>8956396.5772095751</v>
      </c>
    </row>
    <row r="2848" spans="2:4" x14ac:dyDescent="0.25">
      <c r="B2848" s="90">
        <v>2844</v>
      </c>
      <c r="C2848" s="39">
        <f t="shared" si="88"/>
        <v>9284631.0169409253</v>
      </c>
      <c r="D2848" s="39">
        <f t="shared" si="89"/>
        <v>8959546.9101597015</v>
      </c>
    </row>
    <row r="2849" spans="2:4" x14ac:dyDescent="0.25">
      <c r="B2849" s="90">
        <v>2845</v>
      </c>
      <c r="C2849" s="39">
        <f t="shared" si="88"/>
        <v>9287278.3555544764</v>
      </c>
      <c r="D2849" s="39">
        <f t="shared" si="89"/>
        <v>8962697.2431098279</v>
      </c>
    </row>
    <row r="2850" spans="2:4" x14ac:dyDescent="0.25">
      <c r="B2850" s="90">
        <v>2846</v>
      </c>
      <c r="C2850" s="39">
        <f t="shared" si="88"/>
        <v>9289925.6941680294</v>
      </c>
      <c r="D2850" s="39">
        <f t="shared" si="89"/>
        <v>8965847.5760599542</v>
      </c>
    </row>
    <row r="2851" spans="2:4" x14ac:dyDescent="0.25">
      <c r="B2851" s="90">
        <v>2847</v>
      </c>
      <c r="C2851" s="39">
        <f t="shared" si="88"/>
        <v>9292573.0327815805</v>
      </c>
      <c r="D2851" s="39">
        <f t="shared" si="89"/>
        <v>8968997.9090100806</v>
      </c>
    </row>
    <row r="2852" spans="2:4" x14ac:dyDescent="0.25">
      <c r="B2852" s="90">
        <v>2848</v>
      </c>
      <c r="C2852" s="39">
        <f t="shared" si="88"/>
        <v>9295220.3713951334</v>
      </c>
      <c r="D2852" s="39">
        <f t="shared" si="89"/>
        <v>8972148.241960207</v>
      </c>
    </row>
    <row r="2853" spans="2:4" x14ac:dyDescent="0.25">
      <c r="B2853" s="90">
        <v>2849</v>
      </c>
      <c r="C2853" s="39">
        <f t="shared" si="88"/>
        <v>9297867.7100086845</v>
      </c>
      <c r="D2853" s="39">
        <f t="shared" si="89"/>
        <v>8975298.5749103352</v>
      </c>
    </row>
    <row r="2854" spans="2:4" x14ac:dyDescent="0.25">
      <c r="B2854" s="90">
        <v>2850</v>
      </c>
      <c r="C2854" s="39">
        <f t="shared" si="88"/>
        <v>9300515.0486222357</v>
      </c>
      <c r="D2854" s="39">
        <f t="shared" si="89"/>
        <v>8978448.9078604616</v>
      </c>
    </row>
    <row r="2855" spans="2:4" x14ac:dyDescent="0.25">
      <c r="B2855" s="90">
        <v>2851</v>
      </c>
      <c r="C2855" s="39">
        <f t="shared" si="88"/>
        <v>9303162.3872357868</v>
      </c>
      <c r="D2855" s="39">
        <f t="shared" si="89"/>
        <v>8981599.240810588</v>
      </c>
    </row>
    <row r="2856" spans="2:4" x14ac:dyDescent="0.25">
      <c r="B2856" s="90">
        <v>2852</v>
      </c>
      <c r="C2856" s="39">
        <f t="shared" si="88"/>
        <v>9305809.7258493379</v>
      </c>
      <c r="D2856" s="39">
        <f t="shared" si="89"/>
        <v>8984749.5737607144</v>
      </c>
    </row>
    <row r="2857" spans="2:4" x14ac:dyDescent="0.25">
      <c r="B2857" s="90">
        <v>2853</v>
      </c>
      <c r="C2857" s="39">
        <f t="shared" si="88"/>
        <v>9308457.0644628908</v>
      </c>
      <c r="D2857" s="39">
        <f t="shared" si="89"/>
        <v>8987899.9067108408</v>
      </c>
    </row>
    <row r="2858" spans="2:4" x14ac:dyDescent="0.25">
      <c r="B2858" s="90">
        <v>2854</v>
      </c>
      <c r="C2858" s="39">
        <f t="shared" si="88"/>
        <v>9311104.403076442</v>
      </c>
      <c r="D2858" s="39">
        <f t="shared" si="89"/>
        <v>8991050.2396609671</v>
      </c>
    </row>
    <row r="2859" spans="2:4" x14ac:dyDescent="0.25">
      <c r="B2859" s="90">
        <v>2855</v>
      </c>
      <c r="C2859" s="39">
        <f t="shared" si="88"/>
        <v>9313751.7416899949</v>
      </c>
      <c r="D2859" s="39">
        <f t="shared" si="89"/>
        <v>8994200.5726110935</v>
      </c>
    </row>
    <row r="2860" spans="2:4" x14ac:dyDescent="0.25">
      <c r="B2860" s="90">
        <v>2856</v>
      </c>
      <c r="C2860" s="39">
        <f t="shared" si="88"/>
        <v>9316399.080303546</v>
      </c>
      <c r="D2860" s="39">
        <f t="shared" si="89"/>
        <v>8997350.9055612199</v>
      </c>
    </row>
    <row r="2861" spans="2:4" x14ac:dyDescent="0.25">
      <c r="B2861" s="90">
        <v>2857</v>
      </c>
      <c r="C2861" s="39">
        <f t="shared" si="88"/>
        <v>9319046.4189170972</v>
      </c>
      <c r="D2861" s="39">
        <f t="shared" si="89"/>
        <v>9000501.2385113463</v>
      </c>
    </row>
    <row r="2862" spans="2:4" x14ac:dyDescent="0.25">
      <c r="B2862" s="90">
        <v>2858</v>
      </c>
      <c r="C2862" s="39">
        <f t="shared" si="88"/>
        <v>9321693.7575306483</v>
      </c>
      <c r="D2862" s="39">
        <f t="shared" si="89"/>
        <v>9003651.5714614727</v>
      </c>
    </row>
    <row r="2863" spans="2:4" x14ac:dyDescent="0.25">
      <c r="B2863" s="90">
        <v>2859</v>
      </c>
      <c r="C2863" s="39">
        <f t="shared" si="88"/>
        <v>9324341.0961441994</v>
      </c>
      <c r="D2863" s="39">
        <f t="shared" si="89"/>
        <v>9006801.904411599</v>
      </c>
    </row>
    <row r="2864" spans="2:4" x14ac:dyDescent="0.25">
      <c r="B2864" s="90">
        <v>2860</v>
      </c>
      <c r="C2864" s="39">
        <f t="shared" si="88"/>
        <v>9326988.4347577523</v>
      </c>
      <c r="D2864" s="39">
        <f t="shared" si="89"/>
        <v>9009952.2373617254</v>
      </c>
    </row>
    <row r="2865" spans="2:4" x14ac:dyDescent="0.25">
      <c r="B2865" s="90">
        <v>2861</v>
      </c>
      <c r="C2865" s="39">
        <f t="shared" ref="C2865:C2928" si="90">($C$2*B2865)+$C$1</f>
        <v>9329635.7733713053</v>
      </c>
      <c r="D2865" s="39">
        <f t="shared" ref="D2865:D2928" si="91">$D$2*B2865</f>
        <v>9013102.5703118518</v>
      </c>
    </row>
    <row r="2866" spans="2:4" x14ac:dyDescent="0.25">
      <c r="B2866" s="90">
        <v>2862</v>
      </c>
      <c r="C2866" s="39">
        <f t="shared" si="90"/>
        <v>9332283.1119848564</v>
      </c>
      <c r="D2866" s="39">
        <f t="shared" si="91"/>
        <v>9016252.9032619782</v>
      </c>
    </row>
    <row r="2867" spans="2:4" x14ac:dyDescent="0.25">
      <c r="B2867" s="90">
        <v>2863</v>
      </c>
      <c r="C2867" s="39">
        <f t="shared" si="90"/>
        <v>9334930.4505984075</v>
      </c>
      <c r="D2867" s="39">
        <f t="shared" si="91"/>
        <v>9019403.2362121046</v>
      </c>
    </row>
    <row r="2868" spans="2:4" x14ac:dyDescent="0.25">
      <c r="B2868" s="90">
        <v>2864</v>
      </c>
      <c r="C2868" s="39">
        <f t="shared" si="90"/>
        <v>9337577.7892119586</v>
      </c>
      <c r="D2868" s="39">
        <f t="shared" si="91"/>
        <v>9022553.5691622309</v>
      </c>
    </row>
    <row r="2869" spans="2:4" x14ac:dyDescent="0.25">
      <c r="B2869" s="90">
        <v>2865</v>
      </c>
      <c r="C2869" s="39">
        <f t="shared" si="90"/>
        <v>9340225.1278255098</v>
      </c>
      <c r="D2869" s="39">
        <f t="shared" si="91"/>
        <v>9025703.9021123573</v>
      </c>
    </row>
    <row r="2870" spans="2:4" x14ac:dyDescent="0.25">
      <c r="B2870" s="90">
        <v>2866</v>
      </c>
      <c r="C2870" s="39">
        <f t="shared" si="90"/>
        <v>9342872.4664390609</v>
      </c>
      <c r="D2870" s="39">
        <f t="shared" si="91"/>
        <v>9028854.2350624837</v>
      </c>
    </row>
    <row r="2871" spans="2:4" x14ac:dyDescent="0.25">
      <c r="B2871" s="90">
        <v>2867</v>
      </c>
      <c r="C2871" s="39">
        <f t="shared" si="90"/>
        <v>9345519.8050526138</v>
      </c>
      <c r="D2871" s="39">
        <f t="shared" si="91"/>
        <v>9032004.5680126101</v>
      </c>
    </row>
    <row r="2872" spans="2:4" x14ac:dyDescent="0.25">
      <c r="B2872" s="90">
        <v>2868</v>
      </c>
      <c r="C2872" s="39">
        <f t="shared" si="90"/>
        <v>9348167.1436661668</v>
      </c>
      <c r="D2872" s="39">
        <f t="shared" si="91"/>
        <v>9035154.9009627383</v>
      </c>
    </row>
    <row r="2873" spans="2:4" x14ac:dyDescent="0.25">
      <c r="B2873" s="90">
        <v>2869</v>
      </c>
      <c r="C2873" s="39">
        <f t="shared" si="90"/>
        <v>9350814.4822797179</v>
      </c>
      <c r="D2873" s="39">
        <f t="shared" si="91"/>
        <v>9038305.2339128647</v>
      </c>
    </row>
    <row r="2874" spans="2:4" x14ac:dyDescent="0.25">
      <c r="B2874" s="90">
        <v>2870</v>
      </c>
      <c r="C2874" s="39">
        <f t="shared" si="90"/>
        <v>9353461.820893269</v>
      </c>
      <c r="D2874" s="39">
        <f t="shared" si="91"/>
        <v>9041455.5668629911</v>
      </c>
    </row>
    <row r="2875" spans="2:4" x14ac:dyDescent="0.25">
      <c r="B2875" s="90">
        <v>2871</v>
      </c>
      <c r="C2875" s="39">
        <f t="shared" si="90"/>
        <v>9356109.1595068201</v>
      </c>
      <c r="D2875" s="39">
        <f t="shared" si="91"/>
        <v>9044605.8998131175</v>
      </c>
    </row>
    <row r="2876" spans="2:4" x14ac:dyDescent="0.25">
      <c r="B2876" s="90">
        <v>2872</v>
      </c>
      <c r="C2876" s="39">
        <f t="shared" si="90"/>
        <v>9358756.4981203713</v>
      </c>
      <c r="D2876" s="39">
        <f t="shared" si="91"/>
        <v>9047756.2327632438</v>
      </c>
    </row>
    <row r="2877" spans="2:4" x14ac:dyDescent="0.25">
      <c r="B2877" s="90">
        <v>2873</v>
      </c>
      <c r="C2877" s="39">
        <f t="shared" si="90"/>
        <v>9361403.8367339242</v>
      </c>
      <c r="D2877" s="39">
        <f t="shared" si="91"/>
        <v>9050906.5657133702</v>
      </c>
    </row>
    <row r="2878" spans="2:4" x14ac:dyDescent="0.25">
      <c r="B2878" s="90">
        <v>2874</v>
      </c>
      <c r="C2878" s="39">
        <f t="shared" si="90"/>
        <v>9364051.1753474753</v>
      </c>
      <c r="D2878" s="39">
        <f t="shared" si="91"/>
        <v>9054056.8986634966</v>
      </c>
    </row>
    <row r="2879" spans="2:4" x14ac:dyDescent="0.25">
      <c r="B2879" s="90">
        <v>2875</v>
      </c>
      <c r="C2879" s="39">
        <f t="shared" si="90"/>
        <v>9366698.5139610283</v>
      </c>
      <c r="D2879" s="39">
        <f t="shared" si="91"/>
        <v>9057207.231613623</v>
      </c>
    </row>
    <row r="2880" spans="2:4" x14ac:dyDescent="0.25">
      <c r="B2880" s="90">
        <v>2876</v>
      </c>
      <c r="C2880" s="39">
        <f t="shared" si="90"/>
        <v>9369345.8525745794</v>
      </c>
      <c r="D2880" s="39">
        <f t="shared" si="91"/>
        <v>9060357.5645637494</v>
      </c>
    </row>
    <row r="2881" spans="2:4" x14ac:dyDescent="0.25">
      <c r="B2881" s="90">
        <v>2877</v>
      </c>
      <c r="C2881" s="39">
        <f t="shared" si="90"/>
        <v>9371993.1911881305</v>
      </c>
      <c r="D2881" s="39">
        <f t="shared" si="91"/>
        <v>9063507.8975138757</v>
      </c>
    </row>
    <row r="2882" spans="2:4" x14ac:dyDescent="0.25">
      <c r="B2882" s="90">
        <v>2878</v>
      </c>
      <c r="C2882" s="39">
        <f t="shared" si="90"/>
        <v>9374640.5298016816</v>
      </c>
      <c r="D2882" s="39">
        <f t="shared" si="91"/>
        <v>9066658.2304640021</v>
      </c>
    </row>
    <row r="2883" spans="2:4" x14ac:dyDescent="0.25">
      <c r="B2883" s="90">
        <v>2879</v>
      </c>
      <c r="C2883" s="39">
        <f t="shared" si="90"/>
        <v>9377287.8684152327</v>
      </c>
      <c r="D2883" s="39">
        <f t="shared" si="91"/>
        <v>9069808.5634141285</v>
      </c>
    </row>
    <row r="2884" spans="2:4" x14ac:dyDescent="0.25">
      <c r="B2884" s="90">
        <v>2880</v>
      </c>
      <c r="C2884" s="39">
        <f t="shared" si="90"/>
        <v>9379935.2070287857</v>
      </c>
      <c r="D2884" s="39">
        <f t="shared" si="91"/>
        <v>9072958.8963642549</v>
      </c>
    </row>
    <row r="2885" spans="2:4" x14ac:dyDescent="0.25">
      <c r="B2885" s="90">
        <v>2881</v>
      </c>
      <c r="C2885" s="39">
        <f t="shared" si="90"/>
        <v>9382582.5456423368</v>
      </c>
      <c r="D2885" s="39">
        <f t="shared" si="91"/>
        <v>9076109.2293143813</v>
      </c>
    </row>
    <row r="2886" spans="2:4" x14ac:dyDescent="0.25">
      <c r="B2886" s="90">
        <v>2882</v>
      </c>
      <c r="C2886" s="39">
        <f t="shared" si="90"/>
        <v>9385229.8842558898</v>
      </c>
      <c r="D2886" s="39">
        <f t="shared" si="91"/>
        <v>9079259.5622645076</v>
      </c>
    </row>
    <row r="2887" spans="2:4" x14ac:dyDescent="0.25">
      <c r="B2887" s="90">
        <v>2883</v>
      </c>
      <c r="C2887" s="39">
        <f t="shared" si="90"/>
        <v>9387877.2228694409</v>
      </c>
      <c r="D2887" s="39">
        <f t="shared" si="91"/>
        <v>9082409.895214634</v>
      </c>
    </row>
    <row r="2888" spans="2:4" x14ac:dyDescent="0.25">
      <c r="B2888" s="90">
        <v>2884</v>
      </c>
      <c r="C2888" s="39">
        <f t="shared" si="90"/>
        <v>9390524.561482992</v>
      </c>
      <c r="D2888" s="39">
        <f t="shared" si="91"/>
        <v>9085560.2281647604</v>
      </c>
    </row>
    <row r="2889" spans="2:4" x14ac:dyDescent="0.25">
      <c r="B2889" s="90">
        <v>2885</v>
      </c>
      <c r="C2889" s="39">
        <f t="shared" si="90"/>
        <v>9393171.9000965431</v>
      </c>
      <c r="D2889" s="39">
        <f t="shared" si="91"/>
        <v>9088710.5611148868</v>
      </c>
    </row>
    <row r="2890" spans="2:4" x14ac:dyDescent="0.25">
      <c r="B2890" s="90">
        <v>2886</v>
      </c>
      <c r="C2890" s="39">
        <f t="shared" si="90"/>
        <v>9395819.2387100942</v>
      </c>
      <c r="D2890" s="39">
        <f t="shared" si="91"/>
        <v>9091860.8940650132</v>
      </c>
    </row>
    <row r="2891" spans="2:4" x14ac:dyDescent="0.25">
      <c r="B2891" s="90">
        <v>2887</v>
      </c>
      <c r="C2891" s="39">
        <f t="shared" si="90"/>
        <v>9398466.5773236472</v>
      </c>
      <c r="D2891" s="39">
        <f t="shared" si="91"/>
        <v>9095011.2270151414</v>
      </c>
    </row>
    <row r="2892" spans="2:4" x14ac:dyDescent="0.25">
      <c r="B2892" s="90">
        <v>2888</v>
      </c>
      <c r="C2892" s="39">
        <f t="shared" si="90"/>
        <v>9401113.9159372002</v>
      </c>
      <c r="D2892" s="39">
        <f t="shared" si="91"/>
        <v>9098161.5599652678</v>
      </c>
    </row>
    <row r="2893" spans="2:4" x14ac:dyDescent="0.25">
      <c r="B2893" s="90">
        <v>2889</v>
      </c>
      <c r="C2893" s="39">
        <f t="shared" si="90"/>
        <v>9403761.2545507513</v>
      </c>
      <c r="D2893" s="39">
        <f t="shared" si="91"/>
        <v>9101311.8929153942</v>
      </c>
    </row>
    <row r="2894" spans="2:4" x14ac:dyDescent="0.25">
      <c r="B2894" s="90">
        <v>2890</v>
      </c>
      <c r="C2894" s="39">
        <f t="shared" si="90"/>
        <v>9406408.5931643024</v>
      </c>
      <c r="D2894" s="39">
        <f t="shared" si="91"/>
        <v>9104462.2258655205</v>
      </c>
    </row>
    <row r="2895" spans="2:4" x14ac:dyDescent="0.25">
      <c r="B2895" s="90">
        <v>2891</v>
      </c>
      <c r="C2895" s="39">
        <f t="shared" si="90"/>
        <v>9409055.9317778535</v>
      </c>
      <c r="D2895" s="39">
        <f t="shared" si="91"/>
        <v>9107612.5588156469</v>
      </c>
    </row>
    <row r="2896" spans="2:4" x14ac:dyDescent="0.25">
      <c r="B2896" s="90">
        <v>2892</v>
      </c>
      <c r="C2896" s="39">
        <f t="shared" si="90"/>
        <v>9411703.2703914046</v>
      </c>
      <c r="D2896" s="39">
        <f t="shared" si="91"/>
        <v>9110762.8917657733</v>
      </c>
    </row>
    <row r="2897" spans="2:4" x14ac:dyDescent="0.25">
      <c r="B2897" s="90">
        <v>2893</v>
      </c>
      <c r="C2897" s="39">
        <f t="shared" si="90"/>
        <v>9414350.6090049557</v>
      </c>
      <c r="D2897" s="39">
        <f t="shared" si="91"/>
        <v>9113913.2247158997</v>
      </c>
    </row>
    <row r="2898" spans="2:4" x14ac:dyDescent="0.25">
      <c r="B2898" s="90">
        <v>2894</v>
      </c>
      <c r="C2898" s="39">
        <f t="shared" si="90"/>
        <v>9416997.9476185087</v>
      </c>
      <c r="D2898" s="39">
        <f t="shared" si="91"/>
        <v>9117063.5576660261</v>
      </c>
    </row>
    <row r="2899" spans="2:4" x14ac:dyDescent="0.25">
      <c r="B2899" s="90">
        <v>2895</v>
      </c>
      <c r="C2899" s="39">
        <f t="shared" si="90"/>
        <v>9419645.2862320617</v>
      </c>
      <c r="D2899" s="39">
        <f t="shared" si="91"/>
        <v>9120213.8906161524</v>
      </c>
    </row>
    <row r="2900" spans="2:4" x14ac:dyDescent="0.25">
      <c r="B2900" s="90">
        <v>2896</v>
      </c>
      <c r="C2900" s="39">
        <f t="shared" si="90"/>
        <v>9422292.6248456128</v>
      </c>
      <c r="D2900" s="39">
        <f t="shared" si="91"/>
        <v>9123364.2235662788</v>
      </c>
    </row>
    <row r="2901" spans="2:4" x14ac:dyDescent="0.25">
      <c r="B2901" s="90">
        <v>2897</v>
      </c>
      <c r="C2901" s="39">
        <f t="shared" si="90"/>
        <v>9424939.9634591639</v>
      </c>
      <c r="D2901" s="39">
        <f t="shared" si="91"/>
        <v>9126514.5565164052</v>
      </c>
    </row>
    <row r="2902" spans="2:4" x14ac:dyDescent="0.25">
      <c r="B2902" s="90">
        <v>2898</v>
      </c>
      <c r="C2902" s="39">
        <f t="shared" si="90"/>
        <v>9427587.302072715</v>
      </c>
      <c r="D2902" s="39">
        <f t="shared" si="91"/>
        <v>9129664.8894665316</v>
      </c>
    </row>
    <row r="2903" spans="2:4" x14ac:dyDescent="0.25">
      <c r="B2903" s="90">
        <v>2899</v>
      </c>
      <c r="C2903" s="39">
        <f t="shared" si="90"/>
        <v>9430234.6406862661</v>
      </c>
      <c r="D2903" s="39">
        <f t="shared" si="91"/>
        <v>9132815.222416658</v>
      </c>
    </row>
    <row r="2904" spans="2:4" x14ac:dyDescent="0.25">
      <c r="B2904" s="90">
        <v>2900</v>
      </c>
      <c r="C2904" s="39">
        <f t="shared" si="90"/>
        <v>9432881.9792998191</v>
      </c>
      <c r="D2904" s="39">
        <f t="shared" si="91"/>
        <v>9135965.5553667843</v>
      </c>
    </row>
    <row r="2905" spans="2:4" x14ac:dyDescent="0.25">
      <c r="B2905" s="90">
        <v>2901</v>
      </c>
      <c r="C2905" s="39">
        <f t="shared" si="90"/>
        <v>9435529.3179133702</v>
      </c>
      <c r="D2905" s="39">
        <f t="shared" si="91"/>
        <v>9139115.8883169107</v>
      </c>
    </row>
    <row r="2906" spans="2:4" x14ac:dyDescent="0.25">
      <c r="B2906" s="90">
        <v>2902</v>
      </c>
      <c r="C2906" s="39">
        <f t="shared" si="90"/>
        <v>9438176.6565269232</v>
      </c>
      <c r="D2906" s="39">
        <f t="shared" si="91"/>
        <v>9142266.2212670371</v>
      </c>
    </row>
    <row r="2907" spans="2:4" x14ac:dyDescent="0.25">
      <c r="B2907" s="90">
        <v>2903</v>
      </c>
      <c r="C2907" s="39">
        <f t="shared" si="90"/>
        <v>9440823.9951404743</v>
      </c>
      <c r="D2907" s="39">
        <f t="shared" si="91"/>
        <v>9145416.5542171635</v>
      </c>
    </row>
    <row r="2908" spans="2:4" x14ac:dyDescent="0.25">
      <c r="B2908" s="90">
        <v>2904</v>
      </c>
      <c r="C2908" s="39">
        <f t="shared" si="90"/>
        <v>9443471.3337540254</v>
      </c>
      <c r="D2908" s="39">
        <f t="shared" si="91"/>
        <v>9148566.8871672899</v>
      </c>
    </row>
    <row r="2909" spans="2:4" x14ac:dyDescent="0.25">
      <c r="B2909" s="90">
        <v>2905</v>
      </c>
      <c r="C2909" s="39">
        <f t="shared" si="90"/>
        <v>9446118.6723675765</v>
      </c>
      <c r="D2909" s="39">
        <f t="shared" si="91"/>
        <v>9151717.2201174162</v>
      </c>
    </row>
    <row r="2910" spans="2:4" x14ac:dyDescent="0.25">
      <c r="B2910" s="90">
        <v>2906</v>
      </c>
      <c r="C2910" s="39">
        <f t="shared" si="90"/>
        <v>9448766.0109811276</v>
      </c>
      <c r="D2910" s="39">
        <f t="shared" si="91"/>
        <v>9154867.5530675445</v>
      </c>
    </row>
    <row r="2911" spans="2:4" x14ac:dyDescent="0.25">
      <c r="B2911" s="90">
        <v>2907</v>
      </c>
      <c r="C2911" s="39">
        <f t="shared" si="90"/>
        <v>9451413.3495946806</v>
      </c>
      <c r="D2911" s="39">
        <f t="shared" si="91"/>
        <v>9158017.8860176709</v>
      </c>
    </row>
    <row r="2912" spans="2:4" x14ac:dyDescent="0.25">
      <c r="B2912" s="90">
        <v>2908</v>
      </c>
      <c r="C2912" s="39">
        <f t="shared" si="90"/>
        <v>9454060.6882082317</v>
      </c>
      <c r="D2912" s="39">
        <f t="shared" si="91"/>
        <v>9161168.2189677972</v>
      </c>
    </row>
    <row r="2913" spans="2:4" x14ac:dyDescent="0.25">
      <c r="B2913" s="90">
        <v>2909</v>
      </c>
      <c r="C2913" s="39">
        <f t="shared" si="90"/>
        <v>9456708.0268217847</v>
      </c>
      <c r="D2913" s="39">
        <f t="shared" si="91"/>
        <v>9164318.5519179236</v>
      </c>
    </row>
    <row r="2914" spans="2:4" x14ac:dyDescent="0.25">
      <c r="B2914" s="90">
        <v>2910</v>
      </c>
      <c r="C2914" s="39">
        <f t="shared" si="90"/>
        <v>9459355.3654353358</v>
      </c>
      <c r="D2914" s="39">
        <f t="shared" si="91"/>
        <v>9167468.88486805</v>
      </c>
    </row>
    <row r="2915" spans="2:4" x14ac:dyDescent="0.25">
      <c r="B2915" s="90">
        <v>2911</v>
      </c>
      <c r="C2915" s="39">
        <f t="shared" si="90"/>
        <v>9462002.7040488869</v>
      </c>
      <c r="D2915" s="39">
        <f t="shared" si="91"/>
        <v>9170619.2178181764</v>
      </c>
    </row>
    <row r="2916" spans="2:4" x14ac:dyDescent="0.25">
      <c r="B2916" s="90">
        <v>2912</v>
      </c>
      <c r="C2916" s="39">
        <f t="shared" si="90"/>
        <v>9464650.042662438</v>
      </c>
      <c r="D2916" s="39">
        <f t="shared" si="91"/>
        <v>9173769.5507683028</v>
      </c>
    </row>
    <row r="2917" spans="2:4" x14ac:dyDescent="0.25">
      <c r="B2917" s="90">
        <v>2913</v>
      </c>
      <c r="C2917" s="39">
        <f t="shared" si="90"/>
        <v>9467297.3812759891</v>
      </c>
      <c r="D2917" s="39">
        <f t="shared" si="91"/>
        <v>9176919.8837184291</v>
      </c>
    </row>
    <row r="2918" spans="2:4" x14ac:dyDescent="0.25">
      <c r="B2918" s="90">
        <v>2914</v>
      </c>
      <c r="C2918" s="39">
        <f t="shared" si="90"/>
        <v>9469944.7198895421</v>
      </c>
      <c r="D2918" s="39">
        <f t="shared" si="91"/>
        <v>9180070.2166685555</v>
      </c>
    </row>
    <row r="2919" spans="2:4" x14ac:dyDescent="0.25">
      <c r="B2919" s="90">
        <v>2915</v>
      </c>
      <c r="C2919" s="39">
        <f t="shared" si="90"/>
        <v>9472592.0585030951</v>
      </c>
      <c r="D2919" s="39">
        <f t="shared" si="91"/>
        <v>9183220.5496186819</v>
      </c>
    </row>
    <row r="2920" spans="2:4" x14ac:dyDescent="0.25">
      <c r="B2920" s="90">
        <v>2916</v>
      </c>
      <c r="C2920" s="39">
        <f t="shared" si="90"/>
        <v>9475239.3971166462</v>
      </c>
      <c r="D2920" s="39">
        <f t="shared" si="91"/>
        <v>9186370.8825688083</v>
      </c>
    </row>
    <row r="2921" spans="2:4" x14ac:dyDescent="0.25">
      <c r="B2921" s="90">
        <v>2917</v>
      </c>
      <c r="C2921" s="39">
        <f t="shared" si="90"/>
        <v>9477886.7357301973</v>
      </c>
      <c r="D2921" s="39">
        <f t="shared" si="91"/>
        <v>9189521.2155189347</v>
      </c>
    </row>
    <row r="2922" spans="2:4" x14ac:dyDescent="0.25">
      <c r="B2922" s="90">
        <v>2918</v>
      </c>
      <c r="C2922" s="39">
        <f t="shared" si="90"/>
        <v>9480534.0743437484</v>
      </c>
      <c r="D2922" s="39">
        <f t="shared" si="91"/>
        <v>9192671.548469061</v>
      </c>
    </row>
    <row r="2923" spans="2:4" x14ac:dyDescent="0.25">
      <c r="B2923" s="90">
        <v>2919</v>
      </c>
      <c r="C2923" s="39">
        <f t="shared" si="90"/>
        <v>9483181.4129572995</v>
      </c>
      <c r="D2923" s="39">
        <f t="shared" si="91"/>
        <v>9195821.8814191874</v>
      </c>
    </row>
    <row r="2924" spans="2:4" x14ac:dyDescent="0.25">
      <c r="B2924" s="90">
        <v>2920</v>
      </c>
      <c r="C2924" s="39">
        <f t="shared" si="90"/>
        <v>9485828.7515708506</v>
      </c>
      <c r="D2924" s="39">
        <f t="shared" si="91"/>
        <v>9198972.2143693138</v>
      </c>
    </row>
    <row r="2925" spans="2:4" x14ac:dyDescent="0.25">
      <c r="B2925" s="90">
        <v>2921</v>
      </c>
      <c r="C2925" s="39">
        <f t="shared" si="90"/>
        <v>9488476.0901844036</v>
      </c>
      <c r="D2925" s="39">
        <f t="shared" si="91"/>
        <v>9202122.5473194402</v>
      </c>
    </row>
    <row r="2926" spans="2:4" x14ac:dyDescent="0.25">
      <c r="B2926" s="90">
        <v>2922</v>
      </c>
      <c r="C2926" s="39">
        <f t="shared" si="90"/>
        <v>9491123.4287979566</v>
      </c>
      <c r="D2926" s="39">
        <f t="shared" si="91"/>
        <v>9205272.8802695666</v>
      </c>
    </row>
    <row r="2927" spans="2:4" x14ac:dyDescent="0.25">
      <c r="B2927" s="90">
        <v>2923</v>
      </c>
      <c r="C2927" s="39">
        <f t="shared" si="90"/>
        <v>9493770.7674115077</v>
      </c>
      <c r="D2927" s="39">
        <f t="shared" si="91"/>
        <v>9208423.2132196929</v>
      </c>
    </row>
    <row r="2928" spans="2:4" x14ac:dyDescent="0.25">
      <c r="B2928" s="90">
        <v>2924</v>
      </c>
      <c r="C2928" s="39">
        <f t="shared" si="90"/>
        <v>9496418.1060250588</v>
      </c>
      <c r="D2928" s="39">
        <f t="shared" si="91"/>
        <v>9211573.5461698193</v>
      </c>
    </row>
    <row r="2929" spans="2:4" x14ac:dyDescent="0.25">
      <c r="B2929" s="90">
        <v>2925</v>
      </c>
      <c r="C2929" s="39">
        <f t="shared" ref="C2929:C2992" si="92">($C$2*B2929)+$C$1</f>
        <v>9499065.4446386099</v>
      </c>
      <c r="D2929" s="39">
        <f t="shared" ref="D2929:D2992" si="93">$D$2*B2929</f>
        <v>9214723.8791199476</v>
      </c>
    </row>
    <row r="2930" spans="2:4" x14ac:dyDescent="0.25">
      <c r="B2930" s="90">
        <v>2926</v>
      </c>
      <c r="C2930" s="39">
        <f t="shared" si="92"/>
        <v>9501712.783252161</v>
      </c>
      <c r="D2930" s="39">
        <f t="shared" si="93"/>
        <v>9217874.2120700739</v>
      </c>
    </row>
    <row r="2931" spans="2:4" x14ac:dyDescent="0.25">
      <c r="B2931" s="90">
        <v>2927</v>
      </c>
      <c r="C2931" s="39">
        <f t="shared" si="92"/>
        <v>9504360.121865714</v>
      </c>
      <c r="D2931" s="39">
        <f t="shared" si="93"/>
        <v>9221024.5450202003</v>
      </c>
    </row>
    <row r="2932" spans="2:4" x14ac:dyDescent="0.25">
      <c r="B2932" s="90">
        <v>2928</v>
      </c>
      <c r="C2932" s="39">
        <f t="shared" si="92"/>
        <v>9507007.4604792651</v>
      </c>
      <c r="D2932" s="39">
        <f t="shared" si="93"/>
        <v>9224174.8779703267</v>
      </c>
    </row>
    <row r="2933" spans="2:4" x14ac:dyDescent="0.25">
      <c r="B2933" s="90">
        <v>2929</v>
      </c>
      <c r="C2933" s="39">
        <f t="shared" si="92"/>
        <v>9509654.7990928181</v>
      </c>
      <c r="D2933" s="39">
        <f t="shared" si="93"/>
        <v>9227325.2109204531</v>
      </c>
    </row>
    <row r="2934" spans="2:4" x14ac:dyDescent="0.25">
      <c r="B2934" s="90">
        <v>2930</v>
      </c>
      <c r="C2934" s="39">
        <f t="shared" si="92"/>
        <v>9512302.1377063692</v>
      </c>
      <c r="D2934" s="39">
        <f t="shared" si="93"/>
        <v>9230475.5438705795</v>
      </c>
    </row>
    <row r="2935" spans="2:4" x14ac:dyDescent="0.25">
      <c r="B2935" s="90">
        <v>2931</v>
      </c>
      <c r="C2935" s="39">
        <f t="shared" si="92"/>
        <v>9514949.4763199203</v>
      </c>
      <c r="D2935" s="39">
        <f t="shared" si="93"/>
        <v>9233625.8768207058</v>
      </c>
    </row>
    <row r="2936" spans="2:4" x14ac:dyDescent="0.25">
      <c r="B2936" s="90">
        <v>2932</v>
      </c>
      <c r="C2936" s="39">
        <f t="shared" si="92"/>
        <v>9517596.8149334714</v>
      </c>
      <c r="D2936" s="39">
        <f t="shared" si="93"/>
        <v>9236776.2097708322</v>
      </c>
    </row>
    <row r="2937" spans="2:4" x14ac:dyDescent="0.25">
      <c r="B2937" s="90">
        <v>2933</v>
      </c>
      <c r="C2937" s="39">
        <f t="shared" si="92"/>
        <v>9520244.1535470225</v>
      </c>
      <c r="D2937" s="39">
        <f t="shared" si="93"/>
        <v>9239926.5427209586</v>
      </c>
    </row>
    <row r="2938" spans="2:4" x14ac:dyDescent="0.25">
      <c r="B2938" s="90">
        <v>2934</v>
      </c>
      <c r="C2938" s="39">
        <f t="shared" si="92"/>
        <v>9522891.4921605755</v>
      </c>
      <c r="D2938" s="39">
        <f t="shared" si="93"/>
        <v>9243076.875671085</v>
      </c>
    </row>
    <row r="2939" spans="2:4" x14ac:dyDescent="0.25">
      <c r="B2939" s="90">
        <v>2935</v>
      </c>
      <c r="C2939" s="39">
        <f t="shared" si="92"/>
        <v>9525538.8307741266</v>
      </c>
      <c r="D2939" s="39">
        <f t="shared" si="93"/>
        <v>9246227.2086212113</v>
      </c>
    </row>
    <row r="2940" spans="2:4" x14ac:dyDescent="0.25">
      <c r="B2940" s="90">
        <v>2936</v>
      </c>
      <c r="C2940" s="39">
        <f t="shared" si="92"/>
        <v>9528186.1693876795</v>
      </c>
      <c r="D2940" s="39">
        <f t="shared" si="93"/>
        <v>9249377.5415713377</v>
      </c>
    </row>
    <row r="2941" spans="2:4" x14ac:dyDescent="0.25">
      <c r="B2941" s="90">
        <v>2937</v>
      </c>
      <c r="C2941" s="39">
        <f t="shared" si="92"/>
        <v>9530833.5080012307</v>
      </c>
      <c r="D2941" s="39">
        <f t="shared" si="93"/>
        <v>9252527.8745214641</v>
      </c>
    </row>
    <row r="2942" spans="2:4" x14ac:dyDescent="0.25">
      <c r="B2942" s="90">
        <v>2938</v>
      </c>
      <c r="C2942" s="39">
        <f t="shared" si="92"/>
        <v>9533480.8466147818</v>
      </c>
      <c r="D2942" s="39">
        <f t="shared" si="93"/>
        <v>9255678.2074715905</v>
      </c>
    </row>
    <row r="2943" spans="2:4" x14ac:dyDescent="0.25">
      <c r="B2943" s="90">
        <v>2939</v>
      </c>
      <c r="C2943" s="39">
        <f t="shared" si="92"/>
        <v>9536128.1852283329</v>
      </c>
      <c r="D2943" s="39">
        <f t="shared" si="93"/>
        <v>9258828.5404217169</v>
      </c>
    </row>
    <row r="2944" spans="2:4" x14ac:dyDescent="0.25">
      <c r="B2944" s="90">
        <v>2940</v>
      </c>
      <c r="C2944" s="39">
        <f t="shared" si="92"/>
        <v>9538775.523841884</v>
      </c>
      <c r="D2944" s="39">
        <f t="shared" si="93"/>
        <v>9261978.8733718432</v>
      </c>
    </row>
    <row r="2945" spans="2:4" x14ac:dyDescent="0.25">
      <c r="B2945" s="90">
        <v>2941</v>
      </c>
      <c r="C2945" s="39">
        <f t="shared" si="92"/>
        <v>9541422.862455437</v>
      </c>
      <c r="D2945" s="39">
        <f t="shared" si="93"/>
        <v>9265129.2063219696</v>
      </c>
    </row>
    <row r="2946" spans="2:4" x14ac:dyDescent="0.25">
      <c r="B2946" s="90">
        <v>2942</v>
      </c>
      <c r="C2946" s="39">
        <f t="shared" si="92"/>
        <v>9544070.2010689899</v>
      </c>
      <c r="D2946" s="39">
        <f t="shared" si="93"/>
        <v>9268279.539272096</v>
      </c>
    </row>
    <row r="2947" spans="2:4" x14ac:dyDescent="0.25">
      <c r="B2947" s="90">
        <v>2943</v>
      </c>
      <c r="C2947" s="39">
        <f t="shared" si="92"/>
        <v>9546717.539682541</v>
      </c>
      <c r="D2947" s="39">
        <f t="shared" si="93"/>
        <v>9271429.8722222224</v>
      </c>
    </row>
    <row r="2948" spans="2:4" x14ac:dyDescent="0.25">
      <c r="B2948" s="90">
        <v>2944</v>
      </c>
      <c r="C2948" s="39">
        <f t="shared" si="92"/>
        <v>9549364.8782960922</v>
      </c>
      <c r="D2948" s="39">
        <f t="shared" si="93"/>
        <v>9274580.2051723506</v>
      </c>
    </row>
    <row r="2949" spans="2:4" x14ac:dyDescent="0.25">
      <c r="B2949" s="90">
        <v>2945</v>
      </c>
      <c r="C2949" s="39">
        <f t="shared" si="92"/>
        <v>9552012.2169096433</v>
      </c>
      <c r="D2949" s="39">
        <f t="shared" si="93"/>
        <v>9277730.538122477</v>
      </c>
    </row>
    <row r="2950" spans="2:4" x14ac:dyDescent="0.25">
      <c r="B2950" s="90">
        <v>2946</v>
      </c>
      <c r="C2950" s="39">
        <f t="shared" si="92"/>
        <v>9554659.5555231944</v>
      </c>
      <c r="D2950" s="39">
        <f t="shared" si="93"/>
        <v>9280880.8710726034</v>
      </c>
    </row>
    <row r="2951" spans="2:4" x14ac:dyDescent="0.25">
      <c r="B2951" s="90">
        <v>2947</v>
      </c>
      <c r="C2951" s="39">
        <f t="shared" si="92"/>
        <v>9557306.8941367455</v>
      </c>
      <c r="D2951" s="39">
        <f t="shared" si="93"/>
        <v>9284031.2040227298</v>
      </c>
    </row>
    <row r="2952" spans="2:4" x14ac:dyDescent="0.25">
      <c r="B2952" s="90">
        <v>2948</v>
      </c>
      <c r="C2952" s="39">
        <f t="shared" si="92"/>
        <v>9559954.2327502985</v>
      </c>
      <c r="D2952" s="39">
        <f t="shared" si="93"/>
        <v>9287181.5369728561</v>
      </c>
    </row>
    <row r="2953" spans="2:4" x14ac:dyDescent="0.25">
      <c r="B2953" s="90">
        <v>2949</v>
      </c>
      <c r="C2953" s="39">
        <f t="shared" si="92"/>
        <v>9562601.5713638514</v>
      </c>
      <c r="D2953" s="39">
        <f t="shared" si="93"/>
        <v>9290331.8699229825</v>
      </c>
    </row>
    <row r="2954" spans="2:4" x14ac:dyDescent="0.25">
      <c r="B2954" s="90">
        <v>2950</v>
      </c>
      <c r="C2954" s="39">
        <f t="shared" si="92"/>
        <v>9565248.9099774025</v>
      </c>
      <c r="D2954" s="39">
        <f t="shared" si="93"/>
        <v>9293482.2028731089</v>
      </c>
    </row>
    <row r="2955" spans="2:4" x14ac:dyDescent="0.25">
      <c r="B2955" s="90">
        <v>2951</v>
      </c>
      <c r="C2955" s="39">
        <f t="shared" si="92"/>
        <v>9567896.2485909536</v>
      </c>
      <c r="D2955" s="39">
        <f t="shared" si="93"/>
        <v>9296632.5358232353</v>
      </c>
    </row>
    <row r="2956" spans="2:4" x14ac:dyDescent="0.25">
      <c r="B2956" s="90">
        <v>2952</v>
      </c>
      <c r="C2956" s="39">
        <f t="shared" si="92"/>
        <v>9570543.5872045048</v>
      </c>
      <c r="D2956" s="39">
        <f t="shared" si="93"/>
        <v>9299782.8687733617</v>
      </c>
    </row>
    <row r="2957" spans="2:4" x14ac:dyDescent="0.25">
      <c r="B2957" s="90">
        <v>2953</v>
      </c>
      <c r="C2957" s="39">
        <f t="shared" si="92"/>
        <v>9573190.9258180559</v>
      </c>
      <c r="D2957" s="39">
        <f t="shared" si="93"/>
        <v>9302933.201723488</v>
      </c>
    </row>
    <row r="2958" spans="2:4" x14ac:dyDescent="0.25">
      <c r="B2958" s="90">
        <v>2954</v>
      </c>
      <c r="C2958" s="39">
        <f t="shared" si="92"/>
        <v>9575838.2644316088</v>
      </c>
      <c r="D2958" s="39">
        <f t="shared" si="93"/>
        <v>9306083.5346736144</v>
      </c>
    </row>
    <row r="2959" spans="2:4" x14ac:dyDescent="0.25">
      <c r="B2959" s="90">
        <v>2955</v>
      </c>
      <c r="C2959" s="39">
        <f t="shared" si="92"/>
        <v>9578485.60304516</v>
      </c>
      <c r="D2959" s="39">
        <f t="shared" si="93"/>
        <v>9309233.8676237408</v>
      </c>
    </row>
    <row r="2960" spans="2:4" x14ac:dyDescent="0.25">
      <c r="B2960" s="90">
        <v>2956</v>
      </c>
      <c r="C2960" s="39">
        <f t="shared" si="92"/>
        <v>9581132.9416587129</v>
      </c>
      <c r="D2960" s="39">
        <f t="shared" si="93"/>
        <v>9312384.2005738672</v>
      </c>
    </row>
    <row r="2961" spans="2:4" x14ac:dyDescent="0.25">
      <c r="B2961" s="90">
        <v>2957</v>
      </c>
      <c r="C2961" s="39">
        <f t="shared" si="92"/>
        <v>9583780.280272264</v>
      </c>
      <c r="D2961" s="39">
        <f t="shared" si="93"/>
        <v>9315534.5335239936</v>
      </c>
    </row>
    <row r="2962" spans="2:4" x14ac:dyDescent="0.25">
      <c r="B2962" s="90">
        <v>2958</v>
      </c>
      <c r="C2962" s="39">
        <f t="shared" si="92"/>
        <v>9586427.6188858151</v>
      </c>
      <c r="D2962" s="39">
        <f t="shared" si="93"/>
        <v>9318684.8664741199</v>
      </c>
    </row>
    <row r="2963" spans="2:4" x14ac:dyDescent="0.25">
      <c r="B2963" s="90">
        <v>2959</v>
      </c>
      <c r="C2963" s="39">
        <f t="shared" si="92"/>
        <v>9589074.9574993663</v>
      </c>
      <c r="D2963" s="39">
        <f t="shared" si="93"/>
        <v>9321835.1994242463</v>
      </c>
    </row>
    <row r="2964" spans="2:4" x14ac:dyDescent="0.25">
      <c r="B2964" s="90">
        <v>2960</v>
      </c>
      <c r="C2964" s="39">
        <f t="shared" si="92"/>
        <v>9591722.2961129174</v>
      </c>
      <c r="D2964" s="39">
        <f t="shared" si="93"/>
        <v>9324985.5323743727</v>
      </c>
    </row>
    <row r="2965" spans="2:4" x14ac:dyDescent="0.25">
      <c r="B2965" s="90">
        <v>2961</v>
      </c>
      <c r="C2965" s="39">
        <f t="shared" si="92"/>
        <v>9594369.6347264703</v>
      </c>
      <c r="D2965" s="39">
        <f t="shared" si="93"/>
        <v>9328135.8653244991</v>
      </c>
    </row>
    <row r="2966" spans="2:4" x14ac:dyDescent="0.25">
      <c r="B2966" s="90">
        <v>2962</v>
      </c>
      <c r="C2966" s="39">
        <f t="shared" si="92"/>
        <v>9597016.9733400214</v>
      </c>
      <c r="D2966" s="39">
        <f t="shared" si="93"/>
        <v>9331286.1982746255</v>
      </c>
    </row>
    <row r="2967" spans="2:4" x14ac:dyDescent="0.25">
      <c r="B2967" s="90">
        <v>2963</v>
      </c>
      <c r="C2967" s="39">
        <f t="shared" si="92"/>
        <v>9599664.3119535744</v>
      </c>
      <c r="D2967" s="39">
        <f t="shared" si="93"/>
        <v>9334436.5312247537</v>
      </c>
    </row>
    <row r="2968" spans="2:4" x14ac:dyDescent="0.25">
      <c r="B2968" s="90">
        <v>2964</v>
      </c>
      <c r="C2968" s="39">
        <f t="shared" si="92"/>
        <v>9602311.6505671255</v>
      </c>
      <c r="D2968" s="39">
        <f t="shared" si="93"/>
        <v>9337586.8641748801</v>
      </c>
    </row>
    <row r="2969" spans="2:4" x14ac:dyDescent="0.25">
      <c r="B2969" s="90">
        <v>2965</v>
      </c>
      <c r="C2969" s="39">
        <f t="shared" si="92"/>
        <v>9604958.9891806766</v>
      </c>
      <c r="D2969" s="39">
        <f t="shared" si="93"/>
        <v>9340737.1971250065</v>
      </c>
    </row>
    <row r="2970" spans="2:4" x14ac:dyDescent="0.25">
      <c r="B2970" s="90">
        <v>2966</v>
      </c>
      <c r="C2970" s="39">
        <f t="shared" si="92"/>
        <v>9607606.3277942277</v>
      </c>
      <c r="D2970" s="39">
        <f t="shared" si="93"/>
        <v>9343887.5300751328</v>
      </c>
    </row>
    <row r="2971" spans="2:4" x14ac:dyDescent="0.25">
      <c r="B2971" s="90">
        <v>2967</v>
      </c>
      <c r="C2971" s="39">
        <f t="shared" si="92"/>
        <v>9610253.6664077789</v>
      </c>
      <c r="D2971" s="39">
        <f t="shared" si="93"/>
        <v>9347037.8630252592</v>
      </c>
    </row>
    <row r="2972" spans="2:4" x14ac:dyDescent="0.25">
      <c r="B2972" s="90">
        <v>2968</v>
      </c>
      <c r="C2972" s="39">
        <f t="shared" si="92"/>
        <v>9612901.0050213318</v>
      </c>
      <c r="D2972" s="39">
        <f t="shared" si="93"/>
        <v>9350188.1959753856</v>
      </c>
    </row>
    <row r="2973" spans="2:4" x14ac:dyDescent="0.25">
      <c r="B2973" s="90">
        <v>2969</v>
      </c>
      <c r="C2973" s="39">
        <f t="shared" si="92"/>
        <v>9615548.3436348829</v>
      </c>
      <c r="D2973" s="39">
        <f t="shared" si="93"/>
        <v>9353338.528925512</v>
      </c>
    </row>
    <row r="2974" spans="2:4" x14ac:dyDescent="0.25">
      <c r="B2974" s="90">
        <v>2970</v>
      </c>
      <c r="C2974" s="39">
        <f t="shared" si="92"/>
        <v>9618195.6822484359</v>
      </c>
      <c r="D2974" s="39">
        <f t="shared" si="93"/>
        <v>9356488.8618756384</v>
      </c>
    </row>
    <row r="2975" spans="2:4" x14ac:dyDescent="0.25">
      <c r="B2975" s="90">
        <v>2971</v>
      </c>
      <c r="C2975" s="39">
        <f t="shared" si="92"/>
        <v>9620843.020861987</v>
      </c>
      <c r="D2975" s="39">
        <f t="shared" si="93"/>
        <v>9359639.1948257647</v>
      </c>
    </row>
    <row r="2976" spans="2:4" x14ac:dyDescent="0.25">
      <c r="B2976" s="90">
        <v>2972</v>
      </c>
      <c r="C2976" s="39">
        <f t="shared" si="92"/>
        <v>9623490.3594755381</v>
      </c>
      <c r="D2976" s="39">
        <f t="shared" si="93"/>
        <v>9362789.5277758911</v>
      </c>
    </row>
    <row r="2977" spans="2:4" x14ac:dyDescent="0.25">
      <c r="B2977" s="90">
        <v>2973</v>
      </c>
      <c r="C2977" s="39">
        <f t="shared" si="92"/>
        <v>9626137.6980890892</v>
      </c>
      <c r="D2977" s="39">
        <f t="shared" si="93"/>
        <v>9365939.8607260175</v>
      </c>
    </row>
    <row r="2978" spans="2:4" x14ac:dyDescent="0.25">
      <c r="B2978" s="90">
        <v>2974</v>
      </c>
      <c r="C2978" s="39">
        <f t="shared" si="92"/>
        <v>9628785.0367026404</v>
      </c>
      <c r="D2978" s="39">
        <f t="shared" si="93"/>
        <v>9369090.1936761439</v>
      </c>
    </row>
    <row r="2979" spans="2:4" x14ac:dyDescent="0.25">
      <c r="B2979" s="90">
        <v>2975</v>
      </c>
      <c r="C2979" s="39">
        <f t="shared" si="92"/>
        <v>9631432.3753161933</v>
      </c>
      <c r="D2979" s="39">
        <f t="shared" si="93"/>
        <v>9372240.5266262703</v>
      </c>
    </row>
    <row r="2980" spans="2:4" x14ac:dyDescent="0.25">
      <c r="B2980" s="90">
        <v>2976</v>
      </c>
      <c r="C2980" s="39">
        <f t="shared" si="92"/>
        <v>9634079.7139297463</v>
      </c>
      <c r="D2980" s="39">
        <f t="shared" si="93"/>
        <v>9375390.8595763966</v>
      </c>
    </row>
    <row r="2981" spans="2:4" x14ac:dyDescent="0.25">
      <c r="B2981" s="90">
        <v>2977</v>
      </c>
      <c r="C2981" s="39">
        <f t="shared" si="92"/>
        <v>9636727.0525432974</v>
      </c>
      <c r="D2981" s="39">
        <f t="shared" si="93"/>
        <v>9378541.192526523</v>
      </c>
    </row>
    <row r="2982" spans="2:4" x14ac:dyDescent="0.25">
      <c r="B2982" s="90">
        <v>2978</v>
      </c>
      <c r="C2982" s="39">
        <f t="shared" si="92"/>
        <v>9639374.3911568485</v>
      </c>
      <c r="D2982" s="39">
        <f t="shared" si="93"/>
        <v>9381691.5254766494</v>
      </c>
    </row>
    <row r="2983" spans="2:4" x14ac:dyDescent="0.25">
      <c r="B2983" s="90">
        <v>2979</v>
      </c>
      <c r="C2983" s="39">
        <f t="shared" si="92"/>
        <v>9642021.7297703996</v>
      </c>
      <c r="D2983" s="39">
        <f t="shared" si="93"/>
        <v>9384841.8584267758</v>
      </c>
    </row>
    <row r="2984" spans="2:4" x14ac:dyDescent="0.25">
      <c r="B2984" s="90">
        <v>2980</v>
      </c>
      <c r="C2984" s="39">
        <f t="shared" si="92"/>
        <v>9644669.0683839507</v>
      </c>
      <c r="D2984" s="39">
        <f t="shared" si="93"/>
        <v>9387992.1913769022</v>
      </c>
    </row>
    <row r="2985" spans="2:4" x14ac:dyDescent="0.25">
      <c r="B2985" s="90">
        <v>2981</v>
      </c>
      <c r="C2985" s="39">
        <f t="shared" si="92"/>
        <v>9647316.4069975037</v>
      </c>
      <c r="D2985" s="39">
        <f t="shared" si="93"/>
        <v>9391142.5243270285</v>
      </c>
    </row>
    <row r="2986" spans="2:4" x14ac:dyDescent="0.25">
      <c r="B2986" s="90">
        <v>2982</v>
      </c>
      <c r="C2986" s="39">
        <f t="shared" si="92"/>
        <v>9649963.7456110548</v>
      </c>
      <c r="D2986" s="39">
        <f t="shared" si="93"/>
        <v>9394292.8572771568</v>
      </c>
    </row>
    <row r="2987" spans="2:4" x14ac:dyDescent="0.25">
      <c r="B2987" s="90">
        <v>2983</v>
      </c>
      <c r="C2987" s="39">
        <f t="shared" si="92"/>
        <v>9652611.0842246078</v>
      </c>
      <c r="D2987" s="39">
        <f t="shared" si="93"/>
        <v>9397443.1902272832</v>
      </c>
    </row>
    <row r="2988" spans="2:4" x14ac:dyDescent="0.25">
      <c r="B2988" s="90">
        <v>2984</v>
      </c>
      <c r="C2988" s="39">
        <f t="shared" si="92"/>
        <v>9655258.4228381589</v>
      </c>
      <c r="D2988" s="39">
        <f t="shared" si="93"/>
        <v>9400593.5231774095</v>
      </c>
    </row>
    <row r="2989" spans="2:4" x14ac:dyDescent="0.25">
      <c r="B2989" s="90">
        <v>2985</v>
      </c>
      <c r="C2989" s="39">
        <f t="shared" si="92"/>
        <v>9657905.76145171</v>
      </c>
      <c r="D2989" s="39">
        <f t="shared" si="93"/>
        <v>9403743.8561275359</v>
      </c>
    </row>
    <row r="2990" spans="2:4" x14ac:dyDescent="0.25">
      <c r="B2990" s="90">
        <v>2986</v>
      </c>
      <c r="C2990" s="39">
        <f t="shared" si="92"/>
        <v>9660553.1000652611</v>
      </c>
      <c r="D2990" s="39">
        <f t="shared" si="93"/>
        <v>9406894.1890776623</v>
      </c>
    </row>
    <row r="2991" spans="2:4" x14ac:dyDescent="0.25">
      <c r="B2991" s="90">
        <v>2987</v>
      </c>
      <c r="C2991" s="39">
        <f t="shared" si="92"/>
        <v>9663200.4386788122</v>
      </c>
      <c r="D2991" s="39">
        <f t="shared" si="93"/>
        <v>9410044.5220277887</v>
      </c>
    </row>
    <row r="2992" spans="2:4" x14ac:dyDescent="0.25">
      <c r="B2992" s="90">
        <v>2988</v>
      </c>
      <c r="C2992" s="39">
        <f t="shared" si="92"/>
        <v>9665847.7772923652</v>
      </c>
      <c r="D2992" s="39">
        <f t="shared" si="93"/>
        <v>9413194.8549779151</v>
      </c>
    </row>
    <row r="2993" spans="2:4" x14ac:dyDescent="0.25">
      <c r="B2993" s="90">
        <v>2989</v>
      </c>
      <c r="C2993" s="39">
        <f t="shared" ref="C2993:C3056" si="94">($C$2*B2993)+$C$1</f>
        <v>9668495.1159059163</v>
      </c>
      <c r="D2993" s="39">
        <f t="shared" ref="D2993:D3056" si="95">$D$2*B2993</f>
        <v>9416345.1879280414</v>
      </c>
    </row>
    <row r="2994" spans="2:4" x14ac:dyDescent="0.25">
      <c r="B2994" s="90">
        <v>2990</v>
      </c>
      <c r="C2994" s="39">
        <f t="shared" si="94"/>
        <v>9671142.4545194693</v>
      </c>
      <c r="D2994" s="39">
        <f t="shared" si="95"/>
        <v>9419495.5208781678</v>
      </c>
    </row>
    <row r="2995" spans="2:4" x14ac:dyDescent="0.25">
      <c r="B2995" s="90">
        <v>2991</v>
      </c>
      <c r="C2995" s="39">
        <f t="shared" si="94"/>
        <v>9673789.7931330204</v>
      </c>
      <c r="D2995" s="39">
        <f t="shared" si="95"/>
        <v>9422645.8538282942</v>
      </c>
    </row>
    <row r="2996" spans="2:4" x14ac:dyDescent="0.25">
      <c r="B2996" s="90">
        <v>2992</v>
      </c>
      <c r="C2996" s="39">
        <f t="shared" si="94"/>
        <v>9676437.1317465715</v>
      </c>
      <c r="D2996" s="39">
        <f t="shared" si="95"/>
        <v>9425796.1867784206</v>
      </c>
    </row>
    <row r="2997" spans="2:4" x14ac:dyDescent="0.25">
      <c r="B2997" s="90">
        <v>2993</v>
      </c>
      <c r="C2997" s="39">
        <f t="shared" si="94"/>
        <v>9679084.4703601226</v>
      </c>
      <c r="D2997" s="39">
        <f t="shared" si="95"/>
        <v>9428946.519728547</v>
      </c>
    </row>
    <row r="2998" spans="2:4" x14ac:dyDescent="0.25">
      <c r="B2998" s="90">
        <v>2994</v>
      </c>
      <c r="C2998" s="39">
        <f t="shared" si="94"/>
        <v>9681731.8089736737</v>
      </c>
      <c r="D2998" s="39">
        <f t="shared" si="95"/>
        <v>9432096.8526786733</v>
      </c>
    </row>
    <row r="2999" spans="2:4" x14ac:dyDescent="0.25">
      <c r="B2999" s="90">
        <v>2995</v>
      </c>
      <c r="C2999" s="39">
        <f t="shared" si="94"/>
        <v>9684379.1475872267</v>
      </c>
      <c r="D2999" s="39">
        <f t="shared" si="95"/>
        <v>9435247.1856287997</v>
      </c>
    </row>
    <row r="3000" spans="2:4" x14ac:dyDescent="0.25">
      <c r="B3000" s="90">
        <v>2996</v>
      </c>
      <c r="C3000" s="39">
        <f t="shared" si="94"/>
        <v>9687026.4862007778</v>
      </c>
      <c r="D3000" s="39">
        <f t="shared" si="95"/>
        <v>9438397.5185789261</v>
      </c>
    </row>
    <row r="3001" spans="2:4" x14ac:dyDescent="0.25">
      <c r="B3001" s="90">
        <v>2997</v>
      </c>
      <c r="C3001" s="39">
        <f t="shared" si="94"/>
        <v>9689673.8248143308</v>
      </c>
      <c r="D3001" s="39">
        <f t="shared" si="95"/>
        <v>9441547.8515290525</v>
      </c>
    </row>
    <row r="3002" spans="2:4" x14ac:dyDescent="0.25">
      <c r="B3002" s="90">
        <v>2998</v>
      </c>
      <c r="C3002" s="39">
        <f t="shared" si="94"/>
        <v>9692321.1634278819</v>
      </c>
      <c r="D3002" s="39">
        <f t="shared" si="95"/>
        <v>9444698.1844791789</v>
      </c>
    </row>
    <row r="3003" spans="2:4" x14ac:dyDescent="0.25">
      <c r="B3003" s="90">
        <v>2999</v>
      </c>
      <c r="C3003" s="39">
        <f t="shared" si="94"/>
        <v>9694968.502041433</v>
      </c>
      <c r="D3003" s="39">
        <f t="shared" si="95"/>
        <v>9447848.5174293052</v>
      </c>
    </row>
    <row r="3004" spans="2:4" x14ac:dyDescent="0.25">
      <c r="B3004" s="90">
        <v>3000</v>
      </c>
      <c r="C3004" s="39">
        <f t="shared" si="94"/>
        <v>9697615.8406549841</v>
      </c>
      <c r="D3004" s="39">
        <f t="shared" si="95"/>
        <v>9450998.8503794316</v>
      </c>
    </row>
    <row r="3005" spans="2:4" x14ac:dyDescent="0.25">
      <c r="B3005" s="90">
        <v>3001</v>
      </c>
      <c r="C3005" s="39">
        <f t="shared" si="94"/>
        <v>9700263.1792685352</v>
      </c>
      <c r="D3005" s="39">
        <f t="shared" si="95"/>
        <v>9454149.1833295599</v>
      </c>
    </row>
    <row r="3006" spans="2:4" x14ac:dyDescent="0.25">
      <c r="B3006" s="90">
        <v>3002</v>
      </c>
      <c r="C3006" s="39">
        <f t="shared" si="94"/>
        <v>9702910.5178820882</v>
      </c>
      <c r="D3006" s="39">
        <f t="shared" si="95"/>
        <v>9457299.5162796862</v>
      </c>
    </row>
    <row r="3007" spans="2:4" x14ac:dyDescent="0.25">
      <c r="B3007" s="90">
        <v>3003</v>
      </c>
      <c r="C3007" s="39">
        <f t="shared" si="94"/>
        <v>9705557.8564956412</v>
      </c>
      <c r="D3007" s="39">
        <f t="shared" si="95"/>
        <v>9460449.8492298126</v>
      </c>
    </row>
    <row r="3008" spans="2:4" x14ac:dyDescent="0.25">
      <c r="B3008" s="90">
        <v>3004</v>
      </c>
      <c r="C3008" s="39">
        <f t="shared" si="94"/>
        <v>9708205.1951091923</v>
      </c>
      <c r="D3008" s="39">
        <f t="shared" si="95"/>
        <v>9463600.182179939</v>
      </c>
    </row>
    <row r="3009" spans="2:4" x14ac:dyDescent="0.25">
      <c r="B3009" s="90">
        <v>3005</v>
      </c>
      <c r="C3009" s="39">
        <f t="shared" si="94"/>
        <v>9710852.5337227434</v>
      </c>
      <c r="D3009" s="39">
        <f t="shared" si="95"/>
        <v>9466750.5151300654</v>
      </c>
    </row>
    <row r="3010" spans="2:4" x14ac:dyDescent="0.25">
      <c r="B3010" s="90">
        <v>3006</v>
      </c>
      <c r="C3010" s="39">
        <f t="shared" si="94"/>
        <v>9713499.8723362945</v>
      </c>
      <c r="D3010" s="39">
        <f t="shared" si="95"/>
        <v>9469900.8480801918</v>
      </c>
    </row>
    <row r="3011" spans="2:4" x14ac:dyDescent="0.25">
      <c r="B3011" s="90">
        <v>3007</v>
      </c>
      <c r="C3011" s="39">
        <f t="shared" si="94"/>
        <v>9716147.2109498456</v>
      </c>
      <c r="D3011" s="39">
        <f t="shared" si="95"/>
        <v>9473051.1810303181</v>
      </c>
    </row>
    <row r="3012" spans="2:4" x14ac:dyDescent="0.25">
      <c r="B3012" s="90">
        <v>3008</v>
      </c>
      <c r="C3012" s="39">
        <f t="shared" si="94"/>
        <v>9718794.5495633986</v>
      </c>
      <c r="D3012" s="39">
        <f t="shared" si="95"/>
        <v>9476201.5139804445</v>
      </c>
    </row>
    <row r="3013" spans="2:4" x14ac:dyDescent="0.25">
      <c r="B3013" s="90">
        <v>3009</v>
      </c>
      <c r="C3013" s="39">
        <f t="shared" si="94"/>
        <v>9721441.8881769497</v>
      </c>
      <c r="D3013" s="39">
        <f t="shared" si="95"/>
        <v>9479351.8469305709</v>
      </c>
    </row>
    <row r="3014" spans="2:4" x14ac:dyDescent="0.25">
      <c r="B3014" s="90">
        <v>3010</v>
      </c>
      <c r="C3014" s="39">
        <f t="shared" si="94"/>
        <v>9724089.2267905027</v>
      </c>
      <c r="D3014" s="39">
        <f t="shared" si="95"/>
        <v>9482502.1798806973</v>
      </c>
    </row>
    <row r="3015" spans="2:4" x14ac:dyDescent="0.25">
      <c r="B3015" s="90">
        <v>3011</v>
      </c>
      <c r="C3015" s="39">
        <f t="shared" si="94"/>
        <v>9726736.5654040538</v>
      </c>
      <c r="D3015" s="39">
        <f t="shared" si="95"/>
        <v>9485652.5128308237</v>
      </c>
    </row>
    <row r="3016" spans="2:4" x14ac:dyDescent="0.25">
      <c r="B3016" s="90">
        <v>3012</v>
      </c>
      <c r="C3016" s="39">
        <f t="shared" si="94"/>
        <v>9729383.9040176049</v>
      </c>
      <c r="D3016" s="39">
        <f t="shared" si="95"/>
        <v>9488802.84578095</v>
      </c>
    </row>
    <row r="3017" spans="2:4" x14ac:dyDescent="0.25">
      <c r="B3017" s="90">
        <v>3013</v>
      </c>
      <c r="C3017" s="39">
        <f t="shared" si="94"/>
        <v>9732031.242631156</v>
      </c>
      <c r="D3017" s="39">
        <f t="shared" si="95"/>
        <v>9491953.1787310764</v>
      </c>
    </row>
    <row r="3018" spans="2:4" x14ac:dyDescent="0.25">
      <c r="B3018" s="90">
        <v>3014</v>
      </c>
      <c r="C3018" s="39">
        <f t="shared" si="94"/>
        <v>9734678.5812447071</v>
      </c>
      <c r="D3018" s="39">
        <f t="shared" si="95"/>
        <v>9495103.5116812028</v>
      </c>
    </row>
    <row r="3019" spans="2:4" x14ac:dyDescent="0.25">
      <c r="B3019" s="90">
        <v>3015</v>
      </c>
      <c r="C3019" s="39">
        <f t="shared" si="94"/>
        <v>9737325.9198582601</v>
      </c>
      <c r="D3019" s="39">
        <f t="shared" si="95"/>
        <v>9498253.8446313292</v>
      </c>
    </row>
    <row r="3020" spans="2:4" x14ac:dyDescent="0.25">
      <c r="B3020" s="90">
        <v>3016</v>
      </c>
      <c r="C3020" s="39">
        <f t="shared" si="94"/>
        <v>9739973.2584718112</v>
      </c>
      <c r="D3020" s="39">
        <f t="shared" si="95"/>
        <v>9501404.1775814556</v>
      </c>
    </row>
    <row r="3021" spans="2:4" x14ac:dyDescent="0.25">
      <c r="B3021" s="90">
        <v>3017</v>
      </c>
      <c r="C3021" s="39">
        <f t="shared" si="94"/>
        <v>9742620.5970853642</v>
      </c>
      <c r="D3021" s="39">
        <f t="shared" si="95"/>
        <v>9504554.5105315819</v>
      </c>
    </row>
    <row r="3022" spans="2:4" x14ac:dyDescent="0.25">
      <c r="B3022" s="90">
        <v>3018</v>
      </c>
      <c r="C3022" s="39">
        <f t="shared" si="94"/>
        <v>9745267.9356989153</v>
      </c>
      <c r="D3022" s="39">
        <f t="shared" si="95"/>
        <v>9507704.8434817083</v>
      </c>
    </row>
    <row r="3023" spans="2:4" x14ac:dyDescent="0.25">
      <c r="B3023" s="90">
        <v>3019</v>
      </c>
      <c r="C3023" s="39">
        <f t="shared" si="94"/>
        <v>9747915.2743124664</v>
      </c>
      <c r="D3023" s="39">
        <f t="shared" si="95"/>
        <v>9510855.1764318347</v>
      </c>
    </row>
    <row r="3024" spans="2:4" x14ac:dyDescent="0.25">
      <c r="B3024" s="90">
        <v>3020</v>
      </c>
      <c r="C3024" s="39">
        <f t="shared" si="94"/>
        <v>9750562.6129260175</v>
      </c>
      <c r="D3024" s="39">
        <f t="shared" si="95"/>
        <v>9514005.5093819629</v>
      </c>
    </row>
    <row r="3025" spans="2:4" x14ac:dyDescent="0.25">
      <c r="B3025" s="90">
        <v>3021</v>
      </c>
      <c r="C3025" s="39">
        <f t="shared" si="94"/>
        <v>9753209.9515395686</v>
      </c>
      <c r="D3025" s="39">
        <f t="shared" si="95"/>
        <v>9517155.8423320893</v>
      </c>
    </row>
    <row r="3026" spans="2:4" x14ac:dyDescent="0.25">
      <c r="B3026" s="90">
        <v>3022</v>
      </c>
      <c r="C3026" s="39">
        <f t="shared" si="94"/>
        <v>9755857.2901531216</v>
      </c>
      <c r="D3026" s="39">
        <f t="shared" si="95"/>
        <v>9520306.1752822157</v>
      </c>
    </row>
    <row r="3027" spans="2:4" x14ac:dyDescent="0.25">
      <c r="B3027" s="90">
        <v>3023</v>
      </c>
      <c r="C3027" s="39">
        <f t="shared" si="94"/>
        <v>9758504.6287666727</v>
      </c>
      <c r="D3027" s="39">
        <f t="shared" si="95"/>
        <v>9523456.5082323421</v>
      </c>
    </row>
    <row r="3028" spans="2:4" x14ac:dyDescent="0.25">
      <c r="B3028" s="90">
        <v>3024</v>
      </c>
      <c r="C3028" s="39">
        <f t="shared" si="94"/>
        <v>9761151.9673802257</v>
      </c>
      <c r="D3028" s="39">
        <f t="shared" si="95"/>
        <v>9526606.8411824685</v>
      </c>
    </row>
    <row r="3029" spans="2:4" x14ac:dyDescent="0.25">
      <c r="B3029" s="90">
        <v>3025</v>
      </c>
      <c r="C3029" s="39">
        <f t="shared" si="94"/>
        <v>9763799.3059937768</v>
      </c>
      <c r="D3029" s="39">
        <f t="shared" si="95"/>
        <v>9529757.1741325948</v>
      </c>
    </row>
    <row r="3030" spans="2:4" x14ac:dyDescent="0.25">
      <c r="B3030" s="90">
        <v>3026</v>
      </c>
      <c r="C3030" s="39">
        <f t="shared" si="94"/>
        <v>9766446.6446073279</v>
      </c>
      <c r="D3030" s="39">
        <f t="shared" si="95"/>
        <v>9532907.5070827212</v>
      </c>
    </row>
    <row r="3031" spans="2:4" x14ac:dyDescent="0.25">
      <c r="B3031" s="90">
        <v>3027</v>
      </c>
      <c r="C3031" s="39">
        <f t="shared" si="94"/>
        <v>9769093.983220879</v>
      </c>
      <c r="D3031" s="39">
        <f t="shared" si="95"/>
        <v>9536057.8400328476</v>
      </c>
    </row>
    <row r="3032" spans="2:4" x14ac:dyDescent="0.25">
      <c r="B3032" s="90">
        <v>3028</v>
      </c>
      <c r="C3032" s="39">
        <f t="shared" si="94"/>
        <v>9771741.3218344301</v>
      </c>
      <c r="D3032" s="39">
        <f t="shared" si="95"/>
        <v>9539208.172982974</v>
      </c>
    </row>
    <row r="3033" spans="2:4" x14ac:dyDescent="0.25">
      <c r="B3033" s="90">
        <v>3029</v>
      </c>
      <c r="C3033" s="39">
        <f t="shared" si="94"/>
        <v>9774388.6604479831</v>
      </c>
      <c r="D3033" s="39">
        <f t="shared" si="95"/>
        <v>9542358.5059331004</v>
      </c>
    </row>
    <row r="3034" spans="2:4" x14ac:dyDescent="0.25">
      <c r="B3034" s="90">
        <v>3030</v>
      </c>
      <c r="C3034" s="39">
        <f t="shared" si="94"/>
        <v>9777035.999061536</v>
      </c>
      <c r="D3034" s="39">
        <f t="shared" si="95"/>
        <v>9545508.8388832267</v>
      </c>
    </row>
    <row r="3035" spans="2:4" x14ac:dyDescent="0.25">
      <c r="B3035" s="90">
        <v>3031</v>
      </c>
      <c r="C3035" s="39">
        <f t="shared" si="94"/>
        <v>9779683.3376750872</v>
      </c>
      <c r="D3035" s="39">
        <f t="shared" si="95"/>
        <v>9548659.1718333531</v>
      </c>
    </row>
    <row r="3036" spans="2:4" x14ac:dyDescent="0.25">
      <c r="B3036" s="90">
        <v>3032</v>
      </c>
      <c r="C3036" s="39">
        <f t="shared" si="94"/>
        <v>9782330.6762886383</v>
      </c>
      <c r="D3036" s="39">
        <f t="shared" si="95"/>
        <v>9551809.5047834795</v>
      </c>
    </row>
    <row r="3037" spans="2:4" x14ac:dyDescent="0.25">
      <c r="B3037" s="90">
        <v>3033</v>
      </c>
      <c r="C3037" s="39">
        <f t="shared" si="94"/>
        <v>9784978.0149021894</v>
      </c>
      <c r="D3037" s="39">
        <f t="shared" si="95"/>
        <v>9554959.8377336059</v>
      </c>
    </row>
    <row r="3038" spans="2:4" x14ac:dyDescent="0.25">
      <c r="B3038" s="90">
        <v>3034</v>
      </c>
      <c r="C3038" s="39">
        <f t="shared" si="94"/>
        <v>9787625.3535157405</v>
      </c>
      <c r="D3038" s="39">
        <f t="shared" si="95"/>
        <v>9558110.1706837323</v>
      </c>
    </row>
    <row r="3039" spans="2:4" x14ac:dyDescent="0.25">
      <c r="B3039" s="90">
        <v>3035</v>
      </c>
      <c r="C3039" s="39">
        <f t="shared" si="94"/>
        <v>9790272.6921292935</v>
      </c>
      <c r="D3039" s="39">
        <f t="shared" si="95"/>
        <v>9561260.5036338586</v>
      </c>
    </row>
    <row r="3040" spans="2:4" x14ac:dyDescent="0.25">
      <c r="B3040" s="90">
        <v>3036</v>
      </c>
      <c r="C3040" s="39">
        <f t="shared" si="94"/>
        <v>9792920.0307428446</v>
      </c>
      <c r="D3040" s="39">
        <f t="shared" si="95"/>
        <v>9564410.836583985</v>
      </c>
    </row>
    <row r="3041" spans="2:4" x14ac:dyDescent="0.25">
      <c r="B3041" s="90">
        <v>3037</v>
      </c>
      <c r="C3041" s="39">
        <f t="shared" si="94"/>
        <v>9795567.3693563975</v>
      </c>
      <c r="D3041" s="39">
        <f t="shared" si="95"/>
        <v>9567561.1695341114</v>
      </c>
    </row>
    <row r="3042" spans="2:4" x14ac:dyDescent="0.25">
      <c r="B3042" s="90">
        <v>3038</v>
      </c>
      <c r="C3042" s="39">
        <f t="shared" si="94"/>
        <v>9798214.7079699486</v>
      </c>
      <c r="D3042" s="39">
        <f t="shared" si="95"/>
        <v>9570711.5024842378</v>
      </c>
    </row>
    <row r="3043" spans="2:4" x14ac:dyDescent="0.25">
      <c r="B3043" s="90">
        <v>3039</v>
      </c>
      <c r="C3043" s="39">
        <f t="shared" si="94"/>
        <v>9800862.0465834998</v>
      </c>
      <c r="D3043" s="39">
        <f t="shared" si="95"/>
        <v>9573861.835434366</v>
      </c>
    </row>
    <row r="3044" spans="2:4" x14ac:dyDescent="0.25">
      <c r="B3044" s="90">
        <v>3040</v>
      </c>
      <c r="C3044" s="39">
        <f t="shared" si="94"/>
        <v>9803509.3851970509</v>
      </c>
      <c r="D3044" s="39">
        <f t="shared" si="95"/>
        <v>9577012.1683844924</v>
      </c>
    </row>
    <row r="3045" spans="2:4" x14ac:dyDescent="0.25">
      <c r="B3045" s="90">
        <v>3041</v>
      </c>
      <c r="C3045" s="39">
        <f t="shared" si="94"/>
        <v>9806156.723810602</v>
      </c>
      <c r="D3045" s="39">
        <f t="shared" si="95"/>
        <v>9580162.5013346188</v>
      </c>
    </row>
    <row r="3046" spans="2:4" x14ac:dyDescent="0.25">
      <c r="B3046" s="90">
        <v>3042</v>
      </c>
      <c r="C3046" s="39">
        <f t="shared" si="94"/>
        <v>9808804.062424155</v>
      </c>
      <c r="D3046" s="39">
        <f t="shared" si="95"/>
        <v>9583312.8342847452</v>
      </c>
    </row>
    <row r="3047" spans="2:4" x14ac:dyDescent="0.25">
      <c r="B3047" s="90">
        <v>3043</v>
      </c>
      <c r="C3047" s="39">
        <f t="shared" si="94"/>
        <v>9811451.4010377061</v>
      </c>
      <c r="D3047" s="39">
        <f t="shared" si="95"/>
        <v>9586463.1672348715</v>
      </c>
    </row>
    <row r="3048" spans="2:4" x14ac:dyDescent="0.25">
      <c r="B3048" s="90">
        <v>3044</v>
      </c>
      <c r="C3048" s="39">
        <f t="shared" si="94"/>
        <v>9814098.739651259</v>
      </c>
      <c r="D3048" s="39">
        <f t="shared" si="95"/>
        <v>9589613.5001849979</v>
      </c>
    </row>
    <row r="3049" spans="2:4" x14ac:dyDescent="0.25">
      <c r="B3049" s="90">
        <v>3045</v>
      </c>
      <c r="C3049" s="39">
        <f t="shared" si="94"/>
        <v>9816746.0782648101</v>
      </c>
      <c r="D3049" s="39">
        <f t="shared" si="95"/>
        <v>9592763.8331351243</v>
      </c>
    </row>
    <row r="3050" spans="2:4" x14ac:dyDescent="0.25">
      <c r="B3050" s="90">
        <v>3046</v>
      </c>
      <c r="C3050" s="39">
        <f t="shared" si="94"/>
        <v>9819393.4168783613</v>
      </c>
      <c r="D3050" s="39">
        <f t="shared" si="95"/>
        <v>9595914.1660852507</v>
      </c>
    </row>
    <row r="3051" spans="2:4" x14ac:dyDescent="0.25">
      <c r="B3051" s="90">
        <v>3047</v>
      </c>
      <c r="C3051" s="39">
        <f t="shared" si="94"/>
        <v>9822040.7554919124</v>
      </c>
      <c r="D3051" s="39">
        <f t="shared" si="95"/>
        <v>9599064.4990353771</v>
      </c>
    </row>
    <row r="3052" spans="2:4" x14ac:dyDescent="0.25">
      <c r="B3052" s="90">
        <v>3048</v>
      </c>
      <c r="C3052" s="39">
        <f t="shared" si="94"/>
        <v>9824688.0941054635</v>
      </c>
      <c r="D3052" s="39">
        <f t="shared" si="95"/>
        <v>9602214.8319855034</v>
      </c>
    </row>
    <row r="3053" spans="2:4" x14ac:dyDescent="0.25">
      <c r="B3053" s="90">
        <v>3049</v>
      </c>
      <c r="C3053" s="39">
        <f t="shared" si="94"/>
        <v>9827335.4327190164</v>
      </c>
      <c r="D3053" s="39">
        <f t="shared" si="95"/>
        <v>9605365.1649356298</v>
      </c>
    </row>
    <row r="3054" spans="2:4" x14ac:dyDescent="0.25">
      <c r="B3054" s="90">
        <v>3050</v>
      </c>
      <c r="C3054" s="39">
        <f t="shared" si="94"/>
        <v>9829982.7713325676</v>
      </c>
      <c r="D3054" s="39">
        <f t="shared" si="95"/>
        <v>9608515.4978857562</v>
      </c>
    </row>
    <row r="3055" spans="2:4" x14ac:dyDescent="0.25">
      <c r="B3055" s="90">
        <v>3051</v>
      </c>
      <c r="C3055" s="39">
        <f t="shared" si="94"/>
        <v>9832630.1099461205</v>
      </c>
      <c r="D3055" s="39">
        <f t="shared" si="95"/>
        <v>9611665.8308358826</v>
      </c>
    </row>
    <row r="3056" spans="2:4" x14ac:dyDescent="0.25">
      <c r="B3056" s="90">
        <v>3052</v>
      </c>
      <c r="C3056" s="39">
        <f t="shared" si="94"/>
        <v>9835277.4485596716</v>
      </c>
      <c r="D3056" s="39">
        <f t="shared" si="95"/>
        <v>9614816.163786009</v>
      </c>
    </row>
    <row r="3057" spans="2:4" x14ac:dyDescent="0.25">
      <c r="B3057" s="90">
        <v>3053</v>
      </c>
      <c r="C3057" s="39">
        <f t="shared" ref="C3057:C3120" si="96">($C$2*B3057)+$C$1</f>
        <v>9837924.7871732228</v>
      </c>
      <c r="D3057" s="39">
        <f t="shared" ref="D3057:D3120" si="97">$D$2*B3057</f>
        <v>9617966.4967361353</v>
      </c>
    </row>
    <row r="3058" spans="2:4" x14ac:dyDescent="0.25">
      <c r="B3058" s="90">
        <v>3054</v>
      </c>
      <c r="C3058" s="39">
        <f t="shared" si="96"/>
        <v>9840572.1257867739</v>
      </c>
      <c r="D3058" s="39">
        <f t="shared" si="97"/>
        <v>9621116.8296862617</v>
      </c>
    </row>
    <row r="3059" spans="2:4" x14ac:dyDescent="0.25">
      <c r="B3059" s="90">
        <v>3055</v>
      </c>
      <c r="C3059" s="39">
        <f t="shared" si="96"/>
        <v>9843219.464400325</v>
      </c>
      <c r="D3059" s="39">
        <f t="shared" si="97"/>
        <v>9624267.1626363881</v>
      </c>
    </row>
    <row r="3060" spans="2:4" x14ac:dyDescent="0.25">
      <c r="B3060" s="90">
        <v>3056</v>
      </c>
      <c r="C3060" s="39">
        <f t="shared" si="96"/>
        <v>9845866.8030138779</v>
      </c>
      <c r="D3060" s="39">
        <f t="shared" si="97"/>
        <v>9627417.4955865145</v>
      </c>
    </row>
    <row r="3061" spans="2:4" x14ac:dyDescent="0.25">
      <c r="B3061" s="90">
        <v>3057</v>
      </c>
      <c r="C3061" s="39">
        <f t="shared" si="96"/>
        <v>9848514.1416274309</v>
      </c>
      <c r="D3061" s="39">
        <f t="shared" si="97"/>
        <v>9630567.8285366409</v>
      </c>
    </row>
    <row r="3062" spans="2:4" x14ac:dyDescent="0.25">
      <c r="B3062" s="90">
        <v>3058</v>
      </c>
      <c r="C3062" s="39">
        <f t="shared" si="96"/>
        <v>9851161.480240982</v>
      </c>
      <c r="D3062" s="39">
        <f t="shared" si="97"/>
        <v>9633718.1614867691</v>
      </c>
    </row>
    <row r="3063" spans="2:4" x14ac:dyDescent="0.25">
      <c r="B3063" s="90">
        <v>3059</v>
      </c>
      <c r="C3063" s="39">
        <f t="shared" si="96"/>
        <v>9853808.8188545331</v>
      </c>
      <c r="D3063" s="39">
        <f t="shared" si="97"/>
        <v>9636868.4944368955</v>
      </c>
    </row>
    <row r="3064" spans="2:4" x14ac:dyDescent="0.25">
      <c r="B3064" s="90">
        <v>3060</v>
      </c>
      <c r="C3064" s="39">
        <f t="shared" si="96"/>
        <v>9856456.1574680842</v>
      </c>
      <c r="D3064" s="39">
        <f t="shared" si="97"/>
        <v>9640018.8273870219</v>
      </c>
    </row>
    <row r="3065" spans="2:4" x14ac:dyDescent="0.25">
      <c r="B3065" s="90">
        <v>3061</v>
      </c>
      <c r="C3065" s="39">
        <f t="shared" si="96"/>
        <v>9859103.4960816354</v>
      </c>
      <c r="D3065" s="39">
        <f t="shared" si="97"/>
        <v>9643169.1603371482</v>
      </c>
    </row>
    <row r="3066" spans="2:4" x14ac:dyDescent="0.25">
      <c r="B3066" s="90">
        <v>3062</v>
      </c>
      <c r="C3066" s="39">
        <f t="shared" si="96"/>
        <v>9861750.8346951883</v>
      </c>
      <c r="D3066" s="39">
        <f t="shared" si="97"/>
        <v>9646319.4932872746</v>
      </c>
    </row>
    <row r="3067" spans="2:4" x14ac:dyDescent="0.25">
      <c r="B3067" s="90">
        <v>3063</v>
      </c>
      <c r="C3067" s="39">
        <f t="shared" si="96"/>
        <v>9864398.1733087394</v>
      </c>
      <c r="D3067" s="39">
        <f t="shared" si="97"/>
        <v>9649469.826237401</v>
      </c>
    </row>
    <row r="3068" spans="2:4" x14ac:dyDescent="0.25">
      <c r="B3068" s="90">
        <v>3064</v>
      </c>
      <c r="C3068" s="39">
        <f t="shared" si="96"/>
        <v>9867045.5119222924</v>
      </c>
      <c r="D3068" s="39">
        <f t="shared" si="97"/>
        <v>9652620.1591875274</v>
      </c>
    </row>
    <row r="3069" spans="2:4" x14ac:dyDescent="0.25">
      <c r="B3069" s="90">
        <v>3065</v>
      </c>
      <c r="C3069" s="39">
        <f t="shared" si="96"/>
        <v>9869692.8505358435</v>
      </c>
      <c r="D3069" s="39">
        <f t="shared" si="97"/>
        <v>9655770.4921376538</v>
      </c>
    </row>
    <row r="3070" spans="2:4" x14ac:dyDescent="0.25">
      <c r="B3070" s="90">
        <v>3066</v>
      </c>
      <c r="C3070" s="39">
        <f t="shared" si="96"/>
        <v>9872340.1891493946</v>
      </c>
      <c r="D3070" s="39">
        <f t="shared" si="97"/>
        <v>9658920.8250877801</v>
      </c>
    </row>
    <row r="3071" spans="2:4" x14ac:dyDescent="0.25">
      <c r="B3071" s="90">
        <v>3067</v>
      </c>
      <c r="C3071" s="39">
        <f t="shared" si="96"/>
        <v>9874987.5277629457</v>
      </c>
      <c r="D3071" s="39">
        <f t="shared" si="97"/>
        <v>9662071.1580379065</v>
      </c>
    </row>
    <row r="3072" spans="2:4" x14ac:dyDescent="0.25">
      <c r="B3072" s="90">
        <v>3068</v>
      </c>
      <c r="C3072" s="39">
        <f t="shared" si="96"/>
        <v>9877634.8663764969</v>
      </c>
      <c r="D3072" s="39">
        <f t="shared" si="97"/>
        <v>9665221.4909880329</v>
      </c>
    </row>
    <row r="3073" spans="2:4" x14ac:dyDescent="0.25">
      <c r="B3073" s="90">
        <v>3069</v>
      </c>
      <c r="C3073" s="39">
        <f t="shared" si="96"/>
        <v>9880282.2049900498</v>
      </c>
      <c r="D3073" s="39">
        <f t="shared" si="97"/>
        <v>9668371.8239381593</v>
      </c>
    </row>
    <row r="3074" spans="2:4" x14ac:dyDescent="0.25">
      <c r="B3074" s="90">
        <v>3070</v>
      </c>
      <c r="C3074" s="39">
        <f t="shared" si="96"/>
        <v>9882929.5436036009</v>
      </c>
      <c r="D3074" s="39">
        <f t="shared" si="97"/>
        <v>9671522.1568882857</v>
      </c>
    </row>
    <row r="3075" spans="2:4" x14ac:dyDescent="0.25">
      <c r="B3075" s="90">
        <v>3071</v>
      </c>
      <c r="C3075" s="39">
        <f t="shared" si="96"/>
        <v>9885576.8822171539</v>
      </c>
      <c r="D3075" s="39">
        <f t="shared" si="97"/>
        <v>9674672.489838412</v>
      </c>
    </row>
    <row r="3076" spans="2:4" x14ac:dyDescent="0.25">
      <c r="B3076" s="90">
        <v>3072</v>
      </c>
      <c r="C3076" s="39">
        <f t="shared" si="96"/>
        <v>9888224.220830705</v>
      </c>
      <c r="D3076" s="39">
        <f t="shared" si="97"/>
        <v>9677822.8227885384</v>
      </c>
    </row>
    <row r="3077" spans="2:4" x14ac:dyDescent="0.25">
      <c r="B3077" s="90">
        <v>3073</v>
      </c>
      <c r="C3077" s="39">
        <f t="shared" si="96"/>
        <v>9890871.5594442561</v>
      </c>
      <c r="D3077" s="39">
        <f t="shared" si="97"/>
        <v>9680973.1557386648</v>
      </c>
    </row>
    <row r="3078" spans="2:4" x14ac:dyDescent="0.25">
      <c r="B3078" s="90">
        <v>3074</v>
      </c>
      <c r="C3078" s="39">
        <f t="shared" si="96"/>
        <v>9893518.8980578072</v>
      </c>
      <c r="D3078" s="39">
        <f t="shared" si="97"/>
        <v>9684123.4886887912</v>
      </c>
    </row>
    <row r="3079" spans="2:4" x14ac:dyDescent="0.25">
      <c r="B3079" s="90">
        <v>3075</v>
      </c>
      <c r="C3079" s="39">
        <f t="shared" si="96"/>
        <v>9896166.2366713583</v>
      </c>
      <c r="D3079" s="39">
        <f t="shared" si="97"/>
        <v>9687273.8216389176</v>
      </c>
    </row>
    <row r="3080" spans="2:4" x14ac:dyDescent="0.25">
      <c r="B3080" s="90">
        <v>3076</v>
      </c>
      <c r="C3080" s="39">
        <f t="shared" si="96"/>
        <v>9898813.5752849113</v>
      </c>
      <c r="D3080" s="39">
        <f t="shared" si="97"/>
        <v>9690424.1545890439</v>
      </c>
    </row>
    <row r="3081" spans="2:4" x14ac:dyDescent="0.25">
      <c r="B3081" s="90">
        <v>3077</v>
      </c>
      <c r="C3081" s="39">
        <f t="shared" si="96"/>
        <v>9901460.9138984624</v>
      </c>
      <c r="D3081" s="39">
        <f t="shared" si="97"/>
        <v>9693574.4875391722</v>
      </c>
    </row>
    <row r="3082" spans="2:4" x14ac:dyDescent="0.25">
      <c r="B3082" s="90">
        <v>3078</v>
      </c>
      <c r="C3082" s="39">
        <f t="shared" si="96"/>
        <v>9904108.2525120154</v>
      </c>
      <c r="D3082" s="39">
        <f t="shared" si="97"/>
        <v>9696724.8204892986</v>
      </c>
    </row>
    <row r="3083" spans="2:4" x14ac:dyDescent="0.25">
      <c r="B3083" s="90">
        <v>3079</v>
      </c>
      <c r="C3083" s="39">
        <f t="shared" si="96"/>
        <v>9906755.5911255665</v>
      </c>
      <c r="D3083" s="39">
        <f t="shared" si="97"/>
        <v>9699875.1534394249</v>
      </c>
    </row>
    <row r="3084" spans="2:4" x14ac:dyDescent="0.25">
      <c r="B3084" s="90">
        <v>3080</v>
      </c>
      <c r="C3084" s="39">
        <f t="shared" si="96"/>
        <v>9909402.9297391176</v>
      </c>
      <c r="D3084" s="39">
        <f t="shared" si="97"/>
        <v>9703025.4863895513</v>
      </c>
    </row>
    <row r="3085" spans="2:4" x14ac:dyDescent="0.25">
      <c r="B3085" s="90">
        <v>3081</v>
      </c>
      <c r="C3085" s="39">
        <f t="shared" si="96"/>
        <v>9912050.2683526687</v>
      </c>
      <c r="D3085" s="39">
        <f t="shared" si="97"/>
        <v>9706175.8193396777</v>
      </c>
    </row>
    <row r="3086" spans="2:4" x14ac:dyDescent="0.25">
      <c r="B3086" s="90">
        <v>3082</v>
      </c>
      <c r="C3086" s="39">
        <f t="shared" si="96"/>
        <v>9914697.6069662198</v>
      </c>
      <c r="D3086" s="39">
        <f t="shared" si="97"/>
        <v>9709326.1522898041</v>
      </c>
    </row>
    <row r="3087" spans="2:4" x14ac:dyDescent="0.25">
      <c r="B3087" s="90">
        <v>3083</v>
      </c>
      <c r="C3087" s="39">
        <f t="shared" si="96"/>
        <v>9917344.9455797728</v>
      </c>
      <c r="D3087" s="39">
        <f t="shared" si="97"/>
        <v>9712476.4852399305</v>
      </c>
    </row>
    <row r="3088" spans="2:4" x14ac:dyDescent="0.25">
      <c r="B3088" s="90">
        <v>3084</v>
      </c>
      <c r="C3088" s="39">
        <f t="shared" si="96"/>
        <v>9919992.2841933258</v>
      </c>
      <c r="D3088" s="39">
        <f t="shared" si="97"/>
        <v>9715626.8181900568</v>
      </c>
    </row>
    <row r="3089" spans="2:4" x14ac:dyDescent="0.25">
      <c r="B3089" s="90">
        <v>3085</v>
      </c>
      <c r="C3089" s="39">
        <f t="shared" si="96"/>
        <v>9922639.6228068769</v>
      </c>
      <c r="D3089" s="39">
        <f t="shared" si="97"/>
        <v>9718777.1511401832</v>
      </c>
    </row>
    <row r="3090" spans="2:4" x14ac:dyDescent="0.25">
      <c r="B3090" s="90">
        <v>3086</v>
      </c>
      <c r="C3090" s="39">
        <f t="shared" si="96"/>
        <v>9925286.961420428</v>
      </c>
      <c r="D3090" s="39">
        <f t="shared" si="97"/>
        <v>9721927.4840903096</v>
      </c>
    </row>
    <row r="3091" spans="2:4" x14ac:dyDescent="0.25">
      <c r="B3091" s="90">
        <v>3087</v>
      </c>
      <c r="C3091" s="39">
        <f t="shared" si="96"/>
        <v>9927934.3000339791</v>
      </c>
      <c r="D3091" s="39">
        <f t="shared" si="97"/>
        <v>9725077.817040436</v>
      </c>
    </row>
    <row r="3092" spans="2:4" x14ac:dyDescent="0.25">
      <c r="B3092" s="90">
        <v>3088</v>
      </c>
      <c r="C3092" s="39">
        <f t="shared" si="96"/>
        <v>9930581.6386475302</v>
      </c>
      <c r="D3092" s="39">
        <f t="shared" si="97"/>
        <v>9728228.1499905623</v>
      </c>
    </row>
    <row r="3093" spans="2:4" x14ac:dyDescent="0.25">
      <c r="B3093" s="90">
        <v>3089</v>
      </c>
      <c r="C3093" s="39">
        <f t="shared" si="96"/>
        <v>9933228.9772610832</v>
      </c>
      <c r="D3093" s="39">
        <f t="shared" si="97"/>
        <v>9731378.4829406887</v>
      </c>
    </row>
    <row r="3094" spans="2:4" x14ac:dyDescent="0.25">
      <c r="B3094" s="90">
        <v>3090</v>
      </c>
      <c r="C3094" s="39">
        <f t="shared" si="96"/>
        <v>9935876.3158746343</v>
      </c>
      <c r="D3094" s="39">
        <f t="shared" si="97"/>
        <v>9734528.8158908151</v>
      </c>
    </row>
    <row r="3095" spans="2:4" x14ac:dyDescent="0.25">
      <c r="B3095" s="90">
        <v>3091</v>
      </c>
      <c r="C3095" s="39">
        <f t="shared" si="96"/>
        <v>9938523.6544881873</v>
      </c>
      <c r="D3095" s="39">
        <f t="shared" si="97"/>
        <v>9737679.1488409415</v>
      </c>
    </row>
    <row r="3096" spans="2:4" x14ac:dyDescent="0.25">
      <c r="B3096" s="90">
        <v>3092</v>
      </c>
      <c r="C3096" s="39">
        <f t="shared" si="96"/>
        <v>9941170.9931017384</v>
      </c>
      <c r="D3096" s="39">
        <f t="shared" si="97"/>
        <v>9740829.4817910679</v>
      </c>
    </row>
    <row r="3097" spans="2:4" x14ac:dyDescent="0.25">
      <c r="B3097" s="90">
        <v>3093</v>
      </c>
      <c r="C3097" s="39">
        <f t="shared" si="96"/>
        <v>9943818.3317152895</v>
      </c>
      <c r="D3097" s="39">
        <f t="shared" si="97"/>
        <v>9743979.8147411942</v>
      </c>
    </row>
    <row r="3098" spans="2:4" x14ac:dyDescent="0.25">
      <c r="B3098" s="90">
        <v>3094</v>
      </c>
      <c r="C3098" s="39">
        <f t="shared" si="96"/>
        <v>9946465.6703288406</v>
      </c>
      <c r="D3098" s="39">
        <f t="shared" si="97"/>
        <v>9747130.1476913206</v>
      </c>
    </row>
    <row r="3099" spans="2:4" x14ac:dyDescent="0.25">
      <c r="B3099" s="90">
        <v>3095</v>
      </c>
      <c r="C3099" s="39">
        <f t="shared" si="96"/>
        <v>9949113.0089423917</v>
      </c>
      <c r="D3099" s="39">
        <f t="shared" si="97"/>
        <v>9750280.480641447</v>
      </c>
    </row>
    <row r="3100" spans="2:4" x14ac:dyDescent="0.25">
      <c r="B3100" s="90">
        <v>3096</v>
      </c>
      <c r="C3100" s="39">
        <f t="shared" si="96"/>
        <v>9951760.3475559447</v>
      </c>
      <c r="D3100" s="39">
        <f t="shared" si="97"/>
        <v>9753430.8135915753</v>
      </c>
    </row>
    <row r="3101" spans="2:4" x14ac:dyDescent="0.25">
      <c r="B3101" s="90">
        <v>3097</v>
      </c>
      <c r="C3101" s="39">
        <f t="shared" si="96"/>
        <v>9954407.6861694958</v>
      </c>
      <c r="D3101" s="39">
        <f t="shared" si="97"/>
        <v>9756581.1465417016</v>
      </c>
    </row>
    <row r="3102" spans="2:4" x14ac:dyDescent="0.25">
      <c r="B3102" s="90">
        <v>3098</v>
      </c>
      <c r="C3102" s="39">
        <f t="shared" si="96"/>
        <v>9957055.0247830488</v>
      </c>
      <c r="D3102" s="39">
        <f t="shared" si="97"/>
        <v>9759731.479491828</v>
      </c>
    </row>
    <row r="3103" spans="2:4" x14ac:dyDescent="0.25">
      <c r="B3103" s="90">
        <v>3099</v>
      </c>
      <c r="C3103" s="39">
        <f t="shared" si="96"/>
        <v>9959702.3633965999</v>
      </c>
      <c r="D3103" s="39">
        <f t="shared" si="97"/>
        <v>9762881.8124419544</v>
      </c>
    </row>
    <row r="3104" spans="2:4" x14ac:dyDescent="0.25">
      <c r="B3104" s="90">
        <v>3100</v>
      </c>
      <c r="C3104" s="39">
        <f t="shared" si="96"/>
        <v>9962349.702010151</v>
      </c>
      <c r="D3104" s="39">
        <f t="shared" si="97"/>
        <v>9766032.1453920808</v>
      </c>
    </row>
    <row r="3105" spans="2:4" x14ac:dyDescent="0.25">
      <c r="B3105" s="90">
        <v>3101</v>
      </c>
      <c r="C3105" s="39">
        <f t="shared" si="96"/>
        <v>9964997.0406237021</v>
      </c>
      <c r="D3105" s="39">
        <f t="shared" si="97"/>
        <v>9769182.4783422071</v>
      </c>
    </row>
    <row r="3106" spans="2:4" x14ac:dyDescent="0.25">
      <c r="B3106" s="90">
        <v>3102</v>
      </c>
      <c r="C3106" s="39">
        <f t="shared" si="96"/>
        <v>9967644.3792372532</v>
      </c>
      <c r="D3106" s="39">
        <f t="shared" si="97"/>
        <v>9772332.8112923335</v>
      </c>
    </row>
    <row r="3107" spans="2:4" x14ac:dyDescent="0.25">
      <c r="B3107" s="90">
        <v>3103</v>
      </c>
      <c r="C3107" s="39">
        <f t="shared" si="96"/>
        <v>9970291.7178508062</v>
      </c>
      <c r="D3107" s="39">
        <f t="shared" si="97"/>
        <v>9775483.1442424599</v>
      </c>
    </row>
    <row r="3108" spans="2:4" x14ac:dyDescent="0.25">
      <c r="B3108" s="90">
        <v>3104</v>
      </c>
      <c r="C3108" s="39">
        <f t="shared" si="96"/>
        <v>9972939.0564643573</v>
      </c>
      <c r="D3108" s="39">
        <f t="shared" si="97"/>
        <v>9778633.4771925863</v>
      </c>
    </row>
    <row r="3109" spans="2:4" x14ac:dyDescent="0.25">
      <c r="B3109" s="90">
        <v>3105</v>
      </c>
      <c r="C3109" s="39">
        <f t="shared" si="96"/>
        <v>9975586.3950779103</v>
      </c>
      <c r="D3109" s="39">
        <f t="shared" si="97"/>
        <v>9781783.8101427127</v>
      </c>
    </row>
    <row r="3110" spans="2:4" x14ac:dyDescent="0.25">
      <c r="B3110" s="90">
        <v>3106</v>
      </c>
      <c r="C3110" s="39">
        <f t="shared" si="96"/>
        <v>9978233.7336914614</v>
      </c>
      <c r="D3110" s="39">
        <f t="shared" si="97"/>
        <v>9784934.143092839</v>
      </c>
    </row>
    <row r="3111" spans="2:4" x14ac:dyDescent="0.25">
      <c r="B3111" s="90">
        <v>3107</v>
      </c>
      <c r="C3111" s="39">
        <f t="shared" si="96"/>
        <v>9980881.0723050125</v>
      </c>
      <c r="D3111" s="39">
        <f t="shared" si="97"/>
        <v>9788084.4760429654</v>
      </c>
    </row>
    <row r="3112" spans="2:4" x14ac:dyDescent="0.25">
      <c r="B3112" s="90">
        <v>3108</v>
      </c>
      <c r="C3112" s="39">
        <f t="shared" si="96"/>
        <v>9983528.4109185636</v>
      </c>
      <c r="D3112" s="39">
        <f t="shared" si="97"/>
        <v>9791234.8089930918</v>
      </c>
    </row>
    <row r="3113" spans="2:4" x14ac:dyDescent="0.25">
      <c r="B3113" s="90">
        <v>3109</v>
      </c>
      <c r="C3113" s="39">
        <f t="shared" si="96"/>
        <v>9986175.7495321147</v>
      </c>
      <c r="D3113" s="39">
        <f t="shared" si="97"/>
        <v>9794385.1419432182</v>
      </c>
    </row>
    <row r="3114" spans="2:4" x14ac:dyDescent="0.25">
      <c r="B3114" s="90">
        <v>3110</v>
      </c>
      <c r="C3114" s="39">
        <f t="shared" si="96"/>
        <v>9988823.0881456677</v>
      </c>
      <c r="D3114" s="39">
        <f t="shared" si="97"/>
        <v>9797535.4748933446</v>
      </c>
    </row>
    <row r="3115" spans="2:4" x14ac:dyDescent="0.25">
      <c r="B3115" s="90">
        <v>3111</v>
      </c>
      <c r="C3115" s="39">
        <f t="shared" si="96"/>
        <v>9991470.4267592207</v>
      </c>
      <c r="D3115" s="39">
        <f t="shared" si="97"/>
        <v>9800685.8078434709</v>
      </c>
    </row>
    <row r="3116" spans="2:4" x14ac:dyDescent="0.25">
      <c r="B3116" s="90">
        <v>3112</v>
      </c>
      <c r="C3116" s="39">
        <f t="shared" si="96"/>
        <v>9994117.7653727718</v>
      </c>
      <c r="D3116" s="39">
        <f t="shared" si="97"/>
        <v>9803836.1407935973</v>
      </c>
    </row>
    <row r="3117" spans="2:4" x14ac:dyDescent="0.25">
      <c r="B3117" s="90">
        <v>3113</v>
      </c>
      <c r="C3117" s="39">
        <f t="shared" si="96"/>
        <v>9996765.1039863229</v>
      </c>
      <c r="D3117" s="39">
        <f t="shared" si="97"/>
        <v>9806986.4737437237</v>
      </c>
    </row>
    <row r="3118" spans="2:4" x14ac:dyDescent="0.25">
      <c r="B3118" s="90">
        <v>3114</v>
      </c>
      <c r="C3118" s="39">
        <f t="shared" si="96"/>
        <v>9999412.442599874</v>
      </c>
      <c r="D3118" s="39">
        <f t="shared" si="97"/>
        <v>9810136.8066938501</v>
      </c>
    </row>
    <row r="3119" spans="2:4" x14ac:dyDescent="0.25">
      <c r="B3119" s="90">
        <v>3115</v>
      </c>
      <c r="C3119" s="39">
        <f t="shared" si="96"/>
        <v>10002059.781213425</v>
      </c>
      <c r="D3119" s="39">
        <f t="shared" si="97"/>
        <v>9813287.1396439783</v>
      </c>
    </row>
    <row r="3120" spans="2:4" x14ac:dyDescent="0.25">
      <c r="B3120" s="90">
        <v>3116</v>
      </c>
      <c r="C3120" s="39">
        <f t="shared" si="96"/>
        <v>10004707.119826978</v>
      </c>
      <c r="D3120" s="39">
        <f t="shared" si="97"/>
        <v>9816437.4725941047</v>
      </c>
    </row>
    <row r="3121" spans="2:4" x14ac:dyDescent="0.25">
      <c r="B3121" s="90">
        <v>3117</v>
      </c>
      <c r="C3121" s="39">
        <f t="shared" ref="C3121:C3184" si="98">($C$2*B3121)+$C$1</f>
        <v>10007354.458440529</v>
      </c>
      <c r="D3121" s="39">
        <f t="shared" ref="D3121:D3184" si="99">$D$2*B3121</f>
        <v>9819587.8055442311</v>
      </c>
    </row>
    <row r="3122" spans="2:4" x14ac:dyDescent="0.25">
      <c r="B3122" s="90">
        <v>3118</v>
      </c>
      <c r="C3122" s="39">
        <f t="shared" si="98"/>
        <v>10010001.797054082</v>
      </c>
      <c r="D3122" s="39">
        <f t="shared" si="99"/>
        <v>9822738.1384943575</v>
      </c>
    </row>
    <row r="3123" spans="2:4" x14ac:dyDescent="0.25">
      <c r="B3123" s="90">
        <v>3119</v>
      </c>
      <c r="C3123" s="39">
        <f t="shared" si="98"/>
        <v>10012649.135667633</v>
      </c>
      <c r="D3123" s="39">
        <f t="shared" si="99"/>
        <v>9825888.4714444838</v>
      </c>
    </row>
    <row r="3124" spans="2:4" x14ac:dyDescent="0.25">
      <c r="B3124" s="90">
        <v>3120</v>
      </c>
      <c r="C3124" s="39">
        <f t="shared" si="98"/>
        <v>10015296.474281184</v>
      </c>
      <c r="D3124" s="39">
        <f t="shared" si="99"/>
        <v>9829038.8043946102</v>
      </c>
    </row>
    <row r="3125" spans="2:4" x14ac:dyDescent="0.25">
      <c r="B3125" s="90">
        <v>3121</v>
      </c>
      <c r="C3125" s="39">
        <f t="shared" si="98"/>
        <v>10017943.812894735</v>
      </c>
      <c r="D3125" s="39">
        <f t="shared" si="99"/>
        <v>9832189.1373447366</v>
      </c>
    </row>
    <row r="3126" spans="2:4" x14ac:dyDescent="0.25">
      <c r="B3126" s="90">
        <v>3122</v>
      </c>
      <c r="C3126" s="39">
        <f t="shared" si="98"/>
        <v>10020591.151508287</v>
      </c>
      <c r="D3126" s="39">
        <f t="shared" si="99"/>
        <v>9835339.470294863</v>
      </c>
    </row>
    <row r="3127" spans="2:4" x14ac:dyDescent="0.25">
      <c r="B3127" s="90">
        <v>3123</v>
      </c>
      <c r="C3127" s="39">
        <f t="shared" si="98"/>
        <v>10023238.49012184</v>
      </c>
      <c r="D3127" s="39">
        <f t="shared" si="99"/>
        <v>9838489.8032449894</v>
      </c>
    </row>
    <row r="3128" spans="2:4" x14ac:dyDescent="0.25">
      <c r="B3128" s="90">
        <v>3124</v>
      </c>
      <c r="C3128" s="39">
        <f t="shared" si="98"/>
        <v>10025885.828735391</v>
      </c>
      <c r="D3128" s="39">
        <f t="shared" si="99"/>
        <v>9841640.1361951157</v>
      </c>
    </row>
    <row r="3129" spans="2:4" x14ac:dyDescent="0.25">
      <c r="B3129" s="90">
        <v>3125</v>
      </c>
      <c r="C3129" s="39">
        <f t="shared" si="98"/>
        <v>10028533.167348944</v>
      </c>
      <c r="D3129" s="39">
        <f t="shared" si="99"/>
        <v>9844790.4691452421</v>
      </c>
    </row>
    <row r="3130" spans="2:4" x14ac:dyDescent="0.25">
      <c r="B3130" s="90">
        <v>3126</v>
      </c>
      <c r="C3130" s="39">
        <f t="shared" si="98"/>
        <v>10031180.505962495</v>
      </c>
      <c r="D3130" s="39">
        <f t="shared" si="99"/>
        <v>9847940.8020953685</v>
      </c>
    </row>
    <row r="3131" spans="2:4" x14ac:dyDescent="0.25">
      <c r="B3131" s="90">
        <v>3127</v>
      </c>
      <c r="C3131" s="39">
        <f t="shared" si="98"/>
        <v>10033827.844576046</v>
      </c>
      <c r="D3131" s="39">
        <f t="shared" si="99"/>
        <v>9851091.1350454949</v>
      </c>
    </row>
    <row r="3132" spans="2:4" x14ac:dyDescent="0.25">
      <c r="B3132" s="90">
        <v>3128</v>
      </c>
      <c r="C3132" s="39">
        <f t="shared" si="98"/>
        <v>10036475.183189597</v>
      </c>
      <c r="D3132" s="39">
        <f t="shared" si="99"/>
        <v>9854241.4679956213</v>
      </c>
    </row>
    <row r="3133" spans="2:4" x14ac:dyDescent="0.25">
      <c r="B3133" s="90">
        <v>3129</v>
      </c>
      <c r="C3133" s="39">
        <f t="shared" si="98"/>
        <v>10039122.521803148</v>
      </c>
      <c r="D3133" s="39">
        <f t="shared" si="99"/>
        <v>9857391.8009457476</v>
      </c>
    </row>
    <row r="3134" spans="2:4" x14ac:dyDescent="0.25">
      <c r="B3134" s="90">
        <v>3130</v>
      </c>
      <c r="C3134" s="39">
        <f t="shared" si="98"/>
        <v>10041769.860416701</v>
      </c>
      <c r="D3134" s="39">
        <f t="shared" si="99"/>
        <v>9860542.133895874</v>
      </c>
    </row>
    <row r="3135" spans="2:4" x14ac:dyDescent="0.25">
      <c r="B3135" s="90">
        <v>3131</v>
      </c>
      <c r="C3135" s="39">
        <f t="shared" si="98"/>
        <v>10044417.199030252</v>
      </c>
      <c r="D3135" s="39">
        <f t="shared" si="99"/>
        <v>9863692.4668460004</v>
      </c>
    </row>
    <row r="3136" spans="2:4" x14ac:dyDescent="0.25">
      <c r="B3136" s="90">
        <v>3132</v>
      </c>
      <c r="C3136" s="39">
        <f t="shared" si="98"/>
        <v>10047064.537643805</v>
      </c>
      <c r="D3136" s="39">
        <f t="shared" si="99"/>
        <v>9866842.7997961268</v>
      </c>
    </row>
    <row r="3137" spans="2:4" x14ac:dyDescent="0.25">
      <c r="B3137" s="90">
        <v>3133</v>
      </c>
      <c r="C3137" s="39">
        <f t="shared" si="98"/>
        <v>10049711.876257356</v>
      </c>
      <c r="D3137" s="39">
        <f t="shared" si="99"/>
        <v>9869993.1327462532</v>
      </c>
    </row>
    <row r="3138" spans="2:4" x14ac:dyDescent="0.25">
      <c r="B3138" s="90">
        <v>3134</v>
      </c>
      <c r="C3138" s="39">
        <f t="shared" si="98"/>
        <v>10052359.214870907</v>
      </c>
      <c r="D3138" s="39">
        <f t="shared" si="99"/>
        <v>9873143.4656963814</v>
      </c>
    </row>
    <row r="3139" spans="2:4" x14ac:dyDescent="0.25">
      <c r="B3139" s="90">
        <v>3135</v>
      </c>
      <c r="C3139" s="39">
        <f t="shared" si="98"/>
        <v>10055006.553484458</v>
      </c>
      <c r="D3139" s="39">
        <f t="shared" si="99"/>
        <v>9876293.7986465078</v>
      </c>
    </row>
    <row r="3140" spans="2:4" x14ac:dyDescent="0.25">
      <c r="B3140" s="90">
        <v>3136</v>
      </c>
      <c r="C3140" s="39">
        <f t="shared" si="98"/>
        <v>10057653.89209801</v>
      </c>
      <c r="D3140" s="39">
        <f t="shared" si="99"/>
        <v>9879444.1315966342</v>
      </c>
    </row>
    <row r="3141" spans="2:4" x14ac:dyDescent="0.25">
      <c r="B3141" s="90">
        <v>3137</v>
      </c>
      <c r="C3141" s="39">
        <f t="shared" si="98"/>
        <v>10060301.230711563</v>
      </c>
      <c r="D3141" s="39">
        <f t="shared" si="99"/>
        <v>9882594.4645467605</v>
      </c>
    </row>
    <row r="3142" spans="2:4" x14ac:dyDescent="0.25">
      <c r="B3142" s="90">
        <v>3138</v>
      </c>
      <c r="C3142" s="39">
        <f t="shared" si="98"/>
        <v>10062948.569325116</v>
      </c>
      <c r="D3142" s="39">
        <f t="shared" si="99"/>
        <v>9885744.7974968869</v>
      </c>
    </row>
    <row r="3143" spans="2:4" x14ac:dyDescent="0.25">
      <c r="B3143" s="90">
        <v>3139</v>
      </c>
      <c r="C3143" s="39">
        <f t="shared" si="98"/>
        <v>10065595.907938667</v>
      </c>
      <c r="D3143" s="39">
        <f t="shared" si="99"/>
        <v>9888895.1304470133</v>
      </c>
    </row>
    <row r="3144" spans="2:4" x14ac:dyDescent="0.25">
      <c r="B3144" s="90">
        <v>3140</v>
      </c>
      <c r="C3144" s="39">
        <f t="shared" si="98"/>
        <v>10068243.246552218</v>
      </c>
      <c r="D3144" s="39">
        <f t="shared" si="99"/>
        <v>9892045.4633971397</v>
      </c>
    </row>
    <row r="3145" spans="2:4" x14ac:dyDescent="0.25">
      <c r="B3145" s="90">
        <v>3141</v>
      </c>
      <c r="C3145" s="39">
        <f t="shared" si="98"/>
        <v>10070890.585165769</v>
      </c>
      <c r="D3145" s="39">
        <f t="shared" si="99"/>
        <v>9895195.7963472661</v>
      </c>
    </row>
    <row r="3146" spans="2:4" x14ac:dyDescent="0.25">
      <c r="B3146" s="90">
        <v>3142</v>
      </c>
      <c r="C3146" s="39">
        <f t="shared" si="98"/>
        <v>10073537.92377932</v>
      </c>
      <c r="D3146" s="39">
        <f t="shared" si="99"/>
        <v>9898346.1292973924</v>
      </c>
    </row>
    <row r="3147" spans="2:4" x14ac:dyDescent="0.25">
      <c r="B3147" s="90">
        <v>3143</v>
      </c>
      <c r="C3147" s="39">
        <f t="shared" si="98"/>
        <v>10076185.262392873</v>
      </c>
      <c r="D3147" s="39">
        <f t="shared" si="99"/>
        <v>9901496.4622475188</v>
      </c>
    </row>
    <row r="3148" spans="2:4" x14ac:dyDescent="0.25">
      <c r="B3148" s="90">
        <v>3144</v>
      </c>
      <c r="C3148" s="39">
        <f t="shared" si="98"/>
        <v>10078832.601006424</v>
      </c>
      <c r="D3148" s="39">
        <f t="shared" si="99"/>
        <v>9904646.7951976452</v>
      </c>
    </row>
    <row r="3149" spans="2:4" x14ac:dyDescent="0.25">
      <c r="B3149" s="90">
        <v>3145</v>
      </c>
      <c r="C3149" s="39">
        <f t="shared" si="98"/>
        <v>10081479.939619977</v>
      </c>
      <c r="D3149" s="39">
        <f t="shared" si="99"/>
        <v>9907797.1281477716</v>
      </c>
    </row>
    <row r="3150" spans="2:4" x14ac:dyDescent="0.25">
      <c r="B3150" s="90">
        <v>3146</v>
      </c>
      <c r="C3150" s="39">
        <f t="shared" si="98"/>
        <v>10084127.278233528</v>
      </c>
      <c r="D3150" s="39">
        <f t="shared" si="99"/>
        <v>9910947.461097898</v>
      </c>
    </row>
    <row r="3151" spans="2:4" x14ac:dyDescent="0.25">
      <c r="B3151" s="90">
        <v>3147</v>
      </c>
      <c r="C3151" s="39">
        <f t="shared" si="98"/>
        <v>10086774.616847079</v>
      </c>
      <c r="D3151" s="39">
        <f t="shared" si="99"/>
        <v>9914097.7940480243</v>
      </c>
    </row>
    <row r="3152" spans="2:4" x14ac:dyDescent="0.25">
      <c r="B3152" s="90">
        <v>3148</v>
      </c>
      <c r="C3152" s="39">
        <f t="shared" si="98"/>
        <v>10089421.95546063</v>
      </c>
      <c r="D3152" s="39">
        <f t="shared" si="99"/>
        <v>9917248.1269981507</v>
      </c>
    </row>
    <row r="3153" spans="2:4" x14ac:dyDescent="0.25">
      <c r="B3153" s="90">
        <v>3149</v>
      </c>
      <c r="C3153" s="39">
        <f t="shared" si="98"/>
        <v>10092069.294074181</v>
      </c>
      <c r="D3153" s="39">
        <f t="shared" si="99"/>
        <v>9920398.4599482771</v>
      </c>
    </row>
    <row r="3154" spans="2:4" x14ac:dyDescent="0.25">
      <c r="B3154" s="90">
        <v>3150</v>
      </c>
      <c r="C3154" s="39">
        <f t="shared" si="98"/>
        <v>10094716.632687734</v>
      </c>
      <c r="D3154" s="39">
        <f t="shared" si="99"/>
        <v>9923548.7928984035</v>
      </c>
    </row>
    <row r="3155" spans="2:4" x14ac:dyDescent="0.25">
      <c r="B3155" s="90">
        <v>3151</v>
      </c>
      <c r="C3155" s="39">
        <f t="shared" si="98"/>
        <v>10097363.971301286</v>
      </c>
      <c r="D3155" s="39">
        <f t="shared" si="99"/>
        <v>9926699.1258485299</v>
      </c>
    </row>
    <row r="3156" spans="2:4" x14ac:dyDescent="0.25">
      <c r="B3156" s="90">
        <v>3152</v>
      </c>
      <c r="C3156" s="39">
        <f t="shared" si="98"/>
        <v>10100011.309914839</v>
      </c>
      <c r="D3156" s="39">
        <f t="shared" si="99"/>
        <v>9929849.4587986562</v>
      </c>
    </row>
    <row r="3157" spans="2:4" x14ac:dyDescent="0.25">
      <c r="B3157" s="90">
        <v>3153</v>
      </c>
      <c r="C3157" s="39">
        <f t="shared" si="98"/>
        <v>10102658.64852839</v>
      </c>
      <c r="D3157" s="39">
        <f t="shared" si="99"/>
        <v>9932999.7917487845</v>
      </c>
    </row>
    <row r="3158" spans="2:4" x14ac:dyDescent="0.25">
      <c r="B3158" s="90">
        <v>3154</v>
      </c>
      <c r="C3158" s="39">
        <f t="shared" si="98"/>
        <v>10105305.987141941</v>
      </c>
      <c r="D3158" s="39">
        <f t="shared" si="99"/>
        <v>9936150.1246989109</v>
      </c>
    </row>
    <row r="3159" spans="2:4" x14ac:dyDescent="0.25">
      <c r="B3159" s="90">
        <v>3155</v>
      </c>
      <c r="C3159" s="39">
        <f t="shared" si="98"/>
        <v>10107953.325755492</v>
      </c>
      <c r="D3159" s="39">
        <f t="shared" si="99"/>
        <v>9939300.4576490372</v>
      </c>
    </row>
    <row r="3160" spans="2:4" x14ac:dyDescent="0.25">
      <c r="B3160" s="90">
        <v>3156</v>
      </c>
      <c r="C3160" s="39">
        <f t="shared" si="98"/>
        <v>10110600.664369043</v>
      </c>
      <c r="D3160" s="39">
        <f t="shared" si="99"/>
        <v>9942450.7905991636</v>
      </c>
    </row>
    <row r="3161" spans="2:4" x14ac:dyDescent="0.25">
      <c r="B3161" s="90">
        <v>3157</v>
      </c>
      <c r="C3161" s="39">
        <f t="shared" si="98"/>
        <v>10113248.002982596</v>
      </c>
      <c r="D3161" s="39">
        <f t="shared" si="99"/>
        <v>9945601.12354929</v>
      </c>
    </row>
    <row r="3162" spans="2:4" x14ac:dyDescent="0.25">
      <c r="B3162" s="90">
        <v>3158</v>
      </c>
      <c r="C3162" s="39">
        <f t="shared" si="98"/>
        <v>10115895.341596147</v>
      </c>
      <c r="D3162" s="39">
        <f t="shared" si="99"/>
        <v>9948751.4564994164</v>
      </c>
    </row>
    <row r="3163" spans="2:4" x14ac:dyDescent="0.25">
      <c r="B3163" s="90">
        <v>3159</v>
      </c>
      <c r="C3163" s="39">
        <f t="shared" si="98"/>
        <v>10118542.6802097</v>
      </c>
      <c r="D3163" s="39">
        <f t="shared" si="99"/>
        <v>9951901.7894495428</v>
      </c>
    </row>
    <row r="3164" spans="2:4" x14ac:dyDescent="0.25">
      <c r="B3164" s="90">
        <v>3160</v>
      </c>
      <c r="C3164" s="39">
        <f t="shared" si="98"/>
        <v>10121190.018823251</v>
      </c>
      <c r="D3164" s="39">
        <f t="shared" si="99"/>
        <v>9955052.1223996691</v>
      </c>
    </row>
    <row r="3165" spans="2:4" x14ac:dyDescent="0.25">
      <c r="B3165" s="90">
        <v>3161</v>
      </c>
      <c r="C3165" s="39">
        <f t="shared" si="98"/>
        <v>10123837.357436802</v>
      </c>
      <c r="D3165" s="39">
        <f t="shared" si="99"/>
        <v>9958202.4553497955</v>
      </c>
    </row>
    <row r="3166" spans="2:4" x14ac:dyDescent="0.25">
      <c r="B3166" s="90">
        <v>3162</v>
      </c>
      <c r="C3166" s="39">
        <f t="shared" si="98"/>
        <v>10126484.696050353</v>
      </c>
      <c r="D3166" s="39">
        <f t="shared" si="99"/>
        <v>9961352.7882999219</v>
      </c>
    </row>
    <row r="3167" spans="2:4" x14ac:dyDescent="0.25">
      <c r="B3167" s="90">
        <v>3163</v>
      </c>
      <c r="C3167" s="39">
        <f t="shared" si="98"/>
        <v>10129132.034663904</v>
      </c>
      <c r="D3167" s="39">
        <f t="shared" si="99"/>
        <v>9964503.1212500483</v>
      </c>
    </row>
    <row r="3168" spans="2:4" x14ac:dyDescent="0.25">
      <c r="B3168" s="90">
        <v>3164</v>
      </c>
      <c r="C3168" s="39">
        <f t="shared" si="98"/>
        <v>10131779.373277457</v>
      </c>
      <c r="D3168" s="39">
        <f t="shared" si="99"/>
        <v>9967653.4542001747</v>
      </c>
    </row>
    <row r="3169" spans="2:4" x14ac:dyDescent="0.25">
      <c r="B3169" s="90">
        <v>3165</v>
      </c>
      <c r="C3169" s="39">
        <f t="shared" si="98"/>
        <v>10134426.71189101</v>
      </c>
      <c r="D3169" s="39">
        <f t="shared" si="99"/>
        <v>9970803.787150301</v>
      </c>
    </row>
    <row r="3170" spans="2:4" x14ac:dyDescent="0.25">
      <c r="B3170" s="90">
        <v>3166</v>
      </c>
      <c r="C3170" s="39">
        <f t="shared" si="98"/>
        <v>10137074.050504562</v>
      </c>
      <c r="D3170" s="39">
        <f t="shared" si="99"/>
        <v>9973954.1201004274</v>
      </c>
    </row>
    <row r="3171" spans="2:4" x14ac:dyDescent="0.25">
      <c r="B3171" s="90">
        <v>3167</v>
      </c>
      <c r="C3171" s="39">
        <f t="shared" si="98"/>
        <v>10139721.389118113</v>
      </c>
      <c r="D3171" s="39">
        <f t="shared" si="99"/>
        <v>9977104.4530505538</v>
      </c>
    </row>
    <row r="3172" spans="2:4" x14ac:dyDescent="0.25">
      <c r="B3172" s="90">
        <v>3168</v>
      </c>
      <c r="C3172" s="39">
        <f t="shared" si="98"/>
        <v>10142368.727731664</v>
      </c>
      <c r="D3172" s="39">
        <f t="shared" si="99"/>
        <v>9980254.7860006802</v>
      </c>
    </row>
    <row r="3173" spans="2:4" x14ac:dyDescent="0.25">
      <c r="B3173" s="90">
        <v>3169</v>
      </c>
      <c r="C3173" s="39">
        <f t="shared" si="98"/>
        <v>10145016.066345215</v>
      </c>
      <c r="D3173" s="39">
        <f t="shared" si="99"/>
        <v>9983405.1189508066</v>
      </c>
    </row>
    <row r="3174" spans="2:4" x14ac:dyDescent="0.25">
      <c r="B3174" s="90">
        <v>3170</v>
      </c>
      <c r="C3174" s="39">
        <f t="shared" si="98"/>
        <v>10147663.404958768</v>
      </c>
      <c r="D3174" s="39">
        <f t="shared" si="99"/>
        <v>9986555.4519009329</v>
      </c>
    </row>
    <row r="3175" spans="2:4" x14ac:dyDescent="0.25">
      <c r="B3175" s="90">
        <v>3171</v>
      </c>
      <c r="C3175" s="39">
        <f t="shared" si="98"/>
        <v>10150310.743572319</v>
      </c>
      <c r="D3175" s="39">
        <f t="shared" si="99"/>
        <v>9989705.7848510593</v>
      </c>
    </row>
    <row r="3176" spans="2:4" x14ac:dyDescent="0.25">
      <c r="B3176" s="90">
        <v>3172</v>
      </c>
      <c r="C3176" s="39">
        <f t="shared" si="98"/>
        <v>10152958.08218587</v>
      </c>
      <c r="D3176" s="39">
        <f t="shared" si="99"/>
        <v>9992856.1178011857</v>
      </c>
    </row>
    <row r="3177" spans="2:4" x14ac:dyDescent="0.25">
      <c r="B3177" s="90">
        <v>3173</v>
      </c>
      <c r="C3177" s="39">
        <f t="shared" si="98"/>
        <v>10155605.420799423</v>
      </c>
      <c r="D3177" s="39">
        <f t="shared" si="99"/>
        <v>9996006.4507513139</v>
      </c>
    </row>
    <row r="3178" spans="2:4" x14ac:dyDescent="0.25">
      <c r="B3178" s="90">
        <v>3174</v>
      </c>
      <c r="C3178" s="39">
        <f t="shared" si="98"/>
        <v>10158252.759412974</v>
      </c>
      <c r="D3178" s="39">
        <f t="shared" si="99"/>
        <v>9999156.7837014403</v>
      </c>
    </row>
    <row r="3179" spans="2:4" x14ac:dyDescent="0.25">
      <c r="B3179" s="90">
        <v>3175</v>
      </c>
      <c r="C3179" s="39">
        <f t="shared" si="98"/>
        <v>10160900.098026525</v>
      </c>
      <c r="D3179" s="39">
        <f t="shared" si="99"/>
        <v>10002307.116651567</v>
      </c>
    </row>
    <row r="3180" spans="2:4" x14ac:dyDescent="0.25">
      <c r="B3180" s="90">
        <v>3176</v>
      </c>
      <c r="C3180" s="39">
        <f t="shared" si="98"/>
        <v>10163547.436640078</v>
      </c>
      <c r="D3180" s="39">
        <f t="shared" si="99"/>
        <v>10005457.449601693</v>
      </c>
    </row>
    <row r="3181" spans="2:4" x14ac:dyDescent="0.25">
      <c r="B3181" s="90">
        <v>3177</v>
      </c>
      <c r="C3181" s="39">
        <f t="shared" si="98"/>
        <v>10166194.775253629</v>
      </c>
      <c r="D3181" s="39">
        <f t="shared" si="99"/>
        <v>10008607.782551819</v>
      </c>
    </row>
    <row r="3182" spans="2:4" x14ac:dyDescent="0.25">
      <c r="B3182" s="90">
        <v>3178</v>
      </c>
      <c r="C3182" s="39">
        <f t="shared" si="98"/>
        <v>10168842.11386718</v>
      </c>
      <c r="D3182" s="39">
        <f t="shared" si="99"/>
        <v>10011758.115501946</v>
      </c>
    </row>
    <row r="3183" spans="2:4" x14ac:dyDescent="0.25">
      <c r="B3183" s="90">
        <v>3179</v>
      </c>
      <c r="C3183" s="39">
        <f t="shared" si="98"/>
        <v>10171489.452480732</v>
      </c>
      <c r="D3183" s="39">
        <f t="shared" si="99"/>
        <v>10014908.448452072</v>
      </c>
    </row>
    <row r="3184" spans="2:4" x14ac:dyDescent="0.25">
      <c r="B3184" s="90">
        <v>3180</v>
      </c>
      <c r="C3184" s="39">
        <f t="shared" si="98"/>
        <v>10174136.791094285</v>
      </c>
      <c r="D3184" s="39">
        <f t="shared" si="99"/>
        <v>10018058.781402199</v>
      </c>
    </row>
    <row r="3185" spans="2:4" x14ac:dyDescent="0.25">
      <c r="B3185" s="90">
        <v>3181</v>
      </c>
      <c r="C3185" s="39">
        <f t="shared" ref="C3185:C3248" si="100">($C$2*B3185)+$C$1</f>
        <v>10176784.129707836</v>
      </c>
      <c r="D3185" s="39">
        <f t="shared" ref="D3185:D3248" si="101">$D$2*B3185</f>
        <v>10021209.114352325</v>
      </c>
    </row>
    <row r="3186" spans="2:4" x14ac:dyDescent="0.25">
      <c r="B3186" s="90">
        <v>3182</v>
      </c>
      <c r="C3186" s="39">
        <f t="shared" si="100"/>
        <v>10179431.468321387</v>
      </c>
      <c r="D3186" s="39">
        <f t="shared" si="101"/>
        <v>10024359.447302451</v>
      </c>
    </row>
    <row r="3187" spans="2:4" x14ac:dyDescent="0.25">
      <c r="B3187" s="90">
        <v>3183</v>
      </c>
      <c r="C3187" s="39">
        <f t="shared" si="100"/>
        <v>10182078.80693494</v>
      </c>
      <c r="D3187" s="39">
        <f t="shared" si="101"/>
        <v>10027509.780252578</v>
      </c>
    </row>
    <row r="3188" spans="2:4" x14ac:dyDescent="0.25">
      <c r="B3188" s="90">
        <v>3184</v>
      </c>
      <c r="C3188" s="39">
        <f t="shared" si="100"/>
        <v>10184726.145548491</v>
      </c>
      <c r="D3188" s="39">
        <f t="shared" si="101"/>
        <v>10030660.113202704</v>
      </c>
    </row>
    <row r="3189" spans="2:4" x14ac:dyDescent="0.25">
      <c r="B3189" s="90">
        <v>3185</v>
      </c>
      <c r="C3189" s="39">
        <f t="shared" si="100"/>
        <v>10187373.484162042</v>
      </c>
      <c r="D3189" s="39">
        <f t="shared" si="101"/>
        <v>10033810.44615283</v>
      </c>
    </row>
    <row r="3190" spans="2:4" x14ac:dyDescent="0.25">
      <c r="B3190" s="90">
        <v>3186</v>
      </c>
      <c r="C3190" s="39">
        <f t="shared" si="100"/>
        <v>10190020.822775595</v>
      </c>
      <c r="D3190" s="39">
        <f t="shared" si="101"/>
        <v>10036960.779102957</v>
      </c>
    </row>
    <row r="3191" spans="2:4" x14ac:dyDescent="0.25">
      <c r="B3191" s="90">
        <v>3187</v>
      </c>
      <c r="C3191" s="39">
        <f t="shared" si="100"/>
        <v>10192668.161389146</v>
      </c>
      <c r="D3191" s="39">
        <f t="shared" si="101"/>
        <v>10040111.112053083</v>
      </c>
    </row>
    <row r="3192" spans="2:4" x14ac:dyDescent="0.25">
      <c r="B3192" s="90">
        <v>3188</v>
      </c>
      <c r="C3192" s="39">
        <f t="shared" si="100"/>
        <v>10195315.500002697</v>
      </c>
      <c r="D3192" s="39">
        <f t="shared" si="101"/>
        <v>10043261.44500321</v>
      </c>
    </row>
    <row r="3193" spans="2:4" x14ac:dyDescent="0.25">
      <c r="B3193" s="90">
        <v>3189</v>
      </c>
      <c r="C3193" s="39">
        <f t="shared" si="100"/>
        <v>10197962.838616248</v>
      </c>
      <c r="D3193" s="39">
        <f t="shared" si="101"/>
        <v>10046411.777953336</v>
      </c>
    </row>
    <row r="3194" spans="2:4" x14ac:dyDescent="0.25">
      <c r="B3194" s="90">
        <v>3190</v>
      </c>
      <c r="C3194" s="39">
        <f t="shared" si="100"/>
        <v>10200610.177229801</v>
      </c>
      <c r="D3194" s="39">
        <f t="shared" si="101"/>
        <v>10049562.110903462</v>
      </c>
    </row>
    <row r="3195" spans="2:4" x14ac:dyDescent="0.25">
      <c r="B3195" s="90">
        <v>3191</v>
      </c>
      <c r="C3195" s="39">
        <f t="shared" si="100"/>
        <v>10203257.515843352</v>
      </c>
      <c r="D3195" s="39">
        <f t="shared" si="101"/>
        <v>10052712.443853589</v>
      </c>
    </row>
    <row r="3196" spans="2:4" x14ac:dyDescent="0.25">
      <c r="B3196" s="90">
        <v>3192</v>
      </c>
      <c r="C3196" s="39">
        <f t="shared" si="100"/>
        <v>10205904.854456903</v>
      </c>
      <c r="D3196" s="39">
        <f t="shared" si="101"/>
        <v>10055862.776803717</v>
      </c>
    </row>
    <row r="3197" spans="2:4" x14ac:dyDescent="0.25">
      <c r="B3197" s="90">
        <v>3193</v>
      </c>
      <c r="C3197" s="39">
        <f t="shared" si="100"/>
        <v>10208552.193070456</v>
      </c>
      <c r="D3197" s="39">
        <f t="shared" si="101"/>
        <v>10059013.109753843</v>
      </c>
    </row>
    <row r="3198" spans="2:4" x14ac:dyDescent="0.25">
      <c r="B3198" s="90">
        <v>3194</v>
      </c>
      <c r="C3198" s="39">
        <f t="shared" si="100"/>
        <v>10211199.531684007</v>
      </c>
      <c r="D3198" s="39">
        <f t="shared" si="101"/>
        <v>10062163.44270397</v>
      </c>
    </row>
    <row r="3199" spans="2:4" x14ac:dyDescent="0.25">
      <c r="B3199" s="90">
        <v>3195</v>
      </c>
      <c r="C3199" s="39">
        <f t="shared" si="100"/>
        <v>10213846.870297559</v>
      </c>
      <c r="D3199" s="39">
        <f t="shared" si="101"/>
        <v>10065313.775654096</v>
      </c>
    </row>
    <row r="3200" spans="2:4" x14ac:dyDescent="0.25">
      <c r="B3200" s="90">
        <v>3196</v>
      </c>
      <c r="C3200" s="39">
        <f t="shared" si="100"/>
        <v>10216494.20891111</v>
      </c>
      <c r="D3200" s="39">
        <f t="shared" si="101"/>
        <v>10068464.108604223</v>
      </c>
    </row>
    <row r="3201" spans="2:4" x14ac:dyDescent="0.25">
      <c r="B3201" s="90">
        <v>3197</v>
      </c>
      <c r="C3201" s="39">
        <f t="shared" si="100"/>
        <v>10219141.547524663</v>
      </c>
      <c r="D3201" s="39">
        <f t="shared" si="101"/>
        <v>10071614.441554349</v>
      </c>
    </row>
    <row r="3202" spans="2:4" x14ac:dyDescent="0.25">
      <c r="B3202" s="90">
        <v>3198</v>
      </c>
      <c r="C3202" s="39">
        <f t="shared" si="100"/>
        <v>10221788.886138214</v>
      </c>
      <c r="D3202" s="39">
        <f t="shared" si="101"/>
        <v>10074764.774504475</v>
      </c>
    </row>
    <row r="3203" spans="2:4" x14ac:dyDescent="0.25">
      <c r="B3203" s="90">
        <v>3199</v>
      </c>
      <c r="C3203" s="39">
        <f t="shared" si="100"/>
        <v>10224436.224751765</v>
      </c>
      <c r="D3203" s="39">
        <f t="shared" si="101"/>
        <v>10077915.107454602</v>
      </c>
    </row>
    <row r="3204" spans="2:4" x14ac:dyDescent="0.25">
      <c r="B3204" s="90">
        <v>3200</v>
      </c>
      <c r="C3204" s="39">
        <f t="shared" si="100"/>
        <v>10227083.563365318</v>
      </c>
      <c r="D3204" s="39">
        <f t="shared" si="101"/>
        <v>10081065.440404728</v>
      </c>
    </row>
    <row r="3205" spans="2:4" x14ac:dyDescent="0.25">
      <c r="B3205" s="90">
        <v>3201</v>
      </c>
      <c r="C3205" s="39">
        <f t="shared" si="100"/>
        <v>10229730.901978869</v>
      </c>
      <c r="D3205" s="39">
        <f t="shared" si="101"/>
        <v>10084215.773354854</v>
      </c>
    </row>
    <row r="3206" spans="2:4" x14ac:dyDescent="0.25">
      <c r="B3206" s="90">
        <v>3202</v>
      </c>
      <c r="C3206" s="39">
        <f t="shared" si="100"/>
        <v>10232378.24059242</v>
      </c>
      <c r="D3206" s="39">
        <f t="shared" si="101"/>
        <v>10087366.106304981</v>
      </c>
    </row>
    <row r="3207" spans="2:4" x14ac:dyDescent="0.25">
      <c r="B3207" s="90">
        <v>3203</v>
      </c>
      <c r="C3207" s="39">
        <f t="shared" si="100"/>
        <v>10235025.579205973</v>
      </c>
      <c r="D3207" s="39">
        <f t="shared" si="101"/>
        <v>10090516.439255107</v>
      </c>
    </row>
    <row r="3208" spans="2:4" x14ac:dyDescent="0.25">
      <c r="B3208" s="90">
        <v>3204</v>
      </c>
      <c r="C3208" s="39">
        <f t="shared" si="100"/>
        <v>10237672.917819524</v>
      </c>
      <c r="D3208" s="39">
        <f t="shared" si="101"/>
        <v>10093666.772205234</v>
      </c>
    </row>
    <row r="3209" spans="2:4" x14ac:dyDescent="0.25">
      <c r="B3209" s="90">
        <v>3205</v>
      </c>
      <c r="C3209" s="39">
        <f t="shared" si="100"/>
        <v>10240320.256433075</v>
      </c>
      <c r="D3209" s="39">
        <f t="shared" si="101"/>
        <v>10096817.10515536</v>
      </c>
    </row>
    <row r="3210" spans="2:4" x14ac:dyDescent="0.25">
      <c r="B3210" s="90">
        <v>3206</v>
      </c>
      <c r="C3210" s="39">
        <f t="shared" si="100"/>
        <v>10242967.595046626</v>
      </c>
      <c r="D3210" s="39">
        <f t="shared" si="101"/>
        <v>10099967.438105486</v>
      </c>
    </row>
    <row r="3211" spans="2:4" x14ac:dyDescent="0.25">
      <c r="B3211" s="90">
        <v>3207</v>
      </c>
      <c r="C3211" s="39">
        <f t="shared" si="100"/>
        <v>10245614.933660179</v>
      </c>
      <c r="D3211" s="39">
        <f t="shared" si="101"/>
        <v>10103117.771055613</v>
      </c>
    </row>
    <row r="3212" spans="2:4" x14ac:dyDescent="0.25">
      <c r="B3212" s="90">
        <v>3208</v>
      </c>
      <c r="C3212" s="39">
        <f t="shared" si="100"/>
        <v>10248262.27227373</v>
      </c>
      <c r="D3212" s="39">
        <f t="shared" si="101"/>
        <v>10106268.104005739</v>
      </c>
    </row>
    <row r="3213" spans="2:4" x14ac:dyDescent="0.25">
      <c r="B3213" s="90">
        <v>3209</v>
      </c>
      <c r="C3213" s="39">
        <f t="shared" si="100"/>
        <v>10250909.610887282</v>
      </c>
      <c r="D3213" s="39">
        <f t="shared" si="101"/>
        <v>10109418.436955865</v>
      </c>
    </row>
    <row r="3214" spans="2:4" x14ac:dyDescent="0.25">
      <c r="B3214" s="90">
        <v>3210</v>
      </c>
      <c r="C3214" s="39">
        <f t="shared" si="100"/>
        <v>10253556.949500835</v>
      </c>
      <c r="D3214" s="39">
        <f t="shared" si="101"/>
        <v>10112568.769905992</v>
      </c>
    </row>
    <row r="3215" spans="2:4" x14ac:dyDescent="0.25">
      <c r="B3215" s="90">
        <v>3211</v>
      </c>
      <c r="C3215" s="39">
        <f t="shared" si="100"/>
        <v>10256204.288114386</v>
      </c>
      <c r="D3215" s="39">
        <f t="shared" si="101"/>
        <v>10115719.10285612</v>
      </c>
    </row>
    <row r="3216" spans="2:4" x14ac:dyDescent="0.25">
      <c r="B3216" s="90">
        <v>3212</v>
      </c>
      <c r="C3216" s="39">
        <f t="shared" si="100"/>
        <v>10258851.626727937</v>
      </c>
      <c r="D3216" s="39">
        <f t="shared" si="101"/>
        <v>10118869.435806246</v>
      </c>
    </row>
    <row r="3217" spans="2:4" x14ac:dyDescent="0.25">
      <c r="B3217" s="90">
        <v>3213</v>
      </c>
      <c r="C3217" s="39">
        <f t="shared" si="100"/>
        <v>10261498.96534149</v>
      </c>
      <c r="D3217" s="39">
        <f t="shared" si="101"/>
        <v>10122019.768756373</v>
      </c>
    </row>
    <row r="3218" spans="2:4" x14ac:dyDescent="0.25">
      <c r="B3218" s="90">
        <v>3214</v>
      </c>
      <c r="C3218" s="39">
        <f t="shared" si="100"/>
        <v>10264146.303955041</v>
      </c>
      <c r="D3218" s="39">
        <f t="shared" si="101"/>
        <v>10125170.101706499</v>
      </c>
    </row>
    <row r="3219" spans="2:4" x14ac:dyDescent="0.25">
      <c r="B3219" s="90">
        <v>3215</v>
      </c>
      <c r="C3219" s="39">
        <f t="shared" si="100"/>
        <v>10266793.642568592</v>
      </c>
      <c r="D3219" s="39">
        <f t="shared" si="101"/>
        <v>10128320.434656626</v>
      </c>
    </row>
    <row r="3220" spans="2:4" x14ac:dyDescent="0.25">
      <c r="B3220" s="90">
        <v>3216</v>
      </c>
      <c r="C3220" s="39">
        <f t="shared" si="100"/>
        <v>10269440.981182143</v>
      </c>
      <c r="D3220" s="39">
        <f t="shared" si="101"/>
        <v>10131470.767606752</v>
      </c>
    </row>
    <row r="3221" spans="2:4" x14ac:dyDescent="0.25">
      <c r="B3221" s="90">
        <v>3217</v>
      </c>
      <c r="C3221" s="39">
        <f t="shared" si="100"/>
        <v>10272088.319795696</v>
      </c>
      <c r="D3221" s="39">
        <f t="shared" si="101"/>
        <v>10134621.100556878</v>
      </c>
    </row>
    <row r="3222" spans="2:4" x14ac:dyDescent="0.25">
      <c r="B3222" s="90">
        <v>3218</v>
      </c>
      <c r="C3222" s="39">
        <f t="shared" si="100"/>
        <v>10274735.658409247</v>
      </c>
      <c r="D3222" s="39">
        <f t="shared" si="101"/>
        <v>10137771.433507005</v>
      </c>
    </row>
    <row r="3223" spans="2:4" x14ac:dyDescent="0.25">
      <c r="B3223" s="90">
        <v>3219</v>
      </c>
      <c r="C3223" s="39">
        <f t="shared" si="100"/>
        <v>10277382.997022798</v>
      </c>
      <c r="D3223" s="39">
        <f t="shared" si="101"/>
        <v>10140921.766457131</v>
      </c>
    </row>
    <row r="3224" spans="2:4" x14ac:dyDescent="0.25">
      <c r="B3224" s="90">
        <v>3220</v>
      </c>
      <c r="C3224" s="39">
        <f t="shared" si="100"/>
        <v>10280030.335636351</v>
      </c>
      <c r="D3224" s="39">
        <f t="shared" si="101"/>
        <v>10144072.099407258</v>
      </c>
    </row>
    <row r="3225" spans="2:4" x14ac:dyDescent="0.25">
      <c r="B3225" s="90">
        <v>3221</v>
      </c>
      <c r="C3225" s="39">
        <f t="shared" si="100"/>
        <v>10282677.674249902</v>
      </c>
      <c r="D3225" s="39">
        <f t="shared" si="101"/>
        <v>10147222.432357384</v>
      </c>
    </row>
    <row r="3226" spans="2:4" x14ac:dyDescent="0.25">
      <c r="B3226" s="90">
        <v>3222</v>
      </c>
      <c r="C3226" s="39">
        <f t="shared" si="100"/>
        <v>10285325.012863453</v>
      </c>
      <c r="D3226" s="39">
        <f t="shared" si="101"/>
        <v>10150372.76530751</v>
      </c>
    </row>
    <row r="3227" spans="2:4" x14ac:dyDescent="0.25">
      <c r="B3227" s="90">
        <v>3223</v>
      </c>
      <c r="C3227" s="39">
        <f t="shared" si="100"/>
        <v>10287972.351477005</v>
      </c>
      <c r="D3227" s="39">
        <f t="shared" si="101"/>
        <v>10153523.098257637</v>
      </c>
    </row>
    <row r="3228" spans="2:4" x14ac:dyDescent="0.25">
      <c r="B3228" s="90">
        <v>3224</v>
      </c>
      <c r="C3228" s="39">
        <f t="shared" si="100"/>
        <v>10290619.690090558</v>
      </c>
      <c r="D3228" s="39">
        <f t="shared" si="101"/>
        <v>10156673.431207763</v>
      </c>
    </row>
    <row r="3229" spans="2:4" x14ac:dyDescent="0.25">
      <c r="B3229" s="90">
        <v>3225</v>
      </c>
      <c r="C3229" s="39">
        <f t="shared" si="100"/>
        <v>10293267.028704109</v>
      </c>
      <c r="D3229" s="39">
        <f t="shared" si="101"/>
        <v>10159823.764157889</v>
      </c>
    </row>
    <row r="3230" spans="2:4" x14ac:dyDescent="0.25">
      <c r="B3230" s="90">
        <v>3226</v>
      </c>
      <c r="C3230" s="39">
        <f t="shared" si="100"/>
        <v>10295914.36731766</v>
      </c>
      <c r="D3230" s="39">
        <f t="shared" si="101"/>
        <v>10162974.097108016</v>
      </c>
    </row>
    <row r="3231" spans="2:4" x14ac:dyDescent="0.25">
      <c r="B3231" s="90">
        <v>3227</v>
      </c>
      <c r="C3231" s="39">
        <f t="shared" si="100"/>
        <v>10298561.705931213</v>
      </c>
      <c r="D3231" s="39">
        <f t="shared" si="101"/>
        <v>10166124.430058142</v>
      </c>
    </row>
    <row r="3232" spans="2:4" x14ac:dyDescent="0.25">
      <c r="B3232" s="90">
        <v>3228</v>
      </c>
      <c r="C3232" s="39">
        <f t="shared" si="100"/>
        <v>10301209.044544764</v>
      </c>
      <c r="D3232" s="39">
        <f t="shared" si="101"/>
        <v>10169274.763008269</v>
      </c>
    </row>
    <row r="3233" spans="2:4" x14ac:dyDescent="0.25">
      <c r="B3233" s="90">
        <v>3229</v>
      </c>
      <c r="C3233" s="39">
        <f t="shared" si="100"/>
        <v>10303856.383158315</v>
      </c>
      <c r="D3233" s="39">
        <f t="shared" si="101"/>
        <v>10172425.095958395</v>
      </c>
    </row>
    <row r="3234" spans="2:4" x14ac:dyDescent="0.25">
      <c r="B3234" s="90">
        <v>3230</v>
      </c>
      <c r="C3234" s="39">
        <f t="shared" si="100"/>
        <v>10306503.721771868</v>
      </c>
      <c r="D3234" s="39">
        <f t="shared" si="101"/>
        <v>10175575.428908523</v>
      </c>
    </row>
    <row r="3235" spans="2:4" x14ac:dyDescent="0.25">
      <c r="B3235" s="90">
        <v>3231</v>
      </c>
      <c r="C3235" s="39">
        <f t="shared" si="100"/>
        <v>10309151.060385419</v>
      </c>
      <c r="D3235" s="39">
        <f t="shared" si="101"/>
        <v>10178725.76185865</v>
      </c>
    </row>
    <row r="3236" spans="2:4" x14ac:dyDescent="0.25">
      <c r="B3236" s="90">
        <v>3232</v>
      </c>
      <c r="C3236" s="39">
        <f t="shared" si="100"/>
        <v>10311798.39899897</v>
      </c>
      <c r="D3236" s="39">
        <f t="shared" si="101"/>
        <v>10181876.094808776</v>
      </c>
    </row>
    <row r="3237" spans="2:4" x14ac:dyDescent="0.25">
      <c r="B3237" s="90">
        <v>3233</v>
      </c>
      <c r="C3237" s="39">
        <f t="shared" si="100"/>
        <v>10314445.737612521</v>
      </c>
      <c r="D3237" s="39">
        <f t="shared" si="101"/>
        <v>10185026.427758902</v>
      </c>
    </row>
    <row r="3238" spans="2:4" x14ac:dyDescent="0.25">
      <c r="B3238" s="90">
        <v>3234</v>
      </c>
      <c r="C3238" s="39">
        <f t="shared" si="100"/>
        <v>10317093.076226074</v>
      </c>
      <c r="D3238" s="39">
        <f t="shared" si="101"/>
        <v>10188176.760709029</v>
      </c>
    </row>
    <row r="3239" spans="2:4" x14ac:dyDescent="0.25">
      <c r="B3239" s="90">
        <v>3235</v>
      </c>
      <c r="C3239" s="39">
        <f t="shared" si="100"/>
        <v>10319740.414839625</v>
      </c>
      <c r="D3239" s="39">
        <f t="shared" si="101"/>
        <v>10191327.093659155</v>
      </c>
    </row>
    <row r="3240" spans="2:4" x14ac:dyDescent="0.25">
      <c r="B3240" s="90">
        <v>3236</v>
      </c>
      <c r="C3240" s="39">
        <f t="shared" si="100"/>
        <v>10322387.753453176</v>
      </c>
      <c r="D3240" s="39">
        <f t="shared" si="101"/>
        <v>10194477.426609281</v>
      </c>
    </row>
    <row r="3241" spans="2:4" x14ac:dyDescent="0.25">
      <c r="B3241" s="90">
        <v>3237</v>
      </c>
      <c r="C3241" s="39">
        <f t="shared" si="100"/>
        <v>10325035.092066729</v>
      </c>
      <c r="D3241" s="39">
        <f t="shared" si="101"/>
        <v>10197627.759559408</v>
      </c>
    </row>
    <row r="3242" spans="2:4" x14ac:dyDescent="0.25">
      <c r="B3242" s="90">
        <v>3238</v>
      </c>
      <c r="C3242" s="39">
        <f t="shared" si="100"/>
        <v>10327682.430680281</v>
      </c>
      <c r="D3242" s="39">
        <f t="shared" si="101"/>
        <v>10200778.092509534</v>
      </c>
    </row>
    <row r="3243" spans="2:4" x14ac:dyDescent="0.25">
      <c r="B3243" s="90">
        <v>3239</v>
      </c>
      <c r="C3243" s="39">
        <f t="shared" si="100"/>
        <v>10330329.769293832</v>
      </c>
      <c r="D3243" s="39">
        <f t="shared" si="101"/>
        <v>10203928.425459661</v>
      </c>
    </row>
    <row r="3244" spans="2:4" x14ac:dyDescent="0.25">
      <c r="B3244" s="90">
        <v>3240</v>
      </c>
      <c r="C3244" s="39">
        <f t="shared" si="100"/>
        <v>10332977.107907385</v>
      </c>
      <c r="D3244" s="39">
        <f t="shared" si="101"/>
        <v>10207078.758409787</v>
      </c>
    </row>
    <row r="3245" spans="2:4" x14ac:dyDescent="0.25">
      <c r="B3245" s="90">
        <v>3241</v>
      </c>
      <c r="C3245" s="39">
        <f t="shared" si="100"/>
        <v>10335624.446520936</v>
      </c>
      <c r="D3245" s="39">
        <f t="shared" si="101"/>
        <v>10210229.091359913</v>
      </c>
    </row>
    <row r="3246" spans="2:4" x14ac:dyDescent="0.25">
      <c r="B3246" s="90">
        <v>3242</v>
      </c>
      <c r="C3246" s="39">
        <f t="shared" si="100"/>
        <v>10338271.785134487</v>
      </c>
      <c r="D3246" s="39">
        <f t="shared" si="101"/>
        <v>10213379.42431004</v>
      </c>
    </row>
    <row r="3247" spans="2:4" x14ac:dyDescent="0.25">
      <c r="B3247" s="90">
        <v>3243</v>
      </c>
      <c r="C3247" s="39">
        <f t="shared" si="100"/>
        <v>10340919.123748038</v>
      </c>
      <c r="D3247" s="39">
        <f t="shared" si="101"/>
        <v>10216529.757260166</v>
      </c>
    </row>
    <row r="3248" spans="2:4" x14ac:dyDescent="0.25">
      <c r="B3248" s="90">
        <v>3244</v>
      </c>
      <c r="C3248" s="39">
        <f t="shared" si="100"/>
        <v>10343566.462361591</v>
      </c>
      <c r="D3248" s="39">
        <f t="shared" si="101"/>
        <v>10219680.090210292</v>
      </c>
    </row>
    <row r="3249" spans="2:4" x14ac:dyDescent="0.25">
      <c r="B3249" s="90">
        <v>3245</v>
      </c>
      <c r="C3249" s="39">
        <f t="shared" ref="C3249:C3312" si="102">($C$2*B3249)+$C$1</f>
        <v>10346213.800975142</v>
      </c>
      <c r="D3249" s="39">
        <f t="shared" ref="D3249:D3312" si="103">$D$2*B3249</f>
        <v>10222830.423160419</v>
      </c>
    </row>
    <row r="3250" spans="2:4" x14ac:dyDescent="0.25">
      <c r="B3250" s="90">
        <v>3246</v>
      </c>
      <c r="C3250" s="39">
        <f t="shared" si="102"/>
        <v>10348861.139588693</v>
      </c>
      <c r="D3250" s="39">
        <f t="shared" si="103"/>
        <v>10225980.756110545</v>
      </c>
    </row>
    <row r="3251" spans="2:4" x14ac:dyDescent="0.25">
      <c r="B3251" s="90">
        <v>3247</v>
      </c>
      <c r="C3251" s="39">
        <f t="shared" si="102"/>
        <v>10351508.478202246</v>
      </c>
      <c r="D3251" s="39">
        <f t="shared" si="103"/>
        <v>10229131.089060672</v>
      </c>
    </row>
    <row r="3252" spans="2:4" x14ac:dyDescent="0.25">
      <c r="B3252" s="90">
        <v>3248</v>
      </c>
      <c r="C3252" s="39">
        <f t="shared" si="102"/>
        <v>10354155.816815797</v>
      </c>
      <c r="D3252" s="39">
        <f t="shared" si="103"/>
        <v>10232281.422010798</v>
      </c>
    </row>
    <row r="3253" spans="2:4" x14ac:dyDescent="0.25">
      <c r="B3253" s="90">
        <v>3249</v>
      </c>
      <c r="C3253" s="39">
        <f t="shared" si="102"/>
        <v>10356803.155429348</v>
      </c>
      <c r="D3253" s="39">
        <f t="shared" si="103"/>
        <v>10235431.754960926</v>
      </c>
    </row>
    <row r="3254" spans="2:4" x14ac:dyDescent="0.25">
      <c r="B3254" s="90">
        <v>3250</v>
      </c>
      <c r="C3254" s="39">
        <f t="shared" si="102"/>
        <v>10359450.494042899</v>
      </c>
      <c r="D3254" s="39">
        <f t="shared" si="103"/>
        <v>10238582.087911053</v>
      </c>
    </row>
    <row r="3255" spans="2:4" x14ac:dyDescent="0.25">
      <c r="B3255" s="90">
        <v>3251</v>
      </c>
      <c r="C3255" s="39">
        <f t="shared" si="102"/>
        <v>10362097.832656452</v>
      </c>
      <c r="D3255" s="39">
        <f t="shared" si="103"/>
        <v>10241732.420861179</v>
      </c>
    </row>
    <row r="3256" spans="2:4" x14ac:dyDescent="0.25">
      <c r="B3256" s="90">
        <v>3252</v>
      </c>
      <c r="C3256" s="39">
        <f t="shared" si="102"/>
        <v>10364745.171270004</v>
      </c>
      <c r="D3256" s="39">
        <f t="shared" si="103"/>
        <v>10244882.753811305</v>
      </c>
    </row>
    <row r="3257" spans="2:4" x14ac:dyDescent="0.25">
      <c r="B3257" s="90">
        <v>3253</v>
      </c>
      <c r="C3257" s="39">
        <f t="shared" si="102"/>
        <v>10367392.509883555</v>
      </c>
      <c r="D3257" s="39">
        <f t="shared" si="103"/>
        <v>10248033.086761432</v>
      </c>
    </row>
    <row r="3258" spans="2:4" x14ac:dyDescent="0.25">
      <c r="B3258" s="90">
        <v>3254</v>
      </c>
      <c r="C3258" s="39">
        <f t="shared" si="102"/>
        <v>10370039.848497108</v>
      </c>
      <c r="D3258" s="39">
        <f t="shared" si="103"/>
        <v>10251183.419711558</v>
      </c>
    </row>
    <row r="3259" spans="2:4" x14ac:dyDescent="0.25">
      <c r="B3259" s="90">
        <v>3255</v>
      </c>
      <c r="C3259" s="39">
        <f t="shared" si="102"/>
        <v>10372687.187110659</v>
      </c>
      <c r="D3259" s="39">
        <f t="shared" si="103"/>
        <v>10254333.752661685</v>
      </c>
    </row>
    <row r="3260" spans="2:4" x14ac:dyDescent="0.25">
      <c r="B3260" s="90">
        <v>3256</v>
      </c>
      <c r="C3260" s="39">
        <f t="shared" si="102"/>
        <v>10375334.52572421</v>
      </c>
      <c r="D3260" s="39">
        <f t="shared" si="103"/>
        <v>10257484.085611811</v>
      </c>
    </row>
    <row r="3261" spans="2:4" x14ac:dyDescent="0.25">
      <c r="B3261" s="90">
        <v>3257</v>
      </c>
      <c r="C3261" s="39">
        <f t="shared" si="102"/>
        <v>10377981.864337763</v>
      </c>
      <c r="D3261" s="39">
        <f t="shared" si="103"/>
        <v>10260634.418561937</v>
      </c>
    </row>
    <row r="3262" spans="2:4" x14ac:dyDescent="0.25">
      <c r="B3262" s="90">
        <v>3258</v>
      </c>
      <c r="C3262" s="39">
        <f t="shared" si="102"/>
        <v>10380629.202951314</v>
      </c>
      <c r="D3262" s="39">
        <f t="shared" si="103"/>
        <v>10263784.751512064</v>
      </c>
    </row>
    <row r="3263" spans="2:4" x14ac:dyDescent="0.25">
      <c r="B3263" s="90">
        <v>3259</v>
      </c>
      <c r="C3263" s="39">
        <f t="shared" si="102"/>
        <v>10383276.541564865</v>
      </c>
      <c r="D3263" s="39">
        <f t="shared" si="103"/>
        <v>10266935.08446219</v>
      </c>
    </row>
    <row r="3264" spans="2:4" x14ac:dyDescent="0.25">
      <c r="B3264" s="90">
        <v>3260</v>
      </c>
      <c r="C3264" s="39">
        <f t="shared" si="102"/>
        <v>10385923.880178416</v>
      </c>
      <c r="D3264" s="39">
        <f t="shared" si="103"/>
        <v>10270085.417412316</v>
      </c>
    </row>
    <row r="3265" spans="2:4" x14ac:dyDescent="0.25">
      <c r="B3265" s="90">
        <v>3261</v>
      </c>
      <c r="C3265" s="39">
        <f t="shared" si="102"/>
        <v>10388571.218791969</v>
      </c>
      <c r="D3265" s="39">
        <f t="shared" si="103"/>
        <v>10273235.750362443</v>
      </c>
    </row>
    <row r="3266" spans="2:4" x14ac:dyDescent="0.25">
      <c r="B3266" s="90">
        <v>3262</v>
      </c>
      <c r="C3266" s="39">
        <f t="shared" si="102"/>
        <v>10391218.55740552</v>
      </c>
      <c r="D3266" s="39">
        <f t="shared" si="103"/>
        <v>10276386.083312569</v>
      </c>
    </row>
    <row r="3267" spans="2:4" x14ac:dyDescent="0.25">
      <c r="B3267" s="90">
        <v>3263</v>
      </c>
      <c r="C3267" s="39">
        <f t="shared" si="102"/>
        <v>10393865.896019071</v>
      </c>
      <c r="D3267" s="39">
        <f t="shared" si="103"/>
        <v>10279536.416262696</v>
      </c>
    </row>
    <row r="3268" spans="2:4" x14ac:dyDescent="0.25">
      <c r="B3268" s="90">
        <v>3264</v>
      </c>
      <c r="C3268" s="39">
        <f t="shared" si="102"/>
        <v>10396513.234632624</v>
      </c>
      <c r="D3268" s="39">
        <f t="shared" si="103"/>
        <v>10282686.749212822</v>
      </c>
    </row>
    <row r="3269" spans="2:4" x14ac:dyDescent="0.25">
      <c r="B3269" s="90">
        <v>3265</v>
      </c>
      <c r="C3269" s="39">
        <f t="shared" si="102"/>
        <v>10399160.573246175</v>
      </c>
      <c r="D3269" s="39">
        <f t="shared" si="103"/>
        <v>10285837.082162948</v>
      </c>
    </row>
    <row r="3270" spans="2:4" x14ac:dyDescent="0.25">
      <c r="B3270" s="90">
        <v>3266</v>
      </c>
      <c r="C3270" s="39">
        <f t="shared" si="102"/>
        <v>10401807.911859727</v>
      </c>
      <c r="D3270" s="39">
        <f t="shared" si="103"/>
        <v>10288987.415113075</v>
      </c>
    </row>
    <row r="3271" spans="2:4" x14ac:dyDescent="0.25">
      <c r="B3271" s="90">
        <v>3267</v>
      </c>
      <c r="C3271" s="39">
        <f t="shared" si="102"/>
        <v>10404455.250473278</v>
      </c>
      <c r="D3271" s="39">
        <f t="shared" si="103"/>
        <v>10292137.748063201</v>
      </c>
    </row>
    <row r="3272" spans="2:4" x14ac:dyDescent="0.25">
      <c r="B3272" s="90">
        <v>3268</v>
      </c>
      <c r="C3272" s="39">
        <f t="shared" si="102"/>
        <v>10407102.589086831</v>
      </c>
      <c r="D3272" s="39">
        <f t="shared" si="103"/>
        <v>10295288.081013329</v>
      </c>
    </row>
    <row r="3273" spans="2:4" x14ac:dyDescent="0.25">
      <c r="B3273" s="90">
        <v>3269</v>
      </c>
      <c r="C3273" s="39">
        <f t="shared" si="102"/>
        <v>10409749.927700382</v>
      </c>
      <c r="D3273" s="39">
        <f t="shared" si="103"/>
        <v>10298438.413963456</v>
      </c>
    </row>
    <row r="3274" spans="2:4" x14ac:dyDescent="0.25">
      <c r="B3274" s="90">
        <v>3270</v>
      </c>
      <c r="C3274" s="39">
        <f t="shared" si="102"/>
        <v>10412397.266313933</v>
      </c>
      <c r="D3274" s="39">
        <f t="shared" si="103"/>
        <v>10301588.746913582</v>
      </c>
    </row>
    <row r="3275" spans="2:4" x14ac:dyDescent="0.25">
      <c r="B3275" s="90">
        <v>3271</v>
      </c>
      <c r="C3275" s="39">
        <f t="shared" si="102"/>
        <v>10415044.604927486</v>
      </c>
      <c r="D3275" s="39">
        <f t="shared" si="103"/>
        <v>10304739.079863708</v>
      </c>
    </row>
    <row r="3276" spans="2:4" x14ac:dyDescent="0.25">
      <c r="B3276" s="90">
        <v>3272</v>
      </c>
      <c r="C3276" s="39">
        <f t="shared" si="102"/>
        <v>10417691.943541037</v>
      </c>
      <c r="D3276" s="39">
        <f t="shared" si="103"/>
        <v>10307889.412813835</v>
      </c>
    </row>
    <row r="3277" spans="2:4" x14ac:dyDescent="0.25">
      <c r="B3277" s="90">
        <v>3273</v>
      </c>
      <c r="C3277" s="39">
        <f t="shared" si="102"/>
        <v>10420339.282154588</v>
      </c>
      <c r="D3277" s="39">
        <f t="shared" si="103"/>
        <v>10311039.745763961</v>
      </c>
    </row>
    <row r="3278" spans="2:4" x14ac:dyDescent="0.25">
      <c r="B3278" s="90">
        <v>3274</v>
      </c>
      <c r="C3278" s="39">
        <f t="shared" si="102"/>
        <v>10422986.620768141</v>
      </c>
      <c r="D3278" s="39">
        <f t="shared" si="103"/>
        <v>10314190.078714088</v>
      </c>
    </row>
    <row r="3279" spans="2:4" x14ac:dyDescent="0.25">
      <c r="B3279" s="90">
        <v>3275</v>
      </c>
      <c r="C3279" s="39">
        <f t="shared" si="102"/>
        <v>10425633.959381692</v>
      </c>
      <c r="D3279" s="39">
        <f t="shared" si="103"/>
        <v>10317340.411664214</v>
      </c>
    </row>
    <row r="3280" spans="2:4" x14ac:dyDescent="0.25">
      <c r="B3280" s="90">
        <v>3276</v>
      </c>
      <c r="C3280" s="39">
        <f t="shared" si="102"/>
        <v>10428281.297995243</v>
      </c>
      <c r="D3280" s="39">
        <f t="shared" si="103"/>
        <v>10320490.74461434</v>
      </c>
    </row>
    <row r="3281" spans="2:4" x14ac:dyDescent="0.25">
      <c r="B3281" s="90">
        <v>3277</v>
      </c>
      <c r="C3281" s="39">
        <f t="shared" si="102"/>
        <v>10430928.636608794</v>
      </c>
      <c r="D3281" s="39">
        <f t="shared" si="103"/>
        <v>10323641.077564467</v>
      </c>
    </row>
    <row r="3282" spans="2:4" x14ac:dyDescent="0.25">
      <c r="B3282" s="90">
        <v>3278</v>
      </c>
      <c r="C3282" s="39">
        <f t="shared" si="102"/>
        <v>10433575.975222347</v>
      </c>
      <c r="D3282" s="39">
        <f t="shared" si="103"/>
        <v>10326791.410514593</v>
      </c>
    </row>
    <row r="3283" spans="2:4" x14ac:dyDescent="0.25">
      <c r="B3283" s="90">
        <v>3279</v>
      </c>
      <c r="C3283" s="39">
        <f t="shared" si="102"/>
        <v>10436223.313835898</v>
      </c>
      <c r="D3283" s="39">
        <f t="shared" si="103"/>
        <v>10329941.74346472</v>
      </c>
    </row>
    <row r="3284" spans="2:4" x14ac:dyDescent="0.25">
      <c r="B3284" s="90">
        <v>3280</v>
      </c>
      <c r="C3284" s="39">
        <f t="shared" si="102"/>
        <v>10438870.65244945</v>
      </c>
      <c r="D3284" s="39">
        <f t="shared" si="103"/>
        <v>10333092.076414846</v>
      </c>
    </row>
    <row r="3285" spans="2:4" x14ac:dyDescent="0.25">
      <c r="B3285" s="90">
        <v>3281</v>
      </c>
      <c r="C3285" s="39">
        <f t="shared" si="102"/>
        <v>10441517.991063002</v>
      </c>
      <c r="D3285" s="39">
        <f t="shared" si="103"/>
        <v>10336242.409364972</v>
      </c>
    </row>
    <row r="3286" spans="2:4" x14ac:dyDescent="0.25">
      <c r="B3286" s="90">
        <v>3282</v>
      </c>
      <c r="C3286" s="39">
        <f t="shared" si="102"/>
        <v>10444165.329676554</v>
      </c>
      <c r="D3286" s="39">
        <f t="shared" si="103"/>
        <v>10339392.742315099</v>
      </c>
    </row>
    <row r="3287" spans="2:4" x14ac:dyDescent="0.25">
      <c r="B3287" s="90">
        <v>3283</v>
      </c>
      <c r="C3287" s="39">
        <f t="shared" si="102"/>
        <v>10446812.668290105</v>
      </c>
      <c r="D3287" s="39">
        <f t="shared" si="103"/>
        <v>10342543.075265225</v>
      </c>
    </row>
    <row r="3288" spans="2:4" x14ac:dyDescent="0.25">
      <c r="B3288" s="90">
        <v>3284</v>
      </c>
      <c r="C3288" s="39">
        <f t="shared" si="102"/>
        <v>10449460.006903658</v>
      </c>
      <c r="D3288" s="39">
        <f t="shared" si="103"/>
        <v>10345693.408215351</v>
      </c>
    </row>
    <row r="3289" spans="2:4" x14ac:dyDescent="0.25">
      <c r="B3289" s="90">
        <v>3285</v>
      </c>
      <c r="C3289" s="39">
        <f t="shared" si="102"/>
        <v>10452107.345517209</v>
      </c>
      <c r="D3289" s="39">
        <f t="shared" si="103"/>
        <v>10348843.741165478</v>
      </c>
    </row>
    <row r="3290" spans="2:4" x14ac:dyDescent="0.25">
      <c r="B3290" s="90">
        <v>3286</v>
      </c>
      <c r="C3290" s="39">
        <f t="shared" si="102"/>
        <v>10454754.68413076</v>
      </c>
      <c r="D3290" s="39">
        <f t="shared" si="103"/>
        <v>10351994.074115604</v>
      </c>
    </row>
    <row r="3291" spans="2:4" x14ac:dyDescent="0.25">
      <c r="B3291" s="90">
        <v>3287</v>
      </c>
      <c r="C3291" s="39">
        <f t="shared" si="102"/>
        <v>10457402.022744311</v>
      </c>
      <c r="D3291" s="39">
        <f t="shared" si="103"/>
        <v>10355144.407065732</v>
      </c>
    </row>
    <row r="3292" spans="2:4" x14ac:dyDescent="0.25">
      <c r="B3292" s="90">
        <v>3288</v>
      </c>
      <c r="C3292" s="39">
        <f t="shared" si="102"/>
        <v>10460049.361357864</v>
      </c>
      <c r="D3292" s="39">
        <f t="shared" si="103"/>
        <v>10358294.740015859</v>
      </c>
    </row>
    <row r="3293" spans="2:4" x14ac:dyDescent="0.25">
      <c r="B3293" s="90">
        <v>3289</v>
      </c>
      <c r="C3293" s="39">
        <f t="shared" si="102"/>
        <v>10462696.699971415</v>
      </c>
      <c r="D3293" s="39">
        <f t="shared" si="103"/>
        <v>10361445.072965985</v>
      </c>
    </row>
    <row r="3294" spans="2:4" x14ac:dyDescent="0.25">
      <c r="B3294" s="90">
        <v>3290</v>
      </c>
      <c r="C3294" s="39">
        <f t="shared" si="102"/>
        <v>10465344.038584966</v>
      </c>
      <c r="D3294" s="39">
        <f t="shared" si="103"/>
        <v>10364595.405916112</v>
      </c>
    </row>
    <row r="3295" spans="2:4" x14ac:dyDescent="0.25">
      <c r="B3295" s="90">
        <v>3291</v>
      </c>
      <c r="C3295" s="39">
        <f t="shared" si="102"/>
        <v>10467991.377198519</v>
      </c>
      <c r="D3295" s="39">
        <f t="shared" si="103"/>
        <v>10367745.738866238</v>
      </c>
    </row>
    <row r="3296" spans="2:4" x14ac:dyDescent="0.25">
      <c r="B3296" s="90">
        <v>3292</v>
      </c>
      <c r="C3296" s="39">
        <f t="shared" si="102"/>
        <v>10470638.71581207</v>
      </c>
      <c r="D3296" s="39">
        <f t="shared" si="103"/>
        <v>10370896.071816364</v>
      </c>
    </row>
    <row r="3297" spans="2:4" x14ac:dyDescent="0.25">
      <c r="B3297" s="90">
        <v>3293</v>
      </c>
      <c r="C3297" s="39">
        <f t="shared" si="102"/>
        <v>10473286.054425621</v>
      </c>
      <c r="D3297" s="39">
        <f t="shared" si="103"/>
        <v>10374046.404766491</v>
      </c>
    </row>
    <row r="3298" spans="2:4" x14ac:dyDescent="0.25">
      <c r="B3298" s="90">
        <v>3294</v>
      </c>
      <c r="C3298" s="39">
        <f t="shared" si="102"/>
        <v>10475933.393039173</v>
      </c>
      <c r="D3298" s="39">
        <f t="shared" si="103"/>
        <v>10377196.737716617</v>
      </c>
    </row>
    <row r="3299" spans="2:4" x14ac:dyDescent="0.25">
      <c r="B3299" s="90">
        <v>3295</v>
      </c>
      <c r="C3299" s="39">
        <f t="shared" si="102"/>
        <v>10478580.731652725</v>
      </c>
      <c r="D3299" s="39">
        <f t="shared" si="103"/>
        <v>10380347.070666743</v>
      </c>
    </row>
    <row r="3300" spans="2:4" x14ac:dyDescent="0.25">
      <c r="B3300" s="90">
        <v>3296</v>
      </c>
      <c r="C3300" s="39">
        <f t="shared" si="102"/>
        <v>10481228.070266277</v>
      </c>
      <c r="D3300" s="39">
        <f t="shared" si="103"/>
        <v>10383497.40361687</v>
      </c>
    </row>
    <row r="3301" spans="2:4" x14ac:dyDescent="0.25">
      <c r="B3301" s="90">
        <v>3297</v>
      </c>
      <c r="C3301" s="39">
        <f t="shared" si="102"/>
        <v>10483875.408879828</v>
      </c>
      <c r="D3301" s="39">
        <f t="shared" si="103"/>
        <v>10386647.736566996</v>
      </c>
    </row>
    <row r="3302" spans="2:4" x14ac:dyDescent="0.25">
      <c r="B3302" s="90">
        <v>3298</v>
      </c>
      <c r="C3302" s="39">
        <f t="shared" si="102"/>
        <v>10486522.747493381</v>
      </c>
      <c r="D3302" s="39">
        <f t="shared" si="103"/>
        <v>10389798.069517123</v>
      </c>
    </row>
    <row r="3303" spans="2:4" x14ac:dyDescent="0.25">
      <c r="B3303" s="90">
        <v>3299</v>
      </c>
      <c r="C3303" s="39">
        <f t="shared" si="102"/>
        <v>10489170.086106932</v>
      </c>
      <c r="D3303" s="39">
        <f t="shared" si="103"/>
        <v>10392948.402467249</v>
      </c>
    </row>
    <row r="3304" spans="2:4" x14ac:dyDescent="0.25">
      <c r="B3304" s="90">
        <v>3300</v>
      </c>
      <c r="C3304" s="39">
        <f t="shared" si="102"/>
        <v>10491817.424720483</v>
      </c>
      <c r="D3304" s="39">
        <f t="shared" si="103"/>
        <v>10396098.735417375</v>
      </c>
    </row>
    <row r="3305" spans="2:4" x14ac:dyDescent="0.25">
      <c r="B3305" s="90">
        <v>3301</v>
      </c>
      <c r="C3305" s="39">
        <f t="shared" si="102"/>
        <v>10494464.763334036</v>
      </c>
      <c r="D3305" s="39">
        <f t="shared" si="103"/>
        <v>10399249.068367502</v>
      </c>
    </row>
    <row r="3306" spans="2:4" x14ac:dyDescent="0.25">
      <c r="B3306" s="90">
        <v>3302</v>
      </c>
      <c r="C3306" s="39">
        <f t="shared" si="102"/>
        <v>10497112.101947587</v>
      </c>
      <c r="D3306" s="39">
        <f t="shared" si="103"/>
        <v>10402399.401317628</v>
      </c>
    </row>
    <row r="3307" spans="2:4" x14ac:dyDescent="0.25">
      <c r="B3307" s="90">
        <v>3303</v>
      </c>
      <c r="C3307" s="39">
        <f t="shared" si="102"/>
        <v>10499759.440561138</v>
      </c>
      <c r="D3307" s="39">
        <f t="shared" si="103"/>
        <v>10405549.734267754</v>
      </c>
    </row>
    <row r="3308" spans="2:4" x14ac:dyDescent="0.25">
      <c r="B3308" s="90">
        <v>3304</v>
      </c>
      <c r="C3308" s="39">
        <f t="shared" si="102"/>
        <v>10502406.779174689</v>
      </c>
      <c r="D3308" s="39">
        <f t="shared" si="103"/>
        <v>10408700.067217881</v>
      </c>
    </row>
    <row r="3309" spans="2:4" x14ac:dyDescent="0.25">
      <c r="B3309" s="90">
        <v>3305</v>
      </c>
      <c r="C3309" s="39">
        <f t="shared" si="102"/>
        <v>10505054.117788242</v>
      </c>
      <c r="D3309" s="39">
        <f t="shared" si="103"/>
        <v>10411850.400168007</v>
      </c>
    </row>
    <row r="3310" spans="2:4" x14ac:dyDescent="0.25">
      <c r="B3310" s="90">
        <v>3306</v>
      </c>
      <c r="C3310" s="39">
        <f t="shared" si="102"/>
        <v>10507701.456401793</v>
      </c>
      <c r="D3310" s="39">
        <f t="shared" si="103"/>
        <v>10415000.733118135</v>
      </c>
    </row>
    <row r="3311" spans="2:4" x14ac:dyDescent="0.25">
      <c r="B3311" s="90">
        <v>3307</v>
      </c>
      <c r="C3311" s="39">
        <f t="shared" si="102"/>
        <v>10510348.795015344</v>
      </c>
      <c r="D3311" s="39">
        <f t="shared" si="103"/>
        <v>10418151.066068262</v>
      </c>
    </row>
    <row r="3312" spans="2:4" x14ac:dyDescent="0.25">
      <c r="B3312" s="90">
        <v>3308</v>
      </c>
      <c r="C3312" s="39">
        <f t="shared" si="102"/>
        <v>10512996.133628897</v>
      </c>
      <c r="D3312" s="39">
        <f t="shared" si="103"/>
        <v>10421301.399018388</v>
      </c>
    </row>
    <row r="3313" spans="2:4" x14ac:dyDescent="0.25">
      <c r="B3313" s="90">
        <v>3309</v>
      </c>
      <c r="C3313" s="39">
        <f t="shared" ref="C3313:C3376" si="104">($C$2*B3313)+$C$1</f>
        <v>10515643.472242448</v>
      </c>
      <c r="D3313" s="39">
        <f t="shared" ref="D3313:D3376" si="105">$D$2*B3313</f>
        <v>10424451.731968515</v>
      </c>
    </row>
    <row r="3314" spans="2:4" x14ac:dyDescent="0.25">
      <c r="B3314" s="90">
        <v>3310</v>
      </c>
      <c r="C3314" s="39">
        <f t="shared" si="104"/>
        <v>10518290.810856</v>
      </c>
      <c r="D3314" s="39">
        <f t="shared" si="105"/>
        <v>10427602.064918641</v>
      </c>
    </row>
    <row r="3315" spans="2:4" x14ac:dyDescent="0.25">
      <c r="B3315" s="90">
        <v>3311</v>
      </c>
      <c r="C3315" s="39">
        <f t="shared" si="104"/>
        <v>10520938.149469553</v>
      </c>
      <c r="D3315" s="39">
        <f t="shared" si="105"/>
        <v>10430752.397868767</v>
      </c>
    </row>
    <row r="3316" spans="2:4" x14ac:dyDescent="0.25">
      <c r="B3316" s="90">
        <v>3312</v>
      </c>
      <c r="C3316" s="39">
        <f t="shared" si="104"/>
        <v>10523585.488083104</v>
      </c>
      <c r="D3316" s="39">
        <f t="shared" si="105"/>
        <v>10433902.730818894</v>
      </c>
    </row>
    <row r="3317" spans="2:4" x14ac:dyDescent="0.25">
      <c r="B3317" s="90">
        <v>3313</v>
      </c>
      <c r="C3317" s="39">
        <f t="shared" si="104"/>
        <v>10526232.826696655</v>
      </c>
      <c r="D3317" s="39">
        <f t="shared" si="105"/>
        <v>10437053.06376902</v>
      </c>
    </row>
    <row r="3318" spans="2:4" x14ac:dyDescent="0.25">
      <c r="B3318" s="90">
        <v>3314</v>
      </c>
      <c r="C3318" s="39">
        <f t="shared" si="104"/>
        <v>10528880.165310206</v>
      </c>
      <c r="D3318" s="39">
        <f t="shared" si="105"/>
        <v>10440203.396719147</v>
      </c>
    </row>
    <row r="3319" spans="2:4" x14ac:dyDescent="0.25">
      <c r="B3319" s="90">
        <v>3315</v>
      </c>
      <c r="C3319" s="39">
        <f t="shared" si="104"/>
        <v>10531527.503923759</v>
      </c>
      <c r="D3319" s="39">
        <f t="shared" si="105"/>
        <v>10443353.729669273</v>
      </c>
    </row>
    <row r="3320" spans="2:4" x14ac:dyDescent="0.25">
      <c r="B3320" s="90">
        <v>3316</v>
      </c>
      <c r="C3320" s="39">
        <f t="shared" si="104"/>
        <v>10534174.84253731</v>
      </c>
      <c r="D3320" s="39">
        <f t="shared" si="105"/>
        <v>10446504.062619399</v>
      </c>
    </row>
    <row r="3321" spans="2:4" x14ac:dyDescent="0.25">
      <c r="B3321" s="90">
        <v>3317</v>
      </c>
      <c r="C3321" s="39">
        <f t="shared" si="104"/>
        <v>10536822.181150861</v>
      </c>
      <c r="D3321" s="39">
        <f t="shared" si="105"/>
        <v>10449654.395569526</v>
      </c>
    </row>
    <row r="3322" spans="2:4" x14ac:dyDescent="0.25">
      <c r="B3322" s="90">
        <v>3318</v>
      </c>
      <c r="C3322" s="39">
        <f t="shared" si="104"/>
        <v>10539469.519764414</v>
      </c>
      <c r="D3322" s="39">
        <f t="shared" si="105"/>
        <v>10452804.728519652</v>
      </c>
    </row>
    <row r="3323" spans="2:4" x14ac:dyDescent="0.25">
      <c r="B3323" s="90">
        <v>3319</v>
      </c>
      <c r="C3323" s="39">
        <f t="shared" si="104"/>
        <v>10542116.858377965</v>
      </c>
      <c r="D3323" s="39">
        <f t="shared" si="105"/>
        <v>10455955.061469778</v>
      </c>
    </row>
    <row r="3324" spans="2:4" x14ac:dyDescent="0.25">
      <c r="B3324" s="90">
        <v>3320</v>
      </c>
      <c r="C3324" s="39">
        <f t="shared" si="104"/>
        <v>10544764.196991516</v>
      </c>
      <c r="D3324" s="39">
        <f t="shared" si="105"/>
        <v>10459105.394419905</v>
      </c>
    </row>
    <row r="3325" spans="2:4" x14ac:dyDescent="0.25">
      <c r="B3325" s="90">
        <v>3321</v>
      </c>
      <c r="C3325" s="39">
        <f t="shared" si="104"/>
        <v>10547411.535605067</v>
      </c>
      <c r="D3325" s="39">
        <f t="shared" si="105"/>
        <v>10462255.727370031</v>
      </c>
    </row>
    <row r="3326" spans="2:4" x14ac:dyDescent="0.25">
      <c r="B3326" s="90">
        <v>3322</v>
      </c>
      <c r="C3326" s="39">
        <f t="shared" si="104"/>
        <v>10550058.87421862</v>
      </c>
      <c r="D3326" s="39">
        <f t="shared" si="105"/>
        <v>10465406.060320158</v>
      </c>
    </row>
    <row r="3327" spans="2:4" x14ac:dyDescent="0.25">
      <c r="B3327" s="90">
        <v>3323</v>
      </c>
      <c r="C3327" s="39">
        <f t="shared" si="104"/>
        <v>10552706.212832171</v>
      </c>
      <c r="D3327" s="39">
        <f t="shared" si="105"/>
        <v>10468556.393270284</v>
      </c>
    </row>
    <row r="3328" spans="2:4" x14ac:dyDescent="0.25">
      <c r="B3328" s="90">
        <v>3324</v>
      </c>
      <c r="C3328" s="39">
        <f t="shared" si="104"/>
        <v>10555353.551445723</v>
      </c>
      <c r="D3328" s="39">
        <f t="shared" si="105"/>
        <v>10471706.72622041</v>
      </c>
    </row>
    <row r="3329" spans="2:4" x14ac:dyDescent="0.25">
      <c r="B3329" s="90">
        <v>3325</v>
      </c>
      <c r="C3329" s="39">
        <f t="shared" si="104"/>
        <v>10558000.890059276</v>
      </c>
      <c r="D3329" s="39">
        <f t="shared" si="105"/>
        <v>10474857.059170539</v>
      </c>
    </row>
    <row r="3330" spans="2:4" x14ac:dyDescent="0.25">
      <c r="B3330" s="90">
        <v>3326</v>
      </c>
      <c r="C3330" s="39">
        <f t="shared" si="104"/>
        <v>10560648.228672827</v>
      </c>
      <c r="D3330" s="39">
        <f t="shared" si="105"/>
        <v>10478007.392120665</v>
      </c>
    </row>
    <row r="3331" spans="2:4" x14ac:dyDescent="0.25">
      <c r="B3331" s="90">
        <v>3327</v>
      </c>
      <c r="C3331" s="39">
        <f t="shared" si="104"/>
        <v>10563295.567286378</v>
      </c>
      <c r="D3331" s="39">
        <f t="shared" si="105"/>
        <v>10481157.725070791</v>
      </c>
    </row>
    <row r="3332" spans="2:4" x14ac:dyDescent="0.25">
      <c r="B3332" s="90">
        <v>3328</v>
      </c>
      <c r="C3332" s="39">
        <f t="shared" si="104"/>
        <v>10565942.905899931</v>
      </c>
      <c r="D3332" s="39">
        <f t="shared" si="105"/>
        <v>10484308.058020918</v>
      </c>
    </row>
    <row r="3333" spans="2:4" x14ac:dyDescent="0.25">
      <c r="B3333" s="90">
        <v>3329</v>
      </c>
      <c r="C3333" s="39">
        <f t="shared" si="104"/>
        <v>10568590.244513482</v>
      </c>
      <c r="D3333" s="39">
        <f t="shared" si="105"/>
        <v>10487458.390971044</v>
      </c>
    </row>
    <row r="3334" spans="2:4" x14ac:dyDescent="0.25">
      <c r="B3334" s="90">
        <v>3330</v>
      </c>
      <c r="C3334" s="39">
        <f t="shared" si="104"/>
        <v>10571237.583127033</v>
      </c>
      <c r="D3334" s="39">
        <f t="shared" si="105"/>
        <v>10490608.72392117</v>
      </c>
    </row>
    <row r="3335" spans="2:4" x14ac:dyDescent="0.25">
      <c r="B3335" s="90">
        <v>3331</v>
      </c>
      <c r="C3335" s="39">
        <f t="shared" si="104"/>
        <v>10573884.921740584</v>
      </c>
      <c r="D3335" s="39">
        <f t="shared" si="105"/>
        <v>10493759.056871297</v>
      </c>
    </row>
    <row r="3336" spans="2:4" x14ac:dyDescent="0.25">
      <c r="B3336" s="90">
        <v>3332</v>
      </c>
      <c r="C3336" s="39">
        <f t="shared" si="104"/>
        <v>10576532.260354137</v>
      </c>
      <c r="D3336" s="39">
        <f t="shared" si="105"/>
        <v>10496909.389821423</v>
      </c>
    </row>
    <row r="3337" spans="2:4" x14ac:dyDescent="0.25">
      <c r="B3337" s="90">
        <v>3333</v>
      </c>
      <c r="C3337" s="39">
        <f t="shared" si="104"/>
        <v>10579179.598967688</v>
      </c>
      <c r="D3337" s="39">
        <f t="shared" si="105"/>
        <v>10500059.72277155</v>
      </c>
    </row>
    <row r="3338" spans="2:4" x14ac:dyDescent="0.25">
      <c r="B3338" s="90">
        <v>3334</v>
      </c>
      <c r="C3338" s="39">
        <f t="shared" si="104"/>
        <v>10581826.937581239</v>
      </c>
      <c r="D3338" s="39">
        <f t="shared" si="105"/>
        <v>10503210.055721676</v>
      </c>
    </row>
    <row r="3339" spans="2:4" x14ac:dyDescent="0.25">
      <c r="B3339" s="90">
        <v>3335</v>
      </c>
      <c r="C3339" s="39">
        <f t="shared" si="104"/>
        <v>10584474.276194792</v>
      </c>
      <c r="D3339" s="39">
        <f t="shared" si="105"/>
        <v>10506360.388671802</v>
      </c>
    </row>
    <row r="3340" spans="2:4" x14ac:dyDescent="0.25">
      <c r="B3340" s="90">
        <v>3336</v>
      </c>
      <c r="C3340" s="39">
        <f t="shared" si="104"/>
        <v>10587121.614808343</v>
      </c>
      <c r="D3340" s="39">
        <f t="shared" si="105"/>
        <v>10509510.721621929</v>
      </c>
    </row>
    <row r="3341" spans="2:4" x14ac:dyDescent="0.25">
      <c r="B3341" s="90">
        <v>3337</v>
      </c>
      <c r="C3341" s="39">
        <f t="shared" si="104"/>
        <v>10589768.953421894</v>
      </c>
      <c r="D3341" s="39">
        <f t="shared" si="105"/>
        <v>10512661.054572055</v>
      </c>
    </row>
    <row r="3342" spans="2:4" x14ac:dyDescent="0.25">
      <c r="B3342" s="90">
        <v>3338</v>
      </c>
      <c r="C3342" s="39">
        <f t="shared" si="104"/>
        <v>10592416.292035447</v>
      </c>
      <c r="D3342" s="39">
        <f t="shared" si="105"/>
        <v>10515811.387522181</v>
      </c>
    </row>
    <row r="3343" spans="2:4" x14ac:dyDescent="0.25">
      <c r="B3343" s="90">
        <v>3339</v>
      </c>
      <c r="C3343" s="39">
        <f t="shared" si="104"/>
        <v>10595063.630648999</v>
      </c>
      <c r="D3343" s="39">
        <f t="shared" si="105"/>
        <v>10518961.720472308</v>
      </c>
    </row>
    <row r="3344" spans="2:4" x14ac:dyDescent="0.25">
      <c r="B3344" s="90">
        <v>3340</v>
      </c>
      <c r="C3344" s="39">
        <f t="shared" si="104"/>
        <v>10597710.96926255</v>
      </c>
      <c r="D3344" s="39">
        <f t="shared" si="105"/>
        <v>10522112.053422434</v>
      </c>
    </row>
    <row r="3345" spans="2:4" x14ac:dyDescent="0.25">
      <c r="B3345" s="90">
        <v>3341</v>
      </c>
      <c r="C3345" s="39">
        <f t="shared" si="104"/>
        <v>10600358.307876101</v>
      </c>
      <c r="D3345" s="39">
        <f t="shared" si="105"/>
        <v>10525262.386372561</v>
      </c>
    </row>
    <row r="3346" spans="2:4" x14ac:dyDescent="0.25">
      <c r="B3346" s="90">
        <v>3342</v>
      </c>
      <c r="C3346" s="39">
        <f t="shared" si="104"/>
        <v>10603005.646489654</v>
      </c>
      <c r="D3346" s="39">
        <f t="shared" si="105"/>
        <v>10528412.719322687</v>
      </c>
    </row>
    <row r="3347" spans="2:4" x14ac:dyDescent="0.25">
      <c r="B3347" s="90">
        <v>3343</v>
      </c>
      <c r="C3347" s="39">
        <f t="shared" si="104"/>
        <v>10605652.985103205</v>
      </c>
      <c r="D3347" s="39">
        <f t="shared" si="105"/>
        <v>10531563.052272813</v>
      </c>
    </row>
    <row r="3348" spans="2:4" x14ac:dyDescent="0.25">
      <c r="B3348" s="90">
        <v>3344</v>
      </c>
      <c r="C3348" s="39">
        <f t="shared" si="104"/>
        <v>10608300.323716756</v>
      </c>
      <c r="D3348" s="39">
        <f t="shared" si="105"/>
        <v>10534713.385222942</v>
      </c>
    </row>
    <row r="3349" spans="2:4" x14ac:dyDescent="0.25">
      <c r="B3349" s="90">
        <v>3345</v>
      </c>
      <c r="C3349" s="39">
        <f t="shared" si="104"/>
        <v>10610947.662330309</v>
      </c>
      <c r="D3349" s="39">
        <f t="shared" si="105"/>
        <v>10537863.718173068</v>
      </c>
    </row>
    <row r="3350" spans="2:4" x14ac:dyDescent="0.25">
      <c r="B3350" s="90">
        <v>3346</v>
      </c>
      <c r="C3350" s="39">
        <f t="shared" si="104"/>
        <v>10613595.00094386</v>
      </c>
      <c r="D3350" s="39">
        <f t="shared" si="105"/>
        <v>10541014.051123194</v>
      </c>
    </row>
    <row r="3351" spans="2:4" x14ac:dyDescent="0.25">
      <c r="B3351" s="90">
        <v>3347</v>
      </c>
      <c r="C3351" s="39">
        <f t="shared" si="104"/>
        <v>10616242.339557411</v>
      </c>
      <c r="D3351" s="39">
        <f t="shared" si="105"/>
        <v>10544164.384073321</v>
      </c>
    </row>
    <row r="3352" spans="2:4" x14ac:dyDescent="0.25">
      <c r="B3352" s="90">
        <v>3348</v>
      </c>
      <c r="C3352" s="39">
        <f t="shared" si="104"/>
        <v>10618889.678170962</v>
      </c>
      <c r="D3352" s="39">
        <f t="shared" si="105"/>
        <v>10547314.717023447</v>
      </c>
    </row>
    <row r="3353" spans="2:4" x14ac:dyDescent="0.25">
      <c r="B3353" s="90">
        <v>3349</v>
      </c>
      <c r="C3353" s="39">
        <f t="shared" si="104"/>
        <v>10621537.016784515</v>
      </c>
      <c r="D3353" s="39">
        <f t="shared" si="105"/>
        <v>10550465.049973574</v>
      </c>
    </row>
    <row r="3354" spans="2:4" x14ac:dyDescent="0.25">
      <c r="B3354" s="90">
        <v>3350</v>
      </c>
      <c r="C3354" s="39">
        <f t="shared" si="104"/>
        <v>10624184.355398066</v>
      </c>
      <c r="D3354" s="39">
        <f t="shared" si="105"/>
        <v>10553615.3829237</v>
      </c>
    </row>
    <row r="3355" spans="2:4" x14ac:dyDescent="0.25">
      <c r="B3355" s="90">
        <v>3351</v>
      </c>
      <c r="C3355" s="39">
        <f t="shared" si="104"/>
        <v>10626831.694011617</v>
      </c>
      <c r="D3355" s="39">
        <f t="shared" si="105"/>
        <v>10556765.715873826</v>
      </c>
    </row>
    <row r="3356" spans="2:4" x14ac:dyDescent="0.25">
      <c r="B3356" s="90">
        <v>3352</v>
      </c>
      <c r="C3356" s="39">
        <f t="shared" si="104"/>
        <v>10629479.03262517</v>
      </c>
      <c r="D3356" s="39">
        <f t="shared" si="105"/>
        <v>10559916.048823953</v>
      </c>
    </row>
    <row r="3357" spans="2:4" x14ac:dyDescent="0.25">
      <c r="B3357" s="90">
        <v>3353</v>
      </c>
      <c r="C3357" s="39">
        <f t="shared" si="104"/>
        <v>10632126.371238722</v>
      </c>
      <c r="D3357" s="39">
        <f t="shared" si="105"/>
        <v>10563066.381774079</v>
      </c>
    </row>
    <row r="3358" spans="2:4" x14ac:dyDescent="0.25">
      <c r="B3358" s="90">
        <v>3354</v>
      </c>
      <c r="C3358" s="39">
        <f t="shared" si="104"/>
        <v>10634773.709852273</v>
      </c>
      <c r="D3358" s="39">
        <f t="shared" si="105"/>
        <v>10566216.714724205</v>
      </c>
    </row>
    <row r="3359" spans="2:4" x14ac:dyDescent="0.25">
      <c r="B3359" s="90">
        <v>3355</v>
      </c>
      <c r="C3359" s="39">
        <f t="shared" si="104"/>
        <v>10637421.048465826</v>
      </c>
      <c r="D3359" s="39">
        <f t="shared" si="105"/>
        <v>10569367.047674332</v>
      </c>
    </row>
    <row r="3360" spans="2:4" x14ac:dyDescent="0.25">
      <c r="B3360" s="90">
        <v>3356</v>
      </c>
      <c r="C3360" s="39">
        <f t="shared" si="104"/>
        <v>10640068.387079377</v>
      </c>
      <c r="D3360" s="39">
        <f t="shared" si="105"/>
        <v>10572517.380624458</v>
      </c>
    </row>
    <row r="3361" spans="2:4" x14ac:dyDescent="0.25">
      <c r="B3361" s="90">
        <v>3357</v>
      </c>
      <c r="C3361" s="39">
        <f t="shared" si="104"/>
        <v>10642715.725692928</v>
      </c>
      <c r="D3361" s="39">
        <f t="shared" si="105"/>
        <v>10575667.713574585</v>
      </c>
    </row>
    <row r="3362" spans="2:4" x14ac:dyDescent="0.25">
      <c r="B3362" s="90">
        <v>3358</v>
      </c>
      <c r="C3362" s="39">
        <f t="shared" si="104"/>
        <v>10645363.064306479</v>
      </c>
      <c r="D3362" s="39">
        <f t="shared" si="105"/>
        <v>10578818.046524711</v>
      </c>
    </row>
    <row r="3363" spans="2:4" x14ac:dyDescent="0.25">
      <c r="B3363" s="90">
        <v>3359</v>
      </c>
      <c r="C3363" s="39">
        <f t="shared" si="104"/>
        <v>10648010.402920032</v>
      </c>
      <c r="D3363" s="39">
        <f t="shared" si="105"/>
        <v>10581968.379474837</v>
      </c>
    </row>
    <row r="3364" spans="2:4" x14ac:dyDescent="0.25">
      <c r="B3364" s="90">
        <v>3360</v>
      </c>
      <c r="C3364" s="39">
        <f t="shared" si="104"/>
        <v>10650657.741533583</v>
      </c>
      <c r="D3364" s="39">
        <f t="shared" si="105"/>
        <v>10585118.712424964</v>
      </c>
    </row>
    <row r="3365" spans="2:4" x14ac:dyDescent="0.25">
      <c r="B3365" s="90">
        <v>3361</v>
      </c>
      <c r="C3365" s="39">
        <f t="shared" si="104"/>
        <v>10653305.080147134</v>
      </c>
      <c r="D3365" s="39">
        <f t="shared" si="105"/>
        <v>10588269.04537509</v>
      </c>
    </row>
    <row r="3366" spans="2:4" x14ac:dyDescent="0.25">
      <c r="B3366" s="90">
        <v>3362</v>
      </c>
      <c r="C3366" s="39">
        <f t="shared" si="104"/>
        <v>10655952.418760687</v>
      </c>
      <c r="D3366" s="39">
        <f t="shared" si="105"/>
        <v>10591419.378325216</v>
      </c>
    </row>
    <row r="3367" spans="2:4" x14ac:dyDescent="0.25">
      <c r="B3367" s="90">
        <v>3363</v>
      </c>
      <c r="C3367" s="39">
        <f t="shared" si="104"/>
        <v>10658599.757374238</v>
      </c>
      <c r="D3367" s="39">
        <f t="shared" si="105"/>
        <v>10594569.711275345</v>
      </c>
    </row>
    <row r="3368" spans="2:4" x14ac:dyDescent="0.25">
      <c r="B3368" s="90">
        <v>3364</v>
      </c>
      <c r="C3368" s="39">
        <f t="shared" si="104"/>
        <v>10661247.095987789</v>
      </c>
      <c r="D3368" s="39">
        <f t="shared" si="105"/>
        <v>10597720.044225471</v>
      </c>
    </row>
    <row r="3369" spans="2:4" x14ac:dyDescent="0.25">
      <c r="B3369" s="90">
        <v>3365</v>
      </c>
      <c r="C3369" s="39">
        <f t="shared" si="104"/>
        <v>10663894.434601342</v>
      </c>
      <c r="D3369" s="39">
        <f t="shared" si="105"/>
        <v>10600870.377175597</v>
      </c>
    </row>
    <row r="3370" spans="2:4" x14ac:dyDescent="0.25">
      <c r="B3370" s="90">
        <v>3366</v>
      </c>
      <c r="C3370" s="39">
        <f t="shared" si="104"/>
        <v>10666541.773214893</v>
      </c>
      <c r="D3370" s="39">
        <f t="shared" si="105"/>
        <v>10604020.710125724</v>
      </c>
    </row>
    <row r="3371" spans="2:4" x14ac:dyDescent="0.25">
      <c r="B3371" s="90">
        <v>3367</v>
      </c>
      <c r="C3371" s="39">
        <f t="shared" si="104"/>
        <v>10669189.111828445</v>
      </c>
      <c r="D3371" s="39">
        <f t="shared" si="105"/>
        <v>10607171.04307585</v>
      </c>
    </row>
    <row r="3372" spans="2:4" x14ac:dyDescent="0.25">
      <c r="B3372" s="90">
        <v>3368</v>
      </c>
      <c r="C3372" s="39">
        <f t="shared" si="104"/>
        <v>10671836.450441996</v>
      </c>
      <c r="D3372" s="39">
        <f t="shared" si="105"/>
        <v>10610321.376025977</v>
      </c>
    </row>
    <row r="3373" spans="2:4" x14ac:dyDescent="0.25">
      <c r="B3373" s="90">
        <v>3369</v>
      </c>
      <c r="C3373" s="39">
        <f t="shared" si="104"/>
        <v>10674483.789055549</v>
      </c>
      <c r="D3373" s="39">
        <f t="shared" si="105"/>
        <v>10613471.708976103</v>
      </c>
    </row>
    <row r="3374" spans="2:4" x14ac:dyDescent="0.25">
      <c r="B3374" s="90">
        <v>3370</v>
      </c>
      <c r="C3374" s="39">
        <f t="shared" si="104"/>
        <v>10677131.1276691</v>
      </c>
      <c r="D3374" s="39">
        <f t="shared" si="105"/>
        <v>10616622.041926229</v>
      </c>
    </row>
    <row r="3375" spans="2:4" x14ac:dyDescent="0.25">
      <c r="B3375" s="90">
        <v>3371</v>
      </c>
      <c r="C3375" s="39">
        <f t="shared" si="104"/>
        <v>10679778.466282651</v>
      </c>
      <c r="D3375" s="39">
        <f t="shared" si="105"/>
        <v>10619772.374876356</v>
      </c>
    </row>
    <row r="3376" spans="2:4" x14ac:dyDescent="0.25">
      <c r="B3376" s="90">
        <v>3372</v>
      </c>
      <c r="C3376" s="39">
        <f t="shared" si="104"/>
        <v>10682425.804896204</v>
      </c>
      <c r="D3376" s="39">
        <f t="shared" si="105"/>
        <v>10622922.707826482</v>
      </c>
    </row>
    <row r="3377" spans="2:4" x14ac:dyDescent="0.25">
      <c r="B3377" s="90">
        <v>3373</v>
      </c>
      <c r="C3377" s="39">
        <f t="shared" ref="C3377:C3440" si="106">($C$2*B3377)+$C$1</f>
        <v>10685073.143509755</v>
      </c>
      <c r="D3377" s="39">
        <f t="shared" ref="D3377:D3440" si="107">$D$2*B3377</f>
        <v>10626073.040776609</v>
      </c>
    </row>
    <row r="3378" spans="2:4" x14ac:dyDescent="0.25">
      <c r="B3378" s="90">
        <v>3374</v>
      </c>
      <c r="C3378" s="39">
        <f t="shared" si="106"/>
        <v>10687720.482123306</v>
      </c>
      <c r="D3378" s="39">
        <f t="shared" si="107"/>
        <v>10629223.373726735</v>
      </c>
    </row>
    <row r="3379" spans="2:4" x14ac:dyDescent="0.25">
      <c r="B3379" s="90">
        <v>3375</v>
      </c>
      <c r="C3379" s="39">
        <f t="shared" si="106"/>
        <v>10690367.820736857</v>
      </c>
      <c r="D3379" s="39">
        <f t="shared" si="107"/>
        <v>10632373.706676861</v>
      </c>
    </row>
    <row r="3380" spans="2:4" x14ac:dyDescent="0.25">
      <c r="B3380" s="90">
        <v>3376</v>
      </c>
      <c r="C3380" s="39">
        <f t="shared" si="106"/>
        <v>10693015.15935041</v>
      </c>
      <c r="D3380" s="39">
        <f t="shared" si="107"/>
        <v>10635524.039626988</v>
      </c>
    </row>
    <row r="3381" spans="2:4" x14ac:dyDescent="0.25">
      <c r="B3381" s="90">
        <v>3377</v>
      </c>
      <c r="C3381" s="39">
        <f t="shared" si="106"/>
        <v>10695662.497963961</v>
      </c>
      <c r="D3381" s="39">
        <f t="shared" si="107"/>
        <v>10638674.372577114</v>
      </c>
    </row>
    <row r="3382" spans="2:4" x14ac:dyDescent="0.25">
      <c r="B3382" s="90">
        <v>3378</v>
      </c>
      <c r="C3382" s="39">
        <f t="shared" si="106"/>
        <v>10698309.836577512</v>
      </c>
      <c r="D3382" s="39">
        <f t="shared" si="107"/>
        <v>10641824.70552724</v>
      </c>
    </row>
    <row r="3383" spans="2:4" x14ac:dyDescent="0.25">
      <c r="B3383" s="90">
        <v>3379</v>
      </c>
      <c r="C3383" s="39">
        <f t="shared" si="106"/>
        <v>10700957.175191065</v>
      </c>
      <c r="D3383" s="39">
        <f t="shared" si="107"/>
        <v>10644975.038477367</v>
      </c>
    </row>
    <row r="3384" spans="2:4" x14ac:dyDescent="0.25">
      <c r="B3384" s="90">
        <v>3380</v>
      </c>
      <c r="C3384" s="39">
        <f t="shared" si="106"/>
        <v>10703604.513804616</v>
      </c>
      <c r="D3384" s="39">
        <f t="shared" si="107"/>
        <v>10648125.371427493</v>
      </c>
    </row>
    <row r="3385" spans="2:4" x14ac:dyDescent="0.25">
      <c r="B3385" s="90">
        <v>3381</v>
      </c>
      <c r="C3385" s="39">
        <f t="shared" si="106"/>
        <v>10706251.852418168</v>
      </c>
      <c r="D3385" s="39">
        <f t="shared" si="107"/>
        <v>10651275.70437762</v>
      </c>
    </row>
    <row r="3386" spans="2:4" x14ac:dyDescent="0.25">
      <c r="B3386" s="90">
        <v>3382</v>
      </c>
      <c r="C3386" s="39">
        <f t="shared" si="106"/>
        <v>10708899.19103172</v>
      </c>
      <c r="D3386" s="39">
        <f t="shared" si="107"/>
        <v>10654426.037327748</v>
      </c>
    </row>
    <row r="3387" spans="2:4" x14ac:dyDescent="0.25">
      <c r="B3387" s="90">
        <v>3383</v>
      </c>
      <c r="C3387" s="39">
        <f t="shared" si="106"/>
        <v>10711546.529645272</v>
      </c>
      <c r="D3387" s="39">
        <f t="shared" si="107"/>
        <v>10657576.370277874</v>
      </c>
    </row>
    <row r="3388" spans="2:4" x14ac:dyDescent="0.25">
      <c r="B3388" s="90">
        <v>3384</v>
      </c>
      <c r="C3388" s="39">
        <f t="shared" si="106"/>
        <v>10714193.868258823</v>
      </c>
      <c r="D3388" s="39">
        <f t="shared" si="107"/>
        <v>10660726.703228001</v>
      </c>
    </row>
    <row r="3389" spans="2:4" x14ac:dyDescent="0.25">
      <c r="B3389" s="90">
        <v>3385</v>
      </c>
      <c r="C3389" s="39">
        <f t="shared" si="106"/>
        <v>10716841.206872374</v>
      </c>
      <c r="D3389" s="39">
        <f t="shared" si="107"/>
        <v>10663877.036178127</v>
      </c>
    </row>
    <row r="3390" spans="2:4" x14ac:dyDescent="0.25">
      <c r="B3390" s="90">
        <v>3386</v>
      </c>
      <c r="C3390" s="39">
        <f t="shared" si="106"/>
        <v>10719488.545485927</v>
      </c>
      <c r="D3390" s="39">
        <f t="shared" si="107"/>
        <v>10667027.369128253</v>
      </c>
    </row>
    <row r="3391" spans="2:4" x14ac:dyDescent="0.25">
      <c r="B3391" s="90">
        <v>3387</v>
      </c>
      <c r="C3391" s="39">
        <f t="shared" si="106"/>
        <v>10722135.884099478</v>
      </c>
      <c r="D3391" s="39">
        <f t="shared" si="107"/>
        <v>10670177.70207838</v>
      </c>
    </row>
    <row r="3392" spans="2:4" x14ac:dyDescent="0.25">
      <c r="B3392" s="90">
        <v>3388</v>
      </c>
      <c r="C3392" s="39">
        <f t="shared" si="106"/>
        <v>10724783.222713029</v>
      </c>
      <c r="D3392" s="39">
        <f t="shared" si="107"/>
        <v>10673328.035028506</v>
      </c>
    </row>
    <row r="3393" spans="2:4" x14ac:dyDescent="0.25">
      <c r="B3393" s="90">
        <v>3389</v>
      </c>
      <c r="C3393" s="39">
        <f t="shared" si="106"/>
        <v>10727430.561326582</v>
      </c>
      <c r="D3393" s="39">
        <f t="shared" si="107"/>
        <v>10676478.367978632</v>
      </c>
    </row>
    <row r="3394" spans="2:4" x14ac:dyDescent="0.25">
      <c r="B3394" s="90">
        <v>3390</v>
      </c>
      <c r="C3394" s="39">
        <f t="shared" si="106"/>
        <v>10730077.899940133</v>
      </c>
      <c r="D3394" s="39">
        <f t="shared" si="107"/>
        <v>10679628.700928759</v>
      </c>
    </row>
    <row r="3395" spans="2:4" x14ac:dyDescent="0.25">
      <c r="B3395" s="90">
        <v>3391</v>
      </c>
      <c r="C3395" s="39">
        <f t="shared" si="106"/>
        <v>10732725.238553684</v>
      </c>
      <c r="D3395" s="39">
        <f t="shared" si="107"/>
        <v>10682779.033878885</v>
      </c>
    </row>
    <row r="3396" spans="2:4" x14ac:dyDescent="0.25">
      <c r="B3396" s="90">
        <v>3392</v>
      </c>
      <c r="C3396" s="39">
        <f t="shared" si="106"/>
        <v>10735372.577167237</v>
      </c>
      <c r="D3396" s="39">
        <f t="shared" si="107"/>
        <v>10685929.366829012</v>
      </c>
    </row>
    <row r="3397" spans="2:4" x14ac:dyDescent="0.25">
      <c r="B3397" s="90">
        <v>3393</v>
      </c>
      <c r="C3397" s="39">
        <f t="shared" si="106"/>
        <v>10738019.915780788</v>
      </c>
      <c r="D3397" s="39">
        <f t="shared" si="107"/>
        <v>10689079.699779138</v>
      </c>
    </row>
    <row r="3398" spans="2:4" x14ac:dyDescent="0.25">
      <c r="B3398" s="90">
        <v>3394</v>
      </c>
      <c r="C3398" s="39">
        <f t="shared" si="106"/>
        <v>10740667.254394339</v>
      </c>
      <c r="D3398" s="39">
        <f t="shared" si="107"/>
        <v>10692230.032729264</v>
      </c>
    </row>
    <row r="3399" spans="2:4" x14ac:dyDescent="0.25">
      <c r="B3399" s="90">
        <v>3395</v>
      </c>
      <c r="C3399" s="39">
        <f t="shared" si="106"/>
        <v>10743314.593007891</v>
      </c>
      <c r="D3399" s="39">
        <f t="shared" si="107"/>
        <v>10695380.365679391</v>
      </c>
    </row>
    <row r="3400" spans="2:4" x14ac:dyDescent="0.25">
      <c r="B3400" s="90">
        <v>3396</v>
      </c>
      <c r="C3400" s="39">
        <f t="shared" si="106"/>
        <v>10745961.931621443</v>
      </c>
      <c r="D3400" s="39">
        <f t="shared" si="107"/>
        <v>10698530.698629517</v>
      </c>
    </row>
    <row r="3401" spans="2:4" x14ac:dyDescent="0.25">
      <c r="B3401" s="90">
        <v>3397</v>
      </c>
      <c r="C3401" s="39">
        <f t="shared" si="106"/>
        <v>10748609.270234995</v>
      </c>
      <c r="D3401" s="39">
        <f t="shared" si="107"/>
        <v>10701681.031579643</v>
      </c>
    </row>
    <row r="3402" spans="2:4" x14ac:dyDescent="0.25">
      <c r="B3402" s="90">
        <v>3398</v>
      </c>
      <c r="C3402" s="39">
        <f t="shared" si="106"/>
        <v>10751256.608848546</v>
      </c>
      <c r="D3402" s="39">
        <f t="shared" si="107"/>
        <v>10704831.36452977</v>
      </c>
    </row>
    <row r="3403" spans="2:4" x14ac:dyDescent="0.25">
      <c r="B3403" s="90">
        <v>3399</v>
      </c>
      <c r="C3403" s="39">
        <f t="shared" si="106"/>
        <v>10753903.947462099</v>
      </c>
      <c r="D3403" s="39">
        <f t="shared" si="107"/>
        <v>10707981.697479896</v>
      </c>
    </row>
    <row r="3404" spans="2:4" x14ac:dyDescent="0.25">
      <c r="B3404" s="90">
        <v>3400</v>
      </c>
      <c r="C3404" s="39">
        <f t="shared" si="106"/>
        <v>10756551.28607565</v>
      </c>
      <c r="D3404" s="39">
        <f t="shared" si="107"/>
        <v>10711132.030430023</v>
      </c>
    </row>
    <row r="3405" spans="2:4" x14ac:dyDescent="0.25">
      <c r="B3405" s="90">
        <v>3401</v>
      </c>
      <c r="C3405" s="39">
        <f t="shared" si="106"/>
        <v>10759198.624689201</v>
      </c>
      <c r="D3405" s="39">
        <f t="shared" si="107"/>
        <v>10714282.363380151</v>
      </c>
    </row>
    <row r="3406" spans="2:4" x14ac:dyDescent="0.25">
      <c r="B3406" s="90">
        <v>3402</v>
      </c>
      <c r="C3406" s="39">
        <f t="shared" si="106"/>
        <v>10761845.963302752</v>
      </c>
      <c r="D3406" s="39">
        <f t="shared" si="107"/>
        <v>10717432.696330277</v>
      </c>
    </row>
    <row r="3407" spans="2:4" x14ac:dyDescent="0.25">
      <c r="B3407" s="90">
        <v>3403</v>
      </c>
      <c r="C3407" s="39">
        <f t="shared" si="106"/>
        <v>10764493.301916305</v>
      </c>
      <c r="D3407" s="39">
        <f t="shared" si="107"/>
        <v>10720583.029280404</v>
      </c>
    </row>
    <row r="3408" spans="2:4" x14ac:dyDescent="0.25">
      <c r="B3408" s="90">
        <v>3404</v>
      </c>
      <c r="C3408" s="39">
        <f t="shared" si="106"/>
        <v>10767140.640529856</v>
      </c>
      <c r="D3408" s="39">
        <f t="shared" si="107"/>
        <v>10723733.36223053</v>
      </c>
    </row>
    <row r="3409" spans="2:4" x14ac:dyDescent="0.25">
      <c r="B3409" s="90">
        <v>3405</v>
      </c>
      <c r="C3409" s="39">
        <f t="shared" si="106"/>
        <v>10769787.979143407</v>
      </c>
      <c r="D3409" s="39">
        <f t="shared" si="107"/>
        <v>10726883.695180656</v>
      </c>
    </row>
    <row r="3410" spans="2:4" x14ac:dyDescent="0.25">
      <c r="B3410" s="90">
        <v>3406</v>
      </c>
      <c r="C3410" s="39">
        <f t="shared" si="106"/>
        <v>10772435.31775696</v>
      </c>
      <c r="D3410" s="39">
        <f t="shared" si="107"/>
        <v>10730034.028130783</v>
      </c>
    </row>
    <row r="3411" spans="2:4" x14ac:dyDescent="0.25">
      <c r="B3411" s="90">
        <v>3407</v>
      </c>
      <c r="C3411" s="39">
        <f t="shared" si="106"/>
        <v>10775082.656370511</v>
      </c>
      <c r="D3411" s="39">
        <f t="shared" si="107"/>
        <v>10733184.361080909</v>
      </c>
    </row>
    <row r="3412" spans="2:4" x14ac:dyDescent="0.25">
      <c r="B3412" s="90">
        <v>3408</v>
      </c>
      <c r="C3412" s="39">
        <f t="shared" si="106"/>
        <v>10777729.994984062</v>
      </c>
      <c r="D3412" s="39">
        <f t="shared" si="107"/>
        <v>10736334.694031036</v>
      </c>
    </row>
    <row r="3413" spans="2:4" x14ac:dyDescent="0.25">
      <c r="B3413" s="90">
        <v>3409</v>
      </c>
      <c r="C3413" s="39">
        <f t="shared" si="106"/>
        <v>10780377.333597615</v>
      </c>
      <c r="D3413" s="39">
        <f t="shared" si="107"/>
        <v>10739485.026981162</v>
      </c>
    </row>
    <row r="3414" spans="2:4" x14ac:dyDescent="0.25">
      <c r="B3414" s="90">
        <v>3410</v>
      </c>
      <c r="C3414" s="39">
        <f t="shared" si="106"/>
        <v>10783024.672211166</v>
      </c>
      <c r="D3414" s="39">
        <f t="shared" si="107"/>
        <v>10742635.359931288</v>
      </c>
    </row>
    <row r="3415" spans="2:4" x14ac:dyDescent="0.25">
      <c r="B3415" s="90">
        <v>3411</v>
      </c>
      <c r="C3415" s="39">
        <f t="shared" si="106"/>
        <v>10785672.010824718</v>
      </c>
      <c r="D3415" s="39">
        <f t="shared" si="107"/>
        <v>10745785.692881415</v>
      </c>
    </row>
    <row r="3416" spans="2:4" x14ac:dyDescent="0.25">
      <c r="B3416" s="90">
        <v>3412</v>
      </c>
      <c r="C3416" s="39">
        <f t="shared" si="106"/>
        <v>10788319.349438269</v>
      </c>
      <c r="D3416" s="39">
        <f t="shared" si="107"/>
        <v>10748936.025831541</v>
      </c>
    </row>
    <row r="3417" spans="2:4" x14ac:dyDescent="0.25">
      <c r="B3417" s="90">
        <v>3413</v>
      </c>
      <c r="C3417" s="39">
        <f t="shared" si="106"/>
        <v>10790966.688051822</v>
      </c>
      <c r="D3417" s="39">
        <f t="shared" si="107"/>
        <v>10752086.358781667</v>
      </c>
    </row>
    <row r="3418" spans="2:4" x14ac:dyDescent="0.25">
      <c r="B3418" s="90">
        <v>3414</v>
      </c>
      <c r="C3418" s="39">
        <f t="shared" si="106"/>
        <v>10793614.026665373</v>
      </c>
      <c r="D3418" s="39">
        <f t="shared" si="107"/>
        <v>10755236.691731794</v>
      </c>
    </row>
    <row r="3419" spans="2:4" x14ac:dyDescent="0.25">
      <c r="B3419" s="90">
        <v>3415</v>
      </c>
      <c r="C3419" s="39">
        <f t="shared" si="106"/>
        <v>10796261.365278924</v>
      </c>
      <c r="D3419" s="39">
        <f t="shared" si="107"/>
        <v>10758387.02468192</v>
      </c>
    </row>
    <row r="3420" spans="2:4" x14ac:dyDescent="0.25">
      <c r="B3420" s="90">
        <v>3416</v>
      </c>
      <c r="C3420" s="39">
        <f t="shared" si="106"/>
        <v>10798908.703892477</v>
      </c>
      <c r="D3420" s="39">
        <f t="shared" si="107"/>
        <v>10761537.357632047</v>
      </c>
    </row>
    <row r="3421" spans="2:4" x14ac:dyDescent="0.25">
      <c r="B3421" s="90">
        <v>3417</v>
      </c>
      <c r="C3421" s="39">
        <f t="shared" si="106"/>
        <v>10801556.042506028</v>
      </c>
      <c r="D3421" s="39">
        <f t="shared" si="107"/>
        <v>10764687.690582173</v>
      </c>
    </row>
    <row r="3422" spans="2:4" x14ac:dyDescent="0.25">
      <c r="B3422" s="90">
        <v>3418</v>
      </c>
      <c r="C3422" s="39">
        <f t="shared" si="106"/>
        <v>10804203.381119579</v>
      </c>
      <c r="D3422" s="39">
        <f t="shared" si="107"/>
        <v>10767838.023532299</v>
      </c>
    </row>
    <row r="3423" spans="2:4" x14ac:dyDescent="0.25">
      <c r="B3423" s="90">
        <v>3419</v>
      </c>
      <c r="C3423" s="39">
        <f t="shared" si="106"/>
        <v>10806850.719733132</v>
      </c>
      <c r="D3423" s="39">
        <f t="shared" si="107"/>
        <v>10770988.356482426</v>
      </c>
    </row>
    <row r="3424" spans="2:4" x14ac:dyDescent="0.25">
      <c r="B3424" s="90">
        <v>3420</v>
      </c>
      <c r="C3424" s="39">
        <f t="shared" si="106"/>
        <v>10809498.058346683</v>
      </c>
      <c r="D3424" s="39">
        <f t="shared" si="107"/>
        <v>10774138.689432554</v>
      </c>
    </row>
    <row r="3425" spans="2:4" x14ac:dyDescent="0.25">
      <c r="B3425" s="90">
        <v>3421</v>
      </c>
      <c r="C3425" s="39">
        <f t="shared" si="106"/>
        <v>10812145.396960234</v>
      </c>
      <c r="D3425" s="39">
        <f t="shared" si="107"/>
        <v>10777289.02238268</v>
      </c>
    </row>
    <row r="3426" spans="2:4" x14ac:dyDescent="0.25">
      <c r="B3426" s="90">
        <v>3422</v>
      </c>
      <c r="C3426" s="39">
        <f t="shared" si="106"/>
        <v>10814792.735573785</v>
      </c>
      <c r="D3426" s="39">
        <f t="shared" si="107"/>
        <v>10780439.355332807</v>
      </c>
    </row>
    <row r="3427" spans="2:4" x14ac:dyDescent="0.25">
      <c r="B3427" s="90">
        <v>3423</v>
      </c>
      <c r="C3427" s="39">
        <f t="shared" si="106"/>
        <v>10817440.074187338</v>
      </c>
      <c r="D3427" s="39">
        <f t="shared" si="107"/>
        <v>10783589.688282933</v>
      </c>
    </row>
    <row r="3428" spans="2:4" x14ac:dyDescent="0.25">
      <c r="B3428" s="90">
        <v>3424</v>
      </c>
      <c r="C3428" s="39">
        <f t="shared" si="106"/>
        <v>10820087.412800889</v>
      </c>
      <c r="D3428" s="39">
        <f t="shared" si="107"/>
        <v>10786740.021233059</v>
      </c>
    </row>
    <row r="3429" spans="2:4" x14ac:dyDescent="0.25">
      <c r="B3429" s="90">
        <v>3425</v>
      </c>
      <c r="C3429" s="39">
        <f t="shared" si="106"/>
        <v>10822734.751414441</v>
      </c>
      <c r="D3429" s="39">
        <f t="shared" si="107"/>
        <v>10789890.354183186</v>
      </c>
    </row>
    <row r="3430" spans="2:4" x14ac:dyDescent="0.25">
      <c r="B3430" s="90">
        <v>3426</v>
      </c>
      <c r="C3430" s="39">
        <f t="shared" si="106"/>
        <v>10825382.090027994</v>
      </c>
      <c r="D3430" s="39">
        <f t="shared" si="107"/>
        <v>10793040.687133312</v>
      </c>
    </row>
    <row r="3431" spans="2:4" x14ac:dyDescent="0.25">
      <c r="B3431" s="90">
        <v>3427</v>
      </c>
      <c r="C3431" s="39">
        <f t="shared" si="106"/>
        <v>10828029.428641545</v>
      </c>
      <c r="D3431" s="39">
        <f t="shared" si="107"/>
        <v>10796191.020083439</v>
      </c>
    </row>
    <row r="3432" spans="2:4" x14ac:dyDescent="0.25">
      <c r="B3432" s="90">
        <v>3428</v>
      </c>
      <c r="C3432" s="39">
        <f t="shared" si="106"/>
        <v>10830676.767255096</v>
      </c>
      <c r="D3432" s="39">
        <f t="shared" si="107"/>
        <v>10799341.353033565</v>
      </c>
    </row>
    <row r="3433" spans="2:4" x14ac:dyDescent="0.25">
      <c r="B3433" s="90">
        <v>3429</v>
      </c>
      <c r="C3433" s="39">
        <f t="shared" si="106"/>
        <v>10833324.105868647</v>
      </c>
      <c r="D3433" s="39">
        <f t="shared" si="107"/>
        <v>10802491.685983691</v>
      </c>
    </row>
    <row r="3434" spans="2:4" x14ac:dyDescent="0.25">
      <c r="B3434" s="90">
        <v>3430</v>
      </c>
      <c r="C3434" s="39">
        <f t="shared" si="106"/>
        <v>10835971.4444822</v>
      </c>
      <c r="D3434" s="39">
        <f t="shared" si="107"/>
        <v>10805642.018933818</v>
      </c>
    </row>
    <row r="3435" spans="2:4" x14ac:dyDescent="0.25">
      <c r="B3435" s="90">
        <v>3431</v>
      </c>
      <c r="C3435" s="39">
        <f t="shared" si="106"/>
        <v>10838618.783095751</v>
      </c>
      <c r="D3435" s="39">
        <f t="shared" si="107"/>
        <v>10808792.351883944</v>
      </c>
    </row>
    <row r="3436" spans="2:4" x14ac:dyDescent="0.25">
      <c r="B3436" s="90">
        <v>3432</v>
      </c>
      <c r="C3436" s="39">
        <f t="shared" si="106"/>
        <v>10841266.121709302</v>
      </c>
      <c r="D3436" s="39">
        <f t="shared" si="107"/>
        <v>10811942.684834071</v>
      </c>
    </row>
    <row r="3437" spans="2:4" x14ac:dyDescent="0.25">
      <c r="B3437" s="90">
        <v>3433</v>
      </c>
      <c r="C3437" s="39">
        <f t="shared" si="106"/>
        <v>10843913.460322855</v>
      </c>
      <c r="D3437" s="39">
        <f t="shared" si="107"/>
        <v>10815093.017784197</v>
      </c>
    </row>
    <row r="3438" spans="2:4" x14ac:dyDescent="0.25">
      <c r="B3438" s="90">
        <v>3434</v>
      </c>
      <c r="C3438" s="39">
        <f t="shared" si="106"/>
        <v>10846560.798936406</v>
      </c>
      <c r="D3438" s="39">
        <f t="shared" si="107"/>
        <v>10818243.350734323</v>
      </c>
    </row>
    <row r="3439" spans="2:4" x14ac:dyDescent="0.25">
      <c r="B3439" s="90">
        <v>3435</v>
      </c>
      <c r="C3439" s="39">
        <f t="shared" si="106"/>
        <v>10849208.137549957</v>
      </c>
      <c r="D3439" s="39">
        <f t="shared" si="107"/>
        <v>10821393.68368445</v>
      </c>
    </row>
    <row r="3440" spans="2:4" x14ac:dyDescent="0.25">
      <c r="B3440" s="90">
        <v>3436</v>
      </c>
      <c r="C3440" s="39">
        <f t="shared" si="106"/>
        <v>10851855.47616351</v>
      </c>
      <c r="D3440" s="39">
        <f t="shared" si="107"/>
        <v>10824544.016634576</v>
      </c>
    </row>
    <row r="3441" spans="2:4" x14ac:dyDescent="0.25">
      <c r="B3441" s="90">
        <v>3437</v>
      </c>
      <c r="C3441" s="39">
        <f t="shared" ref="C3441:C3504" si="108">($C$2*B3441)+$C$1</f>
        <v>10854502.814777061</v>
      </c>
      <c r="D3441" s="39">
        <f t="shared" ref="D3441:D3504" si="109">$D$2*B3441</f>
        <v>10827694.349584702</v>
      </c>
    </row>
    <row r="3442" spans="2:4" x14ac:dyDescent="0.25">
      <c r="B3442" s="90">
        <v>3438</v>
      </c>
      <c r="C3442" s="39">
        <f t="shared" si="108"/>
        <v>10857150.153390612</v>
      </c>
      <c r="D3442" s="39">
        <f t="shared" si="109"/>
        <v>10830844.682534829</v>
      </c>
    </row>
    <row r="3443" spans="2:4" x14ac:dyDescent="0.25">
      <c r="B3443" s="90">
        <v>3439</v>
      </c>
      <c r="C3443" s="39">
        <f t="shared" si="108"/>
        <v>10859797.492004164</v>
      </c>
      <c r="D3443" s="39">
        <f t="shared" si="109"/>
        <v>10833995.015484957</v>
      </c>
    </row>
    <row r="3444" spans="2:4" x14ac:dyDescent="0.25">
      <c r="B3444" s="90">
        <v>3440</v>
      </c>
      <c r="C3444" s="39">
        <f t="shared" si="108"/>
        <v>10862444.830617717</v>
      </c>
      <c r="D3444" s="39">
        <f t="shared" si="109"/>
        <v>10837145.348435083</v>
      </c>
    </row>
    <row r="3445" spans="2:4" x14ac:dyDescent="0.25">
      <c r="B3445" s="90">
        <v>3441</v>
      </c>
      <c r="C3445" s="39">
        <f t="shared" si="108"/>
        <v>10865092.169231268</v>
      </c>
      <c r="D3445" s="39">
        <f t="shared" si="109"/>
        <v>10840295.68138521</v>
      </c>
    </row>
    <row r="3446" spans="2:4" x14ac:dyDescent="0.25">
      <c r="B3446" s="90">
        <v>3442</v>
      </c>
      <c r="C3446" s="39">
        <f t="shared" si="108"/>
        <v>10867739.507844819</v>
      </c>
      <c r="D3446" s="39">
        <f t="shared" si="109"/>
        <v>10843446.014335336</v>
      </c>
    </row>
    <row r="3447" spans="2:4" x14ac:dyDescent="0.25">
      <c r="B3447" s="90">
        <v>3443</v>
      </c>
      <c r="C3447" s="39">
        <f t="shared" si="108"/>
        <v>10870386.846458372</v>
      </c>
      <c r="D3447" s="39">
        <f t="shared" si="109"/>
        <v>10846596.347285463</v>
      </c>
    </row>
    <row r="3448" spans="2:4" x14ac:dyDescent="0.25">
      <c r="B3448" s="90">
        <v>3444</v>
      </c>
      <c r="C3448" s="39">
        <f t="shared" si="108"/>
        <v>10873034.185071923</v>
      </c>
      <c r="D3448" s="39">
        <f t="shared" si="109"/>
        <v>10849746.680235589</v>
      </c>
    </row>
    <row r="3449" spans="2:4" x14ac:dyDescent="0.25">
      <c r="B3449" s="90">
        <v>3445</v>
      </c>
      <c r="C3449" s="39">
        <f t="shared" si="108"/>
        <v>10875681.523685474</v>
      </c>
      <c r="D3449" s="39">
        <f t="shared" si="109"/>
        <v>10852897.013185715</v>
      </c>
    </row>
    <row r="3450" spans="2:4" x14ac:dyDescent="0.25">
      <c r="B3450" s="90">
        <v>3446</v>
      </c>
      <c r="C3450" s="39">
        <f t="shared" si="108"/>
        <v>10878328.862299027</v>
      </c>
      <c r="D3450" s="39">
        <f t="shared" si="109"/>
        <v>10856047.346135842</v>
      </c>
    </row>
    <row r="3451" spans="2:4" x14ac:dyDescent="0.25">
      <c r="B3451" s="90">
        <v>3447</v>
      </c>
      <c r="C3451" s="39">
        <f t="shared" si="108"/>
        <v>10880976.200912578</v>
      </c>
      <c r="D3451" s="39">
        <f t="shared" si="109"/>
        <v>10859197.679085968</v>
      </c>
    </row>
    <row r="3452" spans="2:4" x14ac:dyDescent="0.25">
      <c r="B3452" s="90">
        <v>3448</v>
      </c>
      <c r="C3452" s="39">
        <f t="shared" si="108"/>
        <v>10883623.539526129</v>
      </c>
      <c r="D3452" s="39">
        <f t="shared" si="109"/>
        <v>10862348.012036094</v>
      </c>
    </row>
    <row r="3453" spans="2:4" x14ac:dyDescent="0.25">
      <c r="B3453" s="90">
        <v>3449</v>
      </c>
      <c r="C3453" s="39">
        <f t="shared" si="108"/>
        <v>10886270.87813968</v>
      </c>
      <c r="D3453" s="39">
        <f t="shared" si="109"/>
        <v>10865498.344986221</v>
      </c>
    </row>
    <row r="3454" spans="2:4" x14ac:dyDescent="0.25">
      <c r="B3454" s="90">
        <v>3450</v>
      </c>
      <c r="C3454" s="39">
        <f t="shared" si="108"/>
        <v>10888918.216753233</v>
      </c>
      <c r="D3454" s="39">
        <f t="shared" si="109"/>
        <v>10868648.677936347</v>
      </c>
    </row>
    <row r="3455" spans="2:4" x14ac:dyDescent="0.25">
      <c r="B3455" s="90">
        <v>3451</v>
      </c>
      <c r="C3455" s="39">
        <f t="shared" si="108"/>
        <v>10891565.555366784</v>
      </c>
      <c r="D3455" s="39">
        <f t="shared" si="109"/>
        <v>10871799.010886474</v>
      </c>
    </row>
    <row r="3456" spans="2:4" x14ac:dyDescent="0.25">
      <c r="B3456" s="90">
        <v>3452</v>
      </c>
      <c r="C3456" s="39">
        <f t="shared" si="108"/>
        <v>10894212.893980335</v>
      </c>
      <c r="D3456" s="39">
        <f t="shared" si="109"/>
        <v>10874949.3438366</v>
      </c>
    </row>
    <row r="3457" spans="2:4" x14ac:dyDescent="0.25">
      <c r="B3457" s="90">
        <v>3453</v>
      </c>
      <c r="C3457" s="39">
        <f t="shared" si="108"/>
        <v>10896860.232593888</v>
      </c>
      <c r="D3457" s="39">
        <f t="shared" si="109"/>
        <v>10878099.676786726</v>
      </c>
    </row>
    <row r="3458" spans="2:4" x14ac:dyDescent="0.25">
      <c r="B3458" s="90">
        <v>3454</v>
      </c>
      <c r="C3458" s="39">
        <f t="shared" si="108"/>
        <v>10899507.57120744</v>
      </c>
      <c r="D3458" s="39">
        <f t="shared" si="109"/>
        <v>10881250.009736853</v>
      </c>
    </row>
    <row r="3459" spans="2:4" x14ac:dyDescent="0.25">
      <c r="B3459" s="90">
        <v>3455</v>
      </c>
      <c r="C3459" s="39">
        <f t="shared" si="108"/>
        <v>10902154.909820991</v>
      </c>
      <c r="D3459" s="39">
        <f t="shared" si="109"/>
        <v>10884400.342686979</v>
      </c>
    </row>
    <row r="3460" spans="2:4" x14ac:dyDescent="0.25">
      <c r="B3460" s="90">
        <v>3456</v>
      </c>
      <c r="C3460" s="39">
        <f t="shared" si="108"/>
        <v>10904802.248434542</v>
      </c>
      <c r="D3460" s="39">
        <f t="shared" si="109"/>
        <v>10887550.675637105</v>
      </c>
    </row>
    <row r="3461" spans="2:4" x14ac:dyDescent="0.25">
      <c r="B3461" s="90">
        <v>3457</v>
      </c>
      <c r="C3461" s="39">
        <f t="shared" si="108"/>
        <v>10907449.587048095</v>
      </c>
      <c r="D3461" s="39">
        <f t="shared" si="109"/>
        <v>10890701.008587232</v>
      </c>
    </row>
    <row r="3462" spans="2:4" x14ac:dyDescent="0.25">
      <c r="B3462" s="90">
        <v>3458</v>
      </c>
      <c r="C3462" s="39">
        <f t="shared" si="108"/>
        <v>10910096.925661646</v>
      </c>
      <c r="D3462" s="39">
        <f t="shared" si="109"/>
        <v>10893851.34153736</v>
      </c>
    </row>
    <row r="3463" spans="2:4" x14ac:dyDescent="0.25">
      <c r="B3463" s="90">
        <v>3459</v>
      </c>
      <c r="C3463" s="39">
        <f t="shared" si="108"/>
        <v>10912744.264275197</v>
      </c>
      <c r="D3463" s="39">
        <f t="shared" si="109"/>
        <v>10897001.674487486</v>
      </c>
    </row>
    <row r="3464" spans="2:4" x14ac:dyDescent="0.25">
      <c r="B3464" s="90">
        <v>3460</v>
      </c>
      <c r="C3464" s="39">
        <f t="shared" si="108"/>
        <v>10915391.60288875</v>
      </c>
      <c r="D3464" s="39">
        <f t="shared" si="109"/>
        <v>10900152.007437613</v>
      </c>
    </row>
    <row r="3465" spans="2:4" x14ac:dyDescent="0.25">
      <c r="B3465" s="90">
        <v>3461</v>
      </c>
      <c r="C3465" s="39">
        <f t="shared" si="108"/>
        <v>10918038.941502301</v>
      </c>
      <c r="D3465" s="39">
        <f t="shared" si="109"/>
        <v>10903302.340387739</v>
      </c>
    </row>
    <row r="3466" spans="2:4" x14ac:dyDescent="0.25">
      <c r="B3466" s="90">
        <v>3462</v>
      </c>
      <c r="C3466" s="39">
        <f t="shared" si="108"/>
        <v>10920686.280115852</v>
      </c>
      <c r="D3466" s="39">
        <f t="shared" si="109"/>
        <v>10906452.673337866</v>
      </c>
    </row>
    <row r="3467" spans="2:4" x14ac:dyDescent="0.25">
      <c r="B3467" s="90">
        <v>3463</v>
      </c>
      <c r="C3467" s="39">
        <f t="shared" si="108"/>
        <v>10923333.618729405</v>
      </c>
      <c r="D3467" s="39">
        <f t="shared" si="109"/>
        <v>10909603.006287992</v>
      </c>
    </row>
    <row r="3468" spans="2:4" x14ac:dyDescent="0.25">
      <c r="B3468" s="90">
        <v>3464</v>
      </c>
      <c r="C3468" s="39">
        <f t="shared" si="108"/>
        <v>10925980.957342956</v>
      </c>
      <c r="D3468" s="39">
        <f t="shared" si="109"/>
        <v>10912753.339238118</v>
      </c>
    </row>
    <row r="3469" spans="2:4" x14ac:dyDescent="0.25">
      <c r="B3469" s="90">
        <v>3465</v>
      </c>
      <c r="C3469" s="39">
        <f t="shared" si="108"/>
        <v>10928628.295956507</v>
      </c>
      <c r="D3469" s="39">
        <f t="shared" si="109"/>
        <v>10915903.672188245</v>
      </c>
    </row>
    <row r="3470" spans="2:4" x14ac:dyDescent="0.25">
      <c r="B3470" s="90">
        <v>3466</v>
      </c>
      <c r="C3470" s="39">
        <f t="shared" si="108"/>
        <v>10931275.634570058</v>
      </c>
      <c r="D3470" s="39">
        <f t="shared" si="109"/>
        <v>10919054.005138371</v>
      </c>
    </row>
    <row r="3471" spans="2:4" x14ac:dyDescent="0.25">
      <c r="B3471" s="90">
        <v>3467</v>
      </c>
      <c r="C3471" s="39">
        <f t="shared" si="108"/>
        <v>10933922.973183611</v>
      </c>
      <c r="D3471" s="39">
        <f t="shared" si="109"/>
        <v>10922204.338088498</v>
      </c>
    </row>
    <row r="3472" spans="2:4" x14ac:dyDescent="0.25">
      <c r="B3472" s="90">
        <v>3468</v>
      </c>
      <c r="C3472" s="39">
        <f t="shared" si="108"/>
        <v>10936570.311797163</v>
      </c>
      <c r="D3472" s="39">
        <f t="shared" si="109"/>
        <v>10925354.671038624</v>
      </c>
    </row>
    <row r="3473" spans="2:4" x14ac:dyDescent="0.25">
      <c r="B3473" s="90">
        <v>3469</v>
      </c>
      <c r="C3473" s="39">
        <f t="shared" si="108"/>
        <v>10939217.650410714</v>
      </c>
      <c r="D3473" s="39">
        <f t="shared" si="109"/>
        <v>10928505.00398875</v>
      </c>
    </row>
    <row r="3474" spans="2:4" x14ac:dyDescent="0.25">
      <c r="B3474" s="90">
        <v>3470</v>
      </c>
      <c r="C3474" s="39">
        <f t="shared" si="108"/>
        <v>10941864.989024267</v>
      </c>
      <c r="D3474" s="39">
        <f t="shared" si="109"/>
        <v>10931655.336938877</v>
      </c>
    </row>
    <row r="3475" spans="2:4" x14ac:dyDescent="0.25">
      <c r="B3475" s="90">
        <v>3471</v>
      </c>
      <c r="C3475" s="39">
        <f t="shared" si="108"/>
        <v>10944512.327637818</v>
      </c>
      <c r="D3475" s="39">
        <f t="shared" si="109"/>
        <v>10934805.669889003</v>
      </c>
    </row>
    <row r="3476" spans="2:4" x14ac:dyDescent="0.25">
      <c r="B3476" s="90">
        <v>3472</v>
      </c>
      <c r="C3476" s="39">
        <f t="shared" si="108"/>
        <v>10947159.666251369</v>
      </c>
      <c r="D3476" s="39">
        <f t="shared" si="109"/>
        <v>10937956.002839129</v>
      </c>
    </row>
    <row r="3477" spans="2:4" x14ac:dyDescent="0.25">
      <c r="B3477" s="90">
        <v>3473</v>
      </c>
      <c r="C3477" s="39">
        <f t="shared" si="108"/>
        <v>10949807.004864922</v>
      </c>
      <c r="D3477" s="39">
        <f t="shared" si="109"/>
        <v>10941106.335789256</v>
      </c>
    </row>
    <row r="3478" spans="2:4" x14ac:dyDescent="0.25">
      <c r="B3478" s="90">
        <v>3474</v>
      </c>
      <c r="C3478" s="39">
        <f t="shared" si="108"/>
        <v>10952454.343478473</v>
      </c>
      <c r="D3478" s="39">
        <f t="shared" si="109"/>
        <v>10944256.668739382</v>
      </c>
    </row>
    <row r="3479" spans="2:4" x14ac:dyDescent="0.25">
      <c r="B3479" s="90">
        <v>3475</v>
      </c>
      <c r="C3479" s="39">
        <f t="shared" si="108"/>
        <v>10955101.682092024</v>
      </c>
      <c r="D3479" s="39">
        <f t="shared" si="109"/>
        <v>10947407.001689509</v>
      </c>
    </row>
    <row r="3480" spans="2:4" x14ac:dyDescent="0.25">
      <c r="B3480" s="90">
        <v>3476</v>
      </c>
      <c r="C3480" s="39">
        <f t="shared" si="108"/>
        <v>10957749.020705575</v>
      </c>
      <c r="D3480" s="39">
        <f t="shared" si="109"/>
        <v>10950557.334639635</v>
      </c>
    </row>
    <row r="3481" spans="2:4" x14ac:dyDescent="0.25">
      <c r="B3481" s="90">
        <v>3477</v>
      </c>
      <c r="C3481" s="39">
        <f t="shared" si="108"/>
        <v>10960396.359319128</v>
      </c>
      <c r="D3481" s="39">
        <f t="shared" si="109"/>
        <v>10953707.667589763</v>
      </c>
    </row>
    <row r="3482" spans="2:4" x14ac:dyDescent="0.25">
      <c r="B3482" s="90">
        <v>3478</v>
      </c>
      <c r="C3482" s="39">
        <f t="shared" si="108"/>
        <v>10963043.697932679</v>
      </c>
      <c r="D3482" s="39">
        <f t="shared" si="109"/>
        <v>10956858.00053989</v>
      </c>
    </row>
    <row r="3483" spans="2:4" x14ac:dyDescent="0.25">
      <c r="B3483" s="90">
        <v>3479</v>
      </c>
      <c r="C3483" s="39">
        <f t="shared" si="108"/>
        <v>10965691.03654623</v>
      </c>
      <c r="D3483" s="39">
        <f t="shared" si="109"/>
        <v>10960008.333490016</v>
      </c>
    </row>
    <row r="3484" spans="2:4" x14ac:dyDescent="0.25">
      <c r="B3484" s="90">
        <v>3480</v>
      </c>
      <c r="C3484" s="39">
        <f t="shared" si="108"/>
        <v>10968338.375159783</v>
      </c>
      <c r="D3484" s="39">
        <f t="shared" si="109"/>
        <v>10963158.666440142</v>
      </c>
    </row>
    <row r="3485" spans="2:4" x14ac:dyDescent="0.25">
      <c r="B3485" s="90">
        <v>3481</v>
      </c>
      <c r="C3485" s="39">
        <f t="shared" si="108"/>
        <v>10970985.713773334</v>
      </c>
      <c r="D3485" s="39">
        <f t="shared" si="109"/>
        <v>10966308.999390269</v>
      </c>
    </row>
    <row r="3486" spans="2:4" x14ac:dyDescent="0.25">
      <c r="B3486" s="90">
        <v>3482</v>
      </c>
      <c r="C3486" s="39">
        <f t="shared" si="108"/>
        <v>10973633.052386886</v>
      </c>
      <c r="D3486" s="39">
        <f t="shared" si="109"/>
        <v>10969459.332340395</v>
      </c>
    </row>
    <row r="3487" spans="2:4" x14ac:dyDescent="0.25">
      <c r="B3487" s="90">
        <v>3483</v>
      </c>
      <c r="C3487" s="39">
        <f t="shared" si="108"/>
        <v>10976280.391000437</v>
      </c>
      <c r="D3487" s="39">
        <f t="shared" si="109"/>
        <v>10972609.665290521</v>
      </c>
    </row>
    <row r="3488" spans="2:4" x14ac:dyDescent="0.25">
      <c r="B3488" s="90">
        <v>3484</v>
      </c>
      <c r="C3488" s="39">
        <f t="shared" si="108"/>
        <v>10978927.72961399</v>
      </c>
      <c r="D3488" s="39">
        <f t="shared" si="109"/>
        <v>10975759.998240648</v>
      </c>
    </row>
    <row r="3489" spans="2:4" x14ac:dyDescent="0.25">
      <c r="B3489" s="90">
        <v>3485</v>
      </c>
      <c r="C3489" s="39">
        <f t="shared" si="108"/>
        <v>10981575.068227541</v>
      </c>
      <c r="D3489" s="39">
        <f t="shared" si="109"/>
        <v>10978910.331190774</v>
      </c>
    </row>
    <row r="3490" spans="2:4" x14ac:dyDescent="0.25">
      <c r="B3490" s="90">
        <v>3486</v>
      </c>
      <c r="C3490" s="39">
        <f t="shared" si="108"/>
        <v>10984222.406841092</v>
      </c>
      <c r="D3490" s="39">
        <f t="shared" si="109"/>
        <v>10982060.664140901</v>
      </c>
    </row>
    <row r="3491" spans="2:4" x14ac:dyDescent="0.25">
      <c r="B3491" s="90">
        <v>3487</v>
      </c>
      <c r="C3491" s="39">
        <f t="shared" si="108"/>
        <v>10986869.745454645</v>
      </c>
      <c r="D3491" s="39">
        <f t="shared" si="109"/>
        <v>10985210.997091027</v>
      </c>
    </row>
    <row r="3492" spans="2:4" x14ac:dyDescent="0.25">
      <c r="B3492" s="90">
        <v>3488</v>
      </c>
      <c r="C3492" s="39">
        <f t="shared" si="108"/>
        <v>10989517.084068196</v>
      </c>
      <c r="D3492" s="39">
        <f t="shared" si="109"/>
        <v>10988361.330041153</v>
      </c>
    </row>
    <row r="3493" spans="2:4" x14ac:dyDescent="0.25">
      <c r="B3493" s="90">
        <v>3489</v>
      </c>
      <c r="C3493" s="39">
        <f t="shared" si="108"/>
        <v>10992164.422681747</v>
      </c>
      <c r="D3493" s="39">
        <f t="shared" si="109"/>
        <v>10991511.66299128</v>
      </c>
    </row>
    <row r="3494" spans="2:4" x14ac:dyDescent="0.25">
      <c r="B3494" s="90">
        <v>3490</v>
      </c>
      <c r="C3494" s="39">
        <f t="shared" si="108"/>
        <v>10994811.7612953</v>
      </c>
      <c r="D3494" s="39">
        <f t="shared" si="109"/>
        <v>10994661.995941406</v>
      </c>
    </row>
    <row r="3495" spans="2:4" x14ac:dyDescent="0.25">
      <c r="B3495" s="90">
        <v>3491</v>
      </c>
      <c r="C3495" s="39">
        <f t="shared" si="108"/>
        <v>10997459.099908851</v>
      </c>
      <c r="D3495" s="39">
        <f t="shared" si="109"/>
        <v>10997812.328891532</v>
      </c>
    </row>
    <row r="3496" spans="2:4" x14ac:dyDescent="0.25">
      <c r="B3496" s="90">
        <v>3492</v>
      </c>
      <c r="C3496" s="39">
        <f t="shared" si="108"/>
        <v>11000106.438522402</v>
      </c>
      <c r="D3496" s="39">
        <f t="shared" si="109"/>
        <v>11000962.661841659</v>
      </c>
    </row>
    <row r="3497" spans="2:4" x14ac:dyDescent="0.25">
      <c r="B3497" s="90">
        <v>3493</v>
      </c>
      <c r="C3497" s="39">
        <f t="shared" si="108"/>
        <v>11002753.777135953</v>
      </c>
      <c r="D3497" s="39">
        <f t="shared" si="109"/>
        <v>11004112.994791785</v>
      </c>
    </row>
    <row r="3498" spans="2:4" x14ac:dyDescent="0.25">
      <c r="B3498" s="90">
        <v>3494</v>
      </c>
      <c r="C3498" s="39">
        <f t="shared" si="108"/>
        <v>11005401.115749506</v>
      </c>
      <c r="D3498" s="39">
        <f t="shared" si="109"/>
        <v>11007263.327741912</v>
      </c>
    </row>
    <row r="3499" spans="2:4" x14ac:dyDescent="0.25">
      <c r="B3499" s="90">
        <v>3495</v>
      </c>
      <c r="C3499" s="39">
        <f t="shared" si="108"/>
        <v>11008048.454363057</v>
      </c>
      <c r="D3499" s="39">
        <f t="shared" si="109"/>
        <v>11010413.660692038</v>
      </c>
    </row>
    <row r="3500" spans="2:4" x14ac:dyDescent="0.25">
      <c r="B3500" s="90">
        <v>3496</v>
      </c>
      <c r="C3500" s="39">
        <f t="shared" si="108"/>
        <v>11010695.792976608</v>
      </c>
      <c r="D3500" s="39">
        <f t="shared" si="109"/>
        <v>11013563.993642166</v>
      </c>
    </row>
    <row r="3501" spans="2:4" x14ac:dyDescent="0.25">
      <c r="B3501" s="90">
        <v>3497</v>
      </c>
      <c r="C3501" s="39">
        <f t="shared" si="108"/>
        <v>11013343.131590161</v>
      </c>
      <c r="D3501" s="39">
        <f t="shared" si="109"/>
        <v>11016714.326592293</v>
      </c>
    </row>
    <row r="3502" spans="2:4" x14ac:dyDescent="0.25">
      <c r="B3502" s="90">
        <v>3498</v>
      </c>
      <c r="C3502" s="39">
        <f t="shared" si="108"/>
        <v>11015990.470203713</v>
      </c>
      <c r="D3502" s="39">
        <f t="shared" si="109"/>
        <v>11019864.659542419</v>
      </c>
    </row>
    <row r="3503" spans="2:4" x14ac:dyDescent="0.25">
      <c r="B3503" s="90">
        <v>3499</v>
      </c>
      <c r="C3503" s="39">
        <f t="shared" si="108"/>
        <v>11018637.808817264</v>
      </c>
      <c r="D3503" s="39">
        <f t="shared" si="109"/>
        <v>11023014.992492545</v>
      </c>
    </row>
    <row r="3504" spans="2:4" x14ac:dyDescent="0.25">
      <c r="B3504" s="90">
        <v>3500</v>
      </c>
      <c r="C3504" s="39">
        <f t="shared" si="108"/>
        <v>11021285.147430815</v>
      </c>
      <c r="D3504" s="39">
        <f t="shared" si="109"/>
        <v>11026165.325442672</v>
      </c>
    </row>
    <row r="3505" spans="2:4" x14ac:dyDescent="0.25">
      <c r="B3505" s="90">
        <v>3501</v>
      </c>
      <c r="C3505" s="39">
        <f t="shared" ref="C3505:C3568" si="110">($C$2*B3505)+$C$1</f>
        <v>11023932.486044368</v>
      </c>
      <c r="D3505" s="39">
        <f t="shared" ref="D3505:D3568" si="111">$D$2*B3505</f>
        <v>11029315.658392798</v>
      </c>
    </row>
    <row r="3506" spans="2:4" x14ac:dyDescent="0.25">
      <c r="B3506" s="90">
        <v>3502</v>
      </c>
      <c r="C3506" s="39">
        <f t="shared" si="110"/>
        <v>11026579.824657919</v>
      </c>
      <c r="D3506" s="39">
        <f t="shared" si="111"/>
        <v>11032465.991342925</v>
      </c>
    </row>
    <row r="3507" spans="2:4" x14ac:dyDescent="0.25">
      <c r="B3507" s="90">
        <v>3503</v>
      </c>
      <c r="C3507" s="39">
        <f t="shared" si="110"/>
        <v>11029227.16327147</v>
      </c>
      <c r="D3507" s="39">
        <f t="shared" si="111"/>
        <v>11035616.324293051</v>
      </c>
    </row>
    <row r="3508" spans="2:4" x14ac:dyDescent="0.25">
      <c r="B3508" s="90">
        <v>3504</v>
      </c>
      <c r="C3508" s="39">
        <f t="shared" si="110"/>
        <v>11031874.501885023</v>
      </c>
      <c r="D3508" s="39">
        <f t="shared" si="111"/>
        <v>11038766.657243177</v>
      </c>
    </row>
    <row r="3509" spans="2:4" x14ac:dyDescent="0.25">
      <c r="B3509" s="90">
        <v>3505</v>
      </c>
      <c r="C3509" s="39">
        <f t="shared" si="110"/>
        <v>11034521.840498574</v>
      </c>
      <c r="D3509" s="39">
        <f t="shared" si="111"/>
        <v>11041916.990193304</v>
      </c>
    </row>
    <row r="3510" spans="2:4" x14ac:dyDescent="0.25">
      <c r="B3510" s="90">
        <v>3506</v>
      </c>
      <c r="C3510" s="39">
        <f t="shared" si="110"/>
        <v>11037169.179112125</v>
      </c>
      <c r="D3510" s="39">
        <f t="shared" si="111"/>
        <v>11045067.32314343</v>
      </c>
    </row>
    <row r="3511" spans="2:4" x14ac:dyDescent="0.25">
      <c r="B3511" s="90">
        <v>3507</v>
      </c>
      <c r="C3511" s="39">
        <f t="shared" si="110"/>
        <v>11039816.517725678</v>
      </c>
      <c r="D3511" s="39">
        <f t="shared" si="111"/>
        <v>11048217.656093556</v>
      </c>
    </row>
    <row r="3512" spans="2:4" x14ac:dyDescent="0.25">
      <c r="B3512" s="90">
        <v>3508</v>
      </c>
      <c r="C3512" s="39">
        <f t="shared" si="110"/>
        <v>11042463.856339229</v>
      </c>
      <c r="D3512" s="39">
        <f t="shared" si="111"/>
        <v>11051367.989043683</v>
      </c>
    </row>
    <row r="3513" spans="2:4" x14ac:dyDescent="0.25">
      <c r="B3513" s="90">
        <v>3509</v>
      </c>
      <c r="C3513" s="39">
        <f t="shared" si="110"/>
        <v>11045111.19495278</v>
      </c>
      <c r="D3513" s="39">
        <f t="shared" si="111"/>
        <v>11054518.321993809</v>
      </c>
    </row>
    <row r="3514" spans="2:4" x14ac:dyDescent="0.25">
      <c r="B3514" s="90">
        <v>3510</v>
      </c>
      <c r="C3514" s="39">
        <f t="shared" si="110"/>
        <v>11047758.533566331</v>
      </c>
      <c r="D3514" s="39">
        <f t="shared" si="111"/>
        <v>11057668.654943936</v>
      </c>
    </row>
    <row r="3515" spans="2:4" x14ac:dyDescent="0.25">
      <c r="B3515" s="90">
        <v>3511</v>
      </c>
      <c r="C3515" s="39">
        <f t="shared" si="110"/>
        <v>11050405.872179884</v>
      </c>
      <c r="D3515" s="39">
        <f t="shared" si="111"/>
        <v>11060818.987894062</v>
      </c>
    </row>
    <row r="3516" spans="2:4" x14ac:dyDescent="0.25">
      <c r="B3516" s="90">
        <v>3512</v>
      </c>
      <c r="C3516" s="39">
        <f t="shared" si="110"/>
        <v>11053053.210793436</v>
      </c>
      <c r="D3516" s="39">
        <f t="shared" si="111"/>
        <v>11063969.320844188</v>
      </c>
    </row>
    <row r="3517" spans="2:4" x14ac:dyDescent="0.25">
      <c r="B3517" s="90">
        <v>3513</v>
      </c>
      <c r="C3517" s="39">
        <f t="shared" si="110"/>
        <v>11055700.549406987</v>
      </c>
      <c r="D3517" s="39">
        <f t="shared" si="111"/>
        <v>11067119.653794315</v>
      </c>
    </row>
    <row r="3518" spans="2:4" x14ac:dyDescent="0.25">
      <c r="B3518" s="90">
        <v>3514</v>
      </c>
      <c r="C3518" s="39">
        <f t="shared" si="110"/>
        <v>11058347.88802054</v>
      </c>
      <c r="D3518" s="39">
        <f t="shared" si="111"/>
        <v>11070269.986744441</v>
      </c>
    </row>
    <row r="3519" spans="2:4" x14ac:dyDescent="0.25">
      <c r="B3519" s="90">
        <v>3515</v>
      </c>
      <c r="C3519" s="39">
        <f t="shared" si="110"/>
        <v>11060995.226634091</v>
      </c>
      <c r="D3519" s="39">
        <f t="shared" si="111"/>
        <v>11073420.319694569</v>
      </c>
    </row>
    <row r="3520" spans="2:4" x14ac:dyDescent="0.25">
      <c r="B3520" s="90">
        <v>3516</v>
      </c>
      <c r="C3520" s="39">
        <f t="shared" si="110"/>
        <v>11063642.565247642</v>
      </c>
      <c r="D3520" s="39">
        <f t="shared" si="111"/>
        <v>11076570.652644696</v>
      </c>
    </row>
    <row r="3521" spans="2:4" x14ac:dyDescent="0.25">
      <c r="B3521" s="90">
        <v>3517</v>
      </c>
      <c r="C3521" s="39">
        <f t="shared" si="110"/>
        <v>11066289.903861195</v>
      </c>
      <c r="D3521" s="39">
        <f t="shared" si="111"/>
        <v>11079720.985594822</v>
      </c>
    </row>
    <row r="3522" spans="2:4" x14ac:dyDescent="0.25">
      <c r="B3522" s="90">
        <v>3518</v>
      </c>
      <c r="C3522" s="39">
        <f t="shared" si="110"/>
        <v>11068937.242474746</v>
      </c>
      <c r="D3522" s="39">
        <f t="shared" si="111"/>
        <v>11082871.318544948</v>
      </c>
    </row>
    <row r="3523" spans="2:4" x14ac:dyDescent="0.25">
      <c r="B3523" s="90">
        <v>3519</v>
      </c>
      <c r="C3523" s="39">
        <f t="shared" si="110"/>
        <v>11071584.581088297</v>
      </c>
      <c r="D3523" s="39">
        <f t="shared" si="111"/>
        <v>11086021.651495075</v>
      </c>
    </row>
    <row r="3524" spans="2:4" x14ac:dyDescent="0.25">
      <c r="B3524" s="90">
        <v>3520</v>
      </c>
      <c r="C3524" s="39">
        <f t="shared" si="110"/>
        <v>11074231.919701848</v>
      </c>
      <c r="D3524" s="39">
        <f t="shared" si="111"/>
        <v>11089171.984445201</v>
      </c>
    </row>
    <row r="3525" spans="2:4" x14ac:dyDescent="0.25">
      <c r="B3525" s="90">
        <v>3521</v>
      </c>
      <c r="C3525" s="39">
        <f t="shared" si="110"/>
        <v>11076879.258315401</v>
      </c>
      <c r="D3525" s="39">
        <f t="shared" si="111"/>
        <v>11092322.317395328</v>
      </c>
    </row>
    <row r="3526" spans="2:4" x14ac:dyDescent="0.25">
      <c r="B3526" s="90">
        <v>3522</v>
      </c>
      <c r="C3526" s="39">
        <f t="shared" si="110"/>
        <v>11079526.596928952</v>
      </c>
      <c r="D3526" s="39">
        <f t="shared" si="111"/>
        <v>11095472.650345454</v>
      </c>
    </row>
    <row r="3527" spans="2:4" x14ac:dyDescent="0.25">
      <c r="B3527" s="90">
        <v>3523</v>
      </c>
      <c r="C3527" s="39">
        <f t="shared" si="110"/>
        <v>11082173.935542503</v>
      </c>
      <c r="D3527" s="39">
        <f t="shared" si="111"/>
        <v>11098622.98329558</v>
      </c>
    </row>
    <row r="3528" spans="2:4" x14ac:dyDescent="0.25">
      <c r="B3528" s="90">
        <v>3524</v>
      </c>
      <c r="C3528" s="39">
        <f t="shared" si="110"/>
        <v>11084821.274156056</v>
      </c>
      <c r="D3528" s="39">
        <f t="shared" si="111"/>
        <v>11101773.316245707</v>
      </c>
    </row>
    <row r="3529" spans="2:4" x14ac:dyDescent="0.25">
      <c r="B3529" s="90">
        <v>3525</v>
      </c>
      <c r="C3529" s="39">
        <f t="shared" si="110"/>
        <v>11087468.612769607</v>
      </c>
      <c r="D3529" s="39">
        <f t="shared" si="111"/>
        <v>11104923.649195833</v>
      </c>
    </row>
    <row r="3530" spans="2:4" x14ac:dyDescent="0.25">
      <c r="B3530" s="90">
        <v>3526</v>
      </c>
      <c r="C3530" s="39">
        <f t="shared" si="110"/>
        <v>11090115.951383159</v>
      </c>
      <c r="D3530" s="39">
        <f t="shared" si="111"/>
        <v>11108073.98214596</v>
      </c>
    </row>
    <row r="3531" spans="2:4" x14ac:dyDescent="0.25">
      <c r="B3531" s="90">
        <v>3527</v>
      </c>
      <c r="C3531" s="39">
        <f t="shared" si="110"/>
        <v>11092763.28999671</v>
      </c>
      <c r="D3531" s="39">
        <f t="shared" si="111"/>
        <v>11111224.315096086</v>
      </c>
    </row>
    <row r="3532" spans="2:4" x14ac:dyDescent="0.25">
      <c r="B3532" s="90">
        <v>3528</v>
      </c>
      <c r="C3532" s="39">
        <f t="shared" si="110"/>
        <v>11095410.628610263</v>
      </c>
      <c r="D3532" s="39">
        <f t="shared" si="111"/>
        <v>11114374.648046212</v>
      </c>
    </row>
    <row r="3533" spans="2:4" x14ac:dyDescent="0.25">
      <c r="B3533" s="90">
        <v>3529</v>
      </c>
      <c r="C3533" s="39">
        <f t="shared" si="110"/>
        <v>11098057.967223814</v>
      </c>
      <c r="D3533" s="39">
        <f t="shared" si="111"/>
        <v>11117524.980996339</v>
      </c>
    </row>
    <row r="3534" spans="2:4" x14ac:dyDescent="0.25">
      <c r="B3534" s="90">
        <v>3530</v>
      </c>
      <c r="C3534" s="39">
        <f t="shared" si="110"/>
        <v>11100705.305837365</v>
      </c>
      <c r="D3534" s="39">
        <f t="shared" si="111"/>
        <v>11120675.313946465</v>
      </c>
    </row>
    <row r="3535" spans="2:4" x14ac:dyDescent="0.25">
      <c r="B3535" s="90">
        <v>3531</v>
      </c>
      <c r="C3535" s="39">
        <f t="shared" si="110"/>
        <v>11103352.644450918</v>
      </c>
      <c r="D3535" s="39">
        <f t="shared" si="111"/>
        <v>11123825.646896591</v>
      </c>
    </row>
    <row r="3536" spans="2:4" x14ac:dyDescent="0.25">
      <c r="B3536" s="90">
        <v>3532</v>
      </c>
      <c r="C3536" s="39">
        <f t="shared" si="110"/>
        <v>11105999.983064469</v>
      </c>
      <c r="D3536" s="39">
        <f t="shared" si="111"/>
        <v>11126975.979846718</v>
      </c>
    </row>
    <row r="3537" spans="2:4" x14ac:dyDescent="0.25">
      <c r="B3537" s="90">
        <v>3533</v>
      </c>
      <c r="C3537" s="39">
        <f t="shared" si="110"/>
        <v>11108647.32167802</v>
      </c>
      <c r="D3537" s="39">
        <f t="shared" si="111"/>
        <v>11130126.312796844</v>
      </c>
    </row>
    <row r="3538" spans="2:4" x14ac:dyDescent="0.25">
      <c r="B3538" s="90">
        <v>3534</v>
      </c>
      <c r="C3538" s="39">
        <f t="shared" si="110"/>
        <v>11111294.660291573</v>
      </c>
      <c r="D3538" s="39">
        <f t="shared" si="111"/>
        <v>11133276.645746972</v>
      </c>
    </row>
    <row r="3539" spans="2:4" x14ac:dyDescent="0.25">
      <c r="B3539" s="90">
        <v>3535</v>
      </c>
      <c r="C3539" s="39">
        <f t="shared" si="110"/>
        <v>11113941.998905124</v>
      </c>
      <c r="D3539" s="39">
        <f t="shared" si="111"/>
        <v>11136426.978697099</v>
      </c>
    </row>
    <row r="3540" spans="2:4" x14ac:dyDescent="0.25">
      <c r="B3540" s="90">
        <v>3536</v>
      </c>
      <c r="C3540" s="39">
        <f t="shared" si="110"/>
        <v>11116589.337518675</v>
      </c>
      <c r="D3540" s="39">
        <f t="shared" si="111"/>
        <v>11139577.311647225</v>
      </c>
    </row>
    <row r="3541" spans="2:4" x14ac:dyDescent="0.25">
      <c r="B3541" s="90">
        <v>3537</v>
      </c>
      <c r="C3541" s="39">
        <f t="shared" si="110"/>
        <v>11119236.676132226</v>
      </c>
      <c r="D3541" s="39">
        <f t="shared" si="111"/>
        <v>11142727.644597352</v>
      </c>
    </row>
    <row r="3542" spans="2:4" x14ac:dyDescent="0.25">
      <c r="B3542" s="90">
        <v>3538</v>
      </c>
      <c r="C3542" s="39">
        <f t="shared" si="110"/>
        <v>11121884.014745779</v>
      </c>
      <c r="D3542" s="39">
        <f t="shared" si="111"/>
        <v>11145877.977547478</v>
      </c>
    </row>
    <row r="3543" spans="2:4" x14ac:dyDescent="0.25">
      <c r="B3543" s="90">
        <v>3539</v>
      </c>
      <c r="C3543" s="39">
        <f t="shared" si="110"/>
        <v>11124531.35335933</v>
      </c>
      <c r="D3543" s="39">
        <f t="shared" si="111"/>
        <v>11149028.310497604</v>
      </c>
    </row>
    <row r="3544" spans="2:4" x14ac:dyDescent="0.25">
      <c r="B3544" s="90">
        <v>3540</v>
      </c>
      <c r="C3544" s="39">
        <f t="shared" si="110"/>
        <v>11127178.691972882</v>
      </c>
      <c r="D3544" s="39">
        <f t="shared" si="111"/>
        <v>11152178.643447731</v>
      </c>
    </row>
    <row r="3545" spans="2:4" x14ac:dyDescent="0.25">
      <c r="B3545" s="90">
        <v>3541</v>
      </c>
      <c r="C3545" s="39">
        <f t="shared" si="110"/>
        <v>11129826.030586435</v>
      </c>
      <c r="D3545" s="39">
        <f t="shared" si="111"/>
        <v>11155328.976397857</v>
      </c>
    </row>
    <row r="3546" spans="2:4" x14ac:dyDescent="0.25">
      <c r="B3546" s="90">
        <v>3542</v>
      </c>
      <c r="C3546" s="39">
        <f t="shared" si="110"/>
        <v>11132473.369199986</v>
      </c>
      <c r="D3546" s="39">
        <f t="shared" si="111"/>
        <v>11158479.309347983</v>
      </c>
    </row>
    <row r="3547" spans="2:4" x14ac:dyDescent="0.25">
      <c r="B3547" s="90">
        <v>3543</v>
      </c>
      <c r="C3547" s="39">
        <f t="shared" si="110"/>
        <v>11135120.707813537</v>
      </c>
      <c r="D3547" s="39">
        <f t="shared" si="111"/>
        <v>11161629.64229811</v>
      </c>
    </row>
    <row r="3548" spans="2:4" x14ac:dyDescent="0.25">
      <c r="B3548" s="90">
        <v>3544</v>
      </c>
      <c r="C3548" s="39">
        <f t="shared" si="110"/>
        <v>11137768.04642709</v>
      </c>
      <c r="D3548" s="39">
        <f t="shared" si="111"/>
        <v>11164779.975248236</v>
      </c>
    </row>
    <row r="3549" spans="2:4" x14ac:dyDescent="0.25">
      <c r="B3549" s="90">
        <v>3545</v>
      </c>
      <c r="C3549" s="39">
        <f t="shared" si="110"/>
        <v>11140415.385040641</v>
      </c>
      <c r="D3549" s="39">
        <f t="shared" si="111"/>
        <v>11167930.308198363</v>
      </c>
    </row>
    <row r="3550" spans="2:4" x14ac:dyDescent="0.25">
      <c r="B3550" s="90">
        <v>3546</v>
      </c>
      <c r="C3550" s="39">
        <f t="shared" si="110"/>
        <v>11143062.723654192</v>
      </c>
      <c r="D3550" s="39">
        <f t="shared" si="111"/>
        <v>11171080.641148489</v>
      </c>
    </row>
    <row r="3551" spans="2:4" x14ac:dyDescent="0.25">
      <c r="B3551" s="90">
        <v>3547</v>
      </c>
      <c r="C3551" s="39">
        <f t="shared" si="110"/>
        <v>11145710.062267743</v>
      </c>
      <c r="D3551" s="39">
        <f t="shared" si="111"/>
        <v>11174230.974098615</v>
      </c>
    </row>
    <row r="3552" spans="2:4" x14ac:dyDescent="0.25">
      <c r="B3552" s="90">
        <v>3548</v>
      </c>
      <c r="C3552" s="39">
        <f t="shared" si="110"/>
        <v>11148357.400881296</v>
      </c>
      <c r="D3552" s="39">
        <f t="shared" si="111"/>
        <v>11177381.307048742</v>
      </c>
    </row>
    <row r="3553" spans="2:4" x14ac:dyDescent="0.25">
      <c r="B3553" s="90">
        <v>3549</v>
      </c>
      <c r="C3553" s="39">
        <f t="shared" si="110"/>
        <v>11151004.739494847</v>
      </c>
      <c r="D3553" s="39">
        <f t="shared" si="111"/>
        <v>11180531.639998868</v>
      </c>
    </row>
    <row r="3554" spans="2:4" x14ac:dyDescent="0.25">
      <c r="B3554" s="90">
        <v>3550</v>
      </c>
      <c r="C3554" s="39">
        <f t="shared" si="110"/>
        <v>11153652.078108398</v>
      </c>
      <c r="D3554" s="39">
        <f t="shared" si="111"/>
        <v>11183681.972948994</v>
      </c>
    </row>
    <row r="3555" spans="2:4" x14ac:dyDescent="0.25">
      <c r="B3555" s="90">
        <v>3551</v>
      </c>
      <c r="C3555" s="39">
        <f t="shared" si="110"/>
        <v>11156299.416721951</v>
      </c>
      <c r="D3555" s="39">
        <f t="shared" si="111"/>
        <v>11186832.305899121</v>
      </c>
    </row>
    <row r="3556" spans="2:4" x14ac:dyDescent="0.25">
      <c r="B3556" s="90">
        <v>3552</v>
      </c>
      <c r="C3556" s="39">
        <f t="shared" si="110"/>
        <v>11158946.755335502</v>
      </c>
      <c r="D3556" s="39">
        <f t="shared" si="111"/>
        <v>11189982.638849247</v>
      </c>
    </row>
    <row r="3557" spans="2:4" x14ac:dyDescent="0.25">
      <c r="B3557" s="90">
        <v>3553</v>
      </c>
      <c r="C3557" s="39">
        <f t="shared" si="110"/>
        <v>11161594.093949053</v>
      </c>
      <c r="D3557" s="39">
        <f t="shared" si="111"/>
        <v>11193132.971799374</v>
      </c>
    </row>
    <row r="3558" spans="2:4" x14ac:dyDescent="0.25">
      <c r="B3558" s="90">
        <v>3554</v>
      </c>
      <c r="C3558" s="39">
        <f t="shared" si="110"/>
        <v>11164241.432562605</v>
      </c>
      <c r="D3558" s="39">
        <f t="shared" si="111"/>
        <v>11196283.304749502</v>
      </c>
    </row>
    <row r="3559" spans="2:4" x14ac:dyDescent="0.25">
      <c r="B3559" s="90">
        <v>3555</v>
      </c>
      <c r="C3559" s="39">
        <f t="shared" si="110"/>
        <v>11166888.771176158</v>
      </c>
      <c r="D3559" s="39">
        <f t="shared" si="111"/>
        <v>11199433.637699628</v>
      </c>
    </row>
    <row r="3560" spans="2:4" x14ac:dyDescent="0.25">
      <c r="B3560" s="90">
        <v>3556</v>
      </c>
      <c r="C3560" s="39">
        <f t="shared" si="110"/>
        <v>11169536.109789709</v>
      </c>
      <c r="D3560" s="39">
        <f t="shared" si="111"/>
        <v>11202583.970649755</v>
      </c>
    </row>
    <row r="3561" spans="2:4" x14ac:dyDescent="0.25">
      <c r="B3561" s="90">
        <v>3557</v>
      </c>
      <c r="C3561" s="39">
        <f t="shared" si="110"/>
        <v>11172183.44840326</v>
      </c>
      <c r="D3561" s="39">
        <f t="shared" si="111"/>
        <v>11205734.303599881</v>
      </c>
    </row>
    <row r="3562" spans="2:4" x14ac:dyDescent="0.25">
      <c r="B3562" s="90">
        <v>3558</v>
      </c>
      <c r="C3562" s="39">
        <f t="shared" si="110"/>
        <v>11174830.787016813</v>
      </c>
      <c r="D3562" s="39">
        <f t="shared" si="111"/>
        <v>11208884.636550007</v>
      </c>
    </row>
    <row r="3563" spans="2:4" x14ac:dyDescent="0.25">
      <c r="B3563" s="90">
        <v>3559</v>
      </c>
      <c r="C3563" s="39">
        <f t="shared" si="110"/>
        <v>11177478.125630364</v>
      </c>
      <c r="D3563" s="39">
        <f t="shared" si="111"/>
        <v>11212034.969500134</v>
      </c>
    </row>
    <row r="3564" spans="2:4" x14ac:dyDescent="0.25">
      <c r="B3564" s="90">
        <v>3560</v>
      </c>
      <c r="C3564" s="39">
        <f t="shared" si="110"/>
        <v>11180125.464243915</v>
      </c>
      <c r="D3564" s="39">
        <f t="shared" si="111"/>
        <v>11215185.30245026</v>
      </c>
    </row>
    <row r="3565" spans="2:4" x14ac:dyDescent="0.25">
      <c r="B3565" s="90">
        <v>3561</v>
      </c>
      <c r="C3565" s="39">
        <f t="shared" si="110"/>
        <v>11182772.802857468</v>
      </c>
      <c r="D3565" s="39">
        <f t="shared" si="111"/>
        <v>11218335.635400387</v>
      </c>
    </row>
    <row r="3566" spans="2:4" x14ac:dyDescent="0.25">
      <c r="B3566" s="90">
        <v>3562</v>
      </c>
      <c r="C3566" s="39">
        <f t="shared" si="110"/>
        <v>11185420.141471019</v>
      </c>
      <c r="D3566" s="39">
        <f t="shared" si="111"/>
        <v>11221485.968350513</v>
      </c>
    </row>
    <row r="3567" spans="2:4" x14ac:dyDescent="0.25">
      <c r="B3567" s="90">
        <v>3563</v>
      </c>
      <c r="C3567" s="39">
        <f t="shared" si="110"/>
        <v>11188067.48008457</v>
      </c>
      <c r="D3567" s="39">
        <f t="shared" si="111"/>
        <v>11224636.301300639</v>
      </c>
    </row>
    <row r="3568" spans="2:4" x14ac:dyDescent="0.25">
      <c r="B3568" s="90">
        <v>3564</v>
      </c>
      <c r="C3568" s="39">
        <f t="shared" si="110"/>
        <v>11190714.818698121</v>
      </c>
      <c r="D3568" s="39">
        <f t="shared" si="111"/>
        <v>11227786.634250766</v>
      </c>
    </row>
    <row r="3569" spans="2:4" x14ac:dyDescent="0.25">
      <c r="B3569" s="90">
        <v>3565</v>
      </c>
      <c r="C3569" s="39">
        <f t="shared" ref="C3569:C3632" si="112">($C$2*B3569)+$C$1</f>
        <v>11193362.157311674</v>
      </c>
      <c r="D3569" s="39">
        <f t="shared" ref="D3569:D3632" si="113">$D$2*B3569</f>
        <v>11230936.967200892</v>
      </c>
    </row>
    <row r="3570" spans="2:4" x14ac:dyDescent="0.25">
      <c r="B3570" s="90">
        <v>3566</v>
      </c>
      <c r="C3570" s="39">
        <f t="shared" si="112"/>
        <v>11196009.495925225</v>
      </c>
      <c r="D3570" s="39">
        <f t="shared" si="113"/>
        <v>11234087.300151018</v>
      </c>
    </row>
    <row r="3571" spans="2:4" x14ac:dyDescent="0.25">
      <c r="B3571" s="90">
        <v>3567</v>
      </c>
      <c r="C3571" s="39">
        <f t="shared" si="112"/>
        <v>11198656.834538776</v>
      </c>
      <c r="D3571" s="39">
        <f t="shared" si="113"/>
        <v>11237237.633101145</v>
      </c>
    </row>
    <row r="3572" spans="2:4" x14ac:dyDescent="0.25">
      <c r="B3572" s="90">
        <v>3568</v>
      </c>
      <c r="C3572" s="39">
        <f t="shared" si="112"/>
        <v>11201304.173152329</v>
      </c>
      <c r="D3572" s="39">
        <f t="shared" si="113"/>
        <v>11240387.966051271</v>
      </c>
    </row>
    <row r="3573" spans="2:4" x14ac:dyDescent="0.25">
      <c r="B3573" s="90">
        <v>3569</v>
      </c>
      <c r="C3573" s="39">
        <f t="shared" si="112"/>
        <v>11203951.511765881</v>
      </c>
      <c r="D3573" s="39">
        <f t="shared" si="113"/>
        <v>11243538.299001398</v>
      </c>
    </row>
    <row r="3574" spans="2:4" x14ac:dyDescent="0.25">
      <c r="B3574" s="90">
        <v>3570</v>
      </c>
      <c r="C3574" s="39">
        <f t="shared" si="112"/>
        <v>11206598.850379432</v>
      </c>
      <c r="D3574" s="39">
        <f t="shared" si="113"/>
        <v>11246688.631951524</v>
      </c>
    </row>
    <row r="3575" spans="2:4" x14ac:dyDescent="0.25">
      <c r="B3575" s="90">
        <v>3571</v>
      </c>
      <c r="C3575" s="39">
        <f t="shared" si="112"/>
        <v>11209246.188992985</v>
      </c>
      <c r="D3575" s="39">
        <f t="shared" si="113"/>
        <v>11249838.96490165</v>
      </c>
    </row>
    <row r="3576" spans="2:4" x14ac:dyDescent="0.25">
      <c r="B3576" s="90">
        <v>3572</v>
      </c>
      <c r="C3576" s="39">
        <f t="shared" si="112"/>
        <v>11211893.527606536</v>
      </c>
      <c r="D3576" s="39">
        <f t="shared" si="113"/>
        <v>11252989.297851777</v>
      </c>
    </row>
    <row r="3577" spans="2:4" x14ac:dyDescent="0.25">
      <c r="B3577" s="90">
        <v>3573</v>
      </c>
      <c r="C3577" s="39">
        <f t="shared" si="112"/>
        <v>11214540.866220087</v>
      </c>
      <c r="D3577" s="39">
        <f t="shared" si="113"/>
        <v>11256139.630801905</v>
      </c>
    </row>
    <row r="3578" spans="2:4" x14ac:dyDescent="0.25">
      <c r="B3578" s="90">
        <v>3574</v>
      </c>
      <c r="C3578" s="39">
        <f t="shared" si="112"/>
        <v>11217188.204833638</v>
      </c>
      <c r="D3578" s="39">
        <f t="shared" si="113"/>
        <v>11259289.963752031</v>
      </c>
    </row>
    <row r="3579" spans="2:4" x14ac:dyDescent="0.25">
      <c r="B3579" s="90">
        <v>3575</v>
      </c>
      <c r="C3579" s="39">
        <f t="shared" si="112"/>
        <v>11219835.543447191</v>
      </c>
      <c r="D3579" s="39">
        <f t="shared" si="113"/>
        <v>11262440.296702158</v>
      </c>
    </row>
    <row r="3580" spans="2:4" x14ac:dyDescent="0.25">
      <c r="B3580" s="90">
        <v>3576</v>
      </c>
      <c r="C3580" s="39">
        <f t="shared" si="112"/>
        <v>11222482.882060742</v>
      </c>
      <c r="D3580" s="39">
        <f t="shared" si="113"/>
        <v>11265590.629652284</v>
      </c>
    </row>
    <row r="3581" spans="2:4" x14ac:dyDescent="0.25">
      <c r="B3581" s="90">
        <v>3577</v>
      </c>
      <c r="C3581" s="39">
        <f t="shared" si="112"/>
        <v>11225130.220674293</v>
      </c>
      <c r="D3581" s="39">
        <f t="shared" si="113"/>
        <v>11268740.96260241</v>
      </c>
    </row>
    <row r="3582" spans="2:4" x14ac:dyDescent="0.25">
      <c r="B3582" s="90">
        <v>3578</v>
      </c>
      <c r="C3582" s="39">
        <f t="shared" si="112"/>
        <v>11227777.559287846</v>
      </c>
      <c r="D3582" s="39">
        <f t="shared" si="113"/>
        <v>11271891.295552537</v>
      </c>
    </row>
    <row r="3583" spans="2:4" x14ac:dyDescent="0.25">
      <c r="B3583" s="90">
        <v>3579</v>
      </c>
      <c r="C3583" s="39">
        <f t="shared" si="112"/>
        <v>11230424.897901397</v>
      </c>
      <c r="D3583" s="39">
        <f t="shared" si="113"/>
        <v>11275041.628502663</v>
      </c>
    </row>
    <row r="3584" spans="2:4" x14ac:dyDescent="0.25">
      <c r="B3584" s="90">
        <v>3580</v>
      </c>
      <c r="C3584" s="39">
        <f t="shared" si="112"/>
        <v>11233072.236514948</v>
      </c>
      <c r="D3584" s="39">
        <f t="shared" si="113"/>
        <v>11278191.96145279</v>
      </c>
    </row>
    <row r="3585" spans="2:4" x14ac:dyDescent="0.25">
      <c r="B3585" s="90">
        <v>3581</v>
      </c>
      <c r="C3585" s="39">
        <f t="shared" si="112"/>
        <v>11235719.575128499</v>
      </c>
      <c r="D3585" s="39">
        <f t="shared" si="113"/>
        <v>11281342.294402916</v>
      </c>
    </row>
    <row r="3586" spans="2:4" x14ac:dyDescent="0.25">
      <c r="B3586" s="90">
        <v>3582</v>
      </c>
      <c r="C3586" s="39">
        <f t="shared" si="112"/>
        <v>11238366.913742052</v>
      </c>
      <c r="D3586" s="39">
        <f t="shared" si="113"/>
        <v>11284492.627353042</v>
      </c>
    </row>
    <row r="3587" spans="2:4" x14ac:dyDescent="0.25">
      <c r="B3587" s="90">
        <v>3583</v>
      </c>
      <c r="C3587" s="39">
        <f t="shared" si="112"/>
        <v>11241014.252355604</v>
      </c>
      <c r="D3587" s="39">
        <f t="shared" si="113"/>
        <v>11287642.960303169</v>
      </c>
    </row>
    <row r="3588" spans="2:4" x14ac:dyDescent="0.25">
      <c r="B3588" s="90">
        <v>3584</v>
      </c>
      <c r="C3588" s="39">
        <f t="shared" si="112"/>
        <v>11243661.590969155</v>
      </c>
      <c r="D3588" s="39">
        <f t="shared" si="113"/>
        <v>11290793.293253295</v>
      </c>
    </row>
    <row r="3589" spans="2:4" x14ac:dyDescent="0.25">
      <c r="B3589" s="90">
        <v>3585</v>
      </c>
      <c r="C3589" s="39">
        <f t="shared" si="112"/>
        <v>11246308.929582708</v>
      </c>
      <c r="D3589" s="39">
        <f t="shared" si="113"/>
        <v>11293943.626203422</v>
      </c>
    </row>
    <row r="3590" spans="2:4" x14ac:dyDescent="0.25">
      <c r="B3590" s="90">
        <v>3586</v>
      </c>
      <c r="C3590" s="39">
        <f t="shared" si="112"/>
        <v>11248956.268196259</v>
      </c>
      <c r="D3590" s="39">
        <f t="shared" si="113"/>
        <v>11297093.959153548</v>
      </c>
    </row>
    <row r="3591" spans="2:4" x14ac:dyDescent="0.25">
      <c r="B3591" s="90">
        <v>3587</v>
      </c>
      <c r="C3591" s="39">
        <f t="shared" si="112"/>
        <v>11251603.60680981</v>
      </c>
      <c r="D3591" s="39">
        <f t="shared" si="113"/>
        <v>11300244.292103674</v>
      </c>
    </row>
    <row r="3592" spans="2:4" x14ac:dyDescent="0.25">
      <c r="B3592" s="90">
        <v>3588</v>
      </c>
      <c r="C3592" s="39">
        <f t="shared" si="112"/>
        <v>11254250.945423363</v>
      </c>
      <c r="D3592" s="39">
        <f t="shared" si="113"/>
        <v>11303394.625053801</v>
      </c>
    </row>
    <row r="3593" spans="2:4" x14ac:dyDescent="0.25">
      <c r="B3593" s="90">
        <v>3589</v>
      </c>
      <c r="C3593" s="39">
        <f t="shared" si="112"/>
        <v>11256898.284036914</v>
      </c>
      <c r="D3593" s="39">
        <f t="shared" si="113"/>
        <v>11306544.958003927</v>
      </c>
    </row>
    <row r="3594" spans="2:4" x14ac:dyDescent="0.25">
      <c r="B3594" s="90">
        <v>3590</v>
      </c>
      <c r="C3594" s="39">
        <f t="shared" si="112"/>
        <v>11259545.622650465</v>
      </c>
      <c r="D3594" s="39">
        <f t="shared" si="113"/>
        <v>11309695.290954053</v>
      </c>
    </row>
    <row r="3595" spans="2:4" x14ac:dyDescent="0.25">
      <c r="B3595" s="90">
        <v>3591</v>
      </c>
      <c r="C3595" s="39">
        <f t="shared" si="112"/>
        <v>11262192.961264016</v>
      </c>
      <c r="D3595" s="39">
        <f t="shared" si="113"/>
        <v>11312845.62390418</v>
      </c>
    </row>
    <row r="3596" spans="2:4" x14ac:dyDescent="0.25">
      <c r="B3596" s="90">
        <v>3592</v>
      </c>
      <c r="C3596" s="39">
        <f t="shared" si="112"/>
        <v>11264840.299877569</v>
      </c>
      <c r="D3596" s="39">
        <f t="shared" si="113"/>
        <v>11315995.956854308</v>
      </c>
    </row>
    <row r="3597" spans="2:4" x14ac:dyDescent="0.25">
      <c r="B3597" s="90">
        <v>3593</v>
      </c>
      <c r="C3597" s="39">
        <f t="shared" si="112"/>
        <v>11267487.63849112</v>
      </c>
      <c r="D3597" s="39">
        <f t="shared" si="113"/>
        <v>11319146.289804434</v>
      </c>
    </row>
    <row r="3598" spans="2:4" x14ac:dyDescent="0.25">
      <c r="B3598" s="90">
        <v>3594</v>
      </c>
      <c r="C3598" s="39">
        <f t="shared" si="112"/>
        <v>11270134.977104671</v>
      </c>
      <c r="D3598" s="39">
        <f t="shared" si="113"/>
        <v>11322296.622754561</v>
      </c>
    </row>
    <row r="3599" spans="2:4" x14ac:dyDescent="0.25">
      <c r="B3599" s="90">
        <v>3595</v>
      </c>
      <c r="C3599" s="39">
        <f t="shared" si="112"/>
        <v>11272782.315718224</v>
      </c>
      <c r="D3599" s="39">
        <f t="shared" si="113"/>
        <v>11325446.955704687</v>
      </c>
    </row>
    <row r="3600" spans="2:4" x14ac:dyDescent="0.25">
      <c r="B3600" s="90">
        <v>3596</v>
      </c>
      <c r="C3600" s="39">
        <f t="shared" si="112"/>
        <v>11275429.654331775</v>
      </c>
      <c r="D3600" s="39">
        <f t="shared" si="113"/>
        <v>11328597.288654814</v>
      </c>
    </row>
    <row r="3601" spans="2:4" x14ac:dyDescent="0.25">
      <c r="B3601" s="90">
        <v>3597</v>
      </c>
      <c r="C3601" s="39">
        <f t="shared" si="112"/>
        <v>11278076.992945326</v>
      </c>
      <c r="D3601" s="39">
        <f t="shared" si="113"/>
        <v>11331747.62160494</v>
      </c>
    </row>
    <row r="3602" spans="2:4" x14ac:dyDescent="0.25">
      <c r="B3602" s="90">
        <v>3598</v>
      </c>
      <c r="C3602" s="39">
        <f t="shared" si="112"/>
        <v>11280724.331558879</v>
      </c>
      <c r="D3602" s="39">
        <f t="shared" si="113"/>
        <v>11334897.954555066</v>
      </c>
    </row>
    <row r="3603" spans="2:4" x14ac:dyDescent="0.25">
      <c r="B3603" s="90">
        <v>3599</v>
      </c>
      <c r="C3603" s="39">
        <f t="shared" si="112"/>
        <v>11283371.670172431</v>
      </c>
      <c r="D3603" s="39">
        <f t="shared" si="113"/>
        <v>11338048.287505193</v>
      </c>
    </row>
    <row r="3604" spans="2:4" x14ac:dyDescent="0.25">
      <c r="B3604" s="90">
        <v>3600</v>
      </c>
      <c r="C3604" s="39">
        <f t="shared" si="112"/>
        <v>11286019.008785982</v>
      </c>
      <c r="D3604" s="39">
        <f t="shared" si="113"/>
        <v>11341198.620455319</v>
      </c>
    </row>
    <row r="3605" spans="2:4" x14ac:dyDescent="0.25">
      <c r="B3605" s="90">
        <v>3601</v>
      </c>
      <c r="C3605" s="39">
        <f t="shared" si="112"/>
        <v>11288666.347399533</v>
      </c>
      <c r="D3605" s="39">
        <f t="shared" si="113"/>
        <v>11344348.953405445</v>
      </c>
    </row>
    <row r="3606" spans="2:4" x14ac:dyDescent="0.25">
      <c r="B3606" s="90">
        <v>3602</v>
      </c>
      <c r="C3606" s="39">
        <f t="shared" si="112"/>
        <v>11291313.686013086</v>
      </c>
      <c r="D3606" s="39">
        <f t="shared" si="113"/>
        <v>11347499.286355572</v>
      </c>
    </row>
    <row r="3607" spans="2:4" x14ac:dyDescent="0.25">
      <c r="B3607" s="90">
        <v>3603</v>
      </c>
      <c r="C3607" s="39">
        <f t="shared" si="112"/>
        <v>11293961.024626637</v>
      </c>
      <c r="D3607" s="39">
        <f t="shared" si="113"/>
        <v>11350649.619305698</v>
      </c>
    </row>
    <row r="3608" spans="2:4" x14ac:dyDescent="0.25">
      <c r="B3608" s="90">
        <v>3604</v>
      </c>
      <c r="C3608" s="39">
        <f t="shared" si="112"/>
        <v>11296608.363240188</v>
      </c>
      <c r="D3608" s="39">
        <f t="shared" si="113"/>
        <v>11353799.952255825</v>
      </c>
    </row>
    <row r="3609" spans="2:4" x14ac:dyDescent="0.25">
      <c r="B3609" s="90">
        <v>3605</v>
      </c>
      <c r="C3609" s="39">
        <f t="shared" si="112"/>
        <v>11299255.701853741</v>
      </c>
      <c r="D3609" s="39">
        <f t="shared" si="113"/>
        <v>11356950.285205951</v>
      </c>
    </row>
    <row r="3610" spans="2:4" x14ac:dyDescent="0.25">
      <c r="B3610" s="90">
        <v>3606</v>
      </c>
      <c r="C3610" s="39">
        <f t="shared" si="112"/>
        <v>11301903.040467292</v>
      </c>
      <c r="D3610" s="39">
        <f t="shared" si="113"/>
        <v>11360100.618156077</v>
      </c>
    </row>
    <row r="3611" spans="2:4" x14ac:dyDescent="0.25">
      <c r="B3611" s="90">
        <v>3607</v>
      </c>
      <c r="C3611" s="39">
        <f t="shared" si="112"/>
        <v>11304550.379080843</v>
      </c>
      <c r="D3611" s="39">
        <f t="shared" si="113"/>
        <v>11363250.951106204</v>
      </c>
    </row>
    <row r="3612" spans="2:4" x14ac:dyDescent="0.25">
      <c r="B3612" s="90">
        <v>3608</v>
      </c>
      <c r="C3612" s="39">
        <f t="shared" si="112"/>
        <v>11307197.717694394</v>
      </c>
      <c r="D3612" s="39">
        <f t="shared" si="113"/>
        <v>11366401.28405633</v>
      </c>
    </row>
    <row r="3613" spans="2:4" x14ac:dyDescent="0.25">
      <c r="B3613" s="90">
        <v>3609</v>
      </c>
      <c r="C3613" s="39">
        <f t="shared" si="112"/>
        <v>11309845.056307947</v>
      </c>
      <c r="D3613" s="39">
        <f t="shared" si="113"/>
        <v>11369551.617006456</v>
      </c>
    </row>
    <row r="3614" spans="2:4" x14ac:dyDescent="0.25">
      <c r="B3614" s="90">
        <v>3610</v>
      </c>
      <c r="C3614" s="39">
        <f t="shared" si="112"/>
        <v>11312492.394921498</v>
      </c>
      <c r="D3614" s="39">
        <f t="shared" si="113"/>
        <v>11372701.949956583</v>
      </c>
    </row>
    <row r="3615" spans="2:4" x14ac:dyDescent="0.25">
      <c r="B3615" s="90">
        <v>3611</v>
      </c>
      <c r="C3615" s="39">
        <f t="shared" si="112"/>
        <v>11315139.733535049</v>
      </c>
      <c r="D3615" s="39">
        <f t="shared" si="113"/>
        <v>11375852.282906711</v>
      </c>
    </row>
    <row r="3616" spans="2:4" x14ac:dyDescent="0.25">
      <c r="B3616" s="90">
        <v>3612</v>
      </c>
      <c r="C3616" s="39">
        <f t="shared" si="112"/>
        <v>11317787.072148602</v>
      </c>
      <c r="D3616" s="39">
        <f t="shared" si="113"/>
        <v>11379002.615856837</v>
      </c>
    </row>
    <row r="3617" spans="2:4" x14ac:dyDescent="0.25">
      <c r="B3617" s="90">
        <v>3613</v>
      </c>
      <c r="C3617" s="39">
        <f t="shared" si="112"/>
        <v>11320434.410762154</v>
      </c>
      <c r="D3617" s="39">
        <f t="shared" si="113"/>
        <v>11382152.948806964</v>
      </c>
    </row>
    <row r="3618" spans="2:4" x14ac:dyDescent="0.25">
      <c r="B3618" s="90">
        <v>3614</v>
      </c>
      <c r="C3618" s="39">
        <f t="shared" si="112"/>
        <v>11323081.749375705</v>
      </c>
      <c r="D3618" s="39">
        <f t="shared" si="113"/>
        <v>11385303.28175709</v>
      </c>
    </row>
    <row r="3619" spans="2:4" x14ac:dyDescent="0.25">
      <c r="B3619" s="90">
        <v>3615</v>
      </c>
      <c r="C3619" s="39">
        <f t="shared" si="112"/>
        <v>11325729.087989258</v>
      </c>
      <c r="D3619" s="39">
        <f t="shared" si="113"/>
        <v>11388453.614707217</v>
      </c>
    </row>
    <row r="3620" spans="2:4" x14ac:dyDescent="0.25">
      <c r="B3620" s="90">
        <v>3616</v>
      </c>
      <c r="C3620" s="39">
        <f t="shared" si="112"/>
        <v>11328376.426602809</v>
      </c>
      <c r="D3620" s="39">
        <f t="shared" si="113"/>
        <v>11391603.947657343</v>
      </c>
    </row>
    <row r="3621" spans="2:4" x14ac:dyDescent="0.25">
      <c r="B3621" s="90">
        <v>3617</v>
      </c>
      <c r="C3621" s="39">
        <f t="shared" si="112"/>
        <v>11331023.76521636</v>
      </c>
      <c r="D3621" s="39">
        <f t="shared" si="113"/>
        <v>11394754.280607469</v>
      </c>
    </row>
    <row r="3622" spans="2:4" x14ac:dyDescent="0.25">
      <c r="B3622" s="90">
        <v>3618</v>
      </c>
      <c r="C3622" s="39">
        <f t="shared" si="112"/>
        <v>11333671.103829911</v>
      </c>
      <c r="D3622" s="39">
        <f t="shared" si="113"/>
        <v>11397904.613557596</v>
      </c>
    </row>
    <row r="3623" spans="2:4" x14ac:dyDescent="0.25">
      <c r="B3623" s="90">
        <v>3619</v>
      </c>
      <c r="C3623" s="39">
        <f t="shared" si="112"/>
        <v>11336318.442443464</v>
      </c>
      <c r="D3623" s="39">
        <f t="shared" si="113"/>
        <v>11401054.946507722</v>
      </c>
    </row>
    <row r="3624" spans="2:4" x14ac:dyDescent="0.25">
      <c r="B3624" s="90">
        <v>3620</v>
      </c>
      <c r="C3624" s="39">
        <f t="shared" si="112"/>
        <v>11338965.781057015</v>
      </c>
      <c r="D3624" s="39">
        <f t="shared" si="113"/>
        <v>11404205.279457849</v>
      </c>
    </row>
    <row r="3625" spans="2:4" x14ac:dyDescent="0.25">
      <c r="B3625" s="90">
        <v>3621</v>
      </c>
      <c r="C3625" s="39">
        <f t="shared" si="112"/>
        <v>11341613.119670566</v>
      </c>
      <c r="D3625" s="39">
        <f t="shared" si="113"/>
        <v>11407355.612407975</v>
      </c>
    </row>
    <row r="3626" spans="2:4" x14ac:dyDescent="0.25">
      <c r="B3626" s="90">
        <v>3622</v>
      </c>
      <c r="C3626" s="39">
        <f t="shared" si="112"/>
        <v>11344260.458284119</v>
      </c>
      <c r="D3626" s="39">
        <f t="shared" si="113"/>
        <v>11410505.945358101</v>
      </c>
    </row>
    <row r="3627" spans="2:4" x14ac:dyDescent="0.25">
      <c r="B3627" s="90">
        <v>3623</v>
      </c>
      <c r="C3627" s="39">
        <f t="shared" si="112"/>
        <v>11346907.79689767</v>
      </c>
      <c r="D3627" s="39">
        <f t="shared" si="113"/>
        <v>11413656.278308228</v>
      </c>
    </row>
    <row r="3628" spans="2:4" x14ac:dyDescent="0.25">
      <c r="B3628" s="90">
        <v>3624</v>
      </c>
      <c r="C3628" s="39">
        <f t="shared" si="112"/>
        <v>11349555.135511221</v>
      </c>
      <c r="D3628" s="39">
        <f t="shared" si="113"/>
        <v>11416806.611258354</v>
      </c>
    </row>
    <row r="3629" spans="2:4" x14ac:dyDescent="0.25">
      <c r="B3629" s="90">
        <v>3625</v>
      </c>
      <c r="C3629" s="39">
        <f t="shared" si="112"/>
        <v>11352202.474124774</v>
      </c>
      <c r="D3629" s="39">
        <f t="shared" si="113"/>
        <v>11419956.94420848</v>
      </c>
    </row>
    <row r="3630" spans="2:4" x14ac:dyDescent="0.25">
      <c r="B3630" s="90">
        <v>3626</v>
      </c>
      <c r="C3630" s="39">
        <f t="shared" si="112"/>
        <v>11354849.812738325</v>
      </c>
      <c r="D3630" s="39">
        <f t="shared" si="113"/>
        <v>11423107.277158607</v>
      </c>
    </row>
    <row r="3631" spans="2:4" x14ac:dyDescent="0.25">
      <c r="B3631" s="90">
        <v>3627</v>
      </c>
      <c r="C3631" s="39">
        <f t="shared" si="112"/>
        <v>11357497.151351877</v>
      </c>
      <c r="D3631" s="39">
        <f t="shared" si="113"/>
        <v>11426257.610108733</v>
      </c>
    </row>
    <row r="3632" spans="2:4" x14ac:dyDescent="0.25">
      <c r="B3632" s="90">
        <v>3628</v>
      </c>
      <c r="C3632" s="39">
        <f t="shared" si="112"/>
        <v>11360144.489965428</v>
      </c>
      <c r="D3632" s="39">
        <f t="shared" si="113"/>
        <v>11429407.94305886</v>
      </c>
    </row>
    <row r="3633" spans="2:4" x14ac:dyDescent="0.25">
      <c r="B3633" s="90">
        <v>3629</v>
      </c>
      <c r="C3633" s="39">
        <f t="shared" ref="C3633:C3696" si="114">($C$2*B3633)+$C$1</f>
        <v>11362791.828578981</v>
      </c>
      <c r="D3633" s="39">
        <f t="shared" ref="D3633:D3696" si="115">$D$2*B3633</f>
        <v>11432558.276008986</v>
      </c>
    </row>
    <row r="3634" spans="2:4" x14ac:dyDescent="0.25">
      <c r="B3634" s="90">
        <v>3630</v>
      </c>
      <c r="C3634" s="39">
        <f t="shared" si="114"/>
        <v>11365439.167192532</v>
      </c>
      <c r="D3634" s="39">
        <f t="shared" si="115"/>
        <v>11435708.608959114</v>
      </c>
    </row>
    <row r="3635" spans="2:4" x14ac:dyDescent="0.25">
      <c r="B3635" s="90">
        <v>3631</v>
      </c>
      <c r="C3635" s="39">
        <f t="shared" si="114"/>
        <v>11368086.505806083</v>
      </c>
      <c r="D3635" s="39">
        <f t="shared" si="115"/>
        <v>11438858.941909241</v>
      </c>
    </row>
    <row r="3636" spans="2:4" x14ac:dyDescent="0.25">
      <c r="B3636" s="90">
        <v>3632</v>
      </c>
      <c r="C3636" s="39">
        <f t="shared" si="114"/>
        <v>11370733.844419636</v>
      </c>
      <c r="D3636" s="39">
        <f t="shared" si="115"/>
        <v>11442009.274859367</v>
      </c>
    </row>
    <row r="3637" spans="2:4" x14ac:dyDescent="0.25">
      <c r="B3637" s="90">
        <v>3633</v>
      </c>
      <c r="C3637" s="39">
        <f t="shared" si="114"/>
        <v>11373381.183033187</v>
      </c>
      <c r="D3637" s="39">
        <f t="shared" si="115"/>
        <v>11445159.607809493</v>
      </c>
    </row>
    <row r="3638" spans="2:4" x14ac:dyDescent="0.25">
      <c r="B3638" s="90">
        <v>3634</v>
      </c>
      <c r="C3638" s="39">
        <f t="shared" si="114"/>
        <v>11376028.521646738</v>
      </c>
      <c r="D3638" s="39">
        <f t="shared" si="115"/>
        <v>11448309.94075962</v>
      </c>
    </row>
    <row r="3639" spans="2:4" x14ac:dyDescent="0.25">
      <c r="B3639" s="90">
        <v>3635</v>
      </c>
      <c r="C3639" s="39">
        <f t="shared" si="114"/>
        <v>11378675.860260289</v>
      </c>
      <c r="D3639" s="39">
        <f t="shared" si="115"/>
        <v>11451460.273709746</v>
      </c>
    </row>
    <row r="3640" spans="2:4" x14ac:dyDescent="0.25">
      <c r="B3640" s="90">
        <v>3636</v>
      </c>
      <c r="C3640" s="39">
        <f t="shared" si="114"/>
        <v>11381323.198873842</v>
      </c>
      <c r="D3640" s="39">
        <f t="shared" si="115"/>
        <v>11454610.606659872</v>
      </c>
    </row>
    <row r="3641" spans="2:4" x14ac:dyDescent="0.25">
      <c r="B3641" s="90">
        <v>3637</v>
      </c>
      <c r="C3641" s="39">
        <f t="shared" si="114"/>
        <v>11383970.537487393</v>
      </c>
      <c r="D3641" s="39">
        <f t="shared" si="115"/>
        <v>11457760.939609999</v>
      </c>
    </row>
    <row r="3642" spans="2:4" x14ac:dyDescent="0.25">
      <c r="B3642" s="90">
        <v>3638</v>
      </c>
      <c r="C3642" s="39">
        <f t="shared" si="114"/>
        <v>11386617.876100944</v>
      </c>
      <c r="D3642" s="39">
        <f t="shared" si="115"/>
        <v>11460911.272560125</v>
      </c>
    </row>
    <row r="3643" spans="2:4" x14ac:dyDescent="0.25">
      <c r="B3643" s="90">
        <v>3639</v>
      </c>
      <c r="C3643" s="39">
        <f t="shared" si="114"/>
        <v>11389265.214714497</v>
      </c>
      <c r="D3643" s="39">
        <f t="shared" si="115"/>
        <v>11464061.605510252</v>
      </c>
    </row>
    <row r="3644" spans="2:4" x14ac:dyDescent="0.25">
      <c r="B3644" s="90">
        <v>3640</v>
      </c>
      <c r="C3644" s="39">
        <f t="shared" si="114"/>
        <v>11391912.553328048</v>
      </c>
      <c r="D3644" s="39">
        <f t="shared" si="115"/>
        <v>11467211.938460378</v>
      </c>
    </row>
    <row r="3645" spans="2:4" x14ac:dyDescent="0.25">
      <c r="B3645" s="90">
        <v>3641</v>
      </c>
      <c r="C3645" s="39">
        <f t="shared" si="114"/>
        <v>11394559.8919416</v>
      </c>
      <c r="D3645" s="39">
        <f t="shared" si="115"/>
        <v>11470362.271410504</v>
      </c>
    </row>
    <row r="3646" spans="2:4" x14ac:dyDescent="0.25">
      <c r="B3646" s="90">
        <v>3642</v>
      </c>
      <c r="C3646" s="39">
        <f t="shared" si="114"/>
        <v>11397207.230555153</v>
      </c>
      <c r="D3646" s="39">
        <f t="shared" si="115"/>
        <v>11473512.604360631</v>
      </c>
    </row>
    <row r="3647" spans="2:4" x14ac:dyDescent="0.25">
      <c r="B3647" s="90">
        <v>3643</v>
      </c>
      <c r="C3647" s="39">
        <f t="shared" si="114"/>
        <v>11399854.569168704</v>
      </c>
      <c r="D3647" s="39">
        <f t="shared" si="115"/>
        <v>11476662.937310757</v>
      </c>
    </row>
    <row r="3648" spans="2:4" x14ac:dyDescent="0.25">
      <c r="B3648" s="90">
        <v>3644</v>
      </c>
      <c r="C3648" s="39">
        <f t="shared" si="114"/>
        <v>11402501.907782255</v>
      </c>
      <c r="D3648" s="39">
        <f t="shared" si="115"/>
        <v>11479813.270260883</v>
      </c>
    </row>
    <row r="3649" spans="2:4" x14ac:dyDescent="0.25">
      <c r="B3649" s="90">
        <v>3645</v>
      </c>
      <c r="C3649" s="39">
        <f t="shared" si="114"/>
        <v>11405149.246395806</v>
      </c>
      <c r="D3649" s="39">
        <f t="shared" si="115"/>
        <v>11482963.60321101</v>
      </c>
    </row>
    <row r="3650" spans="2:4" x14ac:dyDescent="0.25">
      <c r="B3650" s="90">
        <v>3646</v>
      </c>
      <c r="C3650" s="39">
        <f t="shared" si="114"/>
        <v>11407796.585009359</v>
      </c>
      <c r="D3650" s="39">
        <f t="shared" si="115"/>
        <v>11486113.936161136</v>
      </c>
    </row>
    <row r="3651" spans="2:4" x14ac:dyDescent="0.25">
      <c r="B3651" s="90">
        <v>3647</v>
      </c>
      <c r="C3651" s="39">
        <f t="shared" si="114"/>
        <v>11410443.92362291</v>
      </c>
      <c r="D3651" s="39">
        <f t="shared" si="115"/>
        <v>11489264.269111263</v>
      </c>
    </row>
    <row r="3652" spans="2:4" x14ac:dyDescent="0.25">
      <c r="B3652" s="90">
        <v>3648</v>
      </c>
      <c r="C3652" s="39">
        <f t="shared" si="114"/>
        <v>11413091.262236461</v>
      </c>
      <c r="D3652" s="39">
        <f t="shared" si="115"/>
        <v>11492414.602061389</v>
      </c>
    </row>
    <row r="3653" spans="2:4" x14ac:dyDescent="0.25">
      <c r="B3653" s="90">
        <v>3649</v>
      </c>
      <c r="C3653" s="39">
        <f t="shared" si="114"/>
        <v>11415738.600850014</v>
      </c>
      <c r="D3653" s="39">
        <f t="shared" si="115"/>
        <v>11495564.935011517</v>
      </c>
    </row>
    <row r="3654" spans="2:4" x14ac:dyDescent="0.25">
      <c r="B3654" s="90">
        <v>3650</v>
      </c>
      <c r="C3654" s="39">
        <f t="shared" si="114"/>
        <v>11418385.939463565</v>
      </c>
      <c r="D3654" s="39">
        <f t="shared" si="115"/>
        <v>11498715.267961644</v>
      </c>
    </row>
    <row r="3655" spans="2:4" x14ac:dyDescent="0.25">
      <c r="B3655" s="90">
        <v>3651</v>
      </c>
      <c r="C3655" s="39">
        <f t="shared" si="114"/>
        <v>11421033.278077116</v>
      </c>
      <c r="D3655" s="39">
        <f t="shared" si="115"/>
        <v>11501865.60091177</v>
      </c>
    </row>
    <row r="3656" spans="2:4" x14ac:dyDescent="0.25">
      <c r="B3656" s="90">
        <v>3652</v>
      </c>
      <c r="C3656" s="39">
        <f t="shared" si="114"/>
        <v>11423680.616690669</v>
      </c>
      <c r="D3656" s="39">
        <f t="shared" si="115"/>
        <v>11505015.933861896</v>
      </c>
    </row>
    <row r="3657" spans="2:4" x14ac:dyDescent="0.25">
      <c r="B3657" s="90">
        <v>3653</v>
      </c>
      <c r="C3657" s="39">
        <f t="shared" si="114"/>
        <v>11426327.95530422</v>
      </c>
      <c r="D3657" s="39">
        <f t="shared" si="115"/>
        <v>11508166.266812023</v>
      </c>
    </row>
    <row r="3658" spans="2:4" x14ac:dyDescent="0.25">
      <c r="B3658" s="90">
        <v>3654</v>
      </c>
      <c r="C3658" s="39">
        <f t="shared" si="114"/>
        <v>11428975.293917771</v>
      </c>
      <c r="D3658" s="39">
        <f t="shared" si="115"/>
        <v>11511316.599762149</v>
      </c>
    </row>
    <row r="3659" spans="2:4" x14ac:dyDescent="0.25">
      <c r="B3659" s="90">
        <v>3655</v>
      </c>
      <c r="C3659" s="39">
        <f t="shared" si="114"/>
        <v>11431622.632531323</v>
      </c>
      <c r="D3659" s="39">
        <f t="shared" si="115"/>
        <v>11514466.932712276</v>
      </c>
    </row>
    <row r="3660" spans="2:4" x14ac:dyDescent="0.25">
      <c r="B3660" s="90">
        <v>3656</v>
      </c>
      <c r="C3660" s="39">
        <f t="shared" si="114"/>
        <v>11434269.971144876</v>
      </c>
      <c r="D3660" s="39">
        <f t="shared" si="115"/>
        <v>11517617.265662402</v>
      </c>
    </row>
    <row r="3661" spans="2:4" x14ac:dyDescent="0.25">
      <c r="B3661" s="90">
        <v>3657</v>
      </c>
      <c r="C3661" s="39">
        <f t="shared" si="114"/>
        <v>11436917.309758427</v>
      </c>
      <c r="D3661" s="39">
        <f t="shared" si="115"/>
        <v>11520767.598612528</v>
      </c>
    </row>
    <row r="3662" spans="2:4" x14ac:dyDescent="0.25">
      <c r="B3662" s="90">
        <v>3658</v>
      </c>
      <c r="C3662" s="39">
        <f t="shared" si="114"/>
        <v>11439564.648371978</v>
      </c>
      <c r="D3662" s="39">
        <f t="shared" si="115"/>
        <v>11523917.931562655</v>
      </c>
    </row>
    <row r="3663" spans="2:4" x14ac:dyDescent="0.25">
      <c r="B3663" s="90">
        <v>3659</v>
      </c>
      <c r="C3663" s="39">
        <f t="shared" si="114"/>
        <v>11442211.986985531</v>
      </c>
      <c r="D3663" s="39">
        <f t="shared" si="115"/>
        <v>11527068.264512781</v>
      </c>
    </row>
    <row r="3664" spans="2:4" x14ac:dyDescent="0.25">
      <c r="B3664" s="90">
        <v>3660</v>
      </c>
      <c r="C3664" s="39">
        <f t="shared" si="114"/>
        <v>11444859.325599082</v>
      </c>
      <c r="D3664" s="39">
        <f t="shared" si="115"/>
        <v>11530218.597462907</v>
      </c>
    </row>
    <row r="3665" spans="2:4" x14ac:dyDescent="0.25">
      <c r="B3665" s="90">
        <v>3661</v>
      </c>
      <c r="C3665" s="39">
        <f t="shared" si="114"/>
        <v>11447506.664212633</v>
      </c>
      <c r="D3665" s="39">
        <f t="shared" si="115"/>
        <v>11533368.930413034</v>
      </c>
    </row>
    <row r="3666" spans="2:4" x14ac:dyDescent="0.25">
      <c r="B3666" s="90">
        <v>3662</v>
      </c>
      <c r="C3666" s="39">
        <f t="shared" si="114"/>
        <v>11450154.002826184</v>
      </c>
      <c r="D3666" s="39">
        <f t="shared" si="115"/>
        <v>11536519.26336316</v>
      </c>
    </row>
    <row r="3667" spans="2:4" x14ac:dyDescent="0.25">
      <c r="B3667" s="90">
        <v>3663</v>
      </c>
      <c r="C3667" s="39">
        <f t="shared" si="114"/>
        <v>11452801.341439737</v>
      </c>
      <c r="D3667" s="39">
        <f t="shared" si="115"/>
        <v>11539669.596313287</v>
      </c>
    </row>
    <row r="3668" spans="2:4" x14ac:dyDescent="0.25">
      <c r="B3668" s="90">
        <v>3664</v>
      </c>
      <c r="C3668" s="39">
        <f t="shared" si="114"/>
        <v>11455448.680053288</v>
      </c>
      <c r="D3668" s="39">
        <f t="shared" si="115"/>
        <v>11542819.929263413</v>
      </c>
    </row>
    <row r="3669" spans="2:4" x14ac:dyDescent="0.25">
      <c r="B3669" s="90">
        <v>3665</v>
      </c>
      <c r="C3669" s="39">
        <f t="shared" si="114"/>
        <v>11458096.018666839</v>
      </c>
      <c r="D3669" s="39">
        <f t="shared" si="115"/>
        <v>11545970.262213539</v>
      </c>
    </row>
    <row r="3670" spans="2:4" x14ac:dyDescent="0.25">
      <c r="B3670" s="90">
        <v>3666</v>
      </c>
      <c r="C3670" s="39">
        <f t="shared" si="114"/>
        <v>11460743.357280392</v>
      </c>
      <c r="D3670" s="39">
        <f t="shared" si="115"/>
        <v>11549120.595163666</v>
      </c>
    </row>
    <row r="3671" spans="2:4" x14ac:dyDescent="0.25">
      <c r="B3671" s="90">
        <v>3667</v>
      </c>
      <c r="C3671" s="39">
        <f t="shared" si="114"/>
        <v>11463390.695893943</v>
      </c>
      <c r="D3671" s="39">
        <f t="shared" si="115"/>
        <v>11552270.928113792</v>
      </c>
    </row>
    <row r="3672" spans="2:4" x14ac:dyDescent="0.25">
      <c r="B3672" s="90">
        <v>3668</v>
      </c>
      <c r="C3672" s="39">
        <f t="shared" si="114"/>
        <v>11466038.034507494</v>
      </c>
      <c r="D3672" s="39">
        <f t="shared" si="115"/>
        <v>11555421.26106392</v>
      </c>
    </row>
    <row r="3673" spans="2:4" x14ac:dyDescent="0.25">
      <c r="B3673" s="90">
        <v>3669</v>
      </c>
      <c r="C3673" s="39">
        <f t="shared" si="114"/>
        <v>11468685.373121047</v>
      </c>
      <c r="D3673" s="39">
        <f t="shared" si="115"/>
        <v>11558571.594014047</v>
      </c>
    </row>
    <row r="3674" spans="2:4" x14ac:dyDescent="0.25">
      <c r="B3674" s="90">
        <v>3670</v>
      </c>
      <c r="C3674" s="39">
        <f t="shared" si="114"/>
        <v>11471332.711734599</v>
      </c>
      <c r="D3674" s="39">
        <f t="shared" si="115"/>
        <v>11561721.926964173</v>
      </c>
    </row>
    <row r="3675" spans="2:4" x14ac:dyDescent="0.25">
      <c r="B3675" s="90">
        <v>3671</v>
      </c>
      <c r="C3675" s="39">
        <f t="shared" si="114"/>
        <v>11473980.05034815</v>
      </c>
      <c r="D3675" s="39">
        <f t="shared" si="115"/>
        <v>11564872.259914299</v>
      </c>
    </row>
    <row r="3676" spans="2:4" x14ac:dyDescent="0.25">
      <c r="B3676" s="90">
        <v>3672</v>
      </c>
      <c r="C3676" s="39">
        <f t="shared" si="114"/>
        <v>11476627.388961701</v>
      </c>
      <c r="D3676" s="39">
        <f t="shared" si="115"/>
        <v>11568022.592864426</v>
      </c>
    </row>
    <row r="3677" spans="2:4" x14ac:dyDescent="0.25">
      <c r="B3677" s="90">
        <v>3673</v>
      </c>
      <c r="C3677" s="39">
        <f t="shared" si="114"/>
        <v>11479274.727575254</v>
      </c>
      <c r="D3677" s="39">
        <f t="shared" si="115"/>
        <v>11571172.925814552</v>
      </c>
    </row>
    <row r="3678" spans="2:4" x14ac:dyDescent="0.25">
      <c r="B3678" s="90">
        <v>3674</v>
      </c>
      <c r="C3678" s="39">
        <f t="shared" si="114"/>
        <v>11481922.066188805</v>
      </c>
      <c r="D3678" s="39">
        <f t="shared" si="115"/>
        <v>11574323.258764679</v>
      </c>
    </row>
    <row r="3679" spans="2:4" x14ac:dyDescent="0.25">
      <c r="B3679" s="90">
        <v>3675</v>
      </c>
      <c r="C3679" s="39">
        <f t="shared" si="114"/>
        <v>11484569.404802356</v>
      </c>
      <c r="D3679" s="39">
        <f t="shared" si="115"/>
        <v>11577473.591714805</v>
      </c>
    </row>
    <row r="3680" spans="2:4" x14ac:dyDescent="0.25">
      <c r="B3680" s="90">
        <v>3676</v>
      </c>
      <c r="C3680" s="39">
        <f t="shared" si="114"/>
        <v>11487216.743415909</v>
      </c>
      <c r="D3680" s="39">
        <f t="shared" si="115"/>
        <v>11580623.924664931</v>
      </c>
    </row>
    <row r="3681" spans="2:4" x14ac:dyDescent="0.25">
      <c r="B3681" s="90">
        <v>3677</v>
      </c>
      <c r="C3681" s="39">
        <f t="shared" si="114"/>
        <v>11489864.08202946</v>
      </c>
      <c r="D3681" s="39">
        <f t="shared" si="115"/>
        <v>11583774.257615058</v>
      </c>
    </row>
    <row r="3682" spans="2:4" x14ac:dyDescent="0.25">
      <c r="B3682" s="90">
        <v>3678</v>
      </c>
      <c r="C3682" s="39">
        <f t="shared" si="114"/>
        <v>11492511.420643011</v>
      </c>
      <c r="D3682" s="39">
        <f t="shared" si="115"/>
        <v>11586924.590565184</v>
      </c>
    </row>
    <row r="3683" spans="2:4" x14ac:dyDescent="0.25">
      <c r="B3683" s="90">
        <v>3679</v>
      </c>
      <c r="C3683" s="39">
        <f t="shared" si="114"/>
        <v>11495158.759256564</v>
      </c>
      <c r="D3683" s="39">
        <f t="shared" si="115"/>
        <v>11590074.923515311</v>
      </c>
    </row>
    <row r="3684" spans="2:4" x14ac:dyDescent="0.25">
      <c r="B3684" s="90">
        <v>3680</v>
      </c>
      <c r="C3684" s="39">
        <f t="shared" si="114"/>
        <v>11497806.097870115</v>
      </c>
      <c r="D3684" s="39">
        <f t="shared" si="115"/>
        <v>11593225.256465437</v>
      </c>
    </row>
    <row r="3685" spans="2:4" x14ac:dyDescent="0.25">
      <c r="B3685" s="90">
        <v>3681</v>
      </c>
      <c r="C3685" s="39">
        <f t="shared" si="114"/>
        <v>11500453.436483666</v>
      </c>
      <c r="D3685" s="39">
        <f t="shared" si="115"/>
        <v>11596375.589415563</v>
      </c>
    </row>
    <row r="3686" spans="2:4" x14ac:dyDescent="0.25">
      <c r="B3686" s="90">
        <v>3682</v>
      </c>
      <c r="C3686" s="39">
        <f t="shared" si="114"/>
        <v>11503100.775097217</v>
      </c>
      <c r="D3686" s="39">
        <f t="shared" si="115"/>
        <v>11599525.92236569</v>
      </c>
    </row>
    <row r="3687" spans="2:4" x14ac:dyDescent="0.25">
      <c r="B3687" s="90">
        <v>3683</v>
      </c>
      <c r="C3687" s="39">
        <f t="shared" si="114"/>
        <v>11505748.11371077</v>
      </c>
      <c r="D3687" s="39">
        <f t="shared" si="115"/>
        <v>11602676.255315816</v>
      </c>
    </row>
    <row r="3688" spans="2:4" x14ac:dyDescent="0.25">
      <c r="B3688" s="90">
        <v>3684</v>
      </c>
      <c r="C3688" s="39">
        <f t="shared" si="114"/>
        <v>11508395.452324321</v>
      </c>
      <c r="D3688" s="39">
        <f t="shared" si="115"/>
        <v>11605826.588265942</v>
      </c>
    </row>
    <row r="3689" spans="2:4" x14ac:dyDescent="0.25">
      <c r="B3689" s="90">
        <v>3685</v>
      </c>
      <c r="C3689" s="39">
        <f t="shared" si="114"/>
        <v>11511042.790937873</v>
      </c>
      <c r="D3689" s="39">
        <f t="shared" si="115"/>
        <v>11608976.921216069</v>
      </c>
    </row>
    <row r="3690" spans="2:4" x14ac:dyDescent="0.25">
      <c r="B3690" s="90">
        <v>3686</v>
      </c>
      <c r="C3690" s="39">
        <f t="shared" si="114"/>
        <v>11513690.129551426</v>
      </c>
      <c r="D3690" s="39">
        <f t="shared" si="115"/>
        <v>11612127.254166195</v>
      </c>
    </row>
    <row r="3691" spans="2:4" x14ac:dyDescent="0.25">
      <c r="B3691" s="90">
        <v>3687</v>
      </c>
      <c r="C3691" s="39">
        <f t="shared" si="114"/>
        <v>11516337.468164977</v>
      </c>
      <c r="D3691" s="39">
        <f t="shared" si="115"/>
        <v>11615277.587116323</v>
      </c>
    </row>
    <row r="3692" spans="2:4" x14ac:dyDescent="0.25">
      <c r="B3692" s="90">
        <v>3688</v>
      </c>
      <c r="C3692" s="39">
        <f t="shared" si="114"/>
        <v>11518984.806778528</v>
      </c>
      <c r="D3692" s="39">
        <f t="shared" si="115"/>
        <v>11618427.92006645</v>
      </c>
    </row>
    <row r="3693" spans="2:4" x14ac:dyDescent="0.25">
      <c r="B3693" s="90">
        <v>3689</v>
      </c>
      <c r="C3693" s="39">
        <f t="shared" si="114"/>
        <v>11521632.145392079</v>
      </c>
      <c r="D3693" s="39">
        <f t="shared" si="115"/>
        <v>11621578.253016576</v>
      </c>
    </row>
    <row r="3694" spans="2:4" x14ac:dyDescent="0.25">
      <c r="B3694" s="90">
        <v>3690</v>
      </c>
      <c r="C3694" s="39">
        <f t="shared" si="114"/>
        <v>11524279.484005632</v>
      </c>
      <c r="D3694" s="39">
        <f t="shared" si="115"/>
        <v>11624728.585966703</v>
      </c>
    </row>
    <row r="3695" spans="2:4" x14ac:dyDescent="0.25">
      <c r="B3695" s="90">
        <v>3691</v>
      </c>
      <c r="C3695" s="39">
        <f t="shared" si="114"/>
        <v>11526926.822619183</v>
      </c>
      <c r="D3695" s="39">
        <f t="shared" si="115"/>
        <v>11627878.918916829</v>
      </c>
    </row>
    <row r="3696" spans="2:4" x14ac:dyDescent="0.25">
      <c r="B3696" s="90">
        <v>3692</v>
      </c>
      <c r="C3696" s="39">
        <f t="shared" si="114"/>
        <v>11529574.161232734</v>
      </c>
      <c r="D3696" s="39">
        <f t="shared" si="115"/>
        <v>11631029.251866955</v>
      </c>
    </row>
    <row r="3697" spans="2:4" x14ac:dyDescent="0.25">
      <c r="B3697" s="90">
        <v>3693</v>
      </c>
      <c r="C3697" s="39">
        <f t="shared" ref="C3697:C3760" si="116">($C$2*B3697)+$C$1</f>
        <v>11532221.499846287</v>
      </c>
      <c r="D3697" s="39">
        <f t="shared" ref="D3697:D3760" si="117">$D$2*B3697</f>
        <v>11634179.584817082</v>
      </c>
    </row>
    <row r="3698" spans="2:4" x14ac:dyDescent="0.25">
      <c r="B3698" s="90">
        <v>3694</v>
      </c>
      <c r="C3698" s="39">
        <f t="shared" si="116"/>
        <v>11534868.838459838</v>
      </c>
      <c r="D3698" s="39">
        <f t="shared" si="117"/>
        <v>11637329.917767208</v>
      </c>
    </row>
    <row r="3699" spans="2:4" x14ac:dyDescent="0.25">
      <c r="B3699" s="90">
        <v>3695</v>
      </c>
      <c r="C3699" s="39">
        <f t="shared" si="116"/>
        <v>11537516.177073389</v>
      </c>
      <c r="D3699" s="39">
        <f t="shared" si="117"/>
        <v>11640480.250717334</v>
      </c>
    </row>
    <row r="3700" spans="2:4" x14ac:dyDescent="0.25">
      <c r="B3700" s="90">
        <v>3696</v>
      </c>
      <c r="C3700" s="39">
        <f t="shared" si="116"/>
        <v>11540163.515686942</v>
      </c>
      <c r="D3700" s="39">
        <f t="shared" si="117"/>
        <v>11643630.583667461</v>
      </c>
    </row>
    <row r="3701" spans="2:4" x14ac:dyDescent="0.25">
      <c r="B3701" s="90">
        <v>3697</v>
      </c>
      <c r="C3701" s="39">
        <f t="shared" si="116"/>
        <v>11542810.854300493</v>
      </c>
      <c r="D3701" s="39">
        <f t="shared" si="117"/>
        <v>11646780.916617587</v>
      </c>
    </row>
    <row r="3702" spans="2:4" x14ac:dyDescent="0.25">
      <c r="B3702" s="90">
        <v>3698</v>
      </c>
      <c r="C3702" s="39">
        <f t="shared" si="116"/>
        <v>11545458.192914044</v>
      </c>
      <c r="D3702" s="39">
        <f t="shared" si="117"/>
        <v>11649931.249567714</v>
      </c>
    </row>
    <row r="3703" spans="2:4" x14ac:dyDescent="0.25">
      <c r="B3703" s="90">
        <v>3699</v>
      </c>
      <c r="C3703" s="39">
        <f t="shared" si="116"/>
        <v>11548105.531527596</v>
      </c>
      <c r="D3703" s="39">
        <f t="shared" si="117"/>
        <v>11653081.58251784</v>
      </c>
    </row>
    <row r="3704" spans="2:4" x14ac:dyDescent="0.25">
      <c r="B3704" s="90">
        <v>3700</v>
      </c>
      <c r="C3704" s="39">
        <f t="shared" si="116"/>
        <v>11550752.870141149</v>
      </c>
      <c r="D3704" s="39">
        <f t="shared" si="117"/>
        <v>11656231.915467966</v>
      </c>
    </row>
    <row r="3705" spans="2:4" x14ac:dyDescent="0.25">
      <c r="B3705" s="90">
        <v>3701</v>
      </c>
      <c r="C3705" s="39">
        <f t="shared" si="116"/>
        <v>11553400.2087547</v>
      </c>
      <c r="D3705" s="39">
        <f t="shared" si="117"/>
        <v>11659382.248418093</v>
      </c>
    </row>
    <row r="3706" spans="2:4" x14ac:dyDescent="0.25">
      <c r="B3706" s="90">
        <v>3702</v>
      </c>
      <c r="C3706" s="39">
        <f t="shared" si="116"/>
        <v>11556047.547368251</v>
      </c>
      <c r="D3706" s="39">
        <f t="shared" si="117"/>
        <v>11662532.581368219</v>
      </c>
    </row>
    <row r="3707" spans="2:4" x14ac:dyDescent="0.25">
      <c r="B3707" s="90">
        <v>3703</v>
      </c>
      <c r="C3707" s="39">
        <f t="shared" si="116"/>
        <v>11558694.885981804</v>
      </c>
      <c r="D3707" s="39">
        <f t="shared" si="117"/>
        <v>11665682.914318345</v>
      </c>
    </row>
    <row r="3708" spans="2:4" x14ac:dyDescent="0.25">
      <c r="B3708" s="90">
        <v>3704</v>
      </c>
      <c r="C3708" s="39">
        <f t="shared" si="116"/>
        <v>11561342.224595355</v>
      </c>
      <c r="D3708" s="39">
        <f t="shared" si="117"/>
        <v>11668833.247268472</v>
      </c>
    </row>
    <row r="3709" spans="2:4" x14ac:dyDescent="0.25">
      <c r="B3709" s="90">
        <v>3705</v>
      </c>
      <c r="C3709" s="39">
        <f t="shared" si="116"/>
        <v>11563989.563208906</v>
      </c>
      <c r="D3709" s="39">
        <f t="shared" si="117"/>
        <v>11671983.580218598</v>
      </c>
    </row>
    <row r="3710" spans="2:4" x14ac:dyDescent="0.25">
      <c r="B3710" s="90">
        <v>3706</v>
      </c>
      <c r="C3710" s="39">
        <f t="shared" si="116"/>
        <v>11566636.901822459</v>
      </c>
      <c r="D3710" s="39">
        <f t="shared" si="117"/>
        <v>11675133.913168726</v>
      </c>
    </row>
    <row r="3711" spans="2:4" x14ac:dyDescent="0.25">
      <c r="B3711" s="90">
        <v>3707</v>
      </c>
      <c r="C3711" s="39">
        <f t="shared" si="116"/>
        <v>11569284.24043601</v>
      </c>
      <c r="D3711" s="39">
        <f t="shared" si="117"/>
        <v>11678284.246118853</v>
      </c>
    </row>
    <row r="3712" spans="2:4" x14ac:dyDescent="0.25">
      <c r="B3712" s="90">
        <v>3708</v>
      </c>
      <c r="C3712" s="39">
        <f t="shared" si="116"/>
        <v>11571931.579049561</v>
      </c>
      <c r="D3712" s="39">
        <f t="shared" si="117"/>
        <v>11681434.579068979</v>
      </c>
    </row>
    <row r="3713" spans="2:4" x14ac:dyDescent="0.25">
      <c r="B3713" s="90">
        <v>3709</v>
      </c>
      <c r="C3713" s="39">
        <f t="shared" si="116"/>
        <v>11574578.917663112</v>
      </c>
      <c r="D3713" s="39">
        <f t="shared" si="117"/>
        <v>11684584.912019106</v>
      </c>
    </row>
    <row r="3714" spans="2:4" x14ac:dyDescent="0.25">
      <c r="B3714" s="90">
        <v>3710</v>
      </c>
      <c r="C3714" s="39">
        <f t="shared" si="116"/>
        <v>11577226.256276665</v>
      </c>
      <c r="D3714" s="39">
        <f t="shared" si="117"/>
        <v>11687735.244969232</v>
      </c>
    </row>
    <row r="3715" spans="2:4" x14ac:dyDescent="0.25">
      <c r="B3715" s="90">
        <v>3711</v>
      </c>
      <c r="C3715" s="39">
        <f t="shared" si="116"/>
        <v>11579873.594890216</v>
      </c>
      <c r="D3715" s="39">
        <f t="shared" si="117"/>
        <v>11690885.577919358</v>
      </c>
    </row>
    <row r="3716" spans="2:4" x14ac:dyDescent="0.25">
      <c r="B3716" s="90">
        <v>3712</v>
      </c>
      <c r="C3716" s="39">
        <f t="shared" si="116"/>
        <v>11582520.933503767</v>
      </c>
      <c r="D3716" s="39">
        <f t="shared" si="117"/>
        <v>11694035.910869485</v>
      </c>
    </row>
    <row r="3717" spans="2:4" x14ac:dyDescent="0.25">
      <c r="B3717" s="90">
        <v>3713</v>
      </c>
      <c r="C3717" s="39">
        <f t="shared" si="116"/>
        <v>11585168.27211732</v>
      </c>
      <c r="D3717" s="39">
        <f t="shared" si="117"/>
        <v>11697186.243819611</v>
      </c>
    </row>
    <row r="3718" spans="2:4" x14ac:dyDescent="0.25">
      <c r="B3718" s="90">
        <v>3714</v>
      </c>
      <c r="C3718" s="39">
        <f t="shared" si="116"/>
        <v>11587815.610730872</v>
      </c>
      <c r="D3718" s="39">
        <f t="shared" si="117"/>
        <v>11700336.576769738</v>
      </c>
    </row>
    <row r="3719" spans="2:4" x14ac:dyDescent="0.25">
      <c r="B3719" s="90">
        <v>3715</v>
      </c>
      <c r="C3719" s="39">
        <f t="shared" si="116"/>
        <v>11590462.949344423</v>
      </c>
      <c r="D3719" s="39">
        <f t="shared" si="117"/>
        <v>11703486.909719864</v>
      </c>
    </row>
    <row r="3720" spans="2:4" x14ac:dyDescent="0.25">
      <c r="B3720" s="90">
        <v>3716</v>
      </c>
      <c r="C3720" s="39">
        <f t="shared" si="116"/>
        <v>11593110.287957974</v>
      </c>
      <c r="D3720" s="39">
        <f t="shared" si="117"/>
        <v>11706637.24266999</v>
      </c>
    </row>
    <row r="3721" spans="2:4" x14ac:dyDescent="0.25">
      <c r="B3721" s="90">
        <v>3717</v>
      </c>
      <c r="C3721" s="39">
        <f t="shared" si="116"/>
        <v>11595757.626571527</v>
      </c>
      <c r="D3721" s="39">
        <f t="shared" si="117"/>
        <v>11709787.575620117</v>
      </c>
    </row>
    <row r="3722" spans="2:4" x14ac:dyDescent="0.25">
      <c r="B3722" s="90">
        <v>3718</v>
      </c>
      <c r="C3722" s="39">
        <f t="shared" si="116"/>
        <v>11598404.965185078</v>
      </c>
      <c r="D3722" s="39">
        <f t="shared" si="117"/>
        <v>11712937.908570243</v>
      </c>
    </row>
    <row r="3723" spans="2:4" x14ac:dyDescent="0.25">
      <c r="B3723" s="90">
        <v>3719</v>
      </c>
      <c r="C3723" s="39">
        <f t="shared" si="116"/>
        <v>11601052.303798629</v>
      </c>
      <c r="D3723" s="39">
        <f t="shared" si="117"/>
        <v>11716088.241520369</v>
      </c>
    </row>
    <row r="3724" spans="2:4" x14ac:dyDescent="0.25">
      <c r="B3724" s="90">
        <v>3720</v>
      </c>
      <c r="C3724" s="39">
        <f t="shared" si="116"/>
        <v>11603699.642412182</v>
      </c>
      <c r="D3724" s="39">
        <f t="shared" si="117"/>
        <v>11719238.574470496</v>
      </c>
    </row>
    <row r="3725" spans="2:4" x14ac:dyDescent="0.25">
      <c r="B3725" s="90">
        <v>3721</v>
      </c>
      <c r="C3725" s="39">
        <f t="shared" si="116"/>
        <v>11606346.981025733</v>
      </c>
      <c r="D3725" s="39">
        <f t="shared" si="117"/>
        <v>11722388.907420622</v>
      </c>
    </row>
    <row r="3726" spans="2:4" x14ac:dyDescent="0.25">
      <c r="B3726" s="90">
        <v>3722</v>
      </c>
      <c r="C3726" s="39">
        <f t="shared" si="116"/>
        <v>11608994.319639284</v>
      </c>
      <c r="D3726" s="39">
        <f t="shared" si="117"/>
        <v>11725539.240370749</v>
      </c>
    </row>
    <row r="3727" spans="2:4" x14ac:dyDescent="0.25">
      <c r="B3727" s="90">
        <v>3723</v>
      </c>
      <c r="C3727" s="39">
        <f t="shared" si="116"/>
        <v>11611641.658252837</v>
      </c>
      <c r="D3727" s="39">
        <f t="shared" si="117"/>
        <v>11728689.573320875</v>
      </c>
    </row>
    <row r="3728" spans="2:4" x14ac:dyDescent="0.25">
      <c r="B3728" s="90">
        <v>3724</v>
      </c>
      <c r="C3728" s="39">
        <f t="shared" si="116"/>
        <v>11614288.996866388</v>
      </c>
      <c r="D3728" s="39">
        <f t="shared" si="117"/>
        <v>11731839.906271001</v>
      </c>
    </row>
    <row r="3729" spans="2:4" x14ac:dyDescent="0.25">
      <c r="B3729" s="90">
        <v>3725</v>
      </c>
      <c r="C3729" s="39">
        <f t="shared" si="116"/>
        <v>11616936.335479939</v>
      </c>
      <c r="D3729" s="39">
        <f t="shared" si="117"/>
        <v>11734990.23922113</v>
      </c>
    </row>
    <row r="3730" spans="2:4" x14ac:dyDescent="0.25">
      <c r="B3730" s="90">
        <v>3726</v>
      </c>
      <c r="C3730" s="39">
        <f t="shared" si="116"/>
        <v>11619583.67409349</v>
      </c>
      <c r="D3730" s="39">
        <f t="shared" si="117"/>
        <v>11738140.572171256</v>
      </c>
    </row>
    <row r="3731" spans="2:4" x14ac:dyDescent="0.25">
      <c r="B3731" s="90">
        <v>3727</v>
      </c>
      <c r="C3731" s="39">
        <f t="shared" si="116"/>
        <v>11622231.012707043</v>
      </c>
      <c r="D3731" s="39">
        <f t="shared" si="117"/>
        <v>11741290.905121382</v>
      </c>
    </row>
    <row r="3732" spans="2:4" x14ac:dyDescent="0.25">
      <c r="B3732" s="90">
        <v>3728</v>
      </c>
      <c r="C3732" s="39">
        <f t="shared" si="116"/>
        <v>11624878.351320595</v>
      </c>
      <c r="D3732" s="39">
        <f t="shared" si="117"/>
        <v>11744441.238071509</v>
      </c>
    </row>
    <row r="3733" spans="2:4" x14ac:dyDescent="0.25">
      <c r="B3733" s="90">
        <v>3729</v>
      </c>
      <c r="C3733" s="39">
        <f t="shared" si="116"/>
        <v>11627525.689934146</v>
      </c>
      <c r="D3733" s="39">
        <f t="shared" si="117"/>
        <v>11747591.571021635</v>
      </c>
    </row>
    <row r="3734" spans="2:4" x14ac:dyDescent="0.25">
      <c r="B3734" s="90">
        <v>3730</v>
      </c>
      <c r="C3734" s="39">
        <f t="shared" si="116"/>
        <v>11630173.028547699</v>
      </c>
      <c r="D3734" s="39">
        <f t="shared" si="117"/>
        <v>11750741.903971761</v>
      </c>
    </row>
    <row r="3735" spans="2:4" x14ac:dyDescent="0.25">
      <c r="B3735" s="90">
        <v>3731</v>
      </c>
      <c r="C3735" s="39">
        <f t="shared" si="116"/>
        <v>11632820.36716125</v>
      </c>
      <c r="D3735" s="39">
        <f t="shared" si="117"/>
        <v>11753892.236921888</v>
      </c>
    </row>
    <row r="3736" spans="2:4" x14ac:dyDescent="0.25">
      <c r="B3736" s="90">
        <v>3732</v>
      </c>
      <c r="C3736" s="39">
        <f t="shared" si="116"/>
        <v>11635467.705774801</v>
      </c>
      <c r="D3736" s="39">
        <f t="shared" si="117"/>
        <v>11757042.569872014</v>
      </c>
    </row>
    <row r="3737" spans="2:4" x14ac:dyDescent="0.25">
      <c r="B3737" s="90">
        <v>3733</v>
      </c>
      <c r="C3737" s="39">
        <f t="shared" si="116"/>
        <v>11638115.044388354</v>
      </c>
      <c r="D3737" s="39">
        <f t="shared" si="117"/>
        <v>11760192.902822141</v>
      </c>
    </row>
    <row r="3738" spans="2:4" x14ac:dyDescent="0.25">
      <c r="B3738" s="90">
        <v>3734</v>
      </c>
      <c r="C3738" s="39">
        <f t="shared" si="116"/>
        <v>11640762.383001905</v>
      </c>
      <c r="D3738" s="39">
        <f t="shared" si="117"/>
        <v>11763343.235772267</v>
      </c>
    </row>
    <row r="3739" spans="2:4" x14ac:dyDescent="0.25">
      <c r="B3739" s="90">
        <v>3735</v>
      </c>
      <c r="C3739" s="39">
        <f t="shared" si="116"/>
        <v>11643409.721615456</v>
      </c>
      <c r="D3739" s="39">
        <f t="shared" si="117"/>
        <v>11766493.568722393</v>
      </c>
    </row>
    <row r="3740" spans="2:4" x14ac:dyDescent="0.25">
      <c r="B3740" s="90">
        <v>3736</v>
      </c>
      <c r="C3740" s="39">
        <f t="shared" si="116"/>
        <v>11646057.060229007</v>
      </c>
      <c r="D3740" s="39">
        <f t="shared" si="117"/>
        <v>11769643.90167252</v>
      </c>
    </row>
    <row r="3741" spans="2:4" x14ac:dyDescent="0.25">
      <c r="B3741" s="90">
        <v>3737</v>
      </c>
      <c r="C3741" s="39">
        <f t="shared" si="116"/>
        <v>11648704.39884256</v>
      </c>
      <c r="D3741" s="39">
        <f t="shared" si="117"/>
        <v>11772794.234622646</v>
      </c>
    </row>
    <row r="3742" spans="2:4" x14ac:dyDescent="0.25">
      <c r="B3742" s="90">
        <v>3738</v>
      </c>
      <c r="C3742" s="39">
        <f t="shared" si="116"/>
        <v>11651351.737456111</v>
      </c>
      <c r="D3742" s="39">
        <f t="shared" si="117"/>
        <v>11775944.567572773</v>
      </c>
    </row>
    <row r="3743" spans="2:4" x14ac:dyDescent="0.25">
      <c r="B3743" s="90">
        <v>3739</v>
      </c>
      <c r="C3743" s="39">
        <f t="shared" si="116"/>
        <v>11653999.076069662</v>
      </c>
      <c r="D3743" s="39">
        <f t="shared" si="117"/>
        <v>11779094.900522899</v>
      </c>
    </row>
    <row r="3744" spans="2:4" x14ac:dyDescent="0.25">
      <c r="B3744" s="90">
        <v>3740</v>
      </c>
      <c r="C3744" s="39">
        <f t="shared" si="116"/>
        <v>11656646.414683215</v>
      </c>
      <c r="D3744" s="39">
        <f t="shared" si="117"/>
        <v>11782245.233473025</v>
      </c>
    </row>
    <row r="3745" spans="2:4" x14ac:dyDescent="0.25">
      <c r="B3745" s="90">
        <v>3741</v>
      </c>
      <c r="C3745" s="39">
        <f t="shared" si="116"/>
        <v>11659293.753296766</v>
      </c>
      <c r="D3745" s="39">
        <f t="shared" si="117"/>
        <v>11785395.566423152</v>
      </c>
    </row>
    <row r="3746" spans="2:4" x14ac:dyDescent="0.25">
      <c r="B3746" s="90">
        <v>3742</v>
      </c>
      <c r="C3746" s="39">
        <f t="shared" si="116"/>
        <v>11661941.091910318</v>
      </c>
      <c r="D3746" s="39">
        <f t="shared" si="117"/>
        <v>11788545.899373278</v>
      </c>
    </row>
    <row r="3747" spans="2:4" x14ac:dyDescent="0.25">
      <c r="B3747" s="90">
        <v>3743</v>
      </c>
      <c r="C3747" s="39">
        <f t="shared" si="116"/>
        <v>11664588.430523869</v>
      </c>
      <c r="D3747" s="39">
        <f t="shared" si="117"/>
        <v>11791696.232323404</v>
      </c>
    </row>
    <row r="3748" spans="2:4" x14ac:dyDescent="0.25">
      <c r="B3748" s="90">
        <v>3744</v>
      </c>
      <c r="C3748" s="39">
        <f t="shared" si="116"/>
        <v>11667235.769137422</v>
      </c>
      <c r="D3748" s="39">
        <f t="shared" si="117"/>
        <v>11794846.565273533</v>
      </c>
    </row>
    <row r="3749" spans="2:4" x14ac:dyDescent="0.25">
      <c r="B3749" s="90">
        <v>3745</v>
      </c>
      <c r="C3749" s="39">
        <f t="shared" si="116"/>
        <v>11669883.107750973</v>
      </c>
      <c r="D3749" s="39">
        <f t="shared" si="117"/>
        <v>11797996.898223659</v>
      </c>
    </row>
    <row r="3750" spans="2:4" x14ac:dyDescent="0.25">
      <c r="B3750" s="90">
        <v>3746</v>
      </c>
      <c r="C3750" s="39">
        <f t="shared" si="116"/>
        <v>11672530.446364524</v>
      </c>
      <c r="D3750" s="39">
        <f t="shared" si="117"/>
        <v>11801147.231173785</v>
      </c>
    </row>
    <row r="3751" spans="2:4" x14ac:dyDescent="0.25">
      <c r="B3751" s="90">
        <v>3747</v>
      </c>
      <c r="C3751" s="39">
        <f t="shared" si="116"/>
        <v>11675177.784978077</v>
      </c>
      <c r="D3751" s="39">
        <f t="shared" si="117"/>
        <v>11804297.564123912</v>
      </c>
    </row>
    <row r="3752" spans="2:4" x14ac:dyDescent="0.25">
      <c r="B3752" s="90">
        <v>3748</v>
      </c>
      <c r="C3752" s="39">
        <f t="shared" si="116"/>
        <v>11677825.123591628</v>
      </c>
      <c r="D3752" s="39">
        <f t="shared" si="117"/>
        <v>11807447.897074038</v>
      </c>
    </row>
    <row r="3753" spans="2:4" x14ac:dyDescent="0.25">
      <c r="B3753" s="90">
        <v>3749</v>
      </c>
      <c r="C3753" s="39">
        <f t="shared" si="116"/>
        <v>11680472.462205179</v>
      </c>
      <c r="D3753" s="39">
        <f t="shared" si="117"/>
        <v>11810598.230024165</v>
      </c>
    </row>
    <row r="3754" spans="2:4" x14ac:dyDescent="0.25">
      <c r="B3754" s="90">
        <v>3750</v>
      </c>
      <c r="C3754" s="39">
        <f t="shared" si="116"/>
        <v>11683119.800818732</v>
      </c>
      <c r="D3754" s="39">
        <f t="shared" si="117"/>
        <v>11813748.562974291</v>
      </c>
    </row>
    <row r="3755" spans="2:4" x14ac:dyDescent="0.25">
      <c r="B3755" s="90">
        <v>3751</v>
      </c>
      <c r="C3755" s="39">
        <f t="shared" si="116"/>
        <v>11685767.139432283</v>
      </c>
      <c r="D3755" s="39">
        <f t="shared" si="117"/>
        <v>11816898.895924417</v>
      </c>
    </row>
    <row r="3756" spans="2:4" x14ac:dyDescent="0.25">
      <c r="B3756" s="90">
        <v>3752</v>
      </c>
      <c r="C3756" s="39">
        <f t="shared" si="116"/>
        <v>11688414.478045834</v>
      </c>
      <c r="D3756" s="39">
        <f t="shared" si="117"/>
        <v>11820049.228874544</v>
      </c>
    </row>
    <row r="3757" spans="2:4" x14ac:dyDescent="0.25">
      <c r="B3757" s="90">
        <v>3753</v>
      </c>
      <c r="C3757" s="39">
        <f t="shared" si="116"/>
        <v>11691061.816659385</v>
      </c>
      <c r="D3757" s="39">
        <f t="shared" si="117"/>
        <v>11823199.56182467</v>
      </c>
    </row>
    <row r="3758" spans="2:4" x14ac:dyDescent="0.25">
      <c r="B3758" s="90">
        <v>3754</v>
      </c>
      <c r="C3758" s="39">
        <f t="shared" si="116"/>
        <v>11693709.155272938</v>
      </c>
      <c r="D3758" s="39">
        <f t="shared" si="117"/>
        <v>11826349.894774796</v>
      </c>
    </row>
    <row r="3759" spans="2:4" x14ac:dyDescent="0.25">
      <c r="B3759" s="90">
        <v>3755</v>
      </c>
      <c r="C3759" s="39">
        <f t="shared" si="116"/>
        <v>11696356.493886489</v>
      </c>
      <c r="D3759" s="39">
        <f t="shared" si="117"/>
        <v>11829500.227724923</v>
      </c>
    </row>
    <row r="3760" spans="2:4" x14ac:dyDescent="0.25">
      <c r="B3760" s="90">
        <v>3756</v>
      </c>
      <c r="C3760" s="39">
        <f t="shared" si="116"/>
        <v>11699003.832500041</v>
      </c>
      <c r="D3760" s="39">
        <f t="shared" si="117"/>
        <v>11832650.560675049</v>
      </c>
    </row>
    <row r="3761" spans="2:4" x14ac:dyDescent="0.25">
      <c r="B3761" s="90">
        <v>3757</v>
      </c>
      <c r="C3761" s="39">
        <f t="shared" ref="C3761:C3824" si="118">($C$2*B3761)+$C$1</f>
        <v>11701651.171113594</v>
      </c>
      <c r="D3761" s="39">
        <f t="shared" ref="D3761:D3824" si="119">$D$2*B3761</f>
        <v>11835800.893625176</v>
      </c>
    </row>
    <row r="3762" spans="2:4" x14ac:dyDescent="0.25">
      <c r="B3762" s="90">
        <v>3758</v>
      </c>
      <c r="C3762" s="39">
        <f t="shared" si="118"/>
        <v>11704298.509727145</v>
      </c>
      <c r="D3762" s="39">
        <f t="shared" si="119"/>
        <v>11838951.226575302</v>
      </c>
    </row>
    <row r="3763" spans="2:4" x14ac:dyDescent="0.25">
      <c r="B3763" s="90">
        <v>3759</v>
      </c>
      <c r="C3763" s="39">
        <f t="shared" si="118"/>
        <v>11706945.848340696</v>
      </c>
      <c r="D3763" s="39">
        <f t="shared" si="119"/>
        <v>11842101.559525428</v>
      </c>
    </row>
    <row r="3764" spans="2:4" x14ac:dyDescent="0.25">
      <c r="B3764" s="90">
        <v>3760</v>
      </c>
      <c r="C3764" s="39">
        <f t="shared" si="118"/>
        <v>11709593.186954247</v>
      </c>
      <c r="D3764" s="39">
        <f t="shared" si="119"/>
        <v>11845251.892475555</v>
      </c>
    </row>
    <row r="3765" spans="2:4" x14ac:dyDescent="0.25">
      <c r="B3765" s="90">
        <v>3761</v>
      </c>
      <c r="C3765" s="39">
        <f t="shared" si="118"/>
        <v>11712240.5255678</v>
      </c>
      <c r="D3765" s="39">
        <f t="shared" si="119"/>
        <v>11848402.225425681</v>
      </c>
    </row>
    <row r="3766" spans="2:4" x14ac:dyDescent="0.25">
      <c r="B3766" s="90">
        <v>3762</v>
      </c>
      <c r="C3766" s="39">
        <f t="shared" si="118"/>
        <v>11714887.864181351</v>
      </c>
      <c r="D3766" s="39">
        <f t="shared" si="119"/>
        <v>11851552.558375807</v>
      </c>
    </row>
    <row r="3767" spans="2:4" x14ac:dyDescent="0.25">
      <c r="B3767" s="90">
        <v>3763</v>
      </c>
      <c r="C3767" s="39">
        <f t="shared" si="118"/>
        <v>11717535.202794902</v>
      </c>
      <c r="D3767" s="39">
        <f t="shared" si="119"/>
        <v>11854702.891325936</v>
      </c>
    </row>
    <row r="3768" spans="2:4" x14ac:dyDescent="0.25">
      <c r="B3768" s="90">
        <v>3764</v>
      </c>
      <c r="C3768" s="39">
        <f t="shared" si="118"/>
        <v>11720182.541408455</v>
      </c>
      <c r="D3768" s="39">
        <f t="shared" si="119"/>
        <v>11857853.224276062</v>
      </c>
    </row>
    <row r="3769" spans="2:4" x14ac:dyDescent="0.25">
      <c r="B3769" s="90">
        <v>3765</v>
      </c>
      <c r="C3769" s="39">
        <f t="shared" si="118"/>
        <v>11722829.880022006</v>
      </c>
      <c r="D3769" s="39">
        <f t="shared" si="119"/>
        <v>11861003.557226188</v>
      </c>
    </row>
    <row r="3770" spans="2:4" x14ac:dyDescent="0.25">
      <c r="B3770" s="90">
        <v>3766</v>
      </c>
      <c r="C3770" s="39">
        <f t="shared" si="118"/>
        <v>11725477.218635557</v>
      </c>
      <c r="D3770" s="39">
        <f t="shared" si="119"/>
        <v>11864153.890176315</v>
      </c>
    </row>
    <row r="3771" spans="2:4" x14ac:dyDescent="0.25">
      <c r="B3771" s="90">
        <v>3767</v>
      </c>
      <c r="C3771" s="39">
        <f t="shared" si="118"/>
        <v>11728124.55724911</v>
      </c>
      <c r="D3771" s="39">
        <f t="shared" si="119"/>
        <v>11867304.223126441</v>
      </c>
    </row>
    <row r="3772" spans="2:4" x14ac:dyDescent="0.25">
      <c r="B3772" s="90">
        <v>3768</v>
      </c>
      <c r="C3772" s="39">
        <f t="shared" si="118"/>
        <v>11730771.895862661</v>
      </c>
      <c r="D3772" s="39">
        <f t="shared" si="119"/>
        <v>11870454.556076568</v>
      </c>
    </row>
    <row r="3773" spans="2:4" x14ac:dyDescent="0.25">
      <c r="B3773" s="90">
        <v>3769</v>
      </c>
      <c r="C3773" s="39">
        <f t="shared" si="118"/>
        <v>11733419.234476212</v>
      </c>
      <c r="D3773" s="39">
        <f t="shared" si="119"/>
        <v>11873604.889026694</v>
      </c>
    </row>
    <row r="3774" spans="2:4" x14ac:dyDescent="0.25">
      <c r="B3774" s="90">
        <v>3770</v>
      </c>
      <c r="C3774" s="39">
        <f t="shared" si="118"/>
        <v>11736066.573089764</v>
      </c>
      <c r="D3774" s="39">
        <f t="shared" si="119"/>
        <v>11876755.22197682</v>
      </c>
    </row>
    <row r="3775" spans="2:4" x14ac:dyDescent="0.25">
      <c r="B3775" s="90">
        <v>3771</v>
      </c>
      <c r="C3775" s="39">
        <f t="shared" si="118"/>
        <v>11738713.911703316</v>
      </c>
      <c r="D3775" s="39">
        <f t="shared" si="119"/>
        <v>11879905.554926947</v>
      </c>
    </row>
    <row r="3776" spans="2:4" x14ac:dyDescent="0.25">
      <c r="B3776" s="90">
        <v>3772</v>
      </c>
      <c r="C3776" s="39">
        <f t="shared" si="118"/>
        <v>11741361.250316868</v>
      </c>
      <c r="D3776" s="39">
        <f t="shared" si="119"/>
        <v>11883055.887877073</v>
      </c>
    </row>
    <row r="3777" spans="2:4" x14ac:dyDescent="0.25">
      <c r="B3777" s="90">
        <v>3773</v>
      </c>
      <c r="C3777" s="39">
        <f t="shared" si="118"/>
        <v>11744008.588930419</v>
      </c>
      <c r="D3777" s="39">
        <f t="shared" si="119"/>
        <v>11886206.2208272</v>
      </c>
    </row>
    <row r="3778" spans="2:4" x14ac:dyDescent="0.25">
      <c r="B3778" s="90">
        <v>3774</v>
      </c>
      <c r="C3778" s="39">
        <f t="shared" si="118"/>
        <v>11746655.927543972</v>
      </c>
      <c r="D3778" s="39">
        <f t="shared" si="119"/>
        <v>11889356.553777326</v>
      </c>
    </row>
    <row r="3779" spans="2:4" x14ac:dyDescent="0.25">
      <c r="B3779" s="90">
        <v>3775</v>
      </c>
      <c r="C3779" s="39">
        <f t="shared" si="118"/>
        <v>11749303.266157523</v>
      </c>
      <c r="D3779" s="39">
        <f t="shared" si="119"/>
        <v>11892506.886727452</v>
      </c>
    </row>
    <row r="3780" spans="2:4" x14ac:dyDescent="0.25">
      <c r="B3780" s="90">
        <v>3776</v>
      </c>
      <c r="C3780" s="39">
        <f t="shared" si="118"/>
        <v>11751950.604771074</v>
      </c>
      <c r="D3780" s="39">
        <f t="shared" si="119"/>
        <v>11895657.219677579</v>
      </c>
    </row>
    <row r="3781" spans="2:4" x14ac:dyDescent="0.25">
      <c r="B3781" s="90">
        <v>3777</v>
      </c>
      <c r="C3781" s="39">
        <f t="shared" si="118"/>
        <v>11754597.943384627</v>
      </c>
      <c r="D3781" s="39">
        <f t="shared" si="119"/>
        <v>11898807.552627705</v>
      </c>
    </row>
    <row r="3782" spans="2:4" x14ac:dyDescent="0.25">
      <c r="B3782" s="90">
        <v>3778</v>
      </c>
      <c r="C3782" s="39">
        <f t="shared" si="118"/>
        <v>11757245.281998178</v>
      </c>
      <c r="D3782" s="39">
        <f t="shared" si="119"/>
        <v>11901957.885577831</v>
      </c>
    </row>
    <row r="3783" spans="2:4" x14ac:dyDescent="0.25">
      <c r="B3783" s="90">
        <v>3779</v>
      </c>
      <c r="C3783" s="39">
        <f t="shared" si="118"/>
        <v>11759892.620611729</v>
      </c>
      <c r="D3783" s="39">
        <f t="shared" si="119"/>
        <v>11905108.218527958</v>
      </c>
    </row>
    <row r="3784" spans="2:4" x14ac:dyDescent="0.25">
      <c r="B3784" s="90">
        <v>3780</v>
      </c>
      <c r="C3784" s="39">
        <f t="shared" si="118"/>
        <v>11762539.95922528</v>
      </c>
      <c r="D3784" s="39">
        <f t="shared" si="119"/>
        <v>11908258.551478084</v>
      </c>
    </row>
    <row r="3785" spans="2:4" x14ac:dyDescent="0.25">
      <c r="B3785" s="90">
        <v>3781</v>
      </c>
      <c r="C3785" s="39">
        <f t="shared" si="118"/>
        <v>11765187.297838833</v>
      </c>
      <c r="D3785" s="39">
        <f t="shared" si="119"/>
        <v>11911408.884428211</v>
      </c>
    </row>
    <row r="3786" spans="2:4" x14ac:dyDescent="0.25">
      <c r="B3786" s="90">
        <v>3782</v>
      </c>
      <c r="C3786" s="39">
        <f t="shared" si="118"/>
        <v>11767834.636452384</v>
      </c>
      <c r="D3786" s="39">
        <f t="shared" si="119"/>
        <v>11914559.217378339</v>
      </c>
    </row>
    <row r="3787" spans="2:4" x14ac:dyDescent="0.25">
      <c r="B3787" s="90">
        <v>3783</v>
      </c>
      <c r="C3787" s="39">
        <f t="shared" si="118"/>
        <v>11770481.975065935</v>
      </c>
      <c r="D3787" s="39">
        <f t="shared" si="119"/>
        <v>11917709.550328465</v>
      </c>
    </row>
    <row r="3788" spans="2:4" x14ac:dyDescent="0.25">
      <c r="B3788" s="90">
        <v>3784</v>
      </c>
      <c r="C3788" s="39">
        <f t="shared" si="118"/>
        <v>11773129.313679488</v>
      </c>
      <c r="D3788" s="39">
        <f t="shared" si="119"/>
        <v>11920859.883278592</v>
      </c>
    </row>
    <row r="3789" spans="2:4" x14ac:dyDescent="0.25">
      <c r="B3789" s="90">
        <v>3785</v>
      </c>
      <c r="C3789" s="39">
        <f t="shared" si="118"/>
        <v>11775776.652293039</v>
      </c>
      <c r="D3789" s="39">
        <f t="shared" si="119"/>
        <v>11924010.216228718</v>
      </c>
    </row>
    <row r="3790" spans="2:4" x14ac:dyDescent="0.25">
      <c r="B3790" s="90">
        <v>3786</v>
      </c>
      <c r="C3790" s="39">
        <f t="shared" si="118"/>
        <v>11778423.990906591</v>
      </c>
      <c r="D3790" s="39">
        <f t="shared" si="119"/>
        <v>11927160.549178844</v>
      </c>
    </row>
    <row r="3791" spans="2:4" x14ac:dyDescent="0.25">
      <c r="B3791" s="90">
        <v>3787</v>
      </c>
      <c r="C3791" s="39">
        <f t="shared" si="118"/>
        <v>11781071.329520142</v>
      </c>
      <c r="D3791" s="39">
        <f t="shared" si="119"/>
        <v>11930310.882128971</v>
      </c>
    </row>
    <row r="3792" spans="2:4" x14ac:dyDescent="0.25">
      <c r="B3792" s="90">
        <v>3788</v>
      </c>
      <c r="C3792" s="39">
        <f t="shared" si="118"/>
        <v>11783718.668133695</v>
      </c>
      <c r="D3792" s="39">
        <f t="shared" si="119"/>
        <v>11933461.215079097</v>
      </c>
    </row>
    <row r="3793" spans="2:4" x14ac:dyDescent="0.25">
      <c r="B3793" s="90">
        <v>3789</v>
      </c>
      <c r="C3793" s="39">
        <f t="shared" si="118"/>
        <v>11786366.006747246</v>
      </c>
      <c r="D3793" s="39">
        <f t="shared" si="119"/>
        <v>11936611.548029223</v>
      </c>
    </row>
    <row r="3794" spans="2:4" x14ac:dyDescent="0.25">
      <c r="B3794" s="90">
        <v>3790</v>
      </c>
      <c r="C3794" s="39">
        <f t="shared" si="118"/>
        <v>11789013.345360797</v>
      </c>
      <c r="D3794" s="39">
        <f t="shared" si="119"/>
        <v>11939761.88097935</v>
      </c>
    </row>
    <row r="3795" spans="2:4" x14ac:dyDescent="0.25">
      <c r="B3795" s="90">
        <v>3791</v>
      </c>
      <c r="C3795" s="39">
        <f t="shared" si="118"/>
        <v>11791660.68397435</v>
      </c>
      <c r="D3795" s="39">
        <f t="shared" si="119"/>
        <v>11942912.213929476</v>
      </c>
    </row>
    <row r="3796" spans="2:4" x14ac:dyDescent="0.25">
      <c r="B3796" s="90">
        <v>3792</v>
      </c>
      <c r="C3796" s="39">
        <f t="shared" si="118"/>
        <v>11794308.022587901</v>
      </c>
      <c r="D3796" s="39">
        <f t="shared" si="119"/>
        <v>11946062.546879603</v>
      </c>
    </row>
    <row r="3797" spans="2:4" x14ac:dyDescent="0.25">
      <c r="B3797" s="90">
        <v>3793</v>
      </c>
      <c r="C3797" s="39">
        <f t="shared" si="118"/>
        <v>11796955.361201452</v>
      </c>
      <c r="D3797" s="39">
        <f t="shared" si="119"/>
        <v>11949212.879829729</v>
      </c>
    </row>
    <row r="3798" spans="2:4" x14ac:dyDescent="0.25">
      <c r="B3798" s="90">
        <v>3794</v>
      </c>
      <c r="C3798" s="39">
        <f t="shared" si="118"/>
        <v>11799602.699815005</v>
      </c>
      <c r="D3798" s="39">
        <f t="shared" si="119"/>
        <v>11952363.212779855</v>
      </c>
    </row>
    <row r="3799" spans="2:4" x14ac:dyDescent="0.25">
      <c r="B3799" s="90">
        <v>3795</v>
      </c>
      <c r="C3799" s="39">
        <f t="shared" si="118"/>
        <v>11802250.038428556</v>
      </c>
      <c r="D3799" s="39">
        <f t="shared" si="119"/>
        <v>11955513.545729982</v>
      </c>
    </row>
    <row r="3800" spans="2:4" x14ac:dyDescent="0.25">
      <c r="B3800" s="90">
        <v>3796</v>
      </c>
      <c r="C3800" s="39">
        <f t="shared" si="118"/>
        <v>11804897.377042107</v>
      </c>
      <c r="D3800" s="39">
        <f t="shared" si="119"/>
        <v>11958663.878680108</v>
      </c>
    </row>
    <row r="3801" spans="2:4" x14ac:dyDescent="0.25">
      <c r="B3801" s="90">
        <v>3797</v>
      </c>
      <c r="C3801" s="39">
        <f t="shared" si="118"/>
        <v>11807544.715655658</v>
      </c>
      <c r="D3801" s="39">
        <f t="shared" si="119"/>
        <v>11961814.211630234</v>
      </c>
    </row>
    <row r="3802" spans="2:4" x14ac:dyDescent="0.25">
      <c r="B3802" s="90">
        <v>3798</v>
      </c>
      <c r="C3802" s="39">
        <f t="shared" si="118"/>
        <v>11810192.054269211</v>
      </c>
      <c r="D3802" s="39">
        <f t="shared" si="119"/>
        <v>11964964.544580361</v>
      </c>
    </row>
    <row r="3803" spans="2:4" x14ac:dyDescent="0.25">
      <c r="B3803" s="90">
        <v>3799</v>
      </c>
      <c r="C3803" s="39">
        <f t="shared" si="118"/>
        <v>11812839.392882762</v>
      </c>
      <c r="D3803" s="39">
        <f t="shared" si="119"/>
        <v>11968114.877530487</v>
      </c>
    </row>
    <row r="3804" spans="2:4" x14ac:dyDescent="0.25">
      <c r="B3804" s="90">
        <v>3800</v>
      </c>
      <c r="C3804" s="39">
        <f t="shared" si="118"/>
        <v>11815486.731496314</v>
      </c>
      <c r="D3804" s="39">
        <f t="shared" si="119"/>
        <v>11971265.210480614</v>
      </c>
    </row>
    <row r="3805" spans="2:4" x14ac:dyDescent="0.25">
      <c r="B3805" s="90">
        <v>3801</v>
      </c>
      <c r="C3805" s="39">
        <f t="shared" si="118"/>
        <v>11818134.070109867</v>
      </c>
      <c r="D3805" s="39">
        <f t="shared" si="119"/>
        <v>11974415.543430742</v>
      </c>
    </row>
    <row r="3806" spans="2:4" x14ac:dyDescent="0.25">
      <c r="B3806" s="90">
        <v>3802</v>
      </c>
      <c r="C3806" s="39">
        <f t="shared" si="118"/>
        <v>11820781.408723418</v>
      </c>
      <c r="D3806" s="39">
        <f t="shared" si="119"/>
        <v>11977565.876380868</v>
      </c>
    </row>
    <row r="3807" spans="2:4" x14ac:dyDescent="0.25">
      <c r="B3807" s="90">
        <v>3803</v>
      </c>
      <c r="C3807" s="39">
        <f t="shared" si="118"/>
        <v>11823428.747336969</v>
      </c>
      <c r="D3807" s="39">
        <f t="shared" si="119"/>
        <v>11980716.209330995</v>
      </c>
    </row>
    <row r="3808" spans="2:4" x14ac:dyDescent="0.25">
      <c r="B3808" s="90">
        <v>3804</v>
      </c>
      <c r="C3808" s="39">
        <f t="shared" si="118"/>
        <v>11826076.085950522</v>
      </c>
      <c r="D3808" s="39">
        <f t="shared" si="119"/>
        <v>11983866.542281121</v>
      </c>
    </row>
    <row r="3809" spans="2:4" x14ac:dyDescent="0.25">
      <c r="B3809" s="90">
        <v>3805</v>
      </c>
      <c r="C3809" s="39">
        <f t="shared" si="118"/>
        <v>11828723.424564073</v>
      </c>
      <c r="D3809" s="39">
        <f t="shared" si="119"/>
        <v>11987016.875231247</v>
      </c>
    </row>
    <row r="3810" spans="2:4" x14ac:dyDescent="0.25">
      <c r="B3810" s="90">
        <v>3806</v>
      </c>
      <c r="C3810" s="39">
        <f t="shared" si="118"/>
        <v>11831370.763177624</v>
      </c>
      <c r="D3810" s="39">
        <f t="shared" si="119"/>
        <v>11990167.208181374</v>
      </c>
    </row>
    <row r="3811" spans="2:4" x14ac:dyDescent="0.25">
      <c r="B3811" s="90">
        <v>3807</v>
      </c>
      <c r="C3811" s="39">
        <f t="shared" si="118"/>
        <v>11834018.101791175</v>
      </c>
      <c r="D3811" s="39">
        <f t="shared" si="119"/>
        <v>11993317.5411315</v>
      </c>
    </row>
    <row r="3812" spans="2:4" x14ac:dyDescent="0.25">
      <c r="B3812" s="90">
        <v>3808</v>
      </c>
      <c r="C3812" s="39">
        <f t="shared" si="118"/>
        <v>11836665.440404728</v>
      </c>
      <c r="D3812" s="39">
        <f t="shared" si="119"/>
        <v>11996467.874081627</v>
      </c>
    </row>
    <row r="3813" spans="2:4" x14ac:dyDescent="0.25">
      <c r="B3813" s="90">
        <v>3809</v>
      </c>
      <c r="C3813" s="39">
        <f t="shared" si="118"/>
        <v>11839312.779018279</v>
      </c>
      <c r="D3813" s="39">
        <f t="shared" si="119"/>
        <v>11999618.207031753</v>
      </c>
    </row>
    <row r="3814" spans="2:4" x14ac:dyDescent="0.25">
      <c r="B3814" s="90">
        <v>3810</v>
      </c>
      <c r="C3814" s="39">
        <f t="shared" si="118"/>
        <v>11841960.11763183</v>
      </c>
      <c r="D3814" s="39">
        <f t="shared" si="119"/>
        <v>12002768.539981879</v>
      </c>
    </row>
    <row r="3815" spans="2:4" x14ac:dyDescent="0.25">
      <c r="B3815" s="90">
        <v>3811</v>
      </c>
      <c r="C3815" s="39">
        <f t="shared" si="118"/>
        <v>11844607.456245383</v>
      </c>
      <c r="D3815" s="39">
        <f t="shared" si="119"/>
        <v>12005918.872932006</v>
      </c>
    </row>
    <row r="3816" spans="2:4" x14ac:dyDescent="0.25">
      <c r="B3816" s="90">
        <v>3812</v>
      </c>
      <c r="C3816" s="39">
        <f t="shared" si="118"/>
        <v>11847254.794858934</v>
      </c>
      <c r="D3816" s="39">
        <f t="shared" si="119"/>
        <v>12009069.205882132</v>
      </c>
    </row>
    <row r="3817" spans="2:4" x14ac:dyDescent="0.25">
      <c r="B3817" s="90">
        <v>3813</v>
      </c>
      <c r="C3817" s="39">
        <f t="shared" si="118"/>
        <v>11849902.133472485</v>
      </c>
      <c r="D3817" s="39">
        <f t="shared" si="119"/>
        <v>12012219.538832258</v>
      </c>
    </row>
    <row r="3818" spans="2:4" x14ac:dyDescent="0.25">
      <c r="B3818" s="90">
        <v>3814</v>
      </c>
      <c r="C3818" s="39">
        <f t="shared" si="118"/>
        <v>11852549.472086037</v>
      </c>
      <c r="D3818" s="39">
        <f t="shared" si="119"/>
        <v>12015369.871782385</v>
      </c>
    </row>
    <row r="3819" spans="2:4" x14ac:dyDescent="0.25">
      <c r="B3819" s="90">
        <v>3815</v>
      </c>
      <c r="C3819" s="39">
        <f t="shared" si="118"/>
        <v>11855196.81069959</v>
      </c>
      <c r="D3819" s="39">
        <f t="shared" si="119"/>
        <v>12018520.204732511</v>
      </c>
    </row>
    <row r="3820" spans="2:4" x14ac:dyDescent="0.25">
      <c r="B3820" s="90">
        <v>3816</v>
      </c>
      <c r="C3820" s="39">
        <f t="shared" si="118"/>
        <v>11857844.149313141</v>
      </c>
      <c r="D3820" s="39">
        <f t="shared" si="119"/>
        <v>12021670.537682638</v>
      </c>
    </row>
    <row r="3821" spans="2:4" x14ac:dyDescent="0.25">
      <c r="B3821" s="90">
        <v>3817</v>
      </c>
      <c r="C3821" s="39">
        <f t="shared" si="118"/>
        <v>11860491.487926692</v>
      </c>
      <c r="D3821" s="39">
        <f t="shared" si="119"/>
        <v>12024820.870632764</v>
      </c>
    </row>
    <row r="3822" spans="2:4" x14ac:dyDescent="0.25">
      <c r="B3822" s="90">
        <v>3818</v>
      </c>
      <c r="C3822" s="39">
        <f t="shared" si="118"/>
        <v>11863138.826540245</v>
      </c>
      <c r="D3822" s="39">
        <f t="shared" si="119"/>
        <v>12027971.20358289</v>
      </c>
    </row>
    <row r="3823" spans="2:4" x14ac:dyDescent="0.25">
      <c r="B3823" s="90">
        <v>3819</v>
      </c>
      <c r="C3823" s="39">
        <f t="shared" si="118"/>
        <v>11865786.165153796</v>
      </c>
      <c r="D3823" s="39">
        <f t="shared" si="119"/>
        <v>12031121.536533017</v>
      </c>
    </row>
    <row r="3824" spans="2:4" x14ac:dyDescent="0.25">
      <c r="B3824" s="90">
        <v>3820</v>
      </c>
      <c r="C3824" s="39">
        <f t="shared" si="118"/>
        <v>11868433.503767347</v>
      </c>
      <c r="D3824" s="39">
        <f t="shared" si="119"/>
        <v>12034271.869483145</v>
      </c>
    </row>
    <row r="3825" spans="2:4" x14ac:dyDescent="0.25">
      <c r="B3825" s="90">
        <v>3821</v>
      </c>
      <c r="C3825" s="39">
        <f t="shared" ref="C3825:C3888" si="120">($C$2*B3825)+$C$1</f>
        <v>11871080.8423809</v>
      </c>
      <c r="D3825" s="39">
        <f t="shared" ref="D3825:D3888" si="121">$D$2*B3825</f>
        <v>12037422.202433271</v>
      </c>
    </row>
    <row r="3826" spans="2:4" x14ac:dyDescent="0.25">
      <c r="B3826" s="90">
        <v>3822</v>
      </c>
      <c r="C3826" s="39">
        <f t="shared" si="120"/>
        <v>11873728.180994451</v>
      </c>
      <c r="D3826" s="39">
        <f t="shared" si="121"/>
        <v>12040572.535383398</v>
      </c>
    </row>
    <row r="3827" spans="2:4" x14ac:dyDescent="0.25">
      <c r="B3827" s="90">
        <v>3823</v>
      </c>
      <c r="C3827" s="39">
        <f t="shared" si="120"/>
        <v>11876375.519608002</v>
      </c>
      <c r="D3827" s="39">
        <f t="shared" si="121"/>
        <v>12043722.868333524</v>
      </c>
    </row>
    <row r="3828" spans="2:4" x14ac:dyDescent="0.25">
      <c r="B3828" s="90">
        <v>3824</v>
      </c>
      <c r="C3828" s="39">
        <f t="shared" si="120"/>
        <v>11879022.858221553</v>
      </c>
      <c r="D3828" s="39">
        <f t="shared" si="121"/>
        <v>12046873.20128365</v>
      </c>
    </row>
    <row r="3829" spans="2:4" x14ac:dyDescent="0.25">
      <c r="B3829" s="90">
        <v>3825</v>
      </c>
      <c r="C3829" s="39">
        <f t="shared" si="120"/>
        <v>11881670.196835106</v>
      </c>
      <c r="D3829" s="39">
        <f t="shared" si="121"/>
        <v>12050023.534233777</v>
      </c>
    </row>
    <row r="3830" spans="2:4" x14ac:dyDescent="0.25">
      <c r="B3830" s="90">
        <v>3826</v>
      </c>
      <c r="C3830" s="39">
        <f t="shared" si="120"/>
        <v>11884317.535448657</v>
      </c>
      <c r="D3830" s="39">
        <f t="shared" si="121"/>
        <v>12053173.867183903</v>
      </c>
    </row>
    <row r="3831" spans="2:4" x14ac:dyDescent="0.25">
      <c r="B3831" s="90">
        <v>3827</v>
      </c>
      <c r="C3831" s="39">
        <f t="shared" si="120"/>
        <v>11886964.874062208</v>
      </c>
      <c r="D3831" s="39">
        <f t="shared" si="121"/>
        <v>12056324.20013403</v>
      </c>
    </row>
    <row r="3832" spans="2:4" x14ac:dyDescent="0.25">
      <c r="B3832" s="90">
        <v>3828</v>
      </c>
      <c r="C3832" s="39">
        <f t="shared" si="120"/>
        <v>11889612.212675761</v>
      </c>
      <c r="D3832" s="39">
        <f t="shared" si="121"/>
        <v>12059474.533084156</v>
      </c>
    </row>
    <row r="3833" spans="2:4" x14ac:dyDescent="0.25">
      <c r="B3833" s="90">
        <v>3829</v>
      </c>
      <c r="C3833" s="39">
        <f t="shared" si="120"/>
        <v>11892259.551289313</v>
      </c>
      <c r="D3833" s="39">
        <f t="shared" si="121"/>
        <v>12062624.866034282</v>
      </c>
    </row>
    <row r="3834" spans="2:4" x14ac:dyDescent="0.25">
      <c r="B3834" s="90">
        <v>3830</v>
      </c>
      <c r="C3834" s="39">
        <f t="shared" si="120"/>
        <v>11894906.889902864</v>
      </c>
      <c r="D3834" s="39">
        <f t="shared" si="121"/>
        <v>12065775.198984409</v>
      </c>
    </row>
    <row r="3835" spans="2:4" x14ac:dyDescent="0.25">
      <c r="B3835" s="90">
        <v>3831</v>
      </c>
      <c r="C3835" s="39">
        <f t="shared" si="120"/>
        <v>11897554.228516417</v>
      </c>
      <c r="D3835" s="39">
        <f t="shared" si="121"/>
        <v>12068925.531934535</v>
      </c>
    </row>
    <row r="3836" spans="2:4" x14ac:dyDescent="0.25">
      <c r="B3836" s="90">
        <v>3832</v>
      </c>
      <c r="C3836" s="39">
        <f t="shared" si="120"/>
        <v>11900201.567129968</v>
      </c>
      <c r="D3836" s="39">
        <f t="shared" si="121"/>
        <v>12072075.864884662</v>
      </c>
    </row>
    <row r="3837" spans="2:4" x14ac:dyDescent="0.25">
      <c r="B3837" s="90">
        <v>3833</v>
      </c>
      <c r="C3837" s="39">
        <f t="shared" si="120"/>
        <v>11902848.905743519</v>
      </c>
      <c r="D3837" s="39">
        <f t="shared" si="121"/>
        <v>12075226.197834788</v>
      </c>
    </row>
    <row r="3838" spans="2:4" x14ac:dyDescent="0.25">
      <c r="B3838" s="90">
        <v>3834</v>
      </c>
      <c r="C3838" s="39">
        <f t="shared" si="120"/>
        <v>11905496.24435707</v>
      </c>
      <c r="D3838" s="39">
        <f t="shared" si="121"/>
        <v>12078376.530784914</v>
      </c>
    </row>
    <row r="3839" spans="2:4" x14ac:dyDescent="0.25">
      <c r="B3839" s="90">
        <v>3835</v>
      </c>
      <c r="C3839" s="39">
        <f t="shared" si="120"/>
        <v>11908143.582970623</v>
      </c>
      <c r="D3839" s="39">
        <f t="shared" si="121"/>
        <v>12081526.863735041</v>
      </c>
    </row>
    <row r="3840" spans="2:4" x14ac:dyDescent="0.25">
      <c r="B3840" s="90">
        <v>3836</v>
      </c>
      <c r="C3840" s="39">
        <f t="shared" si="120"/>
        <v>11910790.921584174</v>
      </c>
      <c r="D3840" s="39">
        <f t="shared" si="121"/>
        <v>12084677.196685167</v>
      </c>
    </row>
    <row r="3841" spans="2:4" x14ac:dyDescent="0.25">
      <c r="B3841" s="90">
        <v>3837</v>
      </c>
      <c r="C3841" s="39">
        <f t="shared" si="120"/>
        <v>11913438.260197725</v>
      </c>
      <c r="D3841" s="39">
        <f t="shared" si="121"/>
        <v>12087827.529635293</v>
      </c>
    </row>
    <row r="3842" spans="2:4" x14ac:dyDescent="0.25">
      <c r="B3842" s="90">
        <v>3838</v>
      </c>
      <c r="C3842" s="39">
        <f t="shared" si="120"/>
        <v>11916085.598811278</v>
      </c>
      <c r="D3842" s="39">
        <f t="shared" si="121"/>
        <v>12090977.86258542</v>
      </c>
    </row>
    <row r="3843" spans="2:4" x14ac:dyDescent="0.25">
      <c r="B3843" s="90">
        <v>3839</v>
      </c>
      <c r="C3843" s="39">
        <f t="shared" si="120"/>
        <v>11918732.937424829</v>
      </c>
      <c r="D3843" s="39">
        <f t="shared" si="121"/>
        <v>12094128.195535548</v>
      </c>
    </row>
    <row r="3844" spans="2:4" x14ac:dyDescent="0.25">
      <c r="B3844" s="90">
        <v>3840</v>
      </c>
      <c r="C3844" s="39">
        <f t="shared" si="120"/>
        <v>11921380.27603838</v>
      </c>
      <c r="D3844" s="39">
        <f t="shared" si="121"/>
        <v>12097278.528485674</v>
      </c>
    </row>
    <row r="3845" spans="2:4" x14ac:dyDescent="0.25">
      <c r="B3845" s="90">
        <v>3841</v>
      </c>
      <c r="C3845" s="39">
        <f t="shared" si="120"/>
        <v>11924027.614651931</v>
      </c>
      <c r="D3845" s="39">
        <f t="shared" si="121"/>
        <v>12100428.861435801</v>
      </c>
    </row>
    <row r="3846" spans="2:4" x14ac:dyDescent="0.25">
      <c r="B3846" s="90">
        <v>3842</v>
      </c>
      <c r="C3846" s="39">
        <f t="shared" si="120"/>
        <v>11926674.953265484</v>
      </c>
      <c r="D3846" s="39">
        <f t="shared" si="121"/>
        <v>12103579.194385927</v>
      </c>
    </row>
    <row r="3847" spans="2:4" x14ac:dyDescent="0.25">
      <c r="B3847" s="90">
        <v>3843</v>
      </c>
      <c r="C3847" s="39">
        <f t="shared" si="120"/>
        <v>11929322.291879036</v>
      </c>
      <c r="D3847" s="39">
        <f t="shared" si="121"/>
        <v>12106729.527336054</v>
      </c>
    </row>
    <row r="3848" spans="2:4" x14ac:dyDescent="0.25">
      <c r="B3848" s="90">
        <v>3844</v>
      </c>
      <c r="C3848" s="39">
        <f t="shared" si="120"/>
        <v>11931969.630492587</v>
      </c>
      <c r="D3848" s="39">
        <f t="shared" si="121"/>
        <v>12109879.86028618</v>
      </c>
    </row>
    <row r="3849" spans="2:4" x14ac:dyDescent="0.25">
      <c r="B3849" s="90">
        <v>3845</v>
      </c>
      <c r="C3849" s="39">
        <f t="shared" si="120"/>
        <v>11934616.96910614</v>
      </c>
      <c r="D3849" s="39">
        <f t="shared" si="121"/>
        <v>12113030.193236306</v>
      </c>
    </row>
    <row r="3850" spans="2:4" x14ac:dyDescent="0.25">
      <c r="B3850" s="90">
        <v>3846</v>
      </c>
      <c r="C3850" s="39">
        <f t="shared" si="120"/>
        <v>11937264.307719691</v>
      </c>
      <c r="D3850" s="39">
        <f t="shared" si="121"/>
        <v>12116180.526186433</v>
      </c>
    </row>
    <row r="3851" spans="2:4" x14ac:dyDescent="0.25">
      <c r="B3851" s="90">
        <v>3847</v>
      </c>
      <c r="C3851" s="39">
        <f t="shared" si="120"/>
        <v>11939911.646333242</v>
      </c>
      <c r="D3851" s="39">
        <f t="shared" si="121"/>
        <v>12119330.859136559</v>
      </c>
    </row>
    <row r="3852" spans="2:4" x14ac:dyDescent="0.25">
      <c r="B3852" s="90">
        <v>3848</v>
      </c>
      <c r="C3852" s="39">
        <f t="shared" si="120"/>
        <v>11942558.984946795</v>
      </c>
      <c r="D3852" s="39">
        <f t="shared" si="121"/>
        <v>12122481.192086685</v>
      </c>
    </row>
    <row r="3853" spans="2:4" x14ac:dyDescent="0.25">
      <c r="B3853" s="90">
        <v>3849</v>
      </c>
      <c r="C3853" s="39">
        <f t="shared" si="120"/>
        <v>11945206.323560346</v>
      </c>
      <c r="D3853" s="39">
        <f t="shared" si="121"/>
        <v>12125631.525036812</v>
      </c>
    </row>
    <row r="3854" spans="2:4" x14ac:dyDescent="0.25">
      <c r="B3854" s="90">
        <v>3850</v>
      </c>
      <c r="C3854" s="39">
        <f t="shared" si="120"/>
        <v>11947853.662173897</v>
      </c>
      <c r="D3854" s="39">
        <f t="shared" si="121"/>
        <v>12128781.857986938</v>
      </c>
    </row>
    <row r="3855" spans="2:4" x14ac:dyDescent="0.25">
      <c r="B3855" s="90">
        <v>3851</v>
      </c>
      <c r="C3855" s="39">
        <f t="shared" si="120"/>
        <v>11950501.000787448</v>
      </c>
      <c r="D3855" s="39">
        <f t="shared" si="121"/>
        <v>12131932.190937065</v>
      </c>
    </row>
    <row r="3856" spans="2:4" x14ac:dyDescent="0.25">
      <c r="B3856" s="90">
        <v>3852</v>
      </c>
      <c r="C3856" s="39">
        <f t="shared" si="120"/>
        <v>11953148.339401001</v>
      </c>
      <c r="D3856" s="39">
        <f t="shared" si="121"/>
        <v>12135082.523887191</v>
      </c>
    </row>
    <row r="3857" spans="2:4" x14ac:dyDescent="0.25">
      <c r="B3857" s="90">
        <v>3853</v>
      </c>
      <c r="C3857" s="39">
        <f t="shared" si="120"/>
        <v>11955795.678014552</v>
      </c>
      <c r="D3857" s="39">
        <f t="shared" si="121"/>
        <v>12138232.856837317</v>
      </c>
    </row>
    <row r="3858" spans="2:4" x14ac:dyDescent="0.25">
      <c r="B3858" s="90">
        <v>3854</v>
      </c>
      <c r="C3858" s="39">
        <f t="shared" si="120"/>
        <v>11958443.016628103</v>
      </c>
      <c r="D3858" s="39">
        <f t="shared" si="121"/>
        <v>12141383.189787444</v>
      </c>
    </row>
    <row r="3859" spans="2:4" x14ac:dyDescent="0.25">
      <c r="B3859" s="90">
        <v>3855</v>
      </c>
      <c r="C3859" s="39">
        <f t="shared" si="120"/>
        <v>11961090.355241656</v>
      </c>
      <c r="D3859" s="39">
        <f t="shared" si="121"/>
        <v>12144533.52273757</v>
      </c>
    </row>
    <row r="3860" spans="2:4" x14ac:dyDescent="0.25">
      <c r="B3860" s="90">
        <v>3856</v>
      </c>
      <c r="C3860" s="39">
        <f t="shared" si="120"/>
        <v>11963737.693855207</v>
      </c>
      <c r="D3860" s="39">
        <f t="shared" si="121"/>
        <v>12147683.855687696</v>
      </c>
    </row>
    <row r="3861" spans="2:4" x14ac:dyDescent="0.25">
      <c r="B3861" s="90">
        <v>3857</v>
      </c>
      <c r="C3861" s="39">
        <f t="shared" si="120"/>
        <v>11966385.032468759</v>
      </c>
      <c r="D3861" s="39">
        <f t="shared" si="121"/>
        <v>12150834.188637823</v>
      </c>
    </row>
    <row r="3862" spans="2:4" x14ac:dyDescent="0.25">
      <c r="B3862" s="90">
        <v>3858</v>
      </c>
      <c r="C3862" s="39">
        <f t="shared" si="120"/>
        <v>11969032.371082311</v>
      </c>
      <c r="D3862" s="39">
        <f t="shared" si="121"/>
        <v>12153984.521587951</v>
      </c>
    </row>
    <row r="3863" spans="2:4" x14ac:dyDescent="0.25">
      <c r="B3863" s="90">
        <v>3859</v>
      </c>
      <c r="C3863" s="39">
        <f t="shared" si="120"/>
        <v>11971679.709695863</v>
      </c>
      <c r="D3863" s="39">
        <f t="shared" si="121"/>
        <v>12157134.854538077</v>
      </c>
    </row>
    <row r="3864" spans="2:4" x14ac:dyDescent="0.25">
      <c r="B3864" s="90">
        <v>3860</v>
      </c>
      <c r="C3864" s="39">
        <f t="shared" si="120"/>
        <v>11974327.048309414</v>
      </c>
      <c r="D3864" s="39">
        <f t="shared" si="121"/>
        <v>12160285.187488204</v>
      </c>
    </row>
    <row r="3865" spans="2:4" x14ac:dyDescent="0.25">
      <c r="B3865" s="90">
        <v>3861</v>
      </c>
      <c r="C3865" s="39">
        <f t="shared" si="120"/>
        <v>11976974.386922965</v>
      </c>
      <c r="D3865" s="39">
        <f t="shared" si="121"/>
        <v>12163435.52043833</v>
      </c>
    </row>
    <row r="3866" spans="2:4" x14ac:dyDescent="0.25">
      <c r="B3866" s="90">
        <v>3862</v>
      </c>
      <c r="C3866" s="39">
        <f t="shared" si="120"/>
        <v>11979621.725536518</v>
      </c>
      <c r="D3866" s="39">
        <f t="shared" si="121"/>
        <v>12166585.853388457</v>
      </c>
    </row>
    <row r="3867" spans="2:4" x14ac:dyDescent="0.25">
      <c r="B3867" s="90">
        <v>3863</v>
      </c>
      <c r="C3867" s="39">
        <f t="shared" si="120"/>
        <v>11982269.064150069</v>
      </c>
      <c r="D3867" s="39">
        <f t="shared" si="121"/>
        <v>12169736.186338583</v>
      </c>
    </row>
    <row r="3868" spans="2:4" x14ac:dyDescent="0.25">
      <c r="B3868" s="90">
        <v>3864</v>
      </c>
      <c r="C3868" s="39">
        <f t="shared" si="120"/>
        <v>11984916.40276362</v>
      </c>
      <c r="D3868" s="39">
        <f t="shared" si="121"/>
        <v>12172886.519288709</v>
      </c>
    </row>
    <row r="3869" spans="2:4" x14ac:dyDescent="0.25">
      <c r="B3869" s="90">
        <v>3865</v>
      </c>
      <c r="C3869" s="39">
        <f t="shared" si="120"/>
        <v>11987563.741377173</v>
      </c>
      <c r="D3869" s="39">
        <f t="shared" si="121"/>
        <v>12176036.852238836</v>
      </c>
    </row>
    <row r="3870" spans="2:4" x14ac:dyDescent="0.25">
      <c r="B3870" s="90">
        <v>3866</v>
      </c>
      <c r="C3870" s="39">
        <f t="shared" si="120"/>
        <v>11990211.079990724</v>
      </c>
      <c r="D3870" s="39">
        <f t="shared" si="121"/>
        <v>12179187.185188962</v>
      </c>
    </row>
    <row r="3871" spans="2:4" x14ac:dyDescent="0.25">
      <c r="B3871" s="90">
        <v>3867</v>
      </c>
      <c r="C3871" s="39">
        <f t="shared" si="120"/>
        <v>11992858.418604275</v>
      </c>
      <c r="D3871" s="39">
        <f t="shared" si="121"/>
        <v>12182337.518139089</v>
      </c>
    </row>
    <row r="3872" spans="2:4" x14ac:dyDescent="0.25">
      <c r="B3872" s="90">
        <v>3868</v>
      </c>
      <c r="C3872" s="39">
        <f t="shared" si="120"/>
        <v>11995505.757217826</v>
      </c>
      <c r="D3872" s="39">
        <f t="shared" si="121"/>
        <v>12185487.851089215</v>
      </c>
    </row>
    <row r="3873" spans="2:4" x14ac:dyDescent="0.25">
      <c r="B3873" s="90">
        <v>3869</v>
      </c>
      <c r="C3873" s="39">
        <f t="shared" si="120"/>
        <v>11998153.095831379</v>
      </c>
      <c r="D3873" s="39">
        <f t="shared" si="121"/>
        <v>12188638.184039341</v>
      </c>
    </row>
    <row r="3874" spans="2:4" x14ac:dyDescent="0.25">
      <c r="B3874" s="90">
        <v>3870</v>
      </c>
      <c r="C3874" s="39">
        <f t="shared" si="120"/>
        <v>12000800.43444493</v>
      </c>
      <c r="D3874" s="39">
        <f t="shared" si="121"/>
        <v>12191788.516989468</v>
      </c>
    </row>
    <row r="3875" spans="2:4" x14ac:dyDescent="0.25">
      <c r="B3875" s="90">
        <v>3871</v>
      </c>
      <c r="C3875" s="39">
        <f t="shared" si="120"/>
        <v>12003447.773058482</v>
      </c>
      <c r="D3875" s="39">
        <f t="shared" si="121"/>
        <v>12194938.849939594</v>
      </c>
    </row>
    <row r="3876" spans="2:4" x14ac:dyDescent="0.25">
      <c r="B3876" s="90">
        <v>3872</v>
      </c>
      <c r="C3876" s="39">
        <f t="shared" si="120"/>
        <v>12006095.111672034</v>
      </c>
      <c r="D3876" s="39">
        <f t="shared" si="121"/>
        <v>12198089.18288972</v>
      </c>
    </row>
    <row r="3877" spans="2:4" x14ac:dyDescent="0.25">
      <c r="B3877" s="90">
        <v>3873</v>
      </c>
      <c r="C3877" s="39">
        <f t="shared" si="120"/>
        <v>12008742.450285586</v>
      </c>
      <c r="D3877" s="39">
        <f t="shared" si="121"/>
        <v>12201239.515839847</v>
      </c>
    </row>
    <row r="3878" spans="2:4" x14ac:dyDescent="0.25">
      <c r="B3878" s="90">
        <v>3874</v>
      </c>
      <c r="C3878" s="39">
        <f t="shared" si="120"/>
        <v>12011389.788899137</v>
      </c>
      <c r="D3878" s="39">
        <f t="shared" si="121"/>
        <v>12204389.848789973</v>
      </c>
    </row>
    <row r="3879" spans="2:4" x14ac:dyDescent="0.25">
      <c r="B3879" s="90">
        <v>3875</v>
      </c>
      <c r="C3879" s="39">
        <f t="shared" si="120"/>
        <v>12014037.12751269</v>
      </c>
      <c r="D3879" s="39">
        <f t="shared" si="121"/>
        <v>12207540.1817401</v>
      </c>
    </row>
    <row r="3880" spans="2:4" x14ac:dyDescent="0.25">
      <c r="B3880" s="90">
        <v>3876</v>
      </c>
      <c r="C3880" s="39">
        <f t="shared" si="120"/>
        <v>12016684.466126241</v>
      </c>
      <c r="D3880" s="39">
        <f t="shared" si="121"/>
        <v>12210690.514690226</v>
      </c>
    </row>
    <row r="3881" spans="2:4" x14ac:dyDescent="0.25">
      <c r="B3881" s="90">
        <v>3877</v>
      </c>
      <c r="C3881" s="39">
        <f t="shared" si="120"/>
        <v>12019331.804739792</v>
      </c>
      <c r="D3881" s="39">
        <f t="shared" si="121"/>
        <v>12213840.847640354</v>
      </c>
    </row>
    <row r="3882" spans="2:4" x14ac:dyDescent="0.25">
      <c r="B3882" s="90">
        <v>3878</v>
      </c>
      <c r="C3882" s="39">
        <f t="shared" si="120"/>
        <v>12021979.143353343</v>
      </c>
      <c r="D3882" s="39">
        <f t="shared" si="121"/>
        <v>12216991.180590481</v>
      </c>
    </row>
    <row r="3883" spans="2:4" x14ac:dyDescent="0.25">
      <c r="B3883" s="90">
        <v>3879</v>
      </c>
      <c r="C3883" s="39">
        <f t="shared" si="120"/>
        <v>12024626.481966896</v>
      </c>
      <c r="D3883" s="39">
        <f t="shared" si="121"/>
        <v>12220141.513540607</v>
      </c>
    </row>
    <row r="3884" spans="2:4" x14ac:dyDescent="0.25">
      <c r="B3884" s="90">
        <v>3880</v>
      </c>
      <c r="C3884" s="39">
        <f t="shared" si="120"/>
        <v>12027273.820580447</v>
      </c>
      <c r="D3884" s="39">
        <f t="shared" si="121"/>
        <v>12223291.846490733</v>
      </c>
    </row>
    <row r="3885" spans="2:4" x14ac:dyDescent="0.25">
      <c r="B3885" s="90">
        <v>3881</v>
      </c>
      <c r="C3885" s="39">
        <f t="shared" si="120"/>
        <v>12029921.159193998</v>
      </c>
      <c r="D3885" s="39">
        <f t="shared" si="121"/>
        <v>12226442.17944086</v>
      </c>
    </row>
    <row r="3886" spans="2:4" x14ac:dyDescent="0.25">
      <c r="B3886" s="90">
        <v>3882</v>
      </c>
      <c r="C3886" s="39">
        <f t="shared" si="120"/>
        <v>12032568.497807551</v>
      </c>
      <c r="D3886" s="39">
        <f t="shared" si="121"/>
        <v>12229592.512390986</v>
      </c>
    </row>
    <row r="3887" spans="2:4" x14ac:dyDescent="0.25">
      <c r="B3887" s="90">
        <v>3883</v>
      </c>
      <c r="C3887" s="39">
        <f t="shared" si="120"/>
        <v>12035215.836421102</v>
      </c>
      <c r="D3887" s="39">
        <f t="shared" si="121"/>
        <v>12232742.845341112</v>
      </c>
    </row>
    <row r="3888" spans="2:4" x14ac:dyDescent="0.25">
      <c r="B3888" s="90">
        <v>3884</v>
      </c>
      <c r="C3888" s="39">
        <f t="shared" si="120"/>
        <v>12037863.175034653</v>
      </c>
      <c r="D3888" s="39">
        <f t="shared" si="121"/>
        <v>12235893.178291239</v>
      </c>
    </row>
    <row r="3889" spans="2:4" x14ac:dyDescent="0.25">
      <c r="B3889" s="90">
        <v>3885</v>
      </c>
      <c r="C3889" s="39">
        <f t="shared" ref="C3889:C3952" si="122">($C$2*B3889)+$C$1</f>
        <v>12040510.513648206</v>
      </c>
      <c r="D3889" s="39">
        <f t="shared" ref="D3889:D3952" si="123">$D$2*B3889</f>
        <v>12239043.511241365</v>
      </c>
    </row>
    <row r="3890" spans="2:4" x14ac:dyDescent="0.25">
      <c r="B3890" s="90">
        <v>3886</v>
      </c>
      <c r="C3890" s="39">
        <f t="shared" si="122"/>
        <v>12043157.852261757</v>
      </c>
      <c r="D3890" s="39">
        <f t="shared" si="123"/>
        <v>12242193.844191492</v>
      </c>
    </row>
    <row r="3891" spans="2:4" x14ac:dyDescent="0.25">
      <c r="B3891" s="90">
        <v>3887</v>
      </c>
      <c r="C3891" s="39">
        <f t="shared" si="122"/>
        <v>12045805.190875309</v>
      </c>
      <c r="D3891" s="39">
        <f t="shared" si="123"/>
        <v>12245344.177141618</v>
      </c>
    </row>
    <row r="3892" spans="2:4" x14ac:dyDescent="0.25">
      <c r="B3892" s="90">
        <v>3888</v>
      </c>
      <c r="C3892" s="39">
        <f t="shared" si="122"/>
        <v>12048452.52948886</v>
      </c>
      <c r="D3892" s="39">
        <f t="shared" si="123"/>
        <v>12248494.510091744</v>
      </c>
    </row>
    <row r="3893" spans="2:4" x14ac:dyDescent="0.25">
      <c r="B3893" s="90">
        <v>3889</v>
      </c>
      <c r="C3893" s="39">
        <f t="shared" si="122"/>
        <v>12051099.868102413</v>
      </c>
      <c r="D3893" s="39">
        <f t="shared" si="123"/>
        <v>12251644.843041871</v>
      </c>
    </row>
    <row r="3894" spans="2:4" x14ac:dyDescent="0.25">
      <c r="B3894" s="90">
        <v>3890</v>
      </c>
      <c r="C3894" s="39">
        <f t="shared" si="122"/>
        <v>12053747.206715964</v>
      </c>
      <c r="D3894" s="39">
        <f t="shared" si="123"/>
        <v>12254795.175991997</v>
      </c>
    </row>
    <row r="3895" spans="2:4" x14ac:dyDescent="0.25">
      <c r="B3895" s="90">
        <v>3891</v>
      </c>
      <c r="C3895" s="39">
        <f t="shared" si="122"/>
        <v>12056394.545329515</v>
      </c>
      <c r="D3895" s="39">
        <f t="shared" si="123"/>
        <v>12257945.508942124</v>
      </c>
    </row>
    <row r="3896" spans="2:4" x14ac:dyDescent="0.25">
      <c r="B3896" s="90">
        <v>3892</v>
      </c>
      <c r="C3896" s="39">
        <f t="shared" si="122"/>
        <v>12059041.883943068</v>
      </c>
      <c r="D3896" s="39">
        <f t="shared" si="123"/>
        <v>12261095.84189225</v>
      </c>
    </row>
    <row r="3897" spans="2:4" x14ac:dyDescent="0.25">
      <c r="B3897" s="90">
        <v>3893</v>
      </c>
      <c r="C3897" s="39">
        <f t="shared" si="122"/>
        <v>12061689.222556619</v>
      </c>
      <c r="D3897" s="39">
        <f t="shared" si="123"/>
        <v>12264246.174842376</v>
      </c>
    </row>
    <row r="3898" spans="2:4" x14ac:dyDescent="0.25">
      <c r="B3898" s="90">
        <v>3894</v>
      </c>
      <c r="C3898" s="39">
        <f t="shared" si="122"/>
        <v>12064336.56117017</v>
      </c>
      <c r="D3898" s="39">
        <f t="shared" si="123"/>
        <v>12267396.507792503</v>
      </c>
    </row>
    <row r="3899" spans="2:4" x14ac:dyDescent="0.25">
      <c r="B3899" s="90">
        <v>3895</v>
      </c>
      <c r="C3899" s="39">
        <f t="shared" si="122"/>
        <v>12066983.899783721</v>
      </c>
      <c r="D3899" s="39">
        <f t="shared" si="123"/>
        <v>12270546.840742629</v>
      </c>
    </row>
    <row r="3900" spans="2:4" x14ac:dyDescent="0.25">
      <c r="B3900" s="90">
        <v>3896</v>
      </c>
      <c r="C3900" s="39">
        <f t="shared" si="122"/>
        <v>12069631.238397274</v>
      </c>
      <c r="D3900" s="39">
        <f t="shared" si="123"/>
        <v>12273697.173692757</v>
      </c>
    </row>
    <row r="3901" spans="2:4" x14ac:dyDescent="0.25">
      <c r="B3901" s="90">
        <v>3897</v>
      </c>
      <c r="C3901" s="39">
        <f t="shared" si="122"/>
        <v>12072278.577010825</v>
      </c>
      <c r="D3901" s="39">
        <f t="shared" si="123"/>
        <v>12276847.506642884</v>
      </c>
    </row>
    <row r="3902" spans="2:4" x14ac:dyDescent="0.25">
      <c r="B3902" s="90">
        <v>3898</v>
      </c>
      <c r="C3902" s="39">
        <f t="shared" si="122"/>
        <v>12074925.915624376</v>
      </c>
      <c r="D3902" s="39">
        <f t="shared" si="123"/>
        <v>12279997.83959301</v>
      </c>
    </row>
    <row r="3903" spans="2:4" x14ac:dyDescent="0.25">
      <c r="B3903" s="90">
        <v>3899</v>
      </c>
      <c r="C3903" s="39">
        <f t="shared" si="122"/>
        <v>12077573.254237929</v>
      </c>
      <c r="D3903" s="39">
        <f t="shared" si="123"/>
        <v>12283148.172543136</v>
      </c>
    </row>
    <row r="3904" spans="2:4" x14ac:dyDescent="0.25">
      <c r="B3904" s="90">
        <v>3900</v>
      </c>
      <c r="C3904" s="39">
        <f t="shared" si="122"/>
        <v>12080220.59285148</v>
      </c>
      <c r="D3904" s="39">
        <f t="shared" si="123"/>
        <v>12286298.505493263</v>
      </c>
    </row>
    <row r="3905" spans="2:4" x14ac:dyDescent="0.25">
      <c r="B3905" s="90">
        <v>3901</v>
      </c>
      <c r="C3905" s="39">
        <f t="shared" si="122"/>
        <v>12082867.931465032</v>
      </c>
      <c r="D3905" s="39">
        <f t="shared" si="123"/>
        <v>12289448.838443389</v>
      </c>
    </row>
    <row r="3906" spans="2:4" x14ac:dyDescent="0.25">
      <c r="B3906" s="90">
        <v>3902</v>
      </c>
      <c r="C3906" s="39">
        <f t="shared" si="122"/>
        <v>12085515.270078585</v>
      </c>
      <c r="D3906" s="39">
        <f t="shared" si="123"/>
        <v>12292599.171393516</v>
      </c>
    </row>
    <row r="3907" spans="2:4" x14ac:dyDescent="0.25">
      <c r="B3907" s="90">
        <v>3903</v>
      </c>
      <c r="C3907" s="39">
        <f t="shared" si="122"/>
        <v>12088162.608692136</v>
      </c>
      <c r="D3907" s="39">
        <f t="shared" si="123"/>
        <v>12295749.504343642</v>
      </c>
    </row>
    <row r="3908" spans="2:4" x14ac:dyDescent="0.25">
      <c r="B3908" s="90">
        <v>3904</v>
      </c>
      <c r="C3908" s="39">
        <f t="shared" si="122"/>
        <v>12090809.947305687</v>
      </c>
      <c r="D3908" s="39">
        <f t="shared" si="123"/>
        <v>12298899.837293768</v>
      </c>
    </row>
    <row r="3909" spans="2:4" x14ac:dyDescent="0.25">
      <c r="B3909" s="90">
        <v>3905</v>
      </c>
      <c r="C3909" s="39">
        <f t="shared" si="122"/>
        <v>12093457.285919238</v>
      </c>
      <c r="D3909" s="39">
        <f t="shared" si="123"/>
        <v>12302050.170243895</v>
      </c>
    </row>
    <row r="3910" spans="2:4" x14ac:dyDescent="0.25">
      <c r="B3910" s="90">
        <v>3906</v>
      </c>
      <c r="C3910" s="39">
        <f t="shared" si="122"/>
        <v>12096104.624532791</v>
      </c>
      <c r="D3910" s="39">
        <f t="shared" si="123"/>
        <v>12305200.503194021</v>
      </c>
    </row>
    <row r="3911" spans="2:4" x14ac:dyDescent="0.25">
      <c r="B3911" s="90">
        <v>3907</v>
      </c>
      <c r="C3911" s="39">
        <f t="shared" si="122"/>
        <v>12098751.963146342</v>
      </c>
      <c r="D3911" s="39">
        <f t="shared" si="123"/>
        <v>12308350.836144147</v>
      </c>
    </row>
    <row r="3912" spans="2:4" x14ac:dyDescent="0.25">
      <c r="B3912" s="90">
        <v>3908</v>
      </c>
      <c r="C3912" s="39">
        <f t="shared" si="122"/>
        <v>12101399.301759893</v>
      </c>
      <c r="D3912" s="39">
        <f t="shared" si="123"/>
        <v>12311501.169094274</v>
      </c>
    </row>
    <row r="3913" spans="2:4" x14ac:dyDescent="0.25">
      <c r="B3913" s="90">
        <v>3909</v>
      </c>
      <c r="C3913" s="39">
        <f t="shared" si="122"/>
        <v>12104046.640373446</v>
      </c>
      <c r="D3913" s="39">
        <f t="shared" si="123"/>
        <v>12314651.5020444</v>
      </c>
    </row>
    <row r="3914" spans="2:4" x14ac:dyDescent="0.25">
      <c r="B3914" s="90">
        <v>3910</v>
      </c>
      <c r="C3914" s="39">
        <f t="shared" si="122"/>
        <v>12106693.978986997</v>
      </c>
      <c r="D3914" s="39">
        <f t="shared" si="123"/>
        <v>12317801.834994527</v>
      </c>
    </row>
    <row r="3915" spans="2:4" x14ac:dyDescent="0.25">
      <c r="B3915" s="90">
        <v>3911</v>
      </c>
      <c r="C3915" s="39">
        <f t="shared" si="122"/>
        <v>12109341.317600548</v>
      </c>
      <c r="D3915" s="39">
        <f t="shared" si="123"/>
        <v>12320952.167944653</v>
      </c>
    </row>
    <row r="3916" spans="2:4" x14ac:dyDescent="0.25">
      <c r="B3916" s="90">
        <v>3912</v>
      </c>
      <c r="C3916" s="39">
        <f t="shared" si="122"/>
        <v>12111988.656214101</v>
      </c>
      <c r="D3916" s="39">
        <f t="shared" si="123"/>
        <v>12324102.500894779</v>
      </c>
    </row>
    <row r="3917" spans="2:4" x14ac:dyDescent="0.25">
      <c r="B3917" s="90">
        <v>3913</v>
      </c>
      <c r="C3917" s="39">
        <f t="shared" si="122"/>
        <v>12114635.994827652</v>
      </c>
      <c r="D3917" s="39">
        <f t="shared" si="123"/>
        <v>12327252.833844906</v>
      </c>
    </row>
    <row r="3918" spans="2:4" x14ac:dyDescent="0.25">
      <c r="B3918" s="90">
        <v>3914</v>
      </c>
      <c r="C3918" s="39">
        <f t="shared" si="122"/>
        <v>12117283.333441203</v>
      </c>
      <c r="D3918" s="39">
        <f t="shared" si="123"/>
        <v>12330403.166795032</v>
      </c>
    </row>
    <row r="3919" spans="2:4" x14ac:dyDescent="0.25">
      <c r="B3919" s="90">
        <v>3915</v>
      </c>
      <c r="C3919" s="39">
        <f t="shared" si="122"/>
        <v>12119930.672054755</v>
      </c>
      <c r="D3919" s="39">
        <f t="shared" si="123"/>
        <v>12333553.499745158</v>
      </c>
    </row>
    <row r="3920" spans="2:4" x14ac:dyDescent="0.25">
      <c r="B3920" s="90">
        <v>3916</v>
      </c>
      <c r="C3920" s="39">
        <f t="shared" si="122"/>
        <v>12122578.010668308</v>
      </c>
      <c r="D3920" s="39">
        <f t="shared" si="123"/>
        <v>12336703.832695287</v>
      </c>
    </row>
    <row r="3921" spans="2:4" x14ac:dyDescent="0.25">
      <c r="B3921" s="90">
        <v>3917</v>
      </c>
      <c r="C3921" s="39">
        <f t="shared" si="122"/>
        <v>12125225.349281859</v>
      </c>
      <c r="D3921" s="39">
        <f t="shared" si="123"/>
        <v>12339854.165645413</v>
      </c>
    </row>
    <row r="3922" spans="2:4" x14ac:dyDescent="0.25">
      <c r="B3922" s="90">
        <v>3918</v>
      </c>
      <c r="C3922" s="39">
        <f t="shared" si="122"/>
        <v>12127872.68789541</v>
      </c>
      <c r="D3922" s="39">
        <f t="shared" si="123"/>
        <v>12343004.498595539</v>
      </c>
    </row>
    <row r="3923" spans="2:4" x14ac:dyDescent="0.25">
      <c r="B3923" s="90">
        <v>3919</v>
      </c>
      <c r="C3923" s="39">
        <f t="shared" si="122"/>
        <v>12130520.026508963</v>
      </c>
      <c r="D3923" s="39">
        <f t="shared" si="123"/>
        <v>12346154.831545666</v>
      </c>
    </row>
    <row r="3924" spans="2:4" x14ac:dyDescent="0.25">
      <c r="B3924" s="90">
        <v>3920</v>
      </c>
      <c r="C3924" s="39">
        <f t="shared" si="122"/>
        <v>12133167.365122514</v>
      </c>
      <c r="D3924" s="39">
        <f t="shared" si="123"/>
        <v>12349305.164495792</v>
      </c>
    </row>
    <row r="3925" spans="2:4" x14ac:dyDescent="0.25">
      <c r="B3925" s="90">
        <v>3921</v>
      </c>
      <c r="C3925" s="39">
        <f t="shared" si="122"/>
        <v>12135814.703736065</v>
      </c>
      <c r="D3925" s="39">
        <f t="shared" si="123"/>
        <v>12352455.497445919</v>
      </c>
    </row>
    <row r="3926" spans="2:4" x14ac:dyDescent="0.25">
      <c r="B3926" s="90">
        <v>3922</v>
      </c>
      <c r="C3926" s="39">
        <f t="shared" si="122"/>
        <v>12138462.042349616</v>
      </c>
      <c r="D3926" s="39">
        <f t="shared" si="123"/>
        <v>12355605.830396045</v>
      </c>
    </row>
    <row r="3927" spans="2:4" x14ac:dyDescent="0.25">
      <c r="B3927" s="90">
        <v>3923</v>
      </c>
      <c r="C3927" s="39">
        <f t="shared" si="122"/>
        <v>12141109.380963169</v>
      </c>
      <c r="D3927" s="39">
        <f t="shared" si="123"/>
        <v>12358756.163346171</v>
      </c>
    </row>
    <row r="3928" spans="2:4" x14ac:dyDescent="0.25">
      <c r="B3928" s="90">
        <v>3924</v>
      </c>
      <c r="C3928" s="39">
        <f t="shared" si="122"/>
        <v>12143756.71957672</v>
      </c>
      <c r="D3928" s="39">
        <f t="shared" si="123"/>
        <v>12361906.496296298</v>
      </c>
    </row>
    <row r="3929" spans="2:4" x14ac:dyDescent="0.25">
      <c r="B3929" s="90">
        <v>3925</v>
      </c>
      <c r="C3929" s="39">
        <f t="shared" si="122"/>
        <v>12146404.058190271</v>
      </c>
      <c r="D3929" s="39">
        <f t="shared" si="123"/>
        <v>12365056.829246424</v>
      </c>
    </row>
    <row r="3930" spans="2:4" x14ac:dyDescent="0.25">
      <c r="B3930" s="90">
        <v>3926</v>
      </c>
      <c r="C3930" s="39">
        <f t="shared" si="122"/>
        <v>12149051.396803824</v>
      </c>
      <c r="D3930" s="39">
        <f t="shared" si="123"/>
        <v>12368207.162196551</v>
      </c>
    </row>
    <row r="3931" spans="2:4" x14ac:dyDescent="0.25">
      <c r="B3931" s="90">
        <v>3927</v>
      </c>
      <c r="C3931" s="39">
        <f t="shared" si="122"/>
        <v>12151698.735417375</v>
      </c>
      <c r="D3931" s="39">
        <f t="shared" si="123"/>
        <v>12371357.495146677</v>
      </c>
    </row>
    <row r="3932" spans="2:4" x14ac:dyDescent="0.25">
      <c r="B3932" s="90">
        <v>3928</v>
      </c>
      <c r="C3932" s="39">
        <f t="shared" si="122"/>
        <v>12154346.074030926</v>
      </c>
      <c r="D3932" s="39">
        <f t="shared" si="123"/>
        <v>12374507.828096803</v>
      </c>
    </row>
    <row r="3933" spans="2:4" x14ac:dyDescent="0.25">
      <c r="B3933" s="90">
        <v>3929</v>
      </c>
      <c r="C3933" s="39">
        <f t="shared" si="122"/>
        <v>12156993.412644479</v>
      </c>
      <c r="D3933" s="39">
        <f t="shared" si="123"/>
        <v>12377658.16104693</v>
      </c>
    </row>
    <row r="3934" spans="2:4" x14ac:dyDescent="0.25">
      <c r="B3934" s="90">
        <v>3930</v>
      </c>
      <c r="C3934" s="39">
        <f t="shared" si="122"/>
        <v>12159640.751258031</v>
      </c>
      <c r="D3934" s="39">
        <f t="shared" si="123"/>
        <v>12380808.493997056</v>
      </c>
    </row>
    <row r="3935" spans="2:4" x14ac:dyDescent="0.25">
      <c r="B3935" s="90">
        <v>3931</v>
      </c>
      <c r="C3935" s="39">
        <f t="shared" si="122"/>
        <v>12162288.089871582</v>
      </c>
      <c r="D3935" s="39">
        <f t="shared" si="123"/>
        <v>12383958.826947182</v>
      </c>
    </row>
    <row r="3936" spans="2:4" x14ac:dyDescent="0.25">
      <c r="B3936" s="90">
        <v>3932</v>
      </c>
      <c r="C3936" s="39">
        <f t="shared" si="122"/>
        <v>12164935.428485133</v>
      </c>
      <c r="D3936" s="39">
        <f t="shared" si="123"/>
        <v>12387109.159897309</v>
      </c>
    </row>
    <row r="3937" spans="2:4" x14ac:dyDescent="0.25">
      <c r="B3937" s="90">
        <v>3933</v>
      </c>
      <c r="C3937" s="39">
        <f t="shared" si="122"/>
        <v>12167582.767098686</v>
      </c>
      <c r="D3937" s="39">
        <f t="shared" si="123"/>
        <v>12390259.492847435</v>
      </c>
    </row>
    <row r="3938" spans="2:4" x14ac:dyDescent="0.25">
      <c r="B3938" s="90">
        <v>3934</v>
      </c>
      <c r="C3938" s="39">
        <f t="shared" si="122"/>
        <v>12170230.105712237</v>
      </c>
      <c r="D3938" s="39">
        <f t="shared" si="123"/>
        <v>12393409.825797562</v>
      </c>
    </row>
    <row r="3939" spans="2:4" x14ac:dyDescent="0.25">
      <c r="B3939" s="90">
        <v>3935</v>
      </c>
      <c r="C3939" s="39">
        <f t="shared" si="122"/>
        <v>12172877.444325788</v>
      </c>
      <c r="D3939" s="39">
        <f t="shared" si="123"/>
        <v>12396560.15874769</v>
      </c>
    </row>
    <row r="3940" spans="2:4" x14ac:dyDescent="0.25">
      <c r="B3940" s="90">
        <v>3936</v>
      </c>
      <c r="C3940" s="39">
        <f t="shared" si="122"/>
        <v>12175524.782939341</v>
      </c>
      <c r="D3940" s="39">
        <f t="shared" si="123"/>
        <v>12399710.491697816</v>
      </c>
    </row>
    <row r="3941" spans="2:4" x14ac:dyDescent="0.25">
      <c r="B3941" s="90">
        <v>3937</v>
      </c>
      <c r="C3941" s="39">
        <f t="shared" si="122"/>
        <v>12178172.121552892</v>
      </c>
      <c r="D3941" s="39">
        <f t="shared" si="123"/>
        <v>12402860.824647943</v>
      </c>
    </row>
    <row r="3942" spans="2:4" x14ac:dyDescent="0.25">
      <c r="B3942" s="90">
        <v>3938</v>
      </c>
      <c r="C3942" s="39">
        <f t="shared" si="122"/>
        <v>12180819.460166443</v>
      </c>
      <c r="D3942" s="39">
        <f t="shared" si="123"/>
        <v>12406011.157598069</v>
      </c>
    </row>
    <row r="3943" spans="2:4" x14ac:dyDescent="0.25">
      <c r="B3943" s="90">
        <v>3939</v>
      </c>
      <c r="C3943" s="39">
        <f t="shared" si="122"/>
        <v>12183466.798779996</v>
      </c>
      <c r="D3943" s="39">
        <f t="shared" si="123"/>
        <v>12409161.490548195</v>
      </c>
    </row>
    <row r="3944" spans="2:4" x14ac:dyDescent="0.25">
      <c r="B3944" s="90">
        <v>3940</v>
      </c>
      <c r="C3944" s="39">
        <f t="shared" si="122"/>
        <v>12186114.137393547</v>
      </c>
      <c r="D3944" s="39">
        <f t="shared" si="123"/>
        <v>12412311.823498322</v>
      </c>
    </row>
    <row r="3945" spans="2:4" x14ac:dyDescent="0.25">
      <c r="B3945" s="90">
        <v>3941</v>
      </c>
      <c r="C3945" s="39">
        <f t="shared" si="122"/>
        <v>12188761.476007098</v>
      </c>
      <c r="D3945" s="39">
        <f t="shared" si="123"/>
        <v>12415462.156448448</v>
      </c>
    </row>
    <row r="3946" spans="2:4" x14ac:dyDescent="0.25">
      <c r="B3946" s="90">
        <v>3942</v>
      </c>
      <c r="C3946" s="39">
        <f t="shared" si="122"/>
        <v>12191408.814620649</v>
      </c>
      <c r="D3946" s="39">
        <f t="shared" si="123"/>
        <v>12418612.489398574</v>
      </c>
    </row>
    <row r="3947" spans="2:4" x14ac:dyDescent="0.25">
      <c r="B3947" s="90">
        <v>3943</v>
      </c>
      <c r="C3947" s="39">
        <f t="shared" si="122"/>
        <v>12194056.153234202</v>
      </c>
      <c r="D3947" s="39">
        <f t="shared" si="123"/>
        <v>12421762.822348701</v>
      </c>
    </row>
    <row r="3948" spans="2:4" x14ac:dyDescent="0.25">
      <c r="B3948" s="90">
        <v>3944</v>
      </c>
      <c r="C3948" s="39">
        <f t="shared" si="122"/>
        <v>12196703.491847754</v>
      </c>
      <c r="D3948" s="39">
        <f t="shared" si="123"/>
        <v>12424913.155298827</v>
      </c>
    </row>
    <row r="3949" spans="2:4" x14ac:dyDescent="0.25">
      <c r="B3949" s="90">
        <v>3945</v>
      </c>
      <c r="C3949" s="39">
        <f t="shared" si="122"/>
        <v>12199350.830461305</v>
      </c>
      <c r="D3949" s="39">
        <f t="shared" si="123"/>
        <v>12428063.488248954</v>
      </c>
    </row>
    <row r="3950" spans="2:4" x14ac:dyDescent="0.25">
      <c r="B3950" s="90">
        <v>3946</v>
      </c>
      <c r="C3950" s="39">
        <f t="shared" si="122"/>
        <v>12201998.169074858</v>
      </c>
      <c r="D3950" s="39">
        <f t="shared" si="123"/>
        <v>12431213.82119908</v>
      </c>
    </row>
    <row r="3951" spans="2:4" x14ac:dyDescent="0.25">
      <c r="B3951" s="90">
        <v>3947</v>
      </c>
      <c r="C3951" s="39">
        <f t="shared" si="122"/>
        <v>12204645.507688409</v>
      </c>
      <c r="D3951" s="39">
        <f t="shared" si="123"/>
        <v>12434364.154149206</v>
      </c>
    </row>
    <row r="3952" spans="2:4" x14ac:dyDescent="0.25">
      <c r="B3952" s="90">
        <v>3948</v>
      </c>
      <c r="C3952" s="39">
        <f t="shared" si="122"/>
        <v>12207292.84630196</v>
      </c>
      <c r="D3952" s="39">
        <f t="shared" si="123"/>
        <v>12437514.487099333</v>
      </c>
    </row>
    <row r="3953" spans="2:4" x14ac:dyDescent="0.25">
      <c r="B3953" s="90">
        <v>3949</v>
      </c>
      <c r="C3953" s="39">
        <f t="shared" ref="C3953:C4016" si="124">($C$2*B3953)+$C$1</f>
        <v>12209940.184915511</v>
      </c>
      <c r="D3953" s="39">
        <f t="shared" ref="D3953:D4016" si="125">$D$2*B3953</f>
        <v>12440664.820049459</v>
      </c>
    </row>
    <row r="3954" spans="2:4" x14ac:dyDescent="0.25">
      <c r="B3954" s="90">
        <v>3950</v>
      </c>
      <c r="C3954" s="39">
        <f t="shared" si="124"/>
        <v>12212587.523529064</v>
      </c>
      <c r="D3954" s="39">
        <f t="shared" si="125"/>
        <v>12443815.152999585</v>
      </c>
    </row>
    <row r="3955" spans="2:4" x14ac:dyDescent="0.25">
      <c r="B3955" s="90">
        <v>3951</v>
      </c>
      <c r="C3955" s="39">
        <f t="shared" si="124"/>
        <v>12215234.862142615</v>
      </c>
      <c r="D3955" s="39">
        <f t="shared" si="125"/>
        <v>12446965.485949712</v>
      </c>
    </row>
    <row r="3956" spans="2:4" x14ac:dyDescent="0.25">
      <c r="B3956" s="90">
        <v>3952</v>
      </c>
      <c r="C3956" s="39">
        <f t="shared" si="124"/>
        <v>12217882.200756166</v>
      </c>
      <c r="D3956" s="39">
        <f t="shared" si="125"/>
        <v>12450115.818899838</v>
      </c>
    </row>
    <row r="3957" spans="2:4" x14ac:dyDescent="0.25">
      <c r="B3957" s="90">
        <v>3953</v>
      </c>
      <c r="C3957" s="39">
        <f t="shared" si="124"/>
        <v>12220529.539369719</v>
      </c>
      <c r="D3957" s="39">
        <f t="shared" si="125"/>
        <v>12453266.151849965</v>
      </c>
    </row>
    <row r="3958" spans="2:4" x14ac:dyDescent="0.25">
      <c r="B3958" s="90">
        <v>3954</v>
      </c>
      <c r="C3958" s="39">
        <f t="shared" si="124"/>
        <v>12223176.87798327</v>
      </c>
      <c r="D3958" s="39">
        <f t="shared" si="125"/>
        <v>12456416.484800093</v>
      </c>
    </row>
    <row r="3959" spans="2:4" x14ac:dyDescent="0.25">
      <c r="B3959" s="90">
        <v>3955</v>
      </c>
      <c r="C3959" s="39">
        <f t="shared" si="124"/>
        <v>12225824.216596821</v>
      </c>
      <c r="D3959" s="39">
        <f t="shared" si="125"/>
        <v>12459566.817750219</v>
      </c>
    </row>
    <row r="3960" spans="2:4" x14ac:dyDescent="0.25">
      <c r="B3960" s="90">
        <v>3956</v>
      </c>
      <c r="C3960" s="39">
        <f t="shared" si="124"/>
        <v>12228471.555210374</v>
      </c>
      <c r="D3960" s="39">
        <f t="shared" si="125"/>
        <v>12462717.150700346</v>
      </c>
    </row>
    <row r="3961" spans="2:4" x14ac:dyDescent="0.25">
      <c r="B3961" s="90">
        <v>3957</v>
      </c>
      <c r="C3961" s="39">
        <f t="shared" si="124"/>
        <v>12231118.893823925</v>
      </c>
      <c r="D3961" s="39">
        <f t="shared" si="125"/>
        <v>12465867.483650472</v>
      </c>
    </row>
    <row r="3962" spans="2:4" x14ac:dyDescent="0.25">
      <c r="B3962" s="90">
        <v>3958</v>
      </c>
      <c r="C3962" s="39">
        <f t="shared" si="124"/>
        <v>12233766.232437477</v>
      </c>
      <c r="D3962" s="39">
        <f t="shared" si="125"/>
        <v>12469017.816600598</v>
      </c>
    </row>
    <row r="3963" spans="2:4" x14ac:dyDescent="0.25">
      <c r="B3963" s="90">
        <v>3959</v>
      </c>
      <c r="C3963" s="39">
        <f t="shared" si="124"/>
        <v>12236413.571051028</v>
      </c>
      <c r="D3963" s="39">
        <f t="shared" si="125"/>
        <v>12472168.149550725</v>
      </c>
    </row>
    <row r="3964" spans="2:4" x14ac:dyDescent="0.25">
      <c r="B3964" s="90">
        <v>3960</v>
      </c>
      <c r="C3964" s="39">
        <f t="shared" si="124"/>
        <v>12239060.909664581</v>
      </c>
      <c r="D3964" s="39">
        <f t="shared" si="125"/>
        <v>12475318.482500851</v>
      </c>
    </row>
    <row r="3965" spans="2:4" x14ac:dyDescent="0.25">
      <c r="B3965" s="90">
        <v>3961</v>
      </c>
      <c r="C3965" s="39">
        <f t="shared" si="124"/>
        <v>12241708.248278132</v>
      </c>
      <c r="D3965" s="39">
        <f t="shared" si="125"/>
        <v>12478468.815450978</v>
      </c>
    </row>
    <row r="3966" spans="2:4" x14ac:dyDescent="0.25">
      <c r="B3966" s="90">
        <v>3962</v>
      </c>
      <c r="C3966" s="39">
        <f t="shared" si="124"/>
        <v>12244355.586891683</v>
      </c>
      <c r="D3966" s="39">
        <f t="shared" si="125"/>
        <v>12481619.148401104</v>
      </c>
    </row>
    <row r="3967" spans="2:4" x14ac:dyDescent="0.25">
      <c r="B3967" s="90">
        <v>3963</v>
      </c>
      <c r="C3967" s="39">
        <f t="shared" si="124"/>
        <v>12247002.925505236</v>
      </c>
      <c r="D3967" s="39">
        <f t="shared" si="125"/>
        <v>12484769.48135123</v>
      </c>
    </row>
    <row r="3968" spans="2:4" x14ac:dyDescent="0.25">
      <c r="B3968" s="90">
        <v>3964</v>
      </c>
      <c r="C3968" s="39">
        <f t="shared" si="124"/>
        <v>12249650.264118787</v>
      </c>
      <c r="D3968" s="39">
        <f t="shared" si="125"/>
        <v>12487919.814301357</v>
      </c>
    </row>
    <row r="3969" spans="2:4" x14ac:dyDescent="0.25">
      <c r="B3969" s="90">
        <v>3965</v>
      </c>
      <c r="C3969" s="39">
        <f t="shared" si="124"/>
        <v>12252297.602732338</v>
      </c>
      <c r="D3969" s="39">
        <f t="shared" si="125"/>
        <v>12491070.147251483</v>
      </c>
    </row>
    <row r="3970" spans="2:4" x14ac:dyDescent="0.25">
      <c r="B3970" s="90">
        <v>3966</v>
      </c>
      <c r="C3970" s="39">
        <f t="shared" si="124"/>
        <v>12254944.941345891</v>
      </c>
      <c r="D3970" s="39">
        <f t="shared" si="125"/>
        <v>12494220.480201609</v>
      </c>
    </row>
    <row r="3971" spans="2:4" x14ac:dyDescent="0.25">
      <c r="B3971" s="90">
        <v>3967</v>
      </c>
      <c r="C3971" s="39">
        <f t="shared" si="124"/>
        <v>12257592.279959442</v>
      </c>
      <c r="D3971" s="39">
        <f t="shared" si="125"/>
        <v>12497370.813151736</v>
      </c>
    </row>
    <row r="3972" spans="2:4" x14ac:dyDescent="0.25">
      <c r="B3972" s="90">
        <v>3968</v>
      </c>
      <c r="C3972" s="39">
        <f t="shared" si="124"/>
        <v>12260239.618572993</v>
      </c>
      <c r="D3972" s="39">
        <f t="shared" si="125"/>
        <v>12500521.146101862</v>
      </c>
    </row>
    <row r="3973" spans="2:4" x14ac:dyDescent="0.25">
      <c r="B3973" s="90">
        <v>3969</v>
      </c>
      <c r="C3973" s="39">
        <f t="shared" si="124"/>
        <v>12262886.957186544</v>
      </c>
      <c r="D3973" s="39">
        <f t="shared" si="125"/>
        <v>12503671.479051989</v>
      </c>
    </row>
    <row r="3974" spans="2:4" x14ac:dyDescent="0.25">
      <c r="B3974" s="90">
        <v>3970</v>
      </c>
      <c r="C3974" s="39">
        <f t="shared" si="124"/>
        <v>12265534.295800097</v>
      </c>
      <c r="D3974" s="39">
        <f t="shared" si="125"/>
        <v>12506821.812002115</v>
      </c>
    </row>
    <row r="3975" spans="2:4" x14ac:dyDescent="0.25">
      <c r="B3975" s="90">
        <v>3971</v>
      </c>
      <c r="C3975" s="39">
        <f t="shared" si="124"/>
        <v>12268181.634413648</v>
      </c>
      <c r="D3975" s="39">
        <f t="shared" si="125"/>
        <v>12509972.144952241</v>
      </c>
    </row>
    <row r="3976" spans="2:4" x14ac:dyDescent="0.25">
      <c r="B3976" s="90">
        <v>3972</v>
      </c>
      <c r="C3976" s="39">
        <f t="shared" si="124"/>
        <v>12270828.9730272</v>
      </c>
      <c r="D3976" s="39">
        <f t="shared" si="125"/>
        <v>12513122.477902368</v>
      </c>
    </row>
    <row r="3977" spans="2:4" x14ac:dyDescent="0.25">
      <c r="B3977" s="90">
        <v>3973</v>
      </c>
      <c r="C3977" s="39">
        <f t="shared" si="124"/>
        <v>12273476.311640752</v>
      </c>
      <c r="D3977" s="39">
        <f t="shared" si="125"/>
        <v>12516272.810852496</v>
      </c>
    </row>
    <row r="3978" spans="2:4" x14ac:dyDescent="0.25">
      <c r="B3978" s="90">
        <v>3974</v>
      </c>
      <c r="C3978" s="39">
        <f t="shared" si="124"/>
        <v>12276123.650254304</v>
      </c>
      <c r="D3978" s="39">
        <f t="shared" si="125"/>
        <v>12519423.143802622</v>
      </c>
    </row>
    <row r="3979" spans="2:4" x14ac:dyDescent="0.25">
      <c r="B3979" s="90">
        <v>3975</v>
      </c>
      <c r="C3979" s="39">
        <f t="shared" si="124"/>
        <v>12278770.988867855</v>
      </c>
      <c r="D3979" s="39">
        <f t="shared" si="125"/>
        <v>12522573.476752749</v>
      </c>
    </row>
    <row r="3980" spans="2:4" x14ac:dyDescent="0.25">
      <c r="B3980" s="90">
        <v>3976</v>
      </c>
      <c r="C3980" s="39">
        <f t="shared" si="124"/>
        <v>12281418.327481406</v>
      </c>
      <c r="D3980" s="39">
        <f t="shared" si="125"/>
        <v>12525723.809702875</v>
      </c>
    </row>
    <row r="3981" spans="2:4" x14ac:dyDescent="0.25">
      <c r="B3981" s="90">
        <v>3977</v>
      </c>
      <c r="C3981" s="39">
        <f t="shared" si="124"/>
        <v>12284065.666094959</v>
      </c>
      <c r="D3981" s="39">
        <f t="shared" si="125"/>
        <v>12528874.142653001</v>
      </c>
    </row>
    <row r="3982" spans="2:4" x14ac:dyDescent="0.25">
      <c r="B3982" s="90">
        <v>3978</v>
      </c>
      <c r="C3982" s="39">
        <f t="shared" si="124"/>
        <v>12286713.00470851</v>
      </c>
      <c r="D3982" s="39">
        <f t="shared" si="125"/>
        <v>12532024.475603128</v>
      </c>
    </row>
    <row r="3983" spans="2:4" x14ac:dyDescent="0.25">
      <c r="B3983" s="90">
        <v>3979</v>
      </c>
      <c r="C3983" s="39">
        <f t="shared" si="124"/>
        <v>12289360.343322061</v>
      </c>
      <c r="D3983" s="39">
        <f t="shared" si="125"/>
        <v>12535174.808553254</v>
      </c>
    </row>
    <row r="3984" spans="2:4" x14ac:dyDescent="0.25">
      <c r="B3984" s="90">
        <v>3980</v>
      </c>
      <c r="C3984" s="39">
        <f t="shared" si="124"/>
        <v>12292007.681935614</v>
      </c>
      <c r="D3984" s="39">
        <f t="shared" si="125"/>
        <v>12538325.141503381</v>
      </c>
    </row>
    <row r="3985" spans="2:4" x14ac:dyDescent="0.25">
      <c r="B3985" s="90">
        <v>3981</v>
      </c>
      <c r="C3985" s="39">
        <f t="shared" si="124"/>
        <v>12294655.020549165</v>
      </c>
      <c r="D3985" s="39">
        <f t="shared" si="125"/>
        <v>12541475.474453507</v>
      </c>
    </row>
    <row r="3986" spans="2:4" x14ac:dyDescent="0.25">
      <c r="B3986" s="90">
        <v>3982</v>
      </c>
      <c r="C3986" s="39">
        <f t="shared" si="124"/>
        <v>12297302.359162716</v>
      </c>
      <c r="D3986" s="39">
        <f t="shared" si="125"/>
        <v>12544625.807403633</v>
      </c>
    </row>
    <row r="3987" spans="2:4" x14ac:dyDescent="0.25">
      <c r="B3987" s="90">
        <v>3983</v>
      </c>
      <c r="C3987" s="39">
        <f t="shared" si="124"/>
        <v>12299949.697776269</v>
      </c>
      <c r="D3987" s="39">
        <f t="shared" si="125"/>
        <v>12547776.14035376</v>
      </c>
    </row>
    <row r="3988" spans="2:4" x14ac:dyDescent="0.25">
      <c r="B3988" s="90">
        <v>3984</v>
      </c>
      <c r="C3988" s="39">
        <f t="shared" si="124"/>
        <v>12302597.03638982</v>
      </c>
      <c r="D3988" s="39">
        <f t="shared" si="125"/>
        <v>12550926.473303886</v>
      </c>
    </row>
    <row r="3989" spans="2:4" x14ac:dyDescent="0.25">
      <c r="B3989" s="90">
        <v>3985</v>
      </c>
      <c r="C3989" s="39">
        <f t="shared" si="124"/>
        <v>12305244.375003371</v>
      </c>
      <c r="D3989" s="39">
        <f t="shared" si="125"/>
        <v>12554076.806254013</v>
      </c>
    </row>
    <row r="3990" spans="2:4" x14ac:dyDescent="0.25">
      <c r="B3990" s="90">
        <v>3986</v>
      </c>
      <c r="C3990" s="39">
        <f t="shared" si="124"/>
        <v>12307891.713616922</v>
      </c>
      <c r="D3990" s="39">
        <f t="shared" si="125"/>
        <v>12557227.139204139</v>
      </c>
    </row>
    <row r="3991" spans="2:4" x14ac:dyDescent="0.25">
      <c r="B3991" s="90">
        <v>3987</v>
      </c>
      <c r="C3991" s="39">
        <f t="shared" si="124"/>
        <v>12310539.052230475</v>
      </c>
      <c r="D3991" s="39">
        <f t="shared" si="125"/>
        <v>12560377.472154265</v>
      </c>
    </row>
    <row r="3992" spans="2:4" x14ac:dyDescent="0.25">
      <c r="B3992" s="90">
        <v>3988</v>
      </c>
      <c r="C3992" s="39">
        <f t="shared" si="124"/>
        <v>12313186.390844027</v>
      </c>
      <c r="D3992" s="39">
        <f t="shared" si="125"/>
        <v>12563527.805104392</v>
      </c>
    </row>
    <row r="3993" spans="2:4" x14ac:dyDescent="0.25">
      <c r="B3993" s="90">
        <v>3989</v>
      </c>
      <c r="C3993" s="39">
        <f t="shared" si="124"/>
        <v>12315833.729457578</v>
      </c>
      <c r="D3993" s="39">
        <f t="shared" si="125"/>
        <v>12566678.138054518</v>
      </c>
    </row>
    <row r="3994" spans="2:4" x14ac:dyDescent="0.25">
      <c r="B3994" s="90">
        <v>3990</v>
      </c>
      <c r="C3994" s="39">
        <f t="shared" si="124"/>
        <v>12318481.068071131</v>
      </c>
      <c r="D3994" s="39">
        <f t="shared" si="125"/>
        <v>12569828.471004644</v>
      </c>
    </row>
    <row r="3995" spans="2:4" x14ac:dyDescent="0.25">
      <c r="B3995" s="90">
        <v>3991</v>
      </c>
      <c r="C3995" s="39">
        <f t="shared" si="124"/>
        <v>12321128.406684682</v>
      </c>
      <c r="D3995" s="39">
        <f t="shared" si="125"/>
        <v>12572978.803954771</v>
      </c>
    </row>
    <row r="3996" spans="2:4" x14ac:dyDescent="0.25">
      <c r="B3996" s="90">
        <v>3992</v>
      </c>
      <c r="C3996" s="39">
        <f t="shared" si="124"/>
        <v>12323775.745298233</v>
      </c>
      <c r="D3996" s="39">
        <f t="shared" si="125"/>
        <v>12576129.136904899</v>
      </c>
    </row>
    <row r="3997" spans="2:4" x14ac:dyDescent="0.25">
      <c r="B3997" s="90">
        <v>3993</v>
      </c>
      <c r="C3997" s="39">
        <f t="shared" si="124"/>
        <v>12326423.083911784</v>
      </c>
      <c r="D3997" s="39">
        <f t="shared" si="125"/>
        <v>12579279.469855025</v>
      </c>
    </row>
    <row r="3998" spans="2:4" x14ac:dyDescent="0.25">
      <c r="B3998" s="90">
        <v>3994</v>
      </c>
      <c r="C3998" s="39">
        <f t="shared" si="124"/>
        <v>12329070.422525337</v>
      </c>
      <c r="D3998" s="39">
        <f t="shared" si="125"/>
        <v>12582429.802805152</v>
      </c>
    </row>
    <row r="3999" spans="2:4" x14ac:dyDescent="0.25">
      <c r="B3999" s="90">
        <v>3995</v>
      </c>
      <c r="C3999" s="39">
        <f t="shared" si="124"/>
        <v>12331717.761138888</v>
      </c>
      <c r="D3999" s="39">
        <f t="shared" si="125"/>
        <v>12585580.135755278</v>
      </c>
    </row>
    <row r="4000" spans="2:4" x14ac:dyDescent="0.25">
      <c r="B4000" s="90">
        <v>3996</v>
      </c>
      <c r="C4000" s="39">
        <f t="shared" si="124"/>
        <v>12334365.099752439</v>
      </c>
      <c r="D4000" s="39">
        <f t="shared" si="125"/>
        <v>12588730.468705405</v>
      </c>
    </row>
    <row r="4001" spans="2:4" x14ac:dyDescent="0.25">
      <c r="B4001" s="90">
        <v>3997</v>
      </c>
      <c r="C4001" s="39">
        <f t="shared" si="124"/>
        <v>12337012.438365992</v>
      </c>
      <c r="D4001" s="39">
        <f t="shared" si="125"/>
        <v>12591880.801655531</v>
      </c>
    </row>
    <row r="4002" spans="2:4" x14ac:dyDescent="0.25">
      <c r="B4002" s="90">
        <v>3998</v>
      </c>
      <c r="C4002" s="39">
        <f t="shared" si="124"/>
        <v>12339659.776979543</v>
      </c>
      <c r="D4002" s="39">
        <f t="shared" si="125"/>
        <v>12595031.134605657</v>
      </c>
    </row>
    <row r="4003" spans="2:4" x14ac:dyDescent="0.25">
      <c r="B4003" s="90">
        <v>3999</v>
      </c>
      <c r="C4003" s="39">
        <f t="shared" si="124"/>
        <v>12342307.115593094</v>
      </c>
      <c r="D4003" s="39">
        <f t="shared" si="125"/>
        <v>12598181.467555784</v>
      </c>
    </row>
    <row r="4004" spans="2:4" x14ac:dyDescent="0.25">
      <c r="B4004" s="90">
        <v>4000</v>
      </c>
      <c r="C4004" s="39">
        <f t="shared" si="124"/>
        <v>12344954.454206647</v>
      </c>
      <c r="D4004" s="39">
        <f t="shared" si="125"/>
        <v>12601331.80050591</v>
      </c>
    </row>
    <row r="4005" spans="2:4" x14ac:dyDescent="0.25">
      <c r="B4005" s="90">
        <v>4001</v>
      </c>
      <c r="C4005" s="39">
        <f t="shared" si="124"/>
        <v>12347601.792820198</v>
      </c>
      <c r="D4005" s="39">
        <f t="shared" si="125"/>
        <v>12604482.133456036</v>
      </c>
    </row>
    <row r="4006" spans="2:4" x14ac:dyDescent="0.25">
      <c r="B4006" s="90">
        <v>4002</v>
      </c>
      <c r="C4006" s="39">
        <f t="shared" si="124"/>
        <v>12350249.13143375</v>
      </c>
      <c r="D4006" s="39">
        <f t="shared" si="125"/>
        <v>12607632.466406163</v>
      </c>
    </row>
    <row r="4007" spans="2:4" x14ac:dyDescent="0.25">
      <c r="B4007" s="90">
        <v>4003</v>
      </c>
      <c r="C4007" s="39">
        <f t="shared" si="124"/>
        <v>12352896.470047301</v>
      </c>
      <c r="D4007" s="39">
        <f t="shared" si="125"/>
        <v>12610782.799356289</v>
      </c>
    </row>
    <row r="4008" spans="2:4" x14ac:dyDescent="0.25">
      <c r="B4008" s="90">
        <v>4004</v>
      </c>
      <c r="C4008" s="39">
        <f t="shared" si="124"/>
        <v>12355543.808660854</v>
      </c>
      <c r="D4008" s="39">
        <f t="shared" si="125"/>
        <v>12613933.132306416</v>
      </c>
    </row>
    <row r="4009" spans="2:4" x14ac:dyDescent="0.25">
      <c r="B4009" s="90">
        <v>4005</v>
      </c>
      <c r="C4009" s="39">
        <f t="shared" si="124"/>
        <v>12358191.147274405</v>
      </c>
      <c r="D4009" s="39">
        <f t="shared" si="125"/>
        <v>12617083.465256542</v>
      </c>
    </row>
    <row r="4010" spans="2:4" x14ac:dyDescent="0.25">
      <c r="B4010" s="90">
        <v>4006</v>
      </c>
      <c r="C4010" s="39">
        <f t="shared" si="124"/>
        <v>12360838.485887956</v>
      </c>
      <c r="D4010" s="39">
        <f t="shared" si="125"/>
        <v>12620233.798206668</v>
      </c>
    </row>
    <row r="4011" spans="2:4" x14ac:dyDescent="0.25">
      <c r="B4011" s="90">
        <v>4007</v>
      </c>
      <c r="C4011" s="39">
        <f t="shared" si="124"/>
        <v>12363485.824501509</v>
      </c>
      <c r="D4011" s="39">
        <f t="shared" si="125"/>
        <v>12623384.131156795</v>
      </c>
    </row>
    <row r="4012" spans="2:4" x14ac:dyDescent="0.25">
      <c r="B4012" s="90">
        <v>4008</v>
      </c>
      <c r="C4012" s="39">
        <f t="shared" si="124"/>
        <v>12366133.16311506</v>
      </c>
      <c r="D4012" s="39">
        <f t="shared" si="125"/>
        <v>12626534.464106921</v>
      </c>
    </row>
    <row r="4013" spans="2:4" x14ac:dyDescent="0.25">
      <c r="B4013" s="90">
        <v>4009</v>
      </c>
      <c r="C4013" s="39">
        <f t="shared" si="124"/>
        <v>12368780.501728611</v>
      </c>
      <c r="D4013" s="39">
        <f t="shared" si="125"/>
        <v>12629684.797057047</v>
      </c>
    </row>
    <row r="4014" spans="2:4" x14ac:dyDescent="0.25">
      <c r="B4014" s="90">
        <v>4010</v>
      </c>
      <c r="C4014" s="39">
        <f t="shared" si="124"/>
        <v>12371427.840342164</v>
      </c>
      <c r="D4014" s="39">
        <f t="shared" si="125"/>
        <v>12632835.130007174</v>
      </c>
    </row>
    <row r="4015" spans="2:4" x14ac:dyDescent="0.25">
      <c r="B4015" s="90">
        <v>4011</v>
      </c>
      <c r="C4015" s="39">
        <f t="shared" si="124"/>
        <v>12374075.178955715</v>
      </c>
      <c r="D4015" s="39">
        <f t="shared" si="125"/>
        <v>12635985.462957302</v>
      </c>
    </row>
    <row r="4016" spans="2:4" x14ac:dyDescent="0.25">
      <c r="B4016" s="90">
        <v>4012</v>
      </c>
      <c r="C4016" s="39">
        <f t="shared" si="124"/>
        <v>12376722.517569266</v>
      </c>
      <c r="D4016" s="39">
        <f t="shared" si="125"/>
        <v>12639135.795907428</v>
      </c>
    </row>
    <row r="4017" spans="2:4" x14ac:dyDescent="0.25">
      <c r="B4017" s="90">
        <v>4013</v>
      </c>
      <c r="C4017" s="39">
        <f t="shared" ref="C4017:C4080" si="126">($C$2*B4017)+$C$1</f>
        <v>12379369.856182817</v>
      </c>
      <c r="D4017" s="39">
        <f t="shared" ref="D4017:D4080" si="127">$D$2*B4017</f>
        <v>12642286.128857555</v>
      </c>
    </row>
    <row r="4018" spans="2:4" x14ac:dyDescent="0.25">
      <c r="B4018" s="90">
        <v>4014</v>
      </c>
      <c r="C4018" s="39">
        <f t="shared" si="126"/>
        <v>12382017.19479637</v>
      </c>
      <c r="D4018" s="39">
        <f t="shared" si="127"/>
        <v>12645436.461807681</v>
      </c>
    </row>
    <row r="4019" spans="2:4" x14ac:dyDescent="0.25">
      <c r="B4019" s="90">
        <v>4015</v>
      </c>
      <c r="C4019" s="39">
        <f t="shared" si="126"/>
        <v>12384664.533409921</v>
      </c>
      <c r="D4019" s="39">
        <f t="shared" si="127"/>
        <v>12648586.794757808</v>
      </c>
    </row>
    <row r="4020" spans="2:4" x14ac:dyDescent="0.25">
      <c r="B4020" s="90">
        <v>4016</v>
      </c>
      <c r="C4020" s="39">
        <f t="shared" si="126"/>
        <v>12387311.872023473</v>
      </c>
      <c r="D4020" s="39">
        <f t="shared" si="127"/>
        <v>12651737.127707934</v>
      </c>
    </row>
    <row r="4021" spans="2:4" x14ac:dyDescent="0.25">
      <c r="B4021" s="90">
        <v>4017</v>
      </c>
      <c r="C4021" s="39">
        <f t="shared" si="126"/>
        <v>12389959.210637026</v>
      </c>
      <c r="D4021" s="39">
        <f t="shared" si="127"/>
        <v>12654887.46065806</v>
      </c>
    </row>
    <row r="4022" spans="2:4" x14ac:dyDescent="0.25">
      <c r="B4022" s="90">
        <v>4018</v>
      </c>
      <c r="C4022" s="39">
        <f t="shared" si="126"/>
        <v>12392606.549250577</v>
      </c>
      <c r="D4022" s="39">
        <f t="shared" si="127"/>
        <v>12658037.793608187</v>
      </c>
    </row>
    <row r="4023" spans="2:4" x14ac:dyDescent="0.25">
      <c r="B4023" s="90">
        <v>4019</v>
      </c>
      <c r="C4023" s="39">
        <f t="shared" si="126"/>
        <v>12395253.887864128</v>
      </c>
      <c r="D4023" s="39">
        <f t="shared" si="127"/>
        <v>12661188.126558313</v>
      </c>
    </row>
    <row r="4024" spans="2:4" x14ac:dyDescent="0.25">
      <c r="B4024" s="90">
        <v>4020</v>
      </c>
      <c r="C4024" s="39">
        <f t="shared" si="126"/>
        <v>12397901.226477679</v>
      </c>
      <c r="D4024" s="39">
        <f t="shared" si="127"/>
        <v>12664338.45950844</v>
      </c>
    </row>
    <row r="4025" spans="2:4" x14ac:dyDescent="0.25">
      <c r="B4025" s="90">
        <v>4021</v>
      </c>
      <c r="C4025" s="39">
        <f t="shared" si="126"/>
        <v>12400548.565091232</v>
      </c>
      <c r="D4025" s="39">
        <f t="shared" si="127"/>
        <v>12667488.792458566</v>
      </c>
    </row>
    <row r="4026" spans="2:4" x14ac:dyDescent="0.25">
      <c r="B4026" s="90">
        <v>4022</v>
      </c>
      <c r="C4026" s="39">
        <f t="shared" si="126"/>
        <v>12403195.903704783</v>
      </c>
      <c r="D4026" s="39">
        <f t="shared" si="127"/>
        <v>12670639.125408692</v>
      </c>
    </row>
    <row r="4027" spans="2:4" x14ac:dyDescent="0.25">
      <c r="B4027" s="90">
        <v>4023</v>
      </c>
      <c r="C4027" s="39">
        <f t="shared" si="126"/>
        <v>12405843.242318334</v>
      </c>
      <c r="D4027" s="39">
        <f t="shared" si="127"/>
        <v>12673789.458358819</v>
      </c>
    </row>
    <row r="4028" spans="2:4" x14ac:dyDescent="0.25">
      <c r="B4028" s="90">
        <v>4024</v>
      </c>
      <c r="C4028" s="39">
        <f t="shared" si="126"/>
        <v>12408490.580931887</v>
      </c>
      <c r="D4028" s="39">
        <f t="shared" si="127"/>
        <v>12676939.791308945</v>
      </c>
    </row>
    <row r="4029" spans="2:4" x14ac:dyDescent="0.25">
      <c r="B4029" s="90">
        <v>4025</v>
      </c>
      <c r="C4029" s="39">
        <f t="shared" si="126"/>
        <v>12411137.919545438</v>
      </c>
      <c r="D4029" s="39">
        <f t="shared" si="127"/>
        <v>12680090.124259071</v>
      </c>
    </row>
    <row r="4030" spans="2:4" x14ac:dyDescent="0.25">
      <c r="B4030" s="90">
        <v>4026</v>
      </c>
      <c r="C4030" s="39">
        <f t="shared" si="126"/>
        <v>12413785.258158989</v>
      </c>
      <c r="D4030" s="39">
        <f t="shared" si="127"/>
        <v>12683240.457209198</v>
      </c>
    </row>
    <row r="4031" spans="2:4" x14ac:dyDescent="0.25">
      <c r="B4031" s="90">
        <v>4027</v>
      </c>
      <c r="C4031" s="39">
        <f t="shared" si="126"/>
        <v>12416432.596772542</v>
      </c>
      <c r="D4031" s="39">
        <f t="shared" si="127"/>
        <v>12686390.790159324</v>
      </c>
    </row>
    <row r="4032" spans="2:4" x14ac:dyDescent="0.25">
      <c r="B4032" s="90">
        <v>4028</v>
      </c>
      <c r="C4032" s="39">
        <f t="shared" si="126"/>
        <v>12419079.935386093</v>
      </c>
      <c r="D4032" s="39">
        <f t="shared" si="127"/>
        <v>12689541.123109451</v>
      </c>
    </row>
    <row r="4033" spans="2:4" x14ac:dyDescent="0.25">
      <c r="B4033" s="90">
        <v>4029</v>
      </c>
      <c r="C4033" s="39">
        <f t="shared" si="126"/>
        <v>12421727.273999644</v>
      </c>
      <c r="D4033" s="39">
        <f t="shared" si="127"/>
        <v>12692691.456059577</v>
      </c>
    </row>
    <row r="4034" spans="2:4" x14ac:dyDescent="0.25">
      <c r="B4034" s="90">
        <v>4030</v>
      </c>
      <c r="C4034" s="39">
        <f t="shared" si="126"/>
        <v>12424374.612613196</v>
      </c>
      <c r="D4034" s="39">
        <f t="shared" si="127"/>
        <v>12695841.789009705</v>
      </c>
    </row>
    <row r="4035" spans="2:4" x14ac:dyDescent="0.25">
      <c r="B4035" s="90">
        <v>4031</v>
      </c>
      <c r="C4035" s="39">
        <f t="shared" si="126"/>
        <v>12427021.951226749</v>
      </c>
      <c r="D4035" s="39">
        <f t="shared" si="127"/>
        <v>12698992.121959832</v>
      </c>
    </row>
    <row r="4036" spans="2:4" x14ac:dyDescent="0.25">
      <c r="B4036" s="90">
        <v>4032</v>
      </c>
      <c r="C4036" s="39">
        <f t="shared" si="126"/>
        <v>12429669.2898403</v>
      </c>
      <c r="D4036" s="39">
        <f t="shared" si="127"/>
        <v>12702142.454909958</v>
      </c>
    </row>
    <row r="4037" spans="2:4" x14ac:dyDescent="0.25">
      <c r="B4037" s="90">
        <v>4033</v>
      </c>
      <c r="C4037" s="39">
        <f t="shared" si="126"/>
        <v>12432316.628453851</v>
      </c>
      <c r="D4037" s="39">
        <f t="shared" si="127"/>
        <v>12705292.787860084</v>
      </c>
    </row>
    <row r="4038" spans="2:4" x14ac:dyDescent="0.25">
      <c r="B4038" s="90">
        <v>4034</v>
      </c>
      <c r="C4038" s="39">
        <f t="shared" si="126"/>
        <v>12434963.967067404</v>
      </c>
      <c r="D4038" s="39">
        <f t="shared" si="127"/>
        <v>12708443.120810211</v>
      </c>
    </row>
    <row r="4039" spans="2:4" x14ac:dyDescent="0.25">
      <c r="B4039" s="90">
        <v>4035</v>
      </c>
      <c r="C4039" s="39">
        <f t="shared" si="126"/>
        <v>12437611.305680955</v>
      </c>
      <c r="D4039" s="39">
        <f t="shared" si="127"/>
        <v>12711593.453760337</v>
      </c>
    </row>
    <row r="4040" spans="2:4" x14ac:dyDescent="0.25">
      <c r="B4040" s="90">
        <v>4036</v>
      </c>
      <c r="C4040" s="39">
        <f t="shared" si="126"/>
        <v>12440258.644294506</v>
      </c>
      <c r="D4040" s="39">
        <f t="shared" si="127"/>
        <v>12714743.786710463</v>
      </c>
    </row>
    <row r="4041" spans="2:4" x14ac:dyDescent="0.25">
      <c r="B4041" s="90">
        <v>4037</v>
      </c>
      <c r="C4041" s="39">
        <f t="shared" si="126"/>
        <v>12442905.982908059</v>
      </c>
      <c r="D4041" s="39">
        <f t="shared" si="127"/>
        <v>12717894.11966059</v>
      </c>
    </row>
    <row r="4042" spans="2:4" x14ac:dyDescent="0.25">
      <c r="B4042" s="90">
        <v>4038</v>
      </c>
      <c r="C4042" s="39">
        <f t="shared" si="126"/>
        <v>12445553.32152161</v>
      </c>
      <c r="D4042" s="39">
        <f t="shared" si="127"/>
        <v>12721044.452610716</v>
      </c>
    </row>
    <row r="4043" spans="2:4" x14ac:dyDescent="0.25">
      <c r="B4043" s="90">
        <v>4039</v>
      </c>
      <c r="C4043" s="39">
        <f t="shared" si="126"/>
        <v>12448200.660135161</v>
      </c>
      <c r="D4043" s="39">
        <f t="shared" si="127"/>
        <v>12724194.785560843</v>
      </c>
    </row>
    <row r="4044" spans="2:4" x14ac:dyDescent="0.25">
      <c r="B4044" s="90">
        <v>4040</v>
      </c>
      <c r="C4044" s="39">
        <f t="shared" si="126"/>
        <v>12450847.998748712</v>
      </c>
      <c r="D4044" s="39">
        <f t="shared" si="127"/>
        <v>12727345.118510969</v>
      </c>
    </row>
    <row r="4045" spans="2:4" x14ac:dyDescent="0.25">
      <c r="B4045" s="90">
        <v>4041</v>
      </c>
      <c r="C4045" s="39">
        <f t="shared" si="126"/>
        <v>12453495.337362265</v>
      </c>
      <c r="D4045" s="39">
        <f t="shared" si="127"/>
        <v>12730495.451461095</v>
      </c>
    </row>
    <row r="4046" spans="2:4" x14ac:dyDescent="0.25">
      <c r="B4046" s="90">
        <v>4042</v>
      </c>
      <c r="C4046" s="39">
        <f t="shared" si="126"/>
        <v>12456142.675975816</v>
      </c>
      <c r="D4046" s="39">
        <f t="shared" si="127"/>
        <v>12733645.784411222</v>
      </c>
    </row>
    <row r="4047" spans="2:4" x14ac:dyDescent="0.25">
      <c r="B4047" s="90">
        <v>4043</v>
      </c>
      <c r="C4047" s="39">
        <f t="shared" si="126"/>
        <v>12458790.014589367</v>
      </c>
      <c r="D4047" s="39">
        <f t="shared" si="127"/>
        <v>12736796.117361348</v>
      </c>
    </row>
    <row r="4048" spans="2:4" x14ac:dyDescent="0.25">
      <c r="B4048" s="90">
        <v>4044</v>
      </c>
      <c r="C4048" s="39">
        <f t="shared" si="126"/>
        <v>12461437.35320292</v>
      </c>
      <c r="D4048" s="39">
        <f t="shared" si="127"/>
        <v>12739946.450311475</v>
      </c>
    </row>
    <row r="4049" spans="2:4" x14ac:dyDescent="0.25">
      <c r="B4049" s="90">
        <v>4045</v>
      </c>
      <c r="C4049" s="39">
        <f t="shared" si="126"/>
        <v>12464084.691816472</v>
      </c>
      <c r="D4049" s="39">
        <f t="shared" si="127"/>
        <v>12743096.783261601</v>
      </c>
    </row>
    <row r="4050" spans="2:4" x14ac:dyDescent="0.25">
      <c r="B4050" s="90">
        <v>4046</v>
      </c>
      <c r="C4050" s="39">
        <f t="shared" si="126"/>
        <v>12466732.030430023</v>
      </c>
      <c r="D4050" s="39">
        <f t="shared" si="127"/>
        <v>12746247.116211727</v>
      </c>
    </row>
    <row r="4051" spans="2:4" x14ac:dyDescent="0.25">
      <c r="B4051" s="90">
        <v>4047</v>
      </c>
      <c r="C4051" s="39">
        <f t="shared" si="126"/>
        <v>12469379.369043574</v>
      </c>
      <c r="D4051" s="39">
        <f t="shared" si="127"/>
        <v>12749397.449161854</v>
      </c>
    </row>
    <row r="4052" spans="2:4" x14ac:dyDescent="0.25">
      <c r="B4052" s="90">
        <v>4048</v>
      </c>
      <c r="C4052" s="39">
        <f t="shared" si="126"/>
        <v>12472026.707657127</v>
      </c>
      <c r="D4052" s="39">
        <f t="shared" si="127"/>
        <v>12752547.78211198</v>
      </c>
    </row>
    <row r="4053" spans="2:4" x14ac:dyDescent="0.25">
      <c r="B4053" s="90">
        <v>4049</v>
      </c>
      <c r="C4053" s="39">
        <f t="shared" si="126"/>
        <v>12474674.046270678</v>
      </c>
      <c r="D4053" s="39">
        <f t="shared" si="127"/>
        <v>12755698.115062108</v>
      </c>
    </row>
    <row r="4054" spans="2:4" x14ac:dyDescent="0.25">
      <c r="B4054" s="90">
        <v>4050</v>
      </c>
      <c r="C4054" s="39">
        <f t="shared" si="126"/>
        <v>12477321.384884229</v>
      </c>
      <c r="D4054" s="39">
        <f t="shared" si="127"/>
        <v>12758848.448012235</v>
      </c>
    </row>
    <row r="4055" spans="2:4" x14ac:dyDescent="0.25">
      <c r="B4055" s="90">
        <v>4051</v>
      </c>
      <c r="C4055" s="39">
        <f t="shared" si="126"/>
        <v>12479968.723497782</v>
      </c>
      <c r="D4055" s="39">
        <f t="shared" si="127"/>
        <v>12761998.780962361</v>
      </c>
    </row>
    <row r="4056" spans="2:4" x14ac:dyDescent="0.25">
      <c r="B4056" s="90">
        <v>4052</v>
      </c>
      <c r="C4056" s="39">
        <f t="shared" si="126"/>
        <v>12482616.062111333</v>
      </c>
      <c r="D4056" s="39">
        <f t="shared" si="127"/>
        <v>12765149.113912487</v>
      </c>
    </row>
    <row r="4057" spans="2:4" x14ac:dyDescent="0.25">
      <c r="B4057" s="90">
        <v>4053</v>
      </c>
      <c r="C4057" s="39">
        <f t="shared" si="126"/>
        <v>12485263.400724884</v>
      </c>
      <c r="D4057" s="39">
        <f t="shared" si="127"/>
        <v>12768299.446862614</v>
      </c>
    </row>
    <row r="4058" spans="2:4" x14ac:dyDescent="0.25">
      <c r="B4058" s="90">
        <v>4054</v>
      </c>
      <c r="C4058" s="39">
        <f t="shared" si="126"/>
        <v>12487910.739338437</v>
      </c>
      <c r="D4058" s="39">
        <f t="shared" si="127"/>
        <v>12771449.77981274</v>
      </c>
    </row>
    <row r="4059" spans="2:4" x14ac:dyDescent="0.25">
      <c r="B4059" s="90">
        <v>4055</v>
      </c>
      <c r="C4059" s="39">
        <f t="shared" si="126"/>
        <v>12490558.077951988</v>
      </c>
      <c r="D4059" s="39">
        <f t="shared" si="127"/>
        <v>12774600.112762867</v>
      </c>
    </row>
    <row r="4060" spans="2:4" x14ac:dyDescent="0.25">
      <c r="B4060" s="90">
        <v>4056</v>
      </c>
      <c r="C4060" s="39">
        <f t="shared" si="126"/>
        <v>12493205.416565539</v>
      </c>
      <c r="D4060" s="39">
        <f t="shared" si="127"/>
        <v>12777750.445712993</v>
      </c>
    </row>
    <row r="4061" spans="2:4" x14ac:dyDescent="0.25">
      <c r="B4061" s="90">
        <v>4057</v>
      </c>
      <c r="C4061" s="39">
        <f t="shared" si="126"/>
        <v>12495852.75517909</v>
      </c>
      <c r="D4061" s="39">
        <f t="shared" si="127"/>
        <v>12780900.778663119</v>
      </c>
    </row>
    <row r="4062" spans="2:4" x14ac:dyDescent="0.25">
      <c r="B4062" s="90">
        <v>4058</v>
      </c>
      <c r="C4062" s="39">
        <f t="shared" si="126"/>
        <v>12498500.093792643</v>
      </c>
      <c r="D4062" s="39">
        <f t="shared" si="127"/>
        <v>12784051.111613246</v>
      </c>
    </row>
    <row r="4063" spans="2:4" x14ac:dyDescent="0.25">
      <c r="B4063" s="90">
        <v>4059</v>
      </c>
      <c r="C4063" s="39">
        <f t="shared" si="126"/>
        <v>12501147.432406195</v>
      </c>
      <c r="D4063" s="39">
        <f t="shared" si="127"/>
        <v>12787201.444563372</v>
      </c>
    </row>
    <row r="4064" spans="2:4" x14ac:dyDescent="0.25">
      <c r="B4064" s="90">
        <v>4060</v>
      </c>
      <c r="C4064" s="39">
        <f t="shared" si="126"/>
        <v>12503794.771019746</v>
      </c>
      <c r="D4064" s="39">
        <f t="shared" si="127"/>
        <v>12790351.777513498</v>
      </c>
    </row>
    <row r="4065" spans="2:4" x14ac:dyDescent="0.25">
      <c r="B4065" s="90">
        <v>4061</v>
      </c>
      <c r="C4065" s="39">
        <f t="shared" si="126"/>
        <v>12506442.109633299</v>
      </c>
      <c r="D4065" s="39">
        <f t="shared" si="127"/>
        <v>12793502.110463625</v>
      </c>
    </row>
    <row r="4066" spans="2:4" x14ac:dyDescent="0.25">
      <c r="B4066" s="90">
        <v>4062</v>
      </c>
      <c r="C4066" s="39">
        <f t="shared" si="126"/>
        <v>12509089.44824685</v>
      </c>
      <c r="D4066" s="39">
        <f t="shared" si="127"/>
        <v>12796652.443413751</v>
      </c>
    </row>
    <row r="4067" spans="2:4" x14ac:dyDescent="0.25">
      <c r="B4067" s="90">
        <v>4063</v>
      </c>
      <c r="C4067" s="39">
        <f t="shared" si="126"/>
        <v>12511736.786860401</v>
      </c>
      <c r="D4067" s="39">
        <f t="shared" si="127"/>
        <v>12799802.776363878</v>
      </c>
    </row>
    <row r="4068" spans="2:4" x14ac:dyDescent="0.25">
      <c r="B4068" s="90">
        <v>4064</v>
      </c>
      <c r="C4068" s="39">
        <f t="shared" si="126"/>
        <v>12514384.125473954</v>
      </c>
      <c r="D4068" s="39">
        <f t="shared" si="127"/>
        <v>12802953.109314004</v>
      </c>
    </row>
    <row r="4069" spans="2:4" x14ac:dyDescent="0.25">
      <c r="B4069" s="90">
        <v>4065</v>
      </c>
      <c r="C4069" s="39">
        <f t="shared" si="126"/>
        <v>12517031.464087505</v>
      </c>
      <c r="D4069" s="39">
        <f t="shared" si="127"/>
        <v>12806103.44226413</v>
      </c>
    </row>
    <row r="4070" spans="2:4" x14ac:dyDescent="0.25">
      <c r="B4070" s="90">
        <v>4066</v>
      </c>
      <c r="C4070" s="39">
        <f t="shared" si="126"/>
        <v>12519678.802701056</v>
      </c>
      <c r="D4070" s="39">
        <f t="shared" si="127"/>
        <v>12809253.775214257</v>
      </c>
    </row>
    <row r="4071" spans="2:4" x14ac:dyDescent="0.25">
      <c r="B4071" s="90">
        <v>4067</v>
      </c>
      <c r="C4071" s="39">
        <f t="shared" si="126"/>
        <v>12522326.141314607</v>
      </c>
      <c r="D4071" s="39">
        <f t="shared" si="127"/>
        <v>12812404.108164383</v>
      </c>
    </row>
    <row r="4072" spans="2:4" x14ac:dyDescent="0.25">
      <c r="B4072" s="90">
        <v>4068</v>
      </c>
      <c r="C4072" s="39">
        <f t="shared" si="126"/>
        <v>12524973.47992816</v>
      </c>
      <c r="D4072" s="39">
        <f t="shared" si="127"/>
        <v>12815554.441114511</v>
      </c>
    </row>
    <row r="4073" spans="2:4" x14ac:dyDescent="0.25">
      <c r="B4073" s="90">
        <v>4069</v>
      </c>
      <c r="C4073" s="39">
        <f t="shared" si="126"/>
        <v>12527620.818541711</v>
      </c>
      <c r="D4073" s="39">
        <f t="shared" si="127"/>
        <v>12818704.774064638</v>
      </c>
    </row>
    <row r="4074" spans="2:4" x14ac:dyDescent="0.25">
      <c r="B4074" s="90">
        <v>4070</v>
      </c>
      <c r="C4074" s="39">
        <f t="shared" si="126"/>
        <v>12530268.157155262</v>
      </c>
      <c r="D4074" s="39">
        <f t="shared" si="127"/>
        <v>12821855.107014764</v>
      </c>
    </row>
    <row r="4075" spans="2:4" x14ac:dyDescent="0.25">
      <c r="B4075" s="90">
        <v>4071</v>
      </c>
      <c r="C4075" s="39">
        <f t="shared" si="126"/>
        <v>12532915.495768815</v>
      </c>
      <c r="D4075" s="39">
        <f t="shared" si="127"/>
        <v>12825005.43996489</v>
      </c>
    </row>
    <row r="4076" spans="2:4" x14ac:dyDescent="0.25">
      <c r="B4076" s="90">
        <v>4072</v>
      </c>
      <c r="C4076" s="39">
        <f t="shared" si="126"/>
        <v>12535562.834382366</v>
      </c>
      <c r="D4076" s="39">
        <f t="shared" si="127"/>
        <v>12828155.772915017</v>
      </c>
    </row>
    <row r="4077" spans="2:4" x14ac:dyDescent="0.25">
      <c r="B4077" s="90">
        <v>4073</v>
      </c>
      <c r="C4077" s="39">
        <f t="shared" si="126"/>
        <v>12538210.172995917</v>
      </c>
      <c r="D4077" s="39">
        <f t="shared" si="127"/>
        <v>12831306.105865143</v>
      </c>
    </row>
    <row r="4078" spans="2:4" x14ac:dyDescent="0.25">
      <c r="B4078" s="90">
        <v>4074</v>
      </c>
      <c r="C4078" s="39">
        <f t="shared" si="126"/>
        <v>12540857.511609469</v>
      </c>
      <c r="D4078" s="39">
        <f t="shared" si="127"/>
        <v>12834456.43881527</v>
      </c>
    </row>
    <row r="4079" spans="2:4" x14ac:dyDescent="0.25">
      <c r="B4079" s="90">
        <v>4075</v>
      </c>
      <c r="C4079" s="39">
        <f t="shared" si="126"/>
        <v>12543504.850223022</v>
      </c>
      <c r="D4079" s="39">
        <f t="shared" si="127"/>
        <v>12837606.771765396</v>
      </c>
    </row>
    <row r="4080" spans="2:4" x14ac:dyDescent="0.25">
      <c r="B4080" s="90">
        <v>4076</v>
      </c>
      <c r="C4080" s="39">
        <f t="shared" si="126"/>
        <v>12546152.188836573</v>
      </c>
      <c r="D4080" s="39">
        <f t="shared" si="127"/>
        <v>12840757.104715522</v>
      </c>
    </row>
    <row r="4081" spans="2:4" x14ac:dyDescent="0.25">
      <c r="B4081" s="90">
        <v>4077</v>
      </c>
      <c r="C4081" s="39">
        <f t="shared" ref="C4081:C4144" si="128">($C$2*B4081)+$C$1</f>
        <v>12548799.527450124</v>
      </c>
      <c r="D4081" s="39">
        <f t="shared" ref="D4081:D4144" si="129">$D$2*B4081</f>
        <v>12843907.437665649</v>
      </c>
    </row>
    <row r="4082" spans="2:4" x14ac:dyDescent="0.25">
      <c r="B4082" s="90">
        <v>4078</v>
      </c>
      <c r="C4082" s="39">
        <f t="shared" si="128"/>
        <v>12551446.866063677</v>
      </c>
      <c r="D4082" s="39">
        <f t="shared" si="129"/>
        <v>12847057.770615775</v>
      </c>
    </row>
    <row r="4083" spans="2:4" x14ac:dyDescent="0.25">
      <c r="B4083" s="90">
        <v>4079</v>
      </c>
      <c r="C4083" s="39">
        <f t="shared" si="128"/>
        <v>12554094.204677228</v>
      </c>
      <c r="D4083" s="39">
        <f t="shared" si="129"/>
        <v>12850208.103565902</v>
      </c>
    </row>
    <row r="4084" spans="2:4" x14ac:dyDescent="0.25">
      <c r="B4084" s="90">
        <v>4080</v>
      </c>
      <c r="C4084" s="39">
        <f t="shared" si="128"/>
        <v>12556741.543290779</v>
      </c>
      <c r="D4084" s="39">
        <f t="shared" si="129"/>
        <v>12853358.436516028</v>
      </c>
    </row>
    <row r="4085" spans="2:4" x14ac:dyDescent="0.25">
      <c r="B4085" s="90">
        <v>4081</v>
      </c>
      <c r="C4085" s="39">
        <f t="shared" si="128"/>
        <v>12559388.881904332</v>
      </c>
      <c r="D4085" s="39">
        <f t="shared" si="129"/>
        <v>12856508.769466154</v>
      </c>
    </row>
    <row r="4086" spans="2:4" x14ac:dyDescent="0.25">
      <c r="B4086" s="90">
        <v>4082</v>
      </c>
      <c r="C4086" s="39">
        <f t="shared" si="128"/>
        <v>12562036.220517883</v>
      </c>
      <c r="D4086" s="39">
        <f t="shared" si="129"/>
        <v>12859659.102416281</v>
      </c>
    </row>
    <row r="4087" spans="2:4" x14ac:dyDescent="0.25">
      <c r="B4087" s="90">
        <v>4083</v>
      </c>
      <c r="C4087" s="39">
        <f t="shared" si="128"/>
        <v>12564683.559131434</v>
      </c>
      <c r="D4087" s="39">
        <f t="shared" si="129"/>
        <v>12862809.435366407</v>
      </c>
    </row>
    <row r="4088" spans="2:4" x14ac:dyDescent="0.25">
      <c r="B4088" s="90">
        <v>4084</v>
      </c>
      <c r="C4088" s="39">
        <f t="shared" si="128"/>
        <v>12567330.897744985</v>
      </c>
      <c r="D4088" s="39">
        <f t="shared" si="129"/>
        <v>12865959.768316533</v>
      </c>
    </row>
    <row r="4089" spans="2:4" x14ac:dyDescent="0.25">
      <c r="B4089" s="90">
        <v>4085</v>
      </c>
      <c r="C4089" s="39">
        <f t="shared" si="128"/>
        <v>12569978.236358538</v>
      </c>
      <c r="D4089" s="39">
        <f t="shared" si="129"/>
        <v>12869110.10126666</v>
      </c>
    </row>
    <row r="4090" spans="2:4" x14ac:dyDescent="0.25">
      <c r="B4090" s="90">
        <v>4086</v>
      </c>
      <c r="C4090" s="39">
        <f t="shared" si="128"/>
        <v>12572625.574972089</v>
      </c>
      <c r="D4090" s="39">
        <f t="shared" si="129"/>
        <v>12872260.434216786</v>
      </c>
    </row>
    <row r="4091" spans="2:4" x14ac:dyDescent="0.25">
      <c r="B4091" s="90">
        <v>4087</v>
      </c>
      <c r="C4091" s="39">
        <f t="shared" si="128"/>
        <v>12575272.91358564</v>
      </c>
      <c r="D4091" s="39">
        <f t="shared" si="129"/>
        <v>12875410.767166914</v>
      </c>
    </row>
    <row r="4092" spans="2:4" x14ac:dyDescent="0.25">
      <c r="B4092" s="90">
        <v>4088</v>
      </c>
      <c r="C4092" s="39">
        <f t="shared" si="128"/>
        <v>12577920.252199193</v>
      </c>
      <c r="D4092" s="39">
        <f t="shared" si="129"/>
        <v>12878561.100117041</v>
      </c>
    </row>
    <row r="4093" spans="2:4" x14ac:dyDescent="0.25">
      <c r="B4093" s="90">
        <v>4089</v>
      </c>
      <c r="C4093" s="39">
        <f t="shared" si="128"/>
        <v>12580567.590812745</v>
      </c>
      <c r="D4093" s="39">
        <f t="shared" si="129"/>
        <v>12881711.433067167</v>
      </c>
    </row>
    <row r="4094" spans="2:4" x14ac:dyDescent="0.25">
      <c r="B4094" s="90">
        <v>4090</v>
      </c>
      <c r="C4094" s="39">
        <f t="shared" si="128"/>
        <v>12583214.929426296</v>
      </c>
      <c r="D4094" s="39">
        <f t="shared" si="129"/>
        <v>12884861.766017294</v>
      </c>
    </row>
    <row r="4095" spans="2:4" x14ac:dyDescent="0.25">
      <c r="B4095" s="90">
        <v>4091</v>
      </c>
      <c r="C4095" s="39">
        <f t="shared" si="128"/>
        <v>12585862.268039849</v>
      </c>
      <c r="D4095" s="39">
        <f t="shared" si="129"/>
        <v>12888012.09896742</v>
      </c>
    </row>
    <row r="4096" spans="2:4" x14ac:dyDescent="0.25">
      <c r="B4096" s="90">
        <v>4092</v>
      </c>
      <c r="C4096" s="39">
        <f t="shared" si="128"/>
        <v>12588509.6066534</v>
      </c>
      <c r="D4096" s="39">
        <f t="shared" si="129"/>
        <v>12891162.431917546</v>
      </c>
    </row>
    <row r="4097" spans="2:4" x14ac:dyDescent="0.25">
      <c r="B4097" s="90">
        <v>4093</v>
      </c>
      <c r="C4097" s="39">
        <f t="shared" si="128"/>
        <v>12591156.945266951</v>
      </c>
      <c r="D4097" s="39">
        <f t="shared" si="129"/>
        <v>12894312.764867673</v>
      </c>
    </row>
    <row r="4098" spans="2:4" x14ac:dyDescent="0.25">
      <c r="B4098" s="90">
        <v>4094</v>
      </c>
      <c r="C4098" s="39">
        <f t="shared" si="128"/>
        <v>12593804.283880502</v>
      </c>
      <c r="D4098" s="39">
        <f t="shared" si="129"/>
        <v>12897463.097817799</v>
      </c>
    </row>
    <row r="4099" spans="2:4" x14ac:dyDescent="0.25">
      <c r="B4099" s="90">
        <v>4095</v>
      </c>
      <c r="C4099" s="39">
        <f t="shared" si="128"/>
        <v>12596451.622494055</v>
      </c>
      <c r="D4099" s="39">
        <f t="shared" si="129"/>
        <v>12900613.430767925</v>
      </c>
    </row>
    <row r="4100" spans="2:4" x14ac:dyDescent="0.25">
      <c r="B4100" s="90">
        <v>4096</v>
      </c>
      <c r="C4100" s="39">
        <f t="shared" si="128"/>
        <v>12599098.961107606</v>
      </c>
      <c r="D4100" s="39">
        <f t="shared" si="129"/>
        <v>12903763.763718052</v>
      </c>
    </row>
    <row r="4101" spans="2:4" x14ac:dyDescent="0.25">
      <c r="B4101" s="90">
        <v>4097</v>
      </c>
      <c r="C4101" s="39">
        <f t="shared" si="128"/>
        <v>12601746.299721157</v>
      </c>
      <c r="D4101" s="39">
        <f t="shared" si="129"/>
        <v>12906914.096668178</v>
      </c>
    </row>
    <row r="4102" spans="2:4" x14ac:dyDescent="0.25">
      <c r="B4102" s="90">
        <v>4098</v>
      </c>
      <c r="C4102" s="39">
        <f t="shared" si="128"/>
        <v>12604393.63833471</v>
      </c>
      <c r="D4102" s="39">
        <f t="shared" si="129"/>
        <v>12910064.429618305</v>
      </c>
    </row>
    <row r="4103" spans="2:4" x14ac:dyDescent="0.25">
      <c r="B4103" s="90">
        <v>4099</v>
      </c>
      <c r="C4103" s="39">
        <f t="shared" si="128"/>
        <v>12607040.976948261</v>
      </c>
      <c r="D4103" s="39">
        <f t="shared" si="129"/>
        <v>12913214.762568431</v>
      </c>
    </row>
    <row r="4104" spans="2:4" x14ac:dyDescent="0.25">
      <c r="B4104" s="90">
        <v>4100</v>
      </c>
      <c r="C4104" s="39">
        <f t="shared" si="128"/>
        <v>12609688.315561812</v>
      </c>
      <c r="D4104" s="39">
        <f t="shared" si="129"/>
        <v>12916365.095518557</v>
      </c>
    </row>
    <row r="4105" spans="2:4" x14ac:dyDescent="0.25">
      <c r="B4105" s="90">
        <v>4101</v>
      </c>
      <c r="C4105" s="39">
        <f t="shared" si="128"/>
        <v>12612335.654175363</v>
      </c>
      <c r="D4105" s="39">
        <f t="shared" si="129"/>
        <v>12919515.428468684</v>
      </c>
    </row>
    <row r="4106" spans="2:4" x14ac:dyDescent="0.25">
      <c r="B4106" s="90">
        <v>4102</v>
      </c>
      <c r="C4106" s="39">
        <f t="shared" si="128"/>
        <v>12614982.992788916</v>
      </c>
      <c r="D4106" s="39">
        <f t="shared" si="129"/>
        <v>12922665.76141881</v>
      </c>
    </row>
    <row r="4107" spans="2:4" x14ac:dyDescent="0.25">
      <c r="B4107" s="90">
        <v>4103</v>
      </c>
      <c r="C4107" s="39">
        <f t="shared" si="128"/>
        <v>12617630.331402468</v>
      </c>
      <c r="D4107" s="39">
        <f t="shared" si="129"/>
        <v>12925816.094368936</v>
      </c>
    </row>
    <row r="4108" spans="2:4" x14ac:dyDescent="0.25">
      <c r="B4108" s="90">
        <v>4104</v>
      </c>
      <c r="C4108" s="39">
        <f t="shared" si="128"/>
        <v>12620277.670016019</v>
      </c>
      <c r="D4108" s="39">
        <f t="shared" si="129"/>
        <v>12928966.427319063</v>
      </c>
    </row>
    <row r="4109" spans="2:4" x14ac:dyDescent="0.25">
      <c r="B4109" s="90">
        <v>4105</v>
      </c>
      <c r="C4109" s="39">
        <f t="shared" si="128"/>
        <v>12622925.008629572</v>
      </c>
      <c r="D4109" s="39">
        <f t="shared" si="129"/>
        <v>12932116.760269189</v>
      </c>
    </row>
    <row r="4110" spans="2:4" x14ac:dyDescent="0.25">
      <c r="B4110" s="90">
        <v>4106</v>
      </c>
      <c r="C4110" s="39">
        <f t="shared" si="128"/>
        <v>12625572.347243123</v>
      </c>
      <c r="D4110" s="39">
        <f t="shared" si="129"/>
        <v>12935267.093219317</v>
      </c>
    </row>
    <row r="4111" spans="2:4" x14ac:dyDescent="0.25">
      <c r="B4111" s="90">
        <v>4107</v>
      </c>
      <c r="C4111" s="39">
        <f t="shared" si="128"/>
        <v>12628219.685856674</v>
      </c>
      <c r="D4111" s="39">
        <f t="shared" si="129"/>
        <v>12938417.426169444</v>
      </c>
    </row>
    <row r="4112" spans="2:4" x14ac:dyDescent="0.25">
      <c r="B4112" s="90">
        <v>4108</v>
      </c>
      <c r="C4112" s="39">
        <f t="shared" si="128"/>
        <v>12630867.024470227</v>
      </c>
      <c r="D4112" s="39">
        <f t="shared" si="129"/>
        <v>12941567.75911957</v>
      </c>
    </row>
    <row r="4113" spans="2:4" x14ac:dyDescent="0.25">
      <c r="B4113" s="90">
        <v>4109</v>
      </c>
      <c r="C4113" s="39">
        <f t="shared" si="128"/>
        <v>12633514.363083778</v>
      </c>
      <c r="D4113" s="39">
        <f t="shared" si="129"/>
        <v>12944718.092069697</v>
      </c>
    </row>
    <row r="4114" spans="2:4" x14ac:dyDescent="0.25">
      <c r="B4114" s="90">
        <v>4110</v>
      </c>
      <c r="C4114" s="39">
        <f t="shared" si="128"/>
        <v>12636161.701697329</v>
      </c>
      <c r="D4114" s="39">
        <f t="shared" si="129"/>
        <v>12947868.425019823</v>
      </c>
    </row>
    <row r="4115" spans="2:4" x14ac:dyDescent="0.25">
      <c r="B4115" s="90">
        <v>4111</v>
      </c>
      <c r="C4115" s="39">
        <f t="shared" si="128"/>
        <v>12638809.04031088</v>
      </c>
      <c r="D4115" s="39">
        <f t="shared" si="129"/>
        <v>12951018.757969949</v>
      </c>
    </row>
    <row r="4116" spans="2:4" x14ac:dyDescent="0.25">
      <c r="B4116" s="90">
        <v>4112</v>
      </c>
      <c r="C4116" s="39">
        <f t="shared" si="128"/>
        <v>12641456.378924433</v>
      </c>
      <c r="D4116" s="39">
        <f t="shared" si="129"/>
        <v>12954169.090920076</v>
      </c>
    </row>
    <row r="4117" spans="2:4" x14ac:dyDescent="0.25">
      <c r="B4117" s="90">
        <v>4113</v>
      </c>
      <c r="C4117" s="39">
        <f t="shared" si="128"/>
        <v>12644103.717537984</v>
      </c>
      <c r="D4117" s="39">
        <f t="shared" si="129"/>
        <v>12957319.423870202</v>
      </c>
    </row>
    <row r="4118" spans="2:4" x14ac:dyDescent="0.25">
      <c r="B4118" s="90">
        <v>4114</v>
      </c>
      <c r="C4118" s="39">
        <f t="shared" si="128"/>
        <v>12646751.056151535</v>
      </c>
      <c r="D4118" s="39">
        <f t="shared" si="129"/>
        <v>12960469.756820329</v>
      </c>
    </row>
    <row r="4119" spans="2:4" x14ac:dyDescent="0.25">
      <c r="B4119" s="90">
        <v>4115</v>
      </c>
      <c r="C4119" s="39">
        <f t="shared" si="128"/>
        <v>12649398.394765088</v>
      </c>
      <c r="D4119" s="39">
        <f t="shared" si="129"/>
        <v>12963620.089770455</v>
      </c>
    </row>
    <row r="4120" spans="2:4" x14ac:dyDescent="0.25">
      <c r="B4120" s="90">
        <v>4116</v>
      </c>
      <c r="C4120" s="39">
        <f t="shared" si="128"/>
        <v>12652045.733378639</v>
      </c>
      <c r="D4120" s="39">
        <f t="shared" si="129"/>
        <v>12966770.422720581</v>
      </c>
    </row>
    <row r="4121" spans="2:4" x14ac:dyDescent="0.25">
      <c r="B4121" s="90">
        <v>4117</v>
      </c>
      <c r="C4121" s="39">
        <f t="shared" si="128"/>
        <v>12654693.071992191</v>
      </c>
      <c r="D4121" s="39">
        <f t="shared" si="129"/>
        <v>12969920.755670708</v>
      </c>
    </row>
    <row r="4122" spans="2:4" x14ac:dyDescent="0.25">
      <c r="B4122" s="90">
        <v>4118</v>
      </c>
      <c r="C4122" s="39">
        <f t="shared" si="128"/>
        <v>12657340.410605744</v>
      </c>
      <c r="D4122" s="39">
        <f t="shared" si="129"/>
        <v>12973071.088620834</v>
      </c>
    </row>
    <row r="4123" spans="2:4" x14ac:dyDescent="0.25">
      <c r="B4123" s="90">
        <v>4119</v>
      </c>
      <c r="C4123" s="39">
        <f t="shared" si="128"/>
        <v>12659987.749219295</v>
      </c>
      <c r="D4123" s="39">
        <f t="shared" si="129"/>
        <v>12976221.42157096</v>
      </c>
    </row>
    <row r="4124" spans="2:4" x14ac:dyDescent="0.25">
      <c r="B4124" s="90">
        <v>4120</v>
      </c>
      <c r="C4124" s="39">
        <f t="shared" si="128"/>
        <v>12662635.087832846</v>
      </c>
      <c r="D4124" s="39">
        <f t="shared" si="129"/>
        <v>12979371.754521087</v>
      </c>
    </row>
    <row r="4125" spans="2:4" x14ac:dyDescent="0.25">
      <c r="B4125" s="90">
        <v>4121</v>
      </c>
      <c r="C4125" s="39">
        <f t="shared" si="128"/>
        <v>12665282.426446397</v>
      </c>
      <c r="D4125" s="39">
        <f t="shared" si="129"/>
        <v>12982522.087471213</v>
      </c>
    </row>
    <row r="4126" spans="2:4" x14ac:dyDescent="0.25">
      <c r="B4126" s="90">
        <v>4122</v>
      </c>
      <c r="C4126" s="39">
        <f t="shared" si="128"/>
        <v>12667929.76505995</v>
      </c>
      <c r="D4126" s="39">
        <f t="shared" si="129"/>
        <v>12985672.42042134</v>
      </c>
    </row>
    <row r="4127" spans="2:4" x14ac:dyDescent="0.25">
      <c r="B4127" s="90">
        <v>4123</v>
      </c>
      <c r="C4127" s="39">
        <f t="shared" si="128"/>
        <v>12670577.103673501</v>
      </c>
      <c r="D4127" s="39">
        <f t="shared" si="129"/>
        <v>12988822.753371466</v>
      </c>
    </row>
    <row r="4128" spans="2:4" x14ac:dyDescent="0.25">
      <c r="B4128" s="90">
        <v>4124</v>
      </c>
      <c r="C4128" s="39">
        <f t="shared" si="128"/>
        <v>12673224.442287052</v>
      </c>
      <c r="D4128" s="39">
        <f t="shared" si="129"/>
        <v>12991973.086321592</v>
      </c>
    </row>
    <row r="4129" spans="2:4" x14ac:dyDescent="0.25">
      <c r="B4129" s="90">
        <v>4125</v>
      </c>
      <c r="C4129" s="39">
        <f t="shared" si="128"/>
        <v>12675871.780900605</v>
      </c>
      <c r="D4129" s="39">
        <f t="shared" si="129"/>
        <v>12995123.419271721</v>
      </c>
    </row>
    <row r="4130" spans="2:4" x14ac:dyDescent="0.25">
      <c r="B4130" s="90">
        <v>4126</v>
      </c>
      <c r="C4130" s="39">
        <f t="shared" si="128"/>
        <v>12678519.119514156</v>
      </c>
      <c r="D4130" s="39">
        <f t="shared" si="129"/>
        <v>12998273.752221847</v>
      </c>
    </row>
    <row r="4131" spans="2:4" x14ac:dyDescent="0.25">
      <c r="B4131" s="90">
        <v>4127</v>
      </c>
      <c r="C4131" s="39">
        <f t="shared" si="128"/>
        <v>12681166.458127707</v>
      </c>
      <c r="D4131" s="39">
        <f t="shared" si="129"/>
        <v>13001424.085171973</v>
      </c>
    </row>
    <row r="4132" spans="2:4" x14ac:dyDescent="0.25">
      <c r="B4132" s="90">
        <v>4128</v>
      </c>
      <c r="C4132" s="39">
        <f t="shared" si="128"/>
        <v>12683813.796741258</v>
      </c>
      <c r="D4132" s="39">
        <f t="shared" si="129"/>
        <v>13004574.4181221</v>
      </c>
    </row>
    <row r="4133" spans="2:4" x14ac:dyDescent="0.25">
      <c r="B4133" s="90">
        <v>4129</v>
      </c>
      <c r="C4133" s="39">
        <f t="shared" si="128"/>
        <v>12686461.135354811</v>
      </c>
      <c r="D4133" s="39">
        <f t="shared" si="129"/>
        <v>13007724.751072226</v>
      </c>
    </row>
    <row r="4134" spans="2:4" x14ac:dyDescent="0.25">
      <c r="B4134" s="90">
        <v>4130</v>
      </c>
      <c r="C4134" s="39">
        <f t="shared" si="128"/>
        <v>12689108.473968362</v>
      </c>
      <c r="D4134" s="39">
        <f t="shared" si="129"/>
        <v>13010875.084022352</v>
      </c>
    </row>
    <row r="4135" spans="2:4" x14ac:dyDescent="0.25">
      <c r="B4135" s="90">
        <v>4131</v>
      </c>
      <c r="C4135" s="39">
        <f t="shared" si="128"/>
        <v>12691755.812581914</v>
      </c>
      <c r="D4135" s="39">
        <f t="shared" si="129"/>
        <v>13014025.416972479</v>
      </c>
    </row>
    <row r="4136" spans="2:4" x14ac:dyDescent="0.25">
      <c r="B4136" s="90">
        <v>4132</v>
      </c>
      <c r="C4136" s="39">
        <f t="shared" si="128"/>
        <v>12694403.151195467</v>
      </c>
      <c r="D4136" s="39">
        <f t="shared" si="129"/>
        <v>13017175.749922605</v>
      </c>
    </row>
    <row r="4137" spans="2:4" x14ac:dyDescent="0.25">
      <c r="B4137" s="90">
        <v>4133</v>
      </c>
      <c r="C4137" s="39">
        <f t="shared" si="128"/>
        <v>12697050.489809018</v>
      </c>
      <c r="D4137" s="39">
        <f t="shared" si="129"/>
        <v>13020326.082872732</v>
      </c>
    </row>
    <row r="4138" spans="2:4" x14ac:dyDescent="0.25">
      <c r="B4138" s="90">
        <v>4134</v>
      </c>
      <c r="C4138" s="39">
        <f t="shared" si="128"/>
        <v>12699697.828422569</v>
      </c>
      <c r="D4138" s="39">
        <f t="shared" si="129"/>
        <v>13023476.415822858</v>
      </c>
    </row>
    <row r="4139" spans="2:4" x14ac:dyDescent="0.25">
      <c r="B4139" s="90">
        <v>4135</v>
      </c>
      <c r="C4139" s="39">
        <f t="shared" si="128"/>
        <v>12702345.167036122</v>
      </c>
      <c r="D4139" s="39">
        <f t="shared" si="129"/>
        <v>13026626.748772984</v>
      </c>
    </row>
    <row r="4140" spans="2:4" x14ac:dyDescent="0.25">
      <c r="B4140" s="90">
        <v>4136</v>
      </c>
      <c r="C4140" s="39">
        <f t="shared" si="128"/>
        <v>12704992.505649673</v>
      </c>
      <c r="D4140" s="39">
        <f t="shared" si="129"/>
        <v>13029777.081723111</v>
      </c>
    </row>
    <row r="4141" spans="2:4" x14ac:dyDescent="0.25">
      <c r="B4141" s="90">
        <v>4137</v>
      </c>
      <c r="C4141" s="39">
        <f t="shared" si="128"/>
        <v>12707639.844263224</v>
      </c>
      <c r="D4141" s="39">
        <f t="shared" si="129"/>
        <v>13032927.414673237</v>
      </c>
    </row>
    <row r="4142" spans="2:4" x14ac:dyDescent="0.25">
      <c r="B4142" s="90">
        <v>4138</v>
      </c>
      <c r="C4142" s="39">
        <f t="shared" si="128"/>
        <v>12710287.182876775</v>
      </c>
      <c r="D4142" s="39">
        <f t="shared" si="129"/>
        <v>13036077.747623364</v>
      </c>
    </row>
    <row r="4143" spans="2:4" x14ac:dyDescent="0.25">
      <c r="B4143" s="90">
        <v>4139</v>
      </c>
      <c r="C4143" s="39">
        <f t="shared" si="128"/>
        <v>12712934.521490328</v>
      </c>
      <c r="D4143" s="39">
        <f t="shared" si="129"/>
        <v>13039228.08057349</v>
      </c>
    </row>
    <row r="4144" spans="2:4" x14ac:dyDescent="0.25">
      <c r="B4144" s="90">
        <v>4140</v>
      </c>
      <c r="C4144" s="39">
        <f t="shared" si="128"/>
        <v>12715581.860103879</v>
      </c>
      <c r="D4144" s="39">
        <f t="shared" si="129"/>
        <v>13042378.413523616</v>
      </c>
    </row>
    <row r="4145" spans="2:4" x14ac:dyDescent="0.25">
      <c r="B4145" s="90">
        <v>4141</v>
      </c>
      <c r="C4145" s="39">
        <f t="shared" ref="C4145:C4208" si="130">($C$2*B4145)+$C$1</f>
        <v>12718229.19871743</v>
      </c>
      <c r="D4145" s="39">
        <f t="shared" ref="D4145:D4208" si="131">$D$2*B4145</f>
        <v>13045528.746473743</v>
      </c>
    </row>
    <row r="4146" spans="2:4" x14ac:dyDescent="0.25">
      <c r="B4146" s="90">
        <v>4142</v>
      </c>
      <c r="C4146" s="39">
        <f t="shared" si="130"/>
        <v>12720876.537330983</v>
      </c>
      <c r="D4146" s="39">
        <f t="shared" si="131"/>
        <v>13048679.079423869</v>
      </c>
    </row>
    <row r="4147" spans="2:4" x14ac:dyDescent="0.25">
      <c r="B4147" s="90">
        <v>4143</v>
      </c>
      <c r="C4147" s="39">
        <f t="shared" si="130"/>
        <v>12723523.875944534</v>
      </c>
      <c r="D4147" s="39">
        <f t="shared" si="131"/>
        <v>13051829.412373995</v>
      </c>
    </row>
    <row r="4148" spans="2:4" x14ac:dyDescent="0.25">
      <c r="B4148" s="90">
        <v>4144</v>
      </c>
      <c r="C4148" s="39">
        <f t="shared" si="130"/>
        <v>12726171.214558085</v>
      </c>
      <c r="D4148" s="39">
        <f t="shared" si="131"/>
        <v>13054979.745324124</v>
      </c>
    </row>
    <row r="4149" spans="2:4" x14ac:dyDescent="0.25">
      <c r="B4149" s="90">
        <v>4145</v>
      </c>
      <c r="C4149" s="39">
        <f t="shared" si="130"/>
        <v>12728818.553171638</v>
      </c>
      <c r="D4149" s="39">
        <f t="shared" si="131"/>
        <v>13058130.07827425</v>
      </c>
    </row>
    <row r="4150" spans="2:4" x14ac:dyDescent="0.25">
      <c r="B4150" s="90">
        <v>4146</v>
      </c>
      <c r="C4150" s="39">
        <f t="shared" si="130"/>
        <v>12731465.89178519</v>
      </c>
      <c r="D4150" s="39">
        <f t="shared" si="131"/>
        <v>13061280.411224376</v>
      </c>
    </row>
    <row r="4151" spans="2:4" x14ac:dyDescent="0.25">
      <c r="B4151" s="90">
        <v>4147</v>
      </c>
      <c r="C4151" s="39">
        <f t="shared" si="130"/>
        <v>12734113.230398741</v>
      </c>
      <c r="D4151" s="39">
        <f t="shared" si="131"/>
        <v>13064430.744174503</v>
      </c>
    </row>
    <row r="4152" spans="2:4" x14ac:dyDescent="0.25">
      <c r="B4152" s="90">
        <v>4148</v>
      </c>
      <c r="C4152" s="39">
        <f t="shared" si="130"/>
        <v>12736760.569012292</v>
      </c>
      <c r="D4152" s="39">
        <f t="shared" si="131"/>
        <v>13067581.077124629</v>
      </c>
    </row>
    <row r="4153" spans="2:4" x14ac:dyDescent="0.25">
      <c r="B4153" s="90">
        <v>4149</v>
      </c>
      <c r="C4153" s="39">
        <f t="shared" si="130"/>
        <v>12739407.907625845</v>
      </c>
      <c r="D4153" s="39">
        <f t="shared" si="131"/>
        <v>13070731.410074756</v>
      </c>
    </row>
    <row r="4154" spans="2:4" x14ac:dyDescent="0.25">
      <c r="B4154" s="90">
        <v>4150</v>
      </c>
      <c r="C4154" s="39">
        <f t="shared" si="130"/>
        <v>12742055.246239396</v>
      </c>
      <c r="D4154" s="39">
        <f t="shared" si="131"/>
        <v>13073881.743024882</v>
      </c>
    </row>
    <row r="4155" spans="2:4" x14ac:dyDescent="0.25">
      <c r="B4155" s="90">
        <v>4151</v>
      </c>
      <c r="C4155" s="39">
        <f t="shared" si="130"/>
        <v>12744702.584852947</v>
      </c>
      <c r="D4155" s="39">
        <f t="shared" si="131"/>
        <v>13077032.075975008</v>
      </c>
    </row>
    <row r="4156" spans="2:4" x14ac:dyDescent="0.25">
      <c r="B4156" s="90">
        <v>4152</v>
      </c>
      <c r="C4156" s="39">
        <f t="shared" si="130"/>
        <v>12747349.9234665</v>
      </c>
      <c r="D4156" s="39">
        <f t="shared" si="131"/>
        <v>13080182.408925135</v>
      </c>
    </row>
    <row r="4157" spans="2:4" x14ac:dyDescent="0.25">
      <c r="B4157" s="90">
        <v>4153</v>
      </c>
      <c r="C4157" s="39">
        <f t="shared" si="130"/>
        <v>12749997.262080051</v>
      </c>
      <c r="D4157" s="39">
        <f t="shared" si="131"/>
        <v>13083332.741875261</v>
      </c>
    </row>
    <row r="4158" spans="2:4" x14ac:dyDescent="0.25">
      <c r="B4158" s="90">
        <v>4154</v>
      </c>
      <c r="C4158" s="39">
        <f t="shared" si="130"/>
        <v>12752644.600693602</v>
      </c>
      <c r="D4158" s="39">
        <f t="shared" si="131"/>
        <v>13086483.074825387</v>
      </c>
    </row>
    <row r="4159" spans="2:4" x14ac:dyDescent="0.25">
      <c r="B4159" s="90">
        <v>4155</v>
      </c>
      <c r="C4159" s="39">
        <f t="shared" si="130"/>
        <v>12755291.939307153</v>
      </c>
      <c r="D4159" s="39">
        <f t="shared" si="131"/>
        <v>13089633.407775514</v>
      </c>
    </row>
    <row r="4160" spans="2:4" x14ac:dyDescent="0.25">
      <c r="B4160" s="90">
        <v>4156</v>
      </c>
      <c r="C4160" s="39">
        <f t="shared" si="130"/>
        <v>12757939.277920706</v>
      </c>
      <c r="D4160" s="39">
        <f t="shared" si="131"/>
        <v>13092783.74072564</v>
      </c>
    </row>
    <row r="4161" spans="2:4" x14ac:dyDescent="0.25">
      <c r="B4161" s="90">
        <v>4157</v>
      </c>
      <c r="C4161" s="39">
        <f t="shared" si="130"/>
        <v>12760586.616534257</v>
      </c>
      <c r="D4161" s="39">
        <f t="shared" si="131"/>
        <v>13095934.073675767</v>
      </c>
    </row>
    <row r="4162" spans="2:4" x14ac:dyDescent="0.25">
      <c r="B4162" s="90">
        <v>4158</v>
      </c>
      <c r="C4162" s="39">
        <f t="shared" si="130"/>
        <v>12763233.955147808</v>
      </c>
      <c r="D4162" s="39">
        <f t="shared" si="131"/>
        <v>13099084.406625893</v>
      </c>
    </row>
    <row r="4163" spans="2:4" x14ac:dyDescent="0.25">
      <c r="B4163" s="90">
        <v>4159</v>
      </c>
      <c r="C4163" s="39">
        <f t="shared" si="130"/>
        <v>12765881.293761361</v>
      </c>
      <c r="D4163" s="39">
        <f t="shared" si="131"/>
        <v>13102234.739576019</v>
      </c>
    </row>
    <row r="4164" spans="2:4" x14ac:dyDescent="0.25">
      <c r="B4164" s="90">
        <v>4160</v>
      </c>
      <c r="C4164" s="39">
        <f t="shared" si="130"/>
        <v>12768528.632374913</v>
      </c>
      <c r="D4164" s="39">
        <f t="shared" si="131"/>
        <v>13105385.072526146</v>
      </c>
    </row>
    <row r="4165" spans="2:4" x14ac:dyDescent="0.25">
      <c r="B4165" s="90">
        <v>4161</v>
      </c>
      <c r="C4165" s="39">
        <f t="shared" si="130"/>
        <v>12771175.970988464</v>
      </c>
      <c r="D4165" s="39">
        <f t="shared" si="131"/>
        <v>13108535.405476272</v>
      </c>
    </row>
    <row r="4166" spans="2:4" x14ac:dyDescent="0.25">
      <c r="B4166" s="90">
        <v>4162</v>
      </c>
      <c r="C4166" s="39">
        <f t="shared" si="130"/>
        <v>12773823.309602017</v>
      </c>
      <c r="D4166" s="39">
        <f t="shared" si="131"/>
        <v>13111685.738426398</v>
      </c>
    </row>
    <row r="4167" spans="2:4" x14ac:dyDescent="0.25">
      <c r="B4167" s="90">
        <v>4163</v>
      </c>
      <c r="C4167" s="39">
        <f t="shared" si="130"/>
        <v>12776470.648215568</v>
      </c>
      <c r="D4167" s="39">
        <f t="shared" si="131"/>
        <v>13114836.071376527</v>
      </c>
    </row>
    <row r="4168" spans="2:4" x14ac:dyDescent="0.25">
      <c r="B4168" s="90">
        <v>4164</v>
      </c>
      <c r="C4168" s="39">
        <f t="shared" si="130"/>
        <v>12779117.986829119</v>
      </c>
      <c r="D4168" s="39">
        <f t="shared" si="131"/>
        <v>13117986.404326653</v>
      </c>
    </row>
    <row r="4169" spans="2:4" x14ac:dyDescent="0.25">
      <c r="B4169" s="90">
        <v>4165</v>
      </c>
      <c r="C4169" s="39">
        <f t="shared" si="130"/>
        <v>12781765.32544267</v>
      </c>
      <c r="D4169" s="39">
        <f t="shared" si="131"/>
        <v>13121136.737276779</v>
      </c>
    </row>
    <row r="4170" spans="2:4" x14ac:dyDescent="0.25">
      <c r="B4170" s="90">
        <v>4166</v>
      </c>
      <c r="C4170" s="39">
        <f t="shared" si="130"/>
        <v>12784412.664056223</v>
      </c>
      <c r="D4170" s="39">
        <f t="shared" si="131"/>
        <v>13124287.070226906</v>
      </c>
    </row>
    <row r="4171" spans="2:4" x14ac:dyDescent="0.25">
      <c r="B4171" s="90">
        <v>4167</v>
      </c>
      <c r="C4171" s="39">
        <f t="shared" si="130"/>
        <v>12787060.002669774</v>
      </c>
      <c r="D4171" s="39">
        <f t="shared" si="131"/>
        <v>13127437.403177032</v>
      </c>
    </row>
    <row r="4172" spans="2:4" x14ac:dyDescent="0.25">
      <c r="B4172" s="90">
        <v>4168</v>
      </c>
      <c r="C4172" s="39">
        <f t="shared" si="130"/>
        <v>12789707.341283325</v>
      </c>
      <c r="D4172" s="39">
        <f t="shared" si="131"/>
        <v>13130587.736127159</v>
      </c>
    </row>
    <row r="4173" spans="2:4" x14ac:dyDescent="0.25">
      <c r="B4173" s="90">
        <v>4169</v>
      </c>
      <c r="C4173" s="39">
        <f t="shared" si="130"/>
        <v>12792354.679896878</v>
      </c>
      <c r="D4173" s="39">
        <f t="shared" si="131"/>
        <v>13133738.069077285</v>
      </c>
    </row>
    <row r="4174" spans="2:4" x14ac:dyDescent="0.25">
      <c r="B4174" s="90">
        <v>4170</v>
      </c>
      <c r="C4174" s="39">
        <f t="shared" si="130"/>
        <v>12795002.018510429</v>
      </c>
      <c r="D4174" s="39">
        <f t="shared" si="131"/>
        <v>13136888.402027411</v>
      </c>
    </row>
    <row r="4175" spans="2:4" x14ac:dyDescent="0.25">
      <c r="B4175" s="90">
        <v>4171</v>
      </c>
      <c r="C4175" s="39">
        <f t="shared" si="130"/>
        <v>12797649.35712398</v>
      </c>
      <c r="D4175" s="39">
        <f t="shared" si="131"/>
        <v>13140038.734977538</v>
      </c>
    </row>
    <row r="4176" spans="2:4" x14ac:dyDescent="0.25">
      <c r="B4176" s="90">
        <v>4172</v>
      </c>
      <c r="C4176" s="39">
        <f t="shared" si="130"/>
        <v>12800296.695737533</v>
      </c>
      <c r="D4176" s="39">
        <f t="shared" si="131"/>
        <v>13143189.067927664</v>
      </c>
    </row>
    <row r="4177" spans="2:4" x14ac:dyDescent="0.25">
      <c r="B4177" s="90">
        <v>4173</v>
      </c>
      <c r="C4177" s="39">
        <f t="shared" si="130"/>
        <v>12802944.034351084</v>
      </c>
      <c r="D4177" s="39">
        <f t="shared" si="131"/>
        <v>13146339.400877791</v>
      </c>
    </row>
    <row r="4178" spans="2:4" x14ac:dyDescent="0.25">
      <c r="B4178" s="90">
        <v>4174</v>
      </c>
      <c r="C4178" s="39">
        <f t="shared" si="130"/>
        <v>12805591.372964635</v>
      </c>
      <c r="D4178" s="39">
        <f t="shared" si="131"/>
        <v>13149489.733827917</v>
      </c>
    </row>
    <row r="4179" spans="2:4" x14ac:dyDescent="0.25">
      <c r="B4179" s="90">
        <v>4175</v>
      </c>
      <c r="C4179" s="39">
        <f t="shared" si="130"/>
        <v>12808238.711578187</v>
      </c>
      <c r="D4179" s="39">
        <f t="shared" si="131"/>
        <v>13152640.066778043</v>
      </c>
    </row>
    <row r="4180" spans="2:4" x14ac:dyDescent="0.25">
      <c r="B4180" s="90">
        <v>4176</v>
      </c>
      <c r="C4180" s="39">
        <f t="shared" si="130"/>
        <v>12810886.05019174</v>
      </c>
      <c r="D4180" s="39">
        <f t="shared" si="131"/>
        <v>13155790.39972817</v>
      </c>
    </row>
    <row r="4181" spans="2:4" x14ac:dyDescent="0.25">
      <c r="B4181" s="90">
        <v>4177</v>
      </c>
      <c r="C4181" s="39">
        <f t="shared" si="130"/>
        <v>12813533.388805291</v>
      </c>
      <c r="D4181" s="39">
        <f t="shared" si="131"/>
        <v>13158940.732678296</v>
      </c>
    </row>
    <row r="4182" spans="2:4" x14ac:dyDescent="0.25">
      <c r="B4182" s="90">
        <v>4178</v>
      </c>
      <c r="C4182" s="39">
        <f t="shared" si="130"/>
        <v>12816180.727418842</v>
      </c>
      <c r="D4182" s="39">
        <f t="shared" si="131"/>
        <v>13162091.065628422</v>
      </c>
    </row>
    <row r="4183" spans="2:4" x14ac:dyDescent="0.25">
      <c r="B4183" s="90">
        <v>4179</v>
      </c>
      <c r="C4183" s="39">
        <f t="shared" si="130"/>
        <v>12818828.066032395</v>
      </c>
      <c r="D4183" s="39">
        <f t="shared" si="131"/>
        <v>13165241.398578549</v>
      </c>
    </row>
    <row r="4184" spans="2:4" x14ac:dyDescent="0.25">
      <c r="B4184" s="90">
        <v>4180</v>
      </c>
      <c r="C4184" s="39">
        <f t="shared" si="130"/>
        <v>12821475.404645946</v>
      </c>
      <c r="D4184" s="39">
        <f t="shared" si="131"/>
        <v>13168391.731528675</v>
      </c>
    </row>
    <row r="4185" spans="2:4" x14ac:dyDescent="0.25">
      <c r="B4185" s="90">
        <v>4181</v>
      </c>
      <c r="C4185" s="39">
        <f t="shared" si="130"/>
        <v>12824122.743259497</v>
      </c>
      <c r="D4185" s="39">
        <f t="shared" si="131"/>
        <v>13171542.064478802</v>
      </c>
    </row>
    <row r="4186" spans="2:4" x14ac:dyDescent="0.25">
      <c r="B4186" s="90">
        <v>4182</v>
      </c>
      <c r="C4186" s="39">
        <f t="shared" si="130"/>
        <v>12826770.081873048</v>
      </c>
      <c r="D4186" s="39">
        <f t="shared" si="131"/>
        <v>13174692.39742893</v>
      </c>
    </row>
    <row r="4187" spans="2:4" x14ac:dyDescent="0.25">
      <c r="B4187" s="90">
        <v>4183</v>
      </c>
      <c r="C4187" s="39">
        <f t="shared" si="130"/>
        <v>12829417.420486601</v>
      </c>
      <c r="D4187" s="39">
        <f t="shared" si="131"/>
        <v>13177842.730379056</v>
      </c>
    </row>
    <row r="4188" spans="2:4" x14ac:dyDescent="0.25">
      <c r="B4188" s="90">
        <v>4184</v>
      </c>
      <c r="C4188" s="39">
        <f t="shared" si="130"/>
        <v>12832064.759100152</v>
      </c>
      <c r="D4188" s="39">
        <f t="shared" si="131"/>
        <v>13180993.063329183</v>
      </c>
    </row>
    <row r="4189" spans="2:4" x14ac:dyDescent="0.25">
      <c r="B4189" s="90">
        <v>4185</v>
      </c>
      <c r="C4189" s="39">
        <f t="shared" si="130"/>
        <v>12834712.097713703</v>
      </c>
      <c r="D4189" s="39">
        <f t="shared" si="131"/>
        <v>13184143.396279309</v>
      </c>
    </row>
    <row r="4190" spans="2:4" x14ac:dyDescent="0.25">
      <c r="B4190" s="90">
        <v>4186</v>
      </c>
      <c r="C4190" s="39">
        <f t="shared" si="130"/>
        <v>12837359.436327256</v>
      </c>
      <c r="D4190" s="39">
        <f t="shared" si="131"/>
        <v>13187293.729229435</v>
      </c>
    </row>
    <row r="4191" spans="2:4" x14ac:dyDescent="0.25">
      <c r="B4191" s="90">
        <v>4187</v>
      </c>
      <c r="C4191" s="39">
        <f t="shared" si="130"/>
        <v>12840006.774940807</v>
      </c>
      <c r="D4191" s="39">
        <f t="shared" si="131"/>
        <v>13190444.062179562</v>
      </c>
    </row>
    <row r="4192" spans="2:4" x14ac:dyDescent="0.25">
      <c r="B4192" s="90">
        <v>4188</v>
      </c>
      <c r="C4192" s="39">
        <f t="shared" si="130"/>
        <v>12842654.113554358</v>
      </c>
      <c r="D4192" s="39">
        <f t="shared" si="131"/>
        <v>13193594.395129688</v>
      </c>
    </row>
    <row r="4193" spans="2:4" x14ac:dyDescent="0.25">
      <c r="B4193" s="90">
        <v>4189</v>
      </c>
      <c r="C4193" s="39">
        <f t="shared" si="130"/>
        <v>12845301.452167911</v>
      </c>
      <c r="D4193" s="39">
        <f t="shared" si="131"/>
        <v>13196744.728079814</v>
      </c>
    </row>
    <row r="4194" spans="2:4" x14ac:dyDescent="0.25">
      <c r="B4194" s="90">
        <v>4190</v>
      </c>
      <c r="C4194" s="39">
        <f t="shared" si="130"/>
        <v>12847948.790781463</v>
      </c>
      <c r="D4194" s="39">
        <f t="shared" si="131"/>
        <v>13199895.061029941</v>
      </c>
    </row>
    <row r="4195" spans="2:4" x14ac:dyDescent="0.25">
      <c r="B4195" s="90">
        <v>4191</v>
      </c>
      <c r="C4195" s="39">
        <f t="shared" si="130"/>
        <v>12850596.129395014</v>
      </c>
      <c r="D4195" s="39">
        <f t="shared" si="131"/>
        <v>13203045.393980067</v>
      </c>
    </row>
    <row r="4196" spans="2:4" x14ac:dyDescent="0.25">
      <c r="B4196" s="90">
        <v>4192</v>
      </c>
      <c r="C4196" s="39">
        <f t="shared" si="130"/>
        <v>12853243.468008565</v>
      </c>
      <c r="D4196" s="39">
        <f t="shared" si="131"/>
        <v>13206195.726930194</v>
      </c>
    </row>
    <row r="4197" spans="2:4" x14ac:dyDescent="0.25">
      <c r="B4197" s="90">
        <v>4193</v>
      </c>
      <c r="C4197" s="39">
        <f t="shared" si="130"/>
        <v>12855890.806622118</v>
      </c>
      <c r="D4197" s="39">
        <f t="shared" si="131"/>
        <v>13209346.05988032</v>
      </c>
    </row>
    <row r="4198" spans="2:4" x14ac:dyDescent="0.25">
      <c r="B4198" s="90">
        <v>4194</v>
      </c>
      <c r="C4198" s="39">
        <f t="shared" si="130"/>
        <v>12858538.145235669</v>
      </c>
      <c r="D4198" s="39">
        <f t="shared" si="131"/>
        <v>13212496.392830446</v>
      </c>
    </row>
    <row r="4199" spans="2:4" x14ac:dyDescent="0.25">
      <c r="B4199" s="90">
        <v>4195</v>
      </c>
      <c r="C4199" s="39">
        <f t="shared" si="130"/>
        <v>12861185.48384922</v>
      </c>
      <c r="D4199" s="39">
        <f t="shared" si="131"/>
        <v>13215646.725780573</v>
      </c>
    </row>
    <row r="4200" spans="2:4" x14ac:dyDescent="0.25">
      <c r="B4200" s="90">
        <v>4196</v>
      </c>
      <c r="C4200" s="39">
        <f t="shared" si="130"/>
        <v>12863832.822462773</v>
      </c>
      <c r="D4200" s="39">
        <f t="shared" si="131"/>
        <v>13218797.058730699</v>
      </c>
    </row>
    <row r="4201" spans="2:4" x14ac:dyDescent="0.25">
      <c r="B4201" s="90">
        <v>4197</v>
      </c>
      <c r="C4201" s="39">
        <f t="shared" si="130"/>
        <v>12866480.161076324</v>
      </c>
      <c r="D4201" s="39">
        <f t="shared" si="131"/>
        <v>13221947.391680826</v>
      </c>
    </row>
    <row r="4202" spans="2:4" x14ac:dyDescent="0.25">
      <c r="B4202" s="90">
        <v>4198</v>
      </c>
      <c r="C4202" s="39">
        <f t="shared" si="130"/>
        <v>12869127.499689875</v>
      </c>
      <c r="D4202" s="39">
        <f t="shared" si="131"/>
        <v>13225097.724630952</v>
      </c>
    </row>
    <row r="4203" spans="2:4" x14ac:dyDescent="0.25">
      <c r="B4203" s="90">
        <v>4199</v>
      </c>
      <c r="C4203" s="39">
        <f t="shared" si="130"/>
        <v>12871774.838303428</v>
      </c>
      <c r="D4203" s="39">
        <f t="shared" si="131"/>
        <v>13228248.057581078</v>
      </c>
    </row>
    <row r="4204" spans="2:4" x14ac:dyDescent="0.25">
      <c r="B4204" s="90">
        <v>4200</v>
      </c>
      <c r="C4204" s="39">
        <f t="shared" si="130"/>
        <v>12874422.176916979</v>
      </c>
      <c r="D4204" s="39">
        <f t="shared" si="131"/>
        <v>13231398.390531205</v>
      </c>
    </row>
    <row r="4205" spans="2:4" x14ac:dyDescent="0.25">
      <c r="B4205" s="90">
        <v>4201</v>
      </c>
      <c r="C4205" s="39">
        <f t="shared" si="130"/>
        <v>12877069.51553053</v>
      </c>
      <c r="D4205" s="39">
        <f t="shared" si="131"/>
        <v>13234548.723481333</v>
      </c>
    </row>
    <row r="4206" spans="2:4" x14ac:dyDescent="0.25">
      <c r="B4206" s="90">
        <v>4202</v>
      </c>
      <c r="C4206" s="39">
        <f t="shared" si="130"/>
        <v>12879716.854144081</v>
      </c>
      <c r="D4206" s="39">
        <f t="shared" si="131"/>
        <v>13237699.056431459</v>
      </c>
    </row>
    <row r="4207" spans="2:4" x14ac:dyDescent="0.25">
      <c r="B4207" s="90">
        <v>4203</v>
      </c>
      <c r="C4207" s="39">
        <f t="shared" si="130"/>
        <v>12882364.192757634</v>
      </c>
      <c r="D4207" s="39">
        <f t="shared" si="131"/>
        <v>13240849.389381586</v>
      </c>
    </row>
    <row r="4208" spans="2:4" x14ac:dyDescent="0.25">
      <c r="B4208" s="90">
        <v>4204</v>
      </c>
      <c r="C4208" s="39">
        <f t="shared" si="130"/>
        <v>12885011.531371186</v>
      </c>
      <c r="D4208" s="39">
        <f t="shared" si="131"/>
        <v>13243999.722331712</v>
      </c>
    </row>
    <row r="4209" spans="2:4" x14ac:dyDescent="0.25">
      <c r="B4209" s="90">
        <v>4205</v>
      </c>
      <c r="C4209" s="39">
        <f t="shared" ref="C4209:C4272" si="132">($C$2*B4209)+$C$1</f>
        <v>12887658.869984737</v>
      </c>
      <c r="D4209" s="39">
        <f t="shared" ref="D4209:D4272" si="133">$D$2*B4209</f>
        <v>13247150.055281838</v>
      </c>
    </row>
    <row r="4210" spans="2:4" x14ac:dyDescent="0.25">
      <c r="B4210" s="90">
        <v>4206</v>
      </c>
      <c r="C4210" s="39">
        <f t="shared" si="132"/>
        <v>12890306.20859829</v>
      </c>
      <c r="D4210" s="39">
        <f t="shared" si="133"/>
        <v>13250300.388231965</v>
      </c>
    </row>
    <row r="4211" spans="2:4" x14ac:dyDescent="0.25">
      <c r="B4211" s="90">
        <v>4207</v>
      </c>
      <c r="C4211" s="39">
        <f t="shared" si="132"/>
        <v>12892953.547211841</v>
      </c>
      <c r="D4211" s="39">
        <f t="shared" si="133"/>
        <v>13253450.721182091</v>
      </c>
    </row>
    <row r="4212" spans="2:4" x14ac:dyDescent="0.25">
      <c r="B4212" s="90">
        <v>4208</v>
      </c>
      <c r="C4212" s="39">
        <f t="shared" si="132"/>
        <v>12895600.885825392</v>
      </c>
      <c r="D4212" s="39">
        <f t="shared" si="133"/>
        <v>13256601.054132218</v>
      </c>
    </row>
    <row r="4213" spans="2:4" x14ac:dyDescent="0.25">
      <c r="B4213" s="90">
        <v>4209</v>
      </c>
      <c r="C4213" s="39">
        <f t="shared" si="132"/>
        <v>12898248.224438943</v>
      </c>
      <c r="D4213" s="39">
        <f t="shared" si="133"/>
        <v>13259751.387082344</v>
      </c>
    </row>
    <row r="4214" spans="2:4" x14ac:dyDescent="0.25">
      <c r="B4214" s="90">
        <v>4210</v>
      </c>
      <c r="C4214" s="39">
        <f t="shared" si="132"/>
        <v>12900895.563052496</v>
      </c>
      <c r="D4214" s="39">
        <f t="shared" si="133"/>
        <v>13262901.72003247</v>
      </c>
    </row>
    <row r="4215" spans="2:4" x14ac:dyDescent="0.25">
      <c r="B4215" s="90">
        <v>4211</v>
      </c>
      <c r="C4215" s="39">
        <f t="shared" si="132"/>
        <v>12903542.901666047</v>
      </c>
      <c r="D4215" s="39">
        <f t="shared" si="133"/>
        <v>13266052.052982597</v>
      </c>
    </row>
    <row r="4216" spans="2:4" x14ac:dyDescent="0.25">
      <c r="B4216" s="90">
        <v>4212</v>
      </c>
      <c r="C4216" s="39">
        <f t="shared" si="132"/>
        <v>12906190.240279598</v>
      </c>
      <c r="D4216" s="39">
        <f t="shared" si="133"/>
        <v>13269202.385932723</v>
      </c>
    </row>
    <row r="4217" spans="2:4" x14ac:dyDescent="0.25">
      <c r="B4217" s="90">
        <v>4213</v>
      </c>
      <c r="C4217" s="39">
        <f t="shared" si="132"/>
        <v>12908837.578893151</v>
      </c>
      <c r="D4217" s="39">
        <f t="shared" si="133"/>
        <v>13272352.718882849</v>
      </c>
    </row>
    <row r="4218" spans="2:4" x14ac:dyDescent="0.25">
      <c r="B4218" s="90">
        <v>4214</v>
      </c>
      <c r="C4218" s="39">
        <f t="shared" si="132"/>
        <v>12911484.917506702</v>
      </c>
      <c r="D4218" s="39">
        <f t="shared" si="133"/>
        <v>13275503.051832976</v>
      </c>
    </row>
    <row r="4219" spans="2:4" x14ac:dyDescent="0.25">
      <c r="B4219" s="90">
        <v>4215</v>
      </c>
      <c r="C4219" s="39">
        <f t="shared" si="132"/>
        <v>12914132.256120253</v>
      </c>
      <c r="D4219" s="39">
        <f t="shared" si="133"/>
        <v>13278653.384783102</v>
      </c>
    </row>
    <row r="4220" spans="2:4" x14ac:dyDescent="0.25">
      <c r="B4220" s="90">
        <v>4216</v>
      </c>
      <c r="C4220" s="39">
        <f t="shared" si="132"/>
        <v>12916779.594733806</v>
      </c>
      <c r="D4220" s="39">
        <f t="shared" si="133"/>
        <v>13281803.717733229</v>
      </c>
    </row>
    <row r="4221" spans="2:4" x14ac:dyDescent="0.25">
      <c r="B4221" s="90">
        <v>4217</v>
      </c>
      <c r="C4221" s="39">
        <f t="shared" si="132"/>
        <v>12919426.933347357</v>
      </c>
      <c r="D4221" s="39">
        <f t="shared" si="133"/>
        <v>13284954.050683355</v>
      </c>
    </row>
    <row r="4222" spans="2:4" x14ac:dyDescent="0.25">
      <c r="B4222" s="90">
        <v>4218</v>
      </c>
      <c r="C4222" s="39">
        <f t="shared" si="132"/>
        <v>12922074.271960909</v>
      </c>
      <c r="D4222" s="39">
        <f t="shared" si="133"/>
        <v>13288104.383633481</v>
      </c>
    </row>
    <row r="4223" spans="2:4" x14ac:dyDescent="0.25">
      <c r="B4223" s="90">
        <v>4219</v>
      </c>
      <c r="C4223" s="39">
        <f t="shared" si="132"/>
        <v>12924721.61057446</v>
      </c>
      <c r="D4223" s="39">
        <f t="shared" si="133"/>
        <v>13291254.716583608</v>
      </c>
    </row>
    <row r="4224" spans="2:4" x14ac:dyDescent="0.25">
      <c r="B4224" s="90">
        <v>4220</v>
      </c>
      <c r="C4224" s="39">
        <f t="shared" si="132"/>
        <v>12927368.949188013</v>
      </c>
      <c r="D4224" s="39">
        <f t="shared" si="133"/>
        <v>13294405.049533736</v>
      </c>
    </row>
    <row r="4225" spans="2:4" x14ac:dyDescent="0.25">
      <c r="B4225" s="90">
        <v>4221</v>
      </c>
      <c r="C4225" s="39">
        <f t="shared" si="132"/>
        <v>12930016.287801564</v>
      </c>
      <c r="D4225" s="39">
        <f t="shared" si="133"/>
        <v>13297555.382483862</v>
      </c>
    </row>
    <row r="4226" spans="2:4" x14ac:dyDescent="0.25">
      <c r="B4226" s="90">
        <v>4222</v>
      </c>
      <c r="C4226" s="39">
        <f t="shared" si="132"/>
        <v>12932663.626415115</v>
      </c>
      <c r="D4226" s="39">
        <f t="shared" si="133"/>
        <v>13300705.715433989</v>
      </c>
    </row>
    <row r="4227" spans="2:4" x14ac:dyDescent="0.25">
      <c r="B4227" s="90">
        <v>4223</v>
      </c>
      <c r="C4227" s="39">
        <f t="shared" si="132"/>
        <v>12935310.965028668</v>
      </c>
      <c r="D4227" s="39">
        <f t="shared" si="133"/>
        <v>13303856.048384115</v>
      </c>
    </row>
    <row r="4228" spans="2:4" x14ac:dyDescent="0.25">
      <c r="B4228" s="90">
        <v>4224</v>
      </c>
      <c r="C4228" s="39">
        <f t="shared" si="132"/>
        <v>12937958.303642219</v>
      </c>
      <c r="D4228" s="39">
        <f t="shared" si="133"/>
        <v>13307006.381334241</v>
      </c>
    </row>
    <row r="4229" spans="2:4" x14ac:dyDescent="0.25">
      <c r="B4229" s="90">
        <v>4225</v>
      </c>
      <c r="C4229" s="39">
        <f t="shared" si="132"/>
        <v>12940605.64225577</v>
      </c>
      <c r="D4229" s="39">
        <f t="shared" si="133"/>
        <v>13310156.714284368</v>
      </c>
    </row>
    <row r="4230" spans="2:4" x14ac:dyDescent="0.25">
      <c r="B4230" s="90">
        <v>4226</v>
      </c>
      <c r="C4230" s="39">
        <f t="shared" si="132"/>
        <v>12943252.980869321</v>
      </c>
      <c r="D4230" s="39">
        <f t="shared" si="133"/>
        <v>13313307.047234494</v>
      </c>
    </row>
    <row r="4231" spans="2:4" x14ac:dyDescent="0.25">
      <c r="B4231" s="90">
        <v>4227</v>
      </c>
      <c r="C4231" s="39">
        <f t="shared" si="132"/>
        <v>12945900.319482874</v>
      </c>
      <c r="D4231" s="39">
        <f t="shared" si="133"/>
        <v>13316457.380184621</v>
      </c>
    </row>
    <row r="4232" spans="2:4" x14ac:dyDescent="0.25">
      <c r="B4232" s="90">
        <v>4228</v>
      </c>
      <c r="C4232" s="39">
        <f t="shared" si="132"/>
        <v>12948547.658096425</v>
      </c>
      <c r="D4232" s="39">
        <f t="shared" si="133"/>
        <v>13319607.713134747</v>
      </c>
    </row>
    <row r="4233" spans="2:4" x14ac:dyDescent="0.25">
      <c r="B4233" s="90">
        <v>4229</v>
      </c>
      <c r="C4233" s="39">
        <f t="shared" si="132"/>
        <v>12951194.996709976</v>
      </c>
      <c r="D4233" s="39">
        <f t="shared" si="133"/>
        <v>13322758.046084873</v>
      </c>
    </row>
    <row r="4234" spans="2:4" x14ac:dyDescent="0.25">
      <c r="B4234" s="90">
        <v>4230</v>
      </c>
      <c r="C4234" s="39">
        <f t="shared" si="132"/>
        <v>12953842.335323529</v>
      </c>
      <c r="D4234" s="39">
        <f t="shared" si="133"/>
        <v>13325908.379035</v>
      </c>
    </row>
    <row r="4235" spans="2:4" x14ac:dyDescent="0.25">
      <c r="B4235" s="90">
        <v>4231</v>
      </c>
      <c r="C4235" s="39">
        <f t="shared" si="132"/>
        <v>12956489.67393708</v>
      </c>
      <c r="D4235" s="39">
        <f t="shared" si="133"/>
        <v>13329058.711985126</v>
      </c>
    </row>
    <row r="4236" spans="2:4" x14ac:dyDescent="0.25">
      <c r="B4236" s="90">
        <v>4232</v>
      </c>
      <c r="C4236" s="39">
        <f t="shared" si="132"/>
        <v>12959137.012550632</v>
      </c>
      <c r="D4236" s="39">
        <f t="shared" si="133"/>
        <v>13332209.044935253</v>
      </c>
    </row>
    <row r="4237" spans="2:4" x14ac:dyDescent="0.25">
      <c r="B4237" s="90">
        <v>4233</v>
      </c>
      <c r="C4237" s="39">
        <f t="shared" si="132"/>
        <v>12961784.351164185</v>
      </c>
      <c r="D4237" s="39">
        <f t="shared" si="133"/>
        <v>13335359.377885379</v>
      </c>
    </row>
    <row r="4238" spans="2:4" x14ac:dyDescent="0.25">
      <c r="B4238" s="90">
        <v>4234</v>
      </c>
      <c r="C4238" s="39">
        <f t="shared" si="132"/>
        <v>12964431.689777736</v>
      </c>
      <c r="D4238" s="39">
        <f t="shared" si="133"/>
        <v>13338509.710835505</v>
      </c>
    </row>
    <row r="4239" spans="2:4" x14ac:dyDescent="0.25">
      <c r="B4239" s="90">
        <v>4235</v>
      </c>
      <c r="C4239" s="39">
        <f t="shared" si="132"/>
        <v>12967079.028391287</v>
      </c>
      <c r="D4239" s="39">
        <f t="shared" si="133"/>
        <v>13341660.043785632</v>
      </c>
    </row>
    <row r="4240" spans="2:4" x14ac:dyDescent="0.25">
      <c r="B4240" s="90">
        <v>4236</v>
      </c>
      <c r="C4240" s="39">
        <f t="shared" si="132"/>
        <v>12969726.367004838</v>
      </c>
      <c r="D4240" s="39">
        <f t="shared" si="133"/>
        <v>13344810.376735758</v>
      </c>
    </row>
    <row r="4241" spans="2:4" x14ac:dyDescent="0.25">
      <c r="B4241" s="90">
        <v>4237</v>
      </c>
      <c r="C4241" s="39">
        <f t="shared" si="132"/>
        <v>12972373.705618391</v>
      </c>
      <c r="D4241" s="39">
        <f t="shared" si="133"/>
        <v>13347960.709685884</v>
      </c>
    </row>
    <row r="4242" spans="2:4" x14ac:dyDescent="0.25">
      <c r="B4242" s="90">
        <v>4238</v>
      </c>
      <c r="C4242" s="39">
        <f t="shared" si="132"/>
        <v>12975021.044231942</v>
      </c>
      <c r="D4242" s="39">
        <f t="shared" si="133"/>
        <v>13351111.042636011</v>
      </c>
    </row>
    <row r="4243" spans="2:4" x14ac:dyDescent="0.25">
      <c r="B4243" s="90">
        <v>4239</v>
      </c>
      <c r="C4243" s="39">
        <f t="shared" si="132"/>
        <v>12977668.382845493</v>
      </c>
      <c r="D4243" s="39">
        <f t="shared" si="133"/>
        <v>13354261.375586139</v>
      </c>
    </row>
    <row r="4244" spans="2:4" x14ac:dyDescent="0.25">
      <c r="B4244" s="90">
        <v>4240</v>
      </c>
      <c r="C4244" s="39">
        <f t="shared" si="132"/>
        <v>12980315.721459046</v>
      </c>
      <c r="D4244" s="39">
        <f t="shared" si="133"/>
        <v>13357411.708536265</v>
      </c>
    </row>
    <row r="4245" spans="2:4" x14ac:dyDescent="0.25">
      <c r="B4245" s="90">
        <v>4241</v>
      </c>
      <c r="C4245" s="39">
        <f t="shared" si="132"/>
        <v>12982963.060072597</v>
      </c>
      <c r="D4245" s="39">
        <f t="shared" si="133"/>
        <v>13360562.041486392</v>
      </c>
    </row>
    <row r="4246" spans="2:4" x14ac:dyDescent="0.25">
      <c r="B4246" s="90">
        <v>4242</v>
      </c>
      <c r="C4246" s="39">
        <f t="shared" si="132"/>
        <v>12985610.398686148</v>
      </c>
      <c r="D4246" s="39">
        <f t="shared" si="133"/>
        <v>13363712.374436518</v>
      </c>
    </row>
    <row r="4247" spans="2:4" x14ac:dyDescent="0.25">
      <c r="B4247" s="90">
        <v>4243</v>
      </c>
      <c r="C4247" s="39">
        <f t="shared" si="132"/>
        <v>12988257.737299701</v>
      </c>
      <c r="D4247" s="39">
        <f t="shared" si="133"/>
        <v>13366862.707386645</v>
      </c>
    </row>
    <row r="4248" spans="2:4" x14ac:dyDescent="0.25">
      <c r="B4248" s="90">
        <v>4244</v>
      </c>
      <c r="C4248" s="39">
        <f t="shared" si="132"/>
        <v>12990905.075913252</v>
      </c>
      <c r="D4248" s="39">
        <f t="shared" si="133"/>
        <v>13370013.040336771</v>
      </c>
    </row>
    <row r="4249" spans="2:4" x14ac:dyDescent="0.25">
      <c r="B4249" s="90">
        <v>4245</v>
      </c>
      <c r="C4249" s="39">
        <f t="shared" si="132"/>
        <v>12993552.414526803</v>
      </c>
      <c r="D4249" s="39">
        <f t="shared" si="133"/>
        <v>13373163.373286897</v>
      </c>
    </row>
    <row r="4250" spans="2:4" x14ac:dyDescent="0.25">
      <c r="B4250" s="90">
        <v>4246</v>
      </c>
      <c r="C4250" s="39">
        <f t="shared" si="132"/>
        <v>12996199.753140355</v>
      </c>
      <c r="D4250" s="39">
        <f t="shared" si="133"/>
        <v>13376313.706237024</v>
      </c>
    </row>
    <row r="4251" spans="2:4" x14ac:dyDescent="0.25">
      <c r="B4251" s="90">
        <v>4247</v>
      </c>
      <c r="C4251" s="39">
        <f t="shared" si="132"/>
        <v>12998847.091753908</v>
      </c>
      <c r="D4251" s="39">
        <f t="shared" si="133"/>
        <v>13379464.03918715</v>
      </c>
    </row>
    <row r="4252" spans="2:4" x14ac:dyDescent="0.25">
      <c r="B4252" s="90">
        <v>4248</v>
      </c>
      <c r="C4252" s="39">
        <f t="shared" si="132"/>
        <v>13001494.430367459</v>
      </c>
      <c r="D4252" s="39">
        <f t="shared" si="133"/>
        <v>13382614.372137276</v>
      </c>
    </row>
    <row r="4253" spans="2:4" x14ac:dyDescent="0.25">
      <c r="B4253" s="90">
        <v>4249</v>
      </c>
      <c r="C4253" s="39">
        <f t="shared" si="132"/>
        <v>13004141.76898101</v>
      </c>
      <c r="D4253" s="39">
        <f t="shared" si="133"/>
        <v>13385764.705087403</v>
      </c>
    </row>
    <row r="4254" spans="2:4" x14ac:dyDescent="0.25">
      <c r="B4254" s="90">
        <v>4250</v>
      </c>
      <c r="C4254" s="39">
        <f t="shared" si="132"/>
        <v>13006789.107594563</v>
      </c>
      <c r="D4254" s="39">
        <f t="shared" si="133"/>
        <v>13388915.038037529</v>
      </c>
    </row>
    <row r="4255" spans="2:4" x14ac:dyDescent="0.25">
      <c r="B4255" s="90">
        <v>4251</v>
      </c>
      <c r="C4255" s="39">
        <f t="shared" si="132"/>
        <v>13009436.446208114</v>
      </c>
      <c r="D4255" s="39">
        <f t="shared" si="133"/>
        <v>13392065.370987656</v>
      </c>
    </row>
    <row r="4256" spans="2:4" x14ac:dyDescent="0.25">
      <c r="B4256" s="90">
        <v>4252</v>
      </c>
      <c r="C4256" s="39">
        <f t="shared" si="132"/>
        <v>13012083.784821665</v>
      </c>
      <c r="D4256" s="39">
        <f t="shared" si="133"/>
        <v>13395215.703937782</v>
      </c>
    </row>
    <row r="4257" spans="2:4" x14ac:dyDescent="0.25">
      <c r="B4257" s="90">
        <v>4253</v>
      </c>
      <c r="C4257" s="39">
        <f t="shared" si="132"/>
        <v>13014731.123435216</v>
      </c>
      <c r="D4257" s="39">
        <f t="shared" si="133"/>
        <v>13398366.036887908</v>
      </c>
    </row>
    <row r="4258" spans="2:4" x14ac:dyDescent="0.25">
      <c r="B4258" s="90">
        <v>4254</v>
      </c>
      <c r="C4258" s="39">
        <f t="shared" si="132"/>
        <v>13017378.462048769</v>
      </c>
      <c r="D4258" s="39">
        <f t="shared" si="133"/>
        <v>13401516.369838035</v>
      </c>
    </row>
    <row r="4259" spans="2:4" x14ac:dyDescent="0.25">
      <c r="B4259" s="90">
        <v>4255</v>
      </c>
      <c r="C4259" s="39">
        <f t="shared" si="132"/>
        <v>13020025.80066232</v>
      </c>
      <c r="D4259" s="39">
        <f t="shared" si="133"/>
        <v>13404666.702788161</v>
      </c>
    </row>
    <row r="4260" spans="2:4" x14ac:dyDescent="0.25">
      <c r="B4260" s="90">
        <v>4256</v>
      </c>
      <c r="C4260" s="39">
        <f t="shared" si="132"/>
        <v>13022673.139275871</v>
      </c>
      <c r="D4260" s="39">
        <f t="shared" si="133"/>
        <v>13407817.035738287</v>
      </c>
    </row>
    <row r="4261" spans="2:4" x14ac:dyDescent="0.25">
      <c r="B4261" s="90">
        <v>4257</v>
      </c>
      <c r="C4261" s="39">
        <f t="shared" si="132"/>
        <v>13025320.477889424</v>
      </c>
      <c r="D4261" s="39">
        <f t="shared" si="133"/>
        <v>13410967.368688414</v>
      </c>
    </row>
    <row r="4262" spans="2:4" x14ac:dyDescent="0.25">
      <c r="B4262" s="90">
        <v>4258</v>
      </c>
      <c r="C4262" s="39">
        <f t="shared" si="132"/>
        <v>13027967.816502975</v>
      </c>
      <c r="D4262" s="39">
        <f t="shared" si="133"/>
        <v>13414117.701638542</v>
      </c>
    </row>
    <row r="4263" spans="2:4" x14ac:dyDescent="0.25">
      <c r="B4263" s="90">
        <v>4259</v>
      </c>
      <c r="C4263" s="39">
        <f t="shared" si="132"/>
        <v>13030615.155116526</v>
      </c>
      <c r="D4263" s="39">
        <f t="shared" si="133"/>
        <v>13417268.034588668</v>
      </c>
    </row>
    <row r="4264" spans="2:4" x14ac:dyDescent="0.25">
      <c r="B4264" s="90">
        <v>4260</v>
      </c>
      <c r="C4264" s="39">
        <f t="shared" si="132"/>
        <v>13033262.493730079</v>
      </c>
      <c r="D4264" s="39">
        <f t="shared" si="133"/>
        <v>13420418.367538795</v>
      </c>
    </row>
    <row r="4265" spans="2:4" x14ac:dyDescent="0.25">
      <c r="B4265" s="90">
        <v>4261</v>
      </c>
      <c r="C4265" s="39">
        <f t="shared" si="132"/>
        <v>13035909.83234363</v>
      </c>
      <c r="D4265" s="39">
        <f t="shared" si="133"/>
        <v>13423568.700488921</v>
      </c>
    </row>
    <row r="4266" spans="2:4" x14ac:dyDescent="0.25">
      <c r="B4266" s="90">
        <v>4262</v>
      </c>
      <c r="C4266" s="39">
        <f t="shared" si="132"/>
        <v>13038557.170957182</v>
      </c>
      <c r="D4266" s="39">
        <f t="shared" si="133"/>
        <v>13426719.033439048</v>
      </c>
    </row>
    <row r="4267" spans="2:4" x14ac:dyDescent="0.25">
      <c r="B4267" s="90">
        <v>4263</v>
      </c>
      <c r="C4267" s="39">
        <f t="shared" si="132"/>
        <v>13041204.509570733</v>
      </c>
      <c r="D4267" s="39">
        <f t="shared" si="133"/>
        <v>13429869.366389174</v>
      </c>
    </row>
    <row r="4268" spans="2:4" x14ac:dyDescent="0.25">
      <c r="B4268" s="90">
        <v>4264</v>
      </c>
      <c r="C4268" s="39">
        <f t="shared" si="132"/>
        <v>13043851.848184286</v>
      </c>
      <c r="D4268" s="39">
        <f t="shared" si="133"/>
        <v>13433019.6993393</v>
      </c>
    </row>
    <row r="4269" spans="2:4" x14ac:dyDescent="0.25">
      <c r="B4269" s="90">
        <v>4265</v>
      </c>
      <c r="C4269" s="39">
        <f t="shared" si="132"/>
        <v>13046499.186797837</v>
      </c>
      <c r="D4269" s="39">
        <f t="shared" si="133"/>
        <v>13436170.032289427</v>
      </c>
    </row>
    <row r="4270" spans="2:4" x14ac:dyDescent="0.25">
      <c r="B4270" s="90">
        <v>4266</v>
      </c>
      <c r="C4270" s="39">
        <f t="shared" si="132"/>
        <v>13049146.525411388</v>
      </c>
      <c r="D4270" s="39">
        <f t="shared" si="133"/>
        <v>13439320.365239553</v>
      </c>
    </row>
    <row r="4271" spans="2:4" x14ac:dyDescent="0.25">
      <c r="B4271" s="90">
        <v>4267</v>
      </c>
      <c r="C4271" s="39">
        <f t="shared" si="132"/>
        <v>13051793.864024941</v>
      </c>
      <c r="D4271" s="39">
        <f t="shared" si="133"/>
        <v>13442470.69818968</v>
      </c>
    </row>
    <row r="4272" spans="2:4" x14ac:dyDescent="0.25">
      <c r="B4272" s="90">
        <v>4268</v>
      </c>
      <c r="C4272" s="39">
        <f t="shared" si="132"/>
        <v>13054441.202638492</v>
      </c>
      <c r="D4272" s="39">
        <f t="shared" si="133"/>
        <v>13445621.031139806</v>
      </c>
    </row>
    <row r="4273" spans="2:4" x14ac:dyDescent="0.25">
      <c r="B4273" s="90">
        <v>4269</v>
      </c>
      <c r="C4273" s="39">
        <f t="shared" ref="C4273:C4336" si="134">($C$2*B4273)+$C$1</f>
        <v>13057088.541252043</v>
      </c>
      <c r="D4273" s="39">
        <f t="shared" ref="D4273:D4336" si="135">$D$2*B4273</f>
        <v>13448771.364089932</v>
      </c>
    </row>
    <row r="4274" spans="2:4" x14ac:dyDescent="0.25">
      <c r="B4274" s="90">
        <v>4270</v>
      </c>
      <c r="C4274" s="39">
        <f t="shared" si="134"/>
        <v>13059735.879865596</v>
      </c>
      <c r="D4274" s="39">
        <f t="shared" si="135"/>
        <v>13451921.697040059</v>
      </c>
    </row>
    <row r="4275" spans="2:4" x14ac:dyDescent="0.25">
      <c r="B4275" s="90">
        <v>4271</v>
      </c>
      <c r="C4275" s="39">
        <f t="shared" si="134"/>
        <v>13062383.218479147</v>
      </c>
      <c r="D4275" s="39">
        <f t="shared" si="135"/>
        <v>13455072.029990185</v>
      </c>
    </row>
    <row r="4276" spans="2:4" x14ac:dyDescent="0.25">
      <c r="B4276" s="90">
        <v>4272</v>
      </c>
      <c r="C4276" s="39">
        <f t="shared" si="134"/>
        <v>13065030.557092698</v>
      </c>
      <c r="D4276" s="39">
        <f t="shared" si="135"/>
        <v>13458222.362940311</v>
      </c>
    </row>
    <row r="4277" spans="2:4" x14ac:dyDescent="0.25">
      <c r="B4277" s="90">
        <v>4273</v>
      </c>
      <c r="C4277" s="39">
        <f t="shared" si="134"/>
        <v>13067677.895706249</v>
      </c>
      <c r="D4277" s="39">
        <f t="shared" si="135"/>
        <v>13461372.695890438</v>
      </c>
    </row>
    <row r="4278" spans="2:4" x14ac:dyDescent="0.25">
      <c r="B4278" s="90">
        <v>4274</v>
      </c>
      <c r="C4278" s="39">
        <f t="shared" si="134"/>
        <v>13070325.234319802</v>
      </c>
      <c r="D4278" s="39">
        <f t="shared" si="135"/>
        <v>13464523.028840564</v>
      </c>
    </row>
    <row r="4279" spans="2:4" x14ac:dyDescent="0.25">
      <c r="B4279" s="90">
        <v>4275</v>
      </c>
      <c r="C4279" s="39">
        <f t="shared" si="134"/>
        <v>13072972.572933353</v>
      </c>
      <c r="D4279" s="39">
        <f t="shared" si="135"/>
        <v>13467673.361790691</v>
      </c>
    </row>
    <row r="4280" spans="2:4" x14ac:dyDescent="0.25">
      <c r="B4280" s="90">
        <v>4276</v>
      </c>
      <c r="C4280" s="39">
        <f t="shared" si="134"/>
        <v>13075619.911546905</v>
      </c>
      <c r="D4280" s="39">
        <f t="shared" si="135"/>
        <v>13470823.694740817</v>
      </c>
    </row>
    <row r="4281" spans="2:4" x14ac:dyDescent="0.25">
      <c r="B4281" s="90">
        <v>4277</v>
      </c>
      <c r="C4281" s="39">
        <f t="shared" si="134"/>
        <v>13078267.250160458</v>
      </c>
      <c r="D4281" s="39">
        <f t="shared" si="135"/>
        <v>13473974.027690945</v>
      </c>
    </row>
    <row r="4282" spans="2:4" x14ac:dyDescent="0.25">
      <c r="B4282" s="90">
        <v>4278</v>
      </c>
      <c r="C4282" s="39">
        <f t="shared" si="134"/>
        <v>13080914.588774009</v>
      </c>
      <c r="D4282" s="39">
        <f t="shared" si="135"/>
        <v>13477124.360641072</v>
      </c>
    </row>
    <row r="4283" spans="2:4" x14ac:dyDescent="0.25">
      <c r="B4283" s="90">
        <v>4279</v>
      </c>
      <c r="C4283" s="39">
        <f t="shared" si="134"/>
        <v>13083561.92738756</v>
      </c>
      <c r="D4283" s="39">
        <f t="shared" si="135"/>
        <v>13480274.693591198</v>
      </c>
    </row>
    <row r="4284" spans="2:4" x14ac:dyDescent="0.25">
      <c r="B4284" s="90">
        <v>4280</v>
      </c>
      <c r="C4284" s="39">
        <f t="shared" si="134"/>
        <v>13086209.266001111</v>
      </c>
      <c r="D4284" s="39">
        <f t="shared" si="135"/>
        <v>13483425.026541324</v>
      </c>
    </row>
    <row r="4285" spans="2:4" x14ac:dyDescent="0.25">
      <c r="B4285" s="90">
        <v>4281</v>
      </c>
      <c r="C4285" s="39">
        <f t="shared" si="134"/>
        <v>13088856.604614664</v>
      </c>
      <c r="D4285" s="39">
        <f t="shared" si="135"/>
        <v>13486575.359491451</v>
      </c>
    </row>
    <row r="4286" spans="2:4" x14ac:dyDescent="0.25">
      <c r="B4286" s="90">
        <v>4282</v>
      </c>
      <c r="C4286" s="39">
        <f t="shared" si="134"/>
        <v>13091503.943228215</v>
      </c>
      <c r="D4286" s="39">
        <f t="shared" si="135"/>
        <v>13489725.692441577</v>
      </c>
    </row>
    <row r="4287" spans="2:4" x14ac:dyDescent="0.25">
      <c r="B4287" s="90">
        <v>4283</v>
      </c>
      <c r="C4287" s="39">
        <f t="shared" si="134"/>
        <v>13094151.281841766</v>
      </c>
      <c r="D4287" s="39">
        <f t="shared" si="135"/>
        <v>13492876.025391703</v>
      </c>
    </row>
    <row r="4288" spans="2:4" x14ac:dyDescent="0.25">
      <c r="B4288" s="90">
        <v>4284</v>
      </c>
      <c r="C4288" s="39">
        <f t="shared" si="134"/>
        <v>13096798.620455319</v>
      </c>
      <c r="D4288" s="39">
        <f t="shared" si="135"/>
        <v>13496026.35834183</v>
      </c>
    </row>
    <row r="4289" spans="2:4" x14ac:dyDescent="0.25">
      <c r="B4289" s="90">
        <v>4285</v>
      </c>
      <c r="C4289" s="39">
        <f t="shared" si="134"/>
        <v>13099445.95906887</v>
      </c>
      <c r="D4289" s="39">
        <f t="shared" si="135"/>
        <v>13499176.691291956</v>
      </c>
    </row>
    <row r="4290" spans="2:4" x14ac:dyDescent="0.25">
      <c r="B4290" s="90">
        <v>4286</v>
      </c>
      <c r="C4290" s="39">
        <f t="shared" si="134"/>
        <v>13102093.297682421</v>
      </c>
      <c r="D4290" s="39">
        <f t="shared" si="135"/>
        <v>13502327.024242083</v>
      </c>
    </row>
    <row r="4291" spans="2:4" x14ac:dyDescent="0.25">
      <c r="B4291" s="90">
        <v>4287</v>
      </c>
      <c r="C4291" s="39">
        <f t="shared" si="134"/>
        <v>13104740.636295974</v>
      </c>
      <c r="D4291" s="39">
        <f t="shared" si="135"/>
        <v>13505477.357192209</v>
      </c>
    </row>
    <row r="4292" spans="2:4" x14ac:dyDescent="0.25">
      <c r="B4292" s="90">
        <v>4288</v>
      </c>
      <c r="C4292" s="39">
        <f t="shared" si="134"/>
        <v>13107387.974909525</v>
      </c>
      <c r="D4292" s="39">
        <f t="shared" si="135"/>
        <v>13508627.690142335</v>
      </c>
    </row>
    <row r="4293" spans="2:4" x14ac:dyDescent="0.25">
      <c r="B4293" s="90">
        <v>4289</v>
      </c>
      <c r="C4293" s="39">
        <f t="shared" si="134"/>
        <v>13110035.313523076</v>
      </c>
      <c r="D4293" s="39">
        <f t="shared" si="135"/>
        <v>13511778.023092462</v>
      </c>
    </row>
    <row r="4294" spans="2:4" x14ac:dyDescent="0.25">
      <c r="B4294" s="90">
        <v>4290</v>
      </c>
      <c r="C4294" s="39">
        <f t="shared" si="134"/>
        <v>13112682.652136628</v>
      </c>
      <c r="D4294" s="39">
        <f t="shared" si="135"/>
        <v>13514928.356042588</v>
      </c>
    </row>
    <row r="4295" spans="2:4" x14ac:dyDescent="0.25">
      <c r="B4295" s="90">
        <v>4291</v>
      </c>
      <c r="C4295" s="39">
        <f t="shared" si="134"/>
        <v>13115329.990750181</v>
      </c>
      <c r="D4295" s="39">
        <f t="shared" si="135"/>
        <v>13518078.688992715</v>
      </c>
    </row>
    <row r="4296" spans="2:4" x14ac:dyDescent="0.25">
      <c r="B4296" s="90">
        <v>4292</v>
      </c>
      <c r="C4296" s="39">
        <f t="shared" si="134"/>
        <v>13117977.329363732</v>
      </c>
      <c r="D4296" s="39">
        <f t="shared" si="135"/>
        <v>13521229.021942841</v>
      </c>
    </row>
    <row r="4297" spans="2:4" x14ac:dyDescent="0.25">
      <c r="B4297" s="90">
        <v>4293</v>
      </c>
      <c r="C4297" s="39">
        <f t="shared" si="134"/>
        <v>13120624.667977283</v>
      </c>
      <c r="D4297" s="39">
        <f t="shared" si="135"/>
        <v>13524379.354892967</v>
      </c>
    </row>
    <row r="4298" spans="2:4" x14ac:dyDescent="0.25">
      <c r="B4298" s="90">
        <v>4294</v>
      </c>
      <c r="C4298" s="39">
        <f t="shared" si="134"/>
        <v>13123272.006590836</v>
      </c>
      <c r="D4298" s="39">
        <f t="shared" si="135"/>
        <v>13527529.687843094</v>
      </c>
    </row>
    <row r="4299" spans="2:4" x14ac:dyDescent="0.25">
      <c r="B4299" s="90">
        <v>4295</v>
      </c>
      <c r="C4299" s="39">
        <f t="shared" si="134"/>
        <v>13125919.345204387</v>
      </c>
      <c r="D4299" s="39">
        <f t="shared" si="135"/>
        <v>13530680.02079322</v>
      </c>
    </row>
    <row r="4300" spans="2:4" x14ac:dyDescent="0.25">
      <c r="B4300" s="90">
        <v>4296</v>
      </c>
      <c r="C4300" s="39">
        <f t="shared" si="134"/>
        <v>13128566.683817938</v>
      </c>
      <c r="D4300" s="39">
        <f t="shared" si="135"/>
        <v>13533830.353743346</v>
      </c>
    </row>
    <row r="4301" spans="2:4" x14ac:dyDescent="0.25">
      <c r="B4301" s="90">
        <v>4297</v>
      </c>
      <c r="C4301" s="39">
        <f t="shared" si="134"/>
        <v>13131214.022431491</v>
      </c>
      <c r="D4301" s="39">
        <f t="shared" si="135"/>
        <v>13536980.686693475</v>
      </c>
    </row>
    <row r="4302" spans="2:4" x14ac:dyDescent="0.25">
      <c r="B4302" s="90">
        <v>4298</v>
      </c>
      <c r="C4302" s="39">
        <f t="shared" si="134"/>
        <v>13133861.361045042</v>
      </c>
      <c r="D4302" s="39">
        <f t="shared" si="135"/>
        <v>13540131.019643601</v>
      </c>
    </row>
    <row r="4303" spans="2:4" x14ac:dyDescent="0.25">
      <c r="B4303" s="90">
        <v>4299</v>
      </c>
      <c r="C4303" s="39">
        <f t="shared" si="134"/>
        <v>13136508.699658593</v>
      </c>
      <c r="D4303" s="39">
        <f t="shared" si="135"/>
        <v>13543281.352593727</v>
      </c>
    </row>
    <row r="4304" spans="2:4" x14ac:dyDescent="0.25">
      <c r="B4304" s="90">
        <v>4300</v>
      </c>
      <c r="C4304" s="39">
        <f t="shared" si="134"/>
        <v>13139156.038272144</v>
      </c>
      <c r="D4304" s="39">
        <f t="shared" si="135"/>
        <v>13546431.685543854</v>
      </c>
    </row>
    <row r="4305" spans="2:4" x14ac:dyDescent="0.25">
      <c r="B4305" s="90">
        <v>4301</v>
      </c>
      <c r="C4305" s="39">
        <f t="shared" si="134"/>
        <v>13141803.376885697</v>
      </c>
      <c r="D4305" s="39">
        <f t="shared" si="135"/>
        <v>13549582.01849398</v>
      </c>
    </row>
    <row r="4306" spans="2:4" x14ac:dyDescent="0.25">
      <c r="B4306" s="90">
        <v>4302</v>
      </c>
      <c r="C4306" s="39">
        <f t="shared" si="134"/>
        <v>13144450.715499248</v>
      </c>
      <c r="D4306" s="39">
        <f t="shared" si="135"/>
        <v>13552732.351444107</v>
      </c>
    </row>
    <row r="4307" spans="2:4" x14ac:dyDescent="0.25">
      <c r="B4307" s="90">
        <v>4303</v>
      </c>
      <c r="C4307" s="39">
        <f t="shared" si="134"/>
        <v>13147098.054112799</v>
      </c>
      <c r="D4307" s="39">
        <f t="shared" si="135"/>
        <v>13555882.684394233</v>
      </c>
    </row>
    <row r="4308" spans="2:4" x14ac:dyDescent="0.25">
      <c r="B4308" s="90">
        <v>4304</v>
      </c>
      <c r="C4308" s="39">
        <f t="shared" si="134"/>
        <v>13149745.392726352</v>
      </c>
      <c r="D4308" s="39">
        <f t="shared" si="135"/>
        <v>13559033.017344359</v>
      </c>
    </row>
    <row r="4309" spans="2:4" x14ac:dyDescent="0.25">
      <c r="B4309" s="90">
        <v>4305</v>
      </c>
      <c r="C4309" s="39">
        <f t="shared" si="134"/>
        <v>13152392.731339904</v>
      </c>
      <c r="D4309" s="39">
        <f t="shared" si="135"/>
        <v>13562183.350294486</v>
      </c>
    </row>
    <row r="4310" spans="2:4" x14ac:dyDescent="0.25">
      <c r="B4310" s="90">
        <v>4306</v>
      </c>
      <c r="C4310" s="39">
        <f t="shared" si="134"/>
        <v>13155040.069953455</v>
      </c>
      <c r="D4310" s="39">
        <f t="shared" si="135"/>
        <v>13565333.683244612</v>
      </c>
    </row>
    <row r="4311" spans="2:4" x14ac:dyDescent="0.25">
      <c r="B4311" s="90">
        <v>4307</v>
      </c>
      <c r="C4311" s="39">
        <f t="shared" si="134"/>
        <v>13157687.408567006</v>
      </c>
      <c r="D4311" s="39">
        <f t="shared" si="135"/>
        <v>13568484.016194738</v>
      </c>
    </row>
    <row r="4312" spans="2:4" x14ac:dyDescent="0.25">
      <c r="B4312" s="90">
        <v>4308</v>
      </c>
      <c r="C4312" s="39">
        <f t="shared" si="134"/>
        <v>13160334.747180559</v>
      </c>
      <c r="D4312" s="39">
        <f t="shared" si="135"/>
        <v>13571634.349144865</v>
      </c>
    </row>
    <row r="4313" spans="2:4" x14ac:dyDescent="0.25">
      <c r="B4313" s="90">
        <v>4309</v>
      </c>
      <c r="C4313" s="39">
        <f t="shared" si="134"/>
        <v>13162982.08579411</v>
      </c>
      <c r="D4313" s="39">
        <f t="shared" si="135"/>
        <v>13574784.682094991</v>
      </c>
    </row>
    <row r="4314" spans="2:4" x14ac:dyDescent="0.25">
      <c r="B4314" s="90">
        <v>4310</v>
      </c>
      <c r="C4314" s="39">
        <f t="shared" si="134"/>
        <v>13165629.424407661</v>
      </c>
      <c r="D4314" s="39">
        <f t="shared" si="135"/>
        <v>13577935.015045118</v>
      </c>
    </row>
    <row r="4315" spans="2:4" x14ac:dyDescent="0.25">
      <c r="B4315" s="90">
        <v>4311</v>
      </c>
      <c r="C4315" s="39">
        <f t="shared" si="134"/>
        <v>13168276.763021214</v>
      </c>
      <c r="D4315" s="39">
        <f t="shared" si="135"/>
        <v>13581085.347995244</v>
      </c>
    </row>
    <row r="4316" spans="2:4" x14ac:dyDescent="0.25">
      <c r="B4316" s="90">
        <v>4312</v>
      </c>
      <c r="C4316" s="39">
        <f t="shared" si="134"/>
        <v>13170924.101634765</v>
      </c>
      <c r="D4316" s="39">
        <f t="shared" si="135"/>
        <v>13584235.68094537</v>
      </c>
    </row>
    <row r="4317" spans="2:4" x14ac:dyDescent="0.25">
      <c r="B4317" s="90">
        <v>4313</v>
      </c>
      <c r="C4317" s="39">
        <f t="shared" si="134"/>
        <v>13173571.440248316</v>
      </c>
      <c r="D4317" s="39">
        <f t="shared" si="135"/>
        <v>13587386.013895497</v>
      </c>
    </row>
    <row r="4318" spans="2:4" x14ac:dyDescent="0.25">
      <c r="B4318" s="90">
        <v>4314</v>
      </c>
      <c r="C4318" s="39">
        <f t="shared" si="134"/>
        <v>13176218.778861869</v>
      </c>
      <c r="D4318" s="39">
        <f t="shared" si="135"/>
        <v>13590536.346845623</v>
      </c>
    </row>
    <row r="4319" spans="2:4" x14ac:dyDescent="0.25">
      <c r="B4319" s="90">
        <v>4315</v>
      </c>
      <c r="C4319" s="39">
        <f t="shared" si="134"/>
        <v>13178866.11747542</v>
      </c>
      <c r="D4319" s="39">
        <f t="shared" si="135"/>
        <v>13593686.679795749</v>
      </c>
    </row>
    <row r="4320" spans="2:4" x14ac:dyDescent="0.25">
      <c r="B4320" s="90">
        <v>4316</v>
      </c>
      <c r="C4320" s="39">
        <f t="shared" si="134"/>
        <v>13181513.456088971</v>
      </c>
      <c r="D4320" s="39">
        <f t="shared" si="135"/>
        <v>13596837.012745878</v>
      </c>
    </row>
    <row r="4321" spans="2:4" x14ac:dyDescent="0.25">
      <c r="B4321" s="90">
        <v>4317</v>
      </c>
      <c r="C4321" s="39">
        <f t="shared" si="134"/>
        <v>13184160.794702522</v>
      </c>
      <c r="D4321" s="39">
        <f t="shared" si="135"/>
        <v>13599987.345696004</v>
      </c>
    </row>
    <row r="4322" spans="2:4" x14ac:dyDescent="0.25">
      <c r="B4322" s="90">
        <v>4318</v>
      </c>
      <c r="C4322" s="39">
        <f t="shared" si="134"/>
        <v>13186808.133316075</v>
      </c>
      <c r="D4322" s="39">
        <f t="shared" si="135"/>
        <v>13603137.67864613</v>
      </c>
    </row>
    <row r="4323" spans="2:4" x14ac:dyDescent="0.25">
      <c r="B4323" s="90">
        <v>4319</v>
      </c>
      <c r="C4323" s="39">
        <f t="shared" si="134"/>
        <v>13189455.471929627</v>
      </c>
      <c r="D4323" s="39">
        <f t="shared" si="135"/>
        <v>13606288.011596257</v>
      </c>
    </row>
    <row r="4324" spans="2:4" x14ac:dyDescent="0.25">
      <c r="B4324" s="90">
        <v>4320</v>
      </c>
      <c r="C4324" s="39">
        <f t="shared" si="134"/>
        <v>13192102.810543178</v>
      </c>
      <c r="D4324" s="39">
        <f t="shared" si="135"/>
        <v>13609438.344546383</v>
      </c>
    </row>
    <row r="4325" spans="2:4" x14ac:dyDescent="0.25">
      <c r="B4325" s="90">
        <v>4321</v>
      </c>
      <c r="C4325" s="39">
        <f t="shared" si="134"/>
        <v>13194750.149156731</v>
      </c>
      <c r="D4325" s="39">
        <f t="shared" si="135"/>
        <v>13612588.67749651</v>
      </c>
    </row>
    <row r="4326" spans="2:4" x14ac:dyDescent="0.25">
      <c r="B4326" s="90">
        <v>4322</v>
      </c>
      <c r="C4326" s="39">
        <f t="shared" si="134"/>
        <v>13197397.487770282</v>
      </c>
      <c r="D4326" s="39">
        <f t="shared" si="135"/>
        <v>13615739.010446636</v>
      </c>
    </row>
    <row r="4327" spans="2:4" x14ac:dyDescent="0.25">
      <c r="B4327" s="90">
        <v>4323</v>
      </c>
      <c r="C4327" s="39">
        <f t="shared" si="134"/>
        <v>13200044.826383833</v>
      </c>
      <c r="D4327" s="39">
        <f t="shared" si="135"/>
        <v>13618889.343396762</v>
      </c>
    </row>
    <row r="4328" spans="2:4" x14ac:dyDescent="0.25">
      <c r="B4328" s="90">
        <v>4324</v>
      </c>
      <c r="C4328" s="39">
        <f t="shared" si="134"/>
        <v>13202692.164997386</v>
      </c>
      <c r="D4328" s="39">
        <f t="shared" si="135"/>
        <v>13622039.676346889</v>
      </c>
    </row>
    <row r="4329" spans="2:4" x14ac:dyDescent="0.25">
      <c r="B4329" s="90">
        <v>4325</v>
      </c>
      <c r="C4329" s="39">
        <f t="shared" si="134"/>
        <v>13205339.503610937</v>
      </c>
      <c r="D4329" s="39">
        <f t="shared" si="135"/>
        <v>13625190.009297015</v>
      </c>
    </row>
    <row r="4330" spans="2:4" x14ac:dyDescent="0.25">
      <c r="B4330" s="90">
        <v>4326</v>
      </c>
      <c r="C4330" s="39">
        <f t="shared" si="134"/>
        <v>13207986.842224488</v>
      </c>
      <c r="D4330" s="39">
        <f t="shared" si="135"/>
        <v>13628340.342247142</v>
      </c>
    </row>
    <row r="4331" spans="2:4" x14ac:dyDescent="0.25">
      <c r="B4331" s="90">
        <v>4327</v>
      </c>
      <c r="C4331" s="39">
        <f t="shared" si="134"/>
        <v>13210634.180838039</v>
      </c>
      <c r="D4331" s="39">
        <f t="shared" si="135"/>
        <v>13631490.675197268</v>
      </c>
    </row>
    <row r="4332" spans="2:4" x14ac:dyDescent="0.25">
      <c r="B4332" s="90">
        <v>4328</v>
      </c>
      <c r="C4332" s="39">
        <f t="shared" si="134"/>
        <v>13213281.519451592</v>
      </c>
      <c r="D4332" s="39">
        <f t="shared" si="135"/>
        <v>13634641.008147394</v>
      </c>
    </row>
    <row r="4333" spans="2:4" x14ac:dyDescent="0.25">
      <c r="B4333" s="90">
        <v>4329</v>
      </c>
      <c r="C4333" s="39">
        <f t="shared" si="134"/>
        <v>13215928.858065143</v>
      </c>
      <c r="D4333" s="39">
        <f t="shared" si="135"/>
        <v>13637791.341097521</v>
      </c>
    </row>
    <row r="4334" spans="2:4" x14ac:dyDescent="0.25">
      <c r="B4334" s="90">
        <v>4330</v>
      </c>
      <c r="C4334" s="39">
        <f t="shared" si="134"/>
        <v>13218576.196678694</v>
      </c>
      <c r="D4334" s="39">
        <f t="shared" si="135"/>
        <v>13640941.674047647</v>
      </c>
    </row>
    <row r="4335" spans="2:4" x14ac:dyDescent="0.25">
      <c r="B4335" s="90">
        <v>4331</v>
      </c>
      <c r="C4335" s="39">
        <f t="shared" si="134"/>
        <v>13221223.535292247</v>
      </c>
      <c r="D4335" s="39">
        <f t="shared" si="135"/>
        <v>13644092.006997773</v>
      </c>
    </row>
    <row r="4336" spans="2:4" x14ac:dyDescent="0.25">
      <c r="B4336" s="90">
        <v>4332</v>
      </c>
      <c r="C4336" s="39">
        <f t="shared" si="134"/>
        <v>13223870.873905798</v>
      </c>
      <c r="D4336" s="39">
        <f t="shared" si="135"/>
        <v>13647242.3399479</v>
      </c>
    </row>
    <row r="4337" spans="2:4" x14ac:dyDescent="0.25">
      <c r="B4337" s="90">
        <v>4333</v>
      </c>
      <c r="C4337" s="39">
        <f t="shared" ref="C4337:C4400" si="136">($C$2*B4337)+$C$1</f>
        <v>13226518.21251935</v>
      </c>
      <c r="D4337" s="39">
        <f t="shared" ref="D4337:D4400" si="137">$D$2*B4337</f>
        <v>13650392.672898026</v>
      </c>
    </row>
    <row r="4338" spans="2:4" x14ac:dyDescent="0.25">
      <c r="B4338" s="90">
        <v>4334</v>
      </c>
      <c r="C4338" s="39">
        <f t="shared" si="136"/>
        <v>13229165.551132901</v>
      </c>
      <c r="D4338" s="39">
        <f t="shared" si="137"/>
        <v>13653543.005848153</v>
      </c>
    </row>
    <row r="4339" spans="2:4" x14ac:dyDescent="0.25">
      <c r="B4339" s="90">
        <v>4335</v>
      </c>
      <c r="C4339" s="39">
        <f t="shared" si="136"/>
        <v>13231812.889746454</v>
      </c>
      <c r="D4339" s="39">
        <f t="shared" si="137"/>
        <v>13656693.338798281</v>
      </c>
    </row>
    <row r="4340" spans="2:4" x14ac:dyDescent="0.25">
      <c r="B4340" s="90">
        <v>4336</v>
      </c>
      <c r="C4340" s="39">
        <f t="shared" si="136"/>
        <v>13234460.228360005</v>
      </c>
      <c r="D4340" s="39">
        <f t="shared" si="137"/>
        <v>13659843.671748407</v>
      </c>
    </row>
    <row r="4341" spans="2:4" x14ac:dyDescent="0.25">
      <c r="B4341" s="90">
        <v>4337</v>
      </c>
      <c r="C4341" s="39">
        <f t="shared" si="136"/>
        <v>13237107.566973556</v>
      </c>
      <c r="D4341" s="39">
        <f t="shared" si="137"/>
        <v>13662994.004698534</v>
      </c>
    </row>
    <row r="4342" spans="2:4" x14ac:dyDescent="0.25">
      <c r="B4342" s="90">
        <v>4338</v>
      </c>
      <c r="C4342" s="39">
        <f t="shared" si="136"/>
        <v>13239754.905587109</v>
      </c>
      <c r="D4342" s="39">
        <f t="shared" si="137"/>
        <v>13666144.33764866</v>
      </c>
    </row>
    <row r="4343" spans="2:4" x14ac:dyDescent="0.25">
      <c r="B4343" s="90">
        <v>4339</v>
      </c>
      <c r="C4343" s="39">
        <f t="shared" si="136"/>
        <v>13242402.24420066</v>
      </c>
      <c r="D4343" s="39">
        <f t="shared" si="137"/>
        <v>13669294.670598786</v>
      </c>
    </row>
    <row r="4344" spans="2:4" x14ac:dyDescent="0.25">
      <c r="B4344" s="90">
        <v>4340</v>
      </c>
      <c r="C4344" s="39">
        <f t="shared" si="136"/>
        <v>13245049.582814211</v>
      </c>
      <c r="D4344" s="39">
        <f t="shared" si="137"/>
        <v>13672445.003548913</v>
      </c>
    </row>
    <row r="4345" spans="2:4" x14ac:dyDescent="0.25">
      <c r="B4345" s="90">
        <v>4341</v>
      </c>
      <c r="C4345" s="39">
        <f t="shared" si="136"/>
        <v>13247696.921427764</v>
      </c>
      <c r="D4345" s="39">
        <f t="shared" si="137"/>
        <v>13675595.336499039</v>
      </c>
    </row>
    <row r="4346" spans="2:4" x14ac:dyDescent="0.25">
      <c r="B4346" s="90">
        <v>4342</v>
      </c>
      <c r="C4346" s="39">
        <f t="shared" si="136"/>
        <v>13250344.260041315</v>
      </c>
      <c r="D4346" s="39">
        <f t="shared" si="137"/>
        <v>13678745.669449165</v>
      </c>
    </row>
    <row r="4347" spans="2:4" x14ac:dyDescent="0.25">
      <c r="B4347" s="90">
        <v>4343</v>
      </c>
      <c r="C4347" s="39">
        <f t="shared" si="136"/>
        <v>13252991.598654866</v>
      </c>
      <c r="D4347" s="39">
        <f t="shared" si="137"/>
        <v>13681896.002399292</v>
      </c>
    </row>
    <row r="4348" spans="2:4" x14ac:dyDescent="0.25">
      <c r="B4348" s="90">
        <v>4344</v>
      </c>
      <c r="C4348" s="39">
        <f t="shared" si="136"/>
        <v>13255638.937268417</v>
      </c>
      <c r="D4348" s="39">
        <f t="shared" si="137"/>
        <v>13685046.335349418</v>
      </c>
    </row>
    <row r="4349" spans="2:4" x14ac:dyDescent="0.25">
      <c r="B4349" s="90">
        <v>4345</v>
      </c>
      <c r="C4349" s="39">
        <f t="shared" si="136"/>
        <v>13258286.27588197</v>
      </c>
      <c r="D4349" s="39">
        <f t="shared" si="137"/>
        <v>13688196.668299545</v>
      </c>
    </row>
    <row r="4350" spans="2:4" x14ac:dyDescent="0.25">
      <c r="B4350" s="90">
        <v>4346</v>
      </c>
      <c r="C4350" s="39">
        <f t="shared" si="136"/>
        <v>13260933.614495521</v>
      </c>
      <c r="D4350" s="39">
        <f t="shared" si="137"/>
        <v>13691347.001249671</v>
      </c>
    </row>
    <row r="4351" spans="2:4" x14ac:dyDescent="0.25">
      <c r="B4351" s="90">
        <v>4347</v>
      </c>
      <c r="C4351" s="39">
        <f t="shared" si="136"/>
        <v>13263580.953109073</v>
      </c>
      <c r="D4351" s="39">
        <f t="shared" si="137"/>
        <v>13694497.334199797</v>
      </c>
    </row>
    <row r="4352" spans="2:4" x14ac:dyDescent="0.25">
      <c r="B4352" s="90">
        <v>4348</v>
      </c>
      <c r="C4352" s="39">
        <f t="shared" si="136"/>
        <v>13266228.291722625</v>
      </c>
      <c r="D4352" s="39">
        <f t="shared" si="137"/>
        <v>13697647.667149924</v>
      </c>
    </row>
    <row r="4353" spans="2:4" x14ac:dyDescent="0.25">
      <c r="B4353" s="90">
        <v>4349</v>
      </c>
      <c r="C4353" s="39">
        <f t="shared" si="136"/>
        <v>13268875.630336177</v>
      </c>
      <c r="D4353" s="39">
        <f t="shared" si="137"/>
        <v>13700798.00010005</v>
      </c>
    </row>
    <row r="4354" spans="2:4" x14ac:dyDescent="0.25">
      <c r="B4354" s="90">
        <v>4350</v>
      </c>
      <c r="C4354" s="39">
        <f t="shared" si="136"/>
        <v>13271522.968949728</v>
      </c>
      <c r="D4354" s="39">
        <f t="shared" si="137"/>
        <v>13703948.333050177</v>
      </c>
    </row>
    <row r="4355" spans="2:4" x14ac:dyDescent="0.25">
      <c r="B4355" s="90">
        <v>4351</v>
      </c>
      <c r="C4355" s="39">
        <f t="shared" si="136"/>
        <v>13274170.307563281</v>
      </c>
      <c r="D4355" s="39">
        <f t="shared" si="137"/>
        <v>13707098.666000303</v>
      </c>
    </row>
    <row r="4356" spans="2:4" x14ac:dyDescent="0.25">
      <c r="B4356" s="90">
        <v>4352</v>
      </c>
      <c r="C4356" s="39">
        <f t="shared" si="136"/>
        <v>13276817.646176832</v>
      </c>
      <c r="D4356" s="39">
        <f t="shared" si="137"/>
        <v>13710248.998950429</v>
      </c>
    </row>
    <row r="4357" spans="2:4" x14ac:dyDescent="0.25">
      <c r="B4357" s="90">
        <v>4353</v>
      </c>
      <c r="C4357" s="39">
        <f t="shared" si="136"/>
        <v>13279464.984790383</v>
      </c>
      <c r="D4357" s="39">
        <f t="shared" si="137"/>
        <v>13713399.331900556</v>
      </c>
    </row>
    <row r="4358" spans="2:4" x14ac:dyDescent="0.25">
      <c r="B4358" s="90">
        <v>4354</v>
      </c>
      <c r="C4358" s="39">
        <f t="shared" si="136"/>
        <v>13282112.323403934</v>
      </c>
      <c r="D4358" s="39">
        <f t="shared" si="137"/>
        <v>13716549.664850684</v>
      </c>
    </row>
    <row r="4359" spans="2:4" x14ac:dyDescent="0.25">
      <c r="B4359" s="90">
        <v>4355</v>
      </c>
      <c r="C4359" s="39">
        <f t="shared" si="136"/>
        <v>13284759.662017487</v>
      </c>
      <c r="D4359" s="39">
        <f t="shared" si="137"/>
        <v>13719699.99780081</v>
      </c>
    </row>
    <row r="4360" spans="2:4" x14ac:dyDescent="0.25">
      <c r="B4360" s="90">
        <v>4356</v>
      </c>
      <c r="C4360" s="39">
        <f t="shared" si="136"/>
        <v>13287407.000631038</v>
      </c>
      <c r="D4360" s="39">
        <f t="shared" si="137"/>
        <v>13722850.330750937</v>
      </c>
    </row>
    <row r="4361" spans="2:4" x14ac:dyDescent="0.25">
      <c r="B4361" s="90">
        <v>4357</v>
      </c>
      <c r="C4361" s="39">
        <f t="shared" si="136"/>
        <v>13290054.339244589</v>
      </c>
      <c r="D4361" s="39">
        <f t="shared" si="137"/>
        <v>13726000.663701063</v>
      </c>
    </row>
    <row r="4362" spans="2:4" x14ac:dyDescent="0.25">
      <c r="B4362" s="90">
        <v>4358</v>
      </c>
      <c r="C4362" s="39">
        <f t="shared" si="136"/>
        <v>13292701.677858142</v>
      </c>
      <c r="D4362" s="39">
        <f t="shared" si="137"/>
        <v>13729150.996651189</v>
      </c>
    </row>
    <row r="4363" spans="2:4" x14ac:dyDescent="0.25">
      <c r="B4363" s="90">
        <v>4359</v>
      </c>
      <c r="C4363" s="39">
        <f t="shared" si="136"/>
        <v>13295349.016471693</v>
      </c>
      <c r="D4363" s="39">
        <f t="shared" si="137"/>
        <v>13732301.329601316</v>
      </c>
    </row>
    <row r="4364" spans="2:4" x14ac:dyDescent="0.25">
      <c r="B4364" s="90">
        <v>4360</v>
      </c>
      <c r="C4364" s="39">
        <f t="shared" si="136"/>
        <v>13297996.355085244</v>
      </c>
      <c r="D4364" s="39">
        <f t="shared" si="137"/>
        <v>13735451.662551442</v>
      </c>
    </row>
    <row r="4365" spans="2:4" x14ac:dyDescent="0.25">
      <c r="B4365" s="90">
        <v>4361</v>
      </c>
      <c r="C4365" s="39">
        <f t="shared" si="136"/>
        <v>13300643.693698796</v>
      </c>
      <c r="D4365" s="39">
        <f t="shared" si="137"/>
        <v>13738601.995501569</v>
      </c>
    </row>
    <row r="4366" spans="2:4" x14ac:dyDescent="0.25">
      <c r="B4366" s="90">
        <v>4362</v>
      </c>
      <c r="C4366" s="39">
        <f t="shared" si="136"/>
        <v>13303291.032312348</v>
      </c>
      <c r="D4366" s="39">
        <f t="shared" si="137"/>
        <v>13741752.328451695</v>
      </c>
    </row>
    <row r="4367" spans="2:4" x14ac:dyDescent="0.25">
      <c r="B4367" s="90">
        <v>4363</v>
      </c>
      <c r="C4367" s="39">
        <f t="shared" si="136"/>
        <v>13305938.3709259</v>
      </c>
      <c r="D4367" s="39">
        <f t="shared" si="137"/>
        <v>13744902.661401821</v>
      </c>
    </row>
    <row r="4368" spans="2:4" x14ac:dyDescent="0.25">
      <c r="B4368" s="90">
        <v>4364</v>
      </c>
      <c r="C4368" s="39">
        <f t="shared" si="136"/>
        <v>13308585.709539451</v>
      </c>
      <c r="D4368" s="39">
        <f t="shared" si="137"/>
        <v>13748052.994351948</v>
      </c>
    </row>
    <row r="4369" spans="2:4" x14ac:dyDescent="0.25">
      <c r="B4369" s="90">
        <v>4365</v>
      </c>
      <c r="C4369" s="39">
        <f t="shared" si="136"/>
        <v>13311233.048153004</v>
      </c>
      <c r="D4369" s="39">
        <f t="shared" si="137"/>
        <v>13751203.327302074</v>
      </c>
    </row>
    <row r="4370" spans="2:4" x14ac:dyDescent="0.25">
      <c r="B4370" s="90">
        <v>4366</v>
      </c>
      <c r="C4370" s="39">
        <f t="shared" si="136"/>
        <v>13313880.386766555</v>
      </c>
      <c r="D4370" s="39">
        <f t="shared" si="137"/>
        <v>13754353.6602522</v>
      </c>
    </row>
    <row r="4371" spans="2:4" x14ac:dyDescent="0.25">
      <c r="B4371" s="90">
        <v>4367</v>
      </c>
      <c r="C4371" s="39">
        <f t="shared" si="136"/>
        <v>13316527.725380106</v>
      </c>
      <c r="D4371" s="39">
        <f t="shared" si="137"/>
        <v>13757503.993202327</v>
      </c>
    </row>
    <row r="4372" spans="2:4" x14ac:dyDescent="0.25">
      <c r="B4372" s="90">
        <v>4368</v>
      </c>
      <c r="C4372" s="39">
        <f t="shared" si="136"/>
        <v>13319175.063993659</v>
      </c>
      <c r="D4372" s="39">
        <f t="shared" si="137"/>
        <v>13760654.326152453</v>
      </c>
    </row>
    <row r="4373" spans="2:4" x14ac:dyDescent="0.25">
      <c r="B4373" s="90">
        <v>4369</v>
      </c>
      <c r="C4373" s="39">
        <f t="shared" si="136"/>
        <v>13321822.40260721</v>
      </c>
      <c r="D4373" s="39">
        <f t="shared" si="137"/>
        <v>13763804.65910258</v>
      </c>
    </row>
    <row r="4374" spans="2:4" x14ac:dyDescent="0.25">
      <c r="B4374" s="90">
        <v>4370</v>
      </c>
      <c r="C4374" s="39">
        <f t="shared" si="136"/>
        <v>13324469.741220761</v>
      </c>
      <c r="D4374" s="39">
        <f t="shared" si="137"/>
        <v>13766954.992052706</v>
      </c>
    </row>
    <row r="4375" spans="2:4" x14ac:dyDescent="0.25">
      <c r="B4375" s="90">
        <v>4371</v>
      </c>
      <c r="C4375" s="39">
        <f t="shared" si="136"/>
        <v>13327117.079834312</v>
      </c>
      <c r="D4375" s="39">
        <f t="shared" si="137"/>
        <v>13770105.325002832</v>
      </c>
    </row>
    <row r="4376" spans="2:4" x14ac:dyDescent="0.25">
      <c r="B4376" s="90">
        <v>4372</v>
      </c>
      <c r="C4376" s="39">
        <f t="shared" si="136"/>
        <v>13329764.418447865</v>
      </c>
      <c r="D4376" s="39">
        <f t="shared" si="137"/>
        <v>13773255.657952959</v>
      </c>
    </row>
    <row r="4377" spans="2:4" x14ac:dyDescent="0.25">
      <c r="B4377" s="90">
        <v>4373</v>
      </c>
      <c r="C4377" s="39">
        <f t="shared" si="136"/>
        <v>13332411.757061416</v>
      </c>
      <c r="D4377" s="39">
        <f t="shared" si="137"/>
        <v>13776405.990903087</v>
      </c>
    </row>
    <row r="4378" spans="2:4" x14ac:dyDescent="0.25">
      <c r="B4378" s="90">
        <v>4374</v>
      </c>
      <c r="C4378" s="39">
        <f t="shared" si="136"/>
        <v>13335059.095674967</v>
      </c>
      <c r="D4378" s="39">
        <f t="shared" si="137"/>
        <v>13779556.323853213</v>
      </c>
    </row>
    <row r="4379" spans="2:4" x14ac:dyDescent="0.25">
      <c r="B4379" s="90">
        <v>4375</v>
      </c>
      <c r="C4379" s="39">
        <f t="shared" si="136"/>
        <v>13337706.43428852</v>
      </c>
      <c r="D4379" s="39">
        <f t="shared" si="137"/>
        <v>13782706.65680334</v>
      </c>
    </row>
    <row r="4380" spans="2:4" x14ac:dyDescent="0.25">
      <c r="B4380" s="90">
        <v>4376</v>
      </c>
      <c r="C4380" s="39">
        <f t="shared" si="136"/>
        <v>13340353.772902071</v>
      </c>
      <c r="D4380" s="39">
        <f t="shared" si="137"/>
        <v>13785856.989753466</v>
      </c>
    </row>
    <row r="4381" spans="2:4" x14ac:dyDescent="0.25">
      <c r="B4381" s="90">
        <v>4377</v>
      </c>
      <c r="C4381" s="39">
        <f t="shared" si="136"/>
        <v>13343001.111515623</v>
      </c>
      <c r="D4381" s="39">
        <f t="shared" si="137"/>
        <v>13789007.322703592</v>
      </c>
    </row>
    <row r="4382" spans="2:4" x14ac:dyDescent="0.25">
      <c r="B4382" s="90">
        <v>4378</v>
      </c>
      <c r="C4382" s="39">
        <f t="shared" si="136"/>
        <v>13345648.450129176</v>
      </c>
      <c r="D4382" s="39">
        <f t="shared" si="137"/>
        <v>13792157.655653719</v>
      </c>
    </row>
    <row r="4383" spans="2:4" x14ac:dyDescent="0.25">
      <c r="B4383" s="90">
        <v>4379</v>
      </c>
      <c r="C4383" s="39">
        <f t="shared" si="136"/>
        <v>13348295.788742727</v>
      </c>
      <c r="D4383" s="39">
        <f t="shared" si="137"/>
        <v>13795307.988603845</v>
      </c>
    </row>
    <row r="4384" spans="2:4" x14ac:dyDescent="0.25">
      <c r="B4384" s="90">
        <v>4380</v>
      </c>
      <c r="C4384" s="39">
        <f t="shared" si="136"/>
        <v>13350943.127356278</v>
      </c>
      <c r="D4384" s="39">
        <f t="shared" si="137"/>
        <v>13798458.321553972</v>
      </c>
    </row>
    <row r="4385" spans="2:4" x14ac:dyDescent="0.25">
      <c r="B4385" s="90">
        <v>4381</v>
      </c>
      <c r="C4385" s="39">
        <f t="shared" si="136"/>
        <v>13353590.465969829</v>
      </c>
      <c r="D4385" s="39">
        <f t="shared" si="137"/>
        <v>13801608.654504098</v>
      </c>
    </row>
    <row r="4386" spans="2:4" x14ac:dyDescent="0.25">
      <c r="B4386" s="90">
        <v>4382</v>
      </c>
      <c r="C4386" s="39">
        <f t="shared" si="136"/>
        <v>13356237.804583382</v>
      </c>
      <c r="D4386" s="39">
        <f t="shared" si="137"/>
        <v>13804758.987454224</v>
      </c>
    </row>
    <row r="4387" spans="2:4" x14ac:dyDescent="0.25">
      <c r="B4387" s="90">
        <v>4383</v>
      </c>
      <c r="C4387" s="39">
        <f t="shared" si="136"/>
        <v>13358885.143196933</v>
      </c>
      <c r="D4387" s="39">
        <f t="shared" si="137"/>
        <v>13807909.320404351</v>
      </c>
    </row>
    <row r="4388" spans="2:4" x14ac:dyDescent="0.25">
      <c r="B4388" s="90">
        <v>4384</v>
      </c>
      <c r="C4388" s="39">
        <f t="shared" si="136"/>
        <v>13361532.481810484</v>
      </c>
      <c r="D4388" s="39">
        <f t="shared" si="137"/>
        <v>13811059.653354477</v>
      </c>
    </row>
    <row r="4389" spans="2:4" x14ac:dyDescent="0.25">
      <c r="B4389" s="90">
        <v>4385</v>
      </c>
      <c r="C4389" s="39">
        <f t="shared" si="136"/>
        <v>13364179.820424037</v>
      </c>
      <c r="D4389" s="39">
        <f t="shared" si="137"/>
        <v>13814209.986304604</v>
      </c>
    </row>
    <row r="4390" spans="2:4" x14ac:dyDescent="0.25">
      <c r="B4390" s="90">
        <v>4386</v>
      </c>
      <c r="C4390" s="39">
        <f t="shared" si="136"/>
        <v>13366827.159037588</v>
      </c>
      <c r="D4390" s="39">
        <f t="shared" si="137"/>
        <v>13817360.31925473</v>
      </c>
    </row>
    <row r="4391" spans="2:4" x14ac:dyDescent="0.25">
      <c r="B4391" s="90">
        <v>4387</v>
      </c>
      <c r="C4391" s="39">
        <f t="shared" si="136"/>
        <v>13369474.497651139</v>
      </c>
      <c r="D4391" s="39">
        <f t="shared" si="137"/>
        <v>13820510.652204856</v>
      </c>
    </row>
    <row r="4392" spans="2:4" x14ac:dyDescent="0.25">
      <c r="B4392" s="90">
        <v>4388</v>
      </c>
      <c r="C4392" s="39">
        <f t="shared" si="136"/>
        <v>13372121.83626469</v>
      </c>
      <c r="D4392" s="39">
        <f t="shared" si="137"/>
        <v>13823660.985154983</v>
      </c>
    </row>
    <row r="4393" spans="2:4" x14ac:dyDescent="0.25">
      <c r="B4393" s="90">
        <v>4389</v>
      </c>
      <c r="C4393" s="39">
        <f t="shared" si="136"/>
        <v>13374769.174878243</v>
      </c>
      <c r="D4393" s="39">
        <f t="shared" si="137"/>
        <v>13826811.318105109</v>
      </c>
    </row>
    <row r="4394" spans="2:4" x14ac:dyDescent="0.25">
      <c r="B4394" s="90">
        <v>4390</v>
      </c>
      <c r="C4394" s="39">
        <f t="shared" si="136"/>
        <v>13377416.513491794</v>
      </c>
      <c r="D4394" s="39">
        <f t="shared" si="137"/>
        <v>13829961.651055235</v>
      </c>
    </row>
    <row r="4395" spans="2:4" x14ac:dyDescent="0.25">
      <c r="B4395" s="90">
        <v>4391</v>
      </c>
      <c r="C4395" s="39">
        <f t="shared" si="136"/>
        <v>13380063.852105346</v>
      </c>
      <c r="D4395" s="39">
        <f t="shared" si="137"/>
        <v>13833111.984005362</v>
      </c>
    </row>
    <row r="4396" spans="2:4" x14ac:dyDescent="0.25">
      <c r="B4396" s="90">
        <v>4392</v>
      </c>
      <c r="C4396" s="39">
        <f t="shared" si="136"/>
        <v>13382711.190718899</v>
      </c>
      <c r="D4396" s="39">
        <f t="shared" si="137"/>
        <v>13836262.31695549</v>
      </c>
    </row>
    <row r="4397" spans="2:4" x14ac:dyDescent="0.25">
      <c r="B4397" s="90">
        <v>4393</v>
      </c>
      <c r="C4397" s="39">
        <f t="shared" si="136"/>
        <v>13385358.52933245</v>
      </c>
      <c r="D4397" s="39">
        <f t="shared" si="137"/>
        <v>13839412.649905616</v>
      </c>
    </row>
    <row r="4398" spans="2:4" x14ac:dyDescent="0.25">
      <c r="B4398" s="90">
        <v>4394</v>
      </c>
      <c r="C4398" s="39">
        <f t="shared" si="136"/>
        <v>13388005.867946001</v>
      </c>
      <c r="D4398" s="39">
        <f t="shared" si="137"/>
        <v>13842562.982855743</v>
      </c>
    </row>
    <row r="4399" spans="2:4" x14ac:dyDescent="0.25">
      <c r="B4399" s="90">
        <v>4395</v>
      </c>
      <c r="C4399" s="39">
        <f t="shared" si="136"/>
        <v>13390653.206559554</v>
      </c>
      <c r="D4399" s="39">
        <f t="shared" si="137"/>
        <v>13845713.315805869</v>
      </c>
    </row>
    <row r="4400" spans="2:4" x14ac:dyDescent="0.25">
      <c r="B4400" s="90">
        <v>4396</v>
      </c>
      <c r="C4400" s="39">
        <f t="shared" si="136"/>
        <v>13393300.545173105</v>
      </c>
      <c r="D4400" s="39">
        <f t="shared" si="137"/>
        <v>13848863.648755996</v>
      </c>
    </row>
    <row r="4401" spans="2:4" x14ac:dyDescent="0.25">
      <c r="B4401" s="90">
        <v>4397</v>
      </c>
      <c r="C4401" s="39">
        <f t="shared" ref="C4401:C4464" si="138">($C$2*B4401)+$C$1</f>
        <v>13395947.883786656</v>
      </c>
      <c r="D4401" s="39">
        <f t="shared" ref="D4401:D4464" si="139">$D$2*B4401</f>
        <v>13852013.981706122</v>
      </c>
    </row>
    <row r="4402" spans="2:4" x14ac:dyDescent="0.25">
      <c r="B4402" s="90">
        <v>4398</v>
      </c>
      <c r="C4402" s="39">
        <f t="shared" si="138"/>
        <v>13398595.222400207</v>
      </c>
      <c r="D4402" s="39">
        <f t="shared" si="139"/>
        <v>13855164.314656248</v>
      </c>
    </row>
    <row r="4403" spans="2:4" x14ac:dyDescent="0.25">
      <c r="B4403" s="90">
        <v>4399</v>
      </c>
      <c r="C4403" s="39">
        <f t="shared" si="138"/>
        <v>13401242.56101376</v>
      </c>
      <c r="D4403" s="39">
        <f t="shared" si="139"/>
        <v>13858314.647606375</v>
      </c>
    </row>
    <row r="4404" spans="2:4" x14ac:dyDescent="0.25">
      <c r="B4404" s="90">
        <v>4400</v>
      </c>
      <c r="C4404" s="39">
        <f t="shared" si="138"/>
        <v>13403889.899627311</v>
      </c>
      <c r="D4404" s="39">
        <f t="shared" si="139"/>
        <v>13861464.980556501</v>
      </c>
    </row>
    <row r="4405" spans="2:4" x14ac:dyDescent="0.25">
      <c r="B4405" s="90">
        <v>4401</v>
      </c>
      <c r="C4405" s="39">
        <f t="shared" si="138"/>
        <v>13406537.238240862</v>
      </c>
      <c r="D4405" s="39">
        <f t="shared" si="139"/>
        <v>13864615.313506627</v>
      </c>
    </row>
    <row r="4406" spans="2:4" x14ac:dyDescent="0.25">
      <c r="B4406" s="90">
        <v>4402</v>
      </c>
      <c r="C4406" s="39">
        <f t="shared" si="138"/>
        <v>13409184.576854415</v>
      </c>
      <c r="D4406" s="39">
        <f t="shared" si="139"/>
        <v>13867765.646456754</v>
      </c>
    </row>
    <row r="4407" spans="2:4" x14ac:dyDescent="0.25">
      <c r="B4407" s="90">
        <v>4403</v>
      </c>
      <c r="C4407" s="39">
        <f t="shared" si="138"/>
        <v>13411831.915467966</v>
      </c>
      <c r="D4407" s="39">
        <f t="shared" si="139"/>
        <v>13870915.97940688</v>
      </c>
    </row>
    <row r="4408" spans="2:4" x14ac:dyDescent="0.25">
      <c r="B4408" s="90">
        <v>4404</v>
      </c>
      <c r="C4408" s="39">
        <f t="shared" si="138"/>
        <v>13414479.254081517</v>
      </c>
      <c r="D4408" s="39">
        <f t="shared" si="139"/>
        <v>13874066.312357007</v>
      </c>
    </row>
    <row r="4409" spans="2:4" x14ac:dyDescent="0.25">
      <c r="B4409" s="90">
        <v>4405</v>
      </c>
      <c r="C4409" s="39">
        <f t="shared" si="138"/>
        <v>13417126.59269507</v>
      </c>
      <c r="D4409" s="39">
        <f t="shared" si="139"/>
        <v>13877216.645307133</v>
      </c>
    </row>
    <row r="4410" spans="2:4" x14ac:dyDescent="0.25">
      <c r="B4410" s="90">
        <v>4406</v>
      </c>
      <c r="C4410" s="39">
        <f t="shared" si="138"/>
        <v>13419773.931308622</v>
      </c>
      <c r="D4410" s="39">
        <f t="shared" si="139"/>
        <v>13880366.978257259</v>
      </c>
    </row>
    <row r="4411" spans="2:4" x14ac:dyDescent="0.25">
      <c r="B4411" s="90">
        <v>4407</v>
      </c>
      <c r="C4411" s="39">
        <f t="shared" si="138"/>
        <v>13422421.269922173</v>
      </c>
      <c r="D4411" s="39">
        <f t="shared" si="139"/>
        <v>13883517.311207386</v>
      </c>
    </row>
    <row r="4412" spans="2:4" x14ac:dyDescent="0.25">
      <c r="B4412" s="90">
        <v>4408</v>
      </c>
      <c r="C4412" s="39">
        <f t="shared" si="138"/>
        <v>13425068.608535724</v>
      </c>
      <c r="D4412" s="39">
        <f t="shared" si="139"/>
        <v>13886667.644157512</v>
      </c>
    </row>
    <row r="4413" spans="2:4" x14ac:dyDescent="0.25">
      <c r="B4413" s="90">
        <v>4409</v>
      </c>
      <c r="C4413" s="39">
        <f t="shared" si="138"/>
        <v>13427715.947149277</v>
      </c>
      <c r="D4413" s="39">
        <f t="shared" si="139"/>
        <v>13889817.977107638</v>
      </c>
    </row>
    <row r="4414" spans="2:4" x14ac:dyDescent="0.25">
      <c r="B4414" s="90">
        <v>4410</v>
      </c>
      <c r="C4414" s="39">
        <f t="shared" si="138"/>
        <v>13430363.285762828</v>
      </c>
      <c r="D4414" s="39">
        <f t="shared" si="139"/>
        <v>13892968.310057765</v>
      </c>
    </row>
    <row r="4415" spans="2:4" x14ac:dyDescent="0.25">
      <c r="B4415" s="90">
        <v>4411</v>
      </c>
      <c r="C4415" s="39">
        <f t="shared" si="138"/>
        <v>13433010.624376379</v>
      </c>
      <c r="D4415" s="39">
        <f t="shared" si="139"/>
        <v>13896118.643007893</v>
      </c>
    </row>
    <row r="4416" spans="2:4" x14ac:dyDescent="0.25">
      <c r="B4416" s="90">
        <v>4412</v>
      </c>
      <c r="C4416" s="39">
        <f t="shared" si="138"/>
        <v>13435657.962989932</v>
      </c>
      <c r="D4416" s="39">
        <f t="shared" si="139"/>
        <v>13899268.975958019</v>
      </c>
    </row>
    <row r="4417" spans="2:4" x14ac:dyDescent="0.25">
      <c r="B4417" s="90">
        <v>4413</v>
      </c>
      <c r="C4417" s="39">
        <f t="shared" si="138"/>
        <v>13438305.301603483</v>
      </c>
      <c r="D4417" s="39">
        <f t="shared" si="139"/>
        <v>13902419.308908146</v>
      </c>
    </row>
    <row r="4418" spans="2:4" x14ac:dyDescent="0.25">
      <c r="B4418" s="90">
        <v>4414</v>
      </c>
      <c r="C4418" s="39">
        <f t="shared" si="138"/>
        <v>13440952.640217034</v>
      </c>
      <c r="D4418" s="39">
        <f t="shared" si="139"/>
        <v>13905569.641858272</v>
      </c>
    </row>
    <row r="4419" spans="2:4" x14ac:dyDescent="0.25">
      <c r="B4419" s="90">
        <v>4415</v>
      </c>
      <c r="C4419" s="39">
        <f t="shared" si="138"/>
        <v>13443599.978830585</v>
      </c>
      <c r="D4419" s="39">
        <f t="shared" si="139"/>
        <v>13908719.974808399</v>
      </c>
    </row>
    <row r="4420" spans="2:4" x14ac:dyDescent="0.25">
      <c r="B4420" s="90">
        <v>4416</v>
      </c>
      <c r="C4420" s="39">
        <f t="shared" si="138"/>
        <v>13446247.317444138</v>
      </c>
      <c r="D4420" s="39">
        <f t="shared" si="139"/>
        <v>13911870.307758525</v>
      </c>
    </row>
    <row r="4421" spans="2:4" x14ac:dyDescent="0.25">
      <c r="B4421" s="90">
        <v>4417</v>
      </c>
      <c r="C4421" s="39">
        <f t="shared" si="138"/>
        <v>13448894.656057689</v>
      </c>
      <c r="D4421" s="39">
        <f t="shared" si="139"/>
        <v>13915020.640708651</v>
      </c>
    </row>
    <row r="4422" spans="2:4" x14ac:dyDescent="0.25">
      <c r="B4422" s="90">
        <v>4418</v>
      </c>
      <c r="C4422" s="39">
        <f t="shared" si="138"/>
        <v>13451541.99467124</v>
      </c>
      <c r="D4422" s="39">
        <f t="shared" si="139"/>
        <v>13918170.973658778</v>
      </c>
    </row>
    <row r="4423" spans="2:4" x14ac:dyDescent="0.25">
      <c r="B4423" s="90">
        <v>4419</v>
      </c>
      <c r="C4423" s="39">
        <f t="shared" si="138"/>
        <v>13454189.333284793</v>
      </c>
      <c r="D4423" s="39">
        <f t="shared" si="139"/>
        <v>13921321.306608904</v>
      </c>
    </row>
    <row r="4424" spans="2:4" x14ac:dyDescent="0.25">
      <c r="B4424" s="90">
        <v>4420</v>
      </c>
      <c r="C4424" s="39">
        <f t="shared" si="138"/>
        <v>13456836.671898345</v>
      </c>
      <c r="D4424" s="39">
        <f t="shared" si="139"/>
        <v>13924471.639559031</v>
      </c>
    </row>
    <row r="4425" spans="2:4" x14ac:dyDescent="0.25">
      <c r="B4425" s="90">
        <v>4421</v>
      </c>
      <c r="C4425" s="39">
        <f t="shared" si="138"/>
        <v>13459484.010511896</v>
      </c>
      <c r="D4425" s="39">
        <f t="shared" si="139"/>
        <v>13927621.972509157</v>
      </c>
    </row>
    <row r="4426" spans="2:4" x14ac:dyDescent="0.25">
      <c r="B4426" s="90">
        <v>4422</v>
      </c>
      <c r="C4426" s="39">
        <f t="shared" si="138"/>
        <v>13462131.349125449</v>
      </c>
      <c r="D4426" s="39">
        <f t="shared" si="139"/>
        <v>13930772.305459283</v>
      </c>
    </row>
    <row r="4427" spans="2:4" x14ac:dyDescent="0.25">
      <c r="B4427" s="90">
        <v>4423</v>
      </c>
      <c r="C4427" s="39">
        <f t="shared" si="138"/>
        <v>13464778.687739</v>
      </c>
      <c r="D4427" s="39">
        <f t="shared" si="139"/>
        <v>13933922.63840941</v>
      </c>
    </row>
    <row r="4428" spans="2:4" x14ac:dyDescent="0.25">
      <c r="B4428" s="90">
        <v>4424</v>
      </c>
      <c r="C4428" s="39">
        <f t="shared" si="138"/>
        <v>13467426.026352551</v>
      </c>
      <c r="D4428" s="39">
        <f t="shared" si="139"/>
        <v>13937072.971359536</v>
      </c>
    </row>
    <row r="4429" spans="2:4" x14ac:dyDescent="0.25">
      <c r="B4429" s="90">
        <v>4425</v>
      </c>
      <c r="C4429" s="39">
        <f t="shared" si="138"/>
        <v>13470073.364966102</v>
      </c>
      <c r="D4429" s="39">
        <f t="shared" si="139"/>
        <v>13940223.304309662</v>
      </c>
    </row>
    <row r="4430" spans="2:4" x14ac:dyDescent="0.25">
      <c r="B4430" s="90">
        <v>4426</v>
      </c>
      <c r="C4430" s="39">
        <f t="shared" si="138"/>
        <v>13472720.703579655</v>
      </c>
      <c r="D4430" s="39">
        <f t="shared" si="139"/>
        <v>13943373.637259789</v>
      </c>
    </row>
    <row r="4431" spans="2:4" x14ac:dyDescent="0.25">
      <c r="B4431" s="90">
        <v>4427</v>
      </c>
      <c r="C4431" s="39">
        <f t="shared" si="138"/>
        <v>13475368.042193206</v>
      </c>
      <c r="D4431" s="39">
        <f t="shared" si="139"/>
        <v>13946523.970209915</v>
      </c>
    </row>
    <row r="4432" spans="2:4" x14ac:dyDescent="0.25">
      <c r="B4432" s="90">
        <v>4428</v>
      </c>
      <c r="C4432" s="39">
        <f t="shared" si="138"/>
        <v>13478015.380806757</v>
      </c>
      <c r="D4432" s="39">
        <f t="shared" si="139"/>
        <v>13949674.303160042</v>
      </c>
    </row>
    <row r="4433" spans="2:4" x14ac:dyDescent="0.25">
      <c r="B4433" s="90">
        <v>4429</v>
      </c>
      <c r="C4433" s="39">
        <f t="shared" si="138"/>
        <v>13480662.71942031</v>
      </c>
      <c r="D4433" s="39">
        <f t="shared" si="139"/>
        <v>13952824.636110168</v>
      </c>
    </row>
    <row r="4434" spans="2:4" x14ac:dyDescent="0.25">
      <c r="B4434" s="90">
        <v>4430</v>
      </c>
      <c r="C4434" s="39">
        <f t="shared" si="138"/>
        <v>13483310.058033861</v>
      </c>
      <c r="D4434" s="39">
        <f t="shared" si="139"/>
        <v>13955974.969060296</v>
      </c>
    </row>
    <row r="4435" spans="2:4" x14ac:dyDescent="0.25">
      <c r="B4435" s="90">
        <v>4431</v>
      </c>
      <c r="C4435" s="39">
        <f t="shared" si="138"/>
        <v>13485957.396647412</v>
      </c>
      <c r="D4435" s="39">
        <f t="shared" si="139"/>
        <v>13959125.302010423</v>
      </c>
    </row>
    <row r="4436" spans="2:4" x14ac:dyDescent="0.25">
      <c r="B4436" s="90">
        <v>4432</v>
      </c>
      <c r="C4436" s="39">
        <f t="shared" si="138"/>
        <v>13488604.735260965</v>
      </c>
      <c r="D4436" s="39">
        <f t="shared" si="139"/>
        <v>13962275.634960549</v>
      </c>
    </row>
    <row r="4437" spans="2:4" x14ac:dyDescent="0.25">
      <c r="B4437" s="90">
        <v>4433</v>
      </c>
      <c r="C4437" s="39">
        <f t="shared" si="138"/>
        <v>13491252.073874516</v>
      </c>
      <c r="D4437" s="39">
        <f t="shared" si="139"/>
        <v>13965425.967910675</v>
      </c>
    </row>
    <row r="4438" spans="2:4" x14ac:dyDescent="0.25">
      <c r="B4438" s="90">
        <v>4434</v>
      </c>
      <c r="C4438" s="39">
        <f t="shared" si="138"/>
        <v>13493899.412488068</v>
      </c>
      <c r="D4438" s="39">
        <f t="shared" si="139"/>
        <v>13968576.300860802</v>
      </c>
    </row>
    <row r="4439" spans="2:4" x14ac:dyDescent="0.25">
      <c r="B4439" s="90">
        <v>4435</v>
      </c>
      <c r="C4439" s="39">
        <f t="shared" si="138"/>
        <v>13496546.751101619</v>
      </c>
      <c r="D4439" s="39">
        <f t="shared" si="139"/>
        <v>13971726.633810928</v>
      </c>
    </row>
    <row r="4440" spans="2:4" x14ac:dyDescent="0.25">
      <c r="B4440" s="90">
        <v>4436</v>
      </c>
      <c r="C4440" s="39">
        <f t="shared" si="138"/>
        <v>13499194.089715172</v>
      </c>
      <c r="D4440" s="39">
        <f t="shared" si="139"/>
        <v>13974876.966761054</v>
      </c>
    </row>
    <row r="4441" spans="2:4" x14ac:dyDescent="0.25">
      <c r="B4441" s="90">
        <v>4437</v>
      </c>
      <c r="C4441" s="39">
        <f t="shared" si="138"/>
        <v>13501841.428328723</v>
      </c>
      <c r="D4441" s="39">
        <f t="shared" si="139"/>
        <v>13978027.299711181</v>
      </c>
    </row>
    <row r="4442" spans="2:4" x14ac:dyDescent="0.25">
      <c r="B4442" s="90">
        <v>4438</v>
      </c>
      <c r="C4442" s="39">
        <f t="shared" si="138"/>
        <v>13504488.766942274</v>
      </c>
      <c r="D4442" s="39">
        <f t="shared" si="139"/>
        <v>13981177.632661307</v>
      </c>
    </row>
    <row r="4443" spans="2:4" x14ac:dyDescent="0.25">
      <c r="B4443" s="90">
        <v>4439</v>
      </c>
      <c r="C4443" s="39">
        <f t="shared" si="138"/>
        <v>13507136.105555827</v>
      </c>
      <c r="D4443" s="39">
        <f t="shared" si="139"/>
        <v>13984327.965611434</v>
      </c>
    </row>
    <row r="4444" spans="2:4" x14ac:dyDescent="0.25">
      <c r="B4444" s="90">
        <v>4440</v>
      </c>
      <c r="C4444" s="39">
        <f t="shared" si="138"/>
        <v>13509783.444169378</v>
      </c>
      <c r="D4444" s="39">
        <f t="shared" si="139"/>
        <v>13987478.29856156</v>
      </c>
    </row>
    <row r="4445" spans="2:4" x14ac:dyDescent="0.25">
      <c r="B4445" s="90">
        <v>4441</v>
      </c>
      <c r="C4445" s="39">
        <f t="shared" si="138"/>
        <v>13512430.782782929</v>
      </c>
      <c r="D4445" s="39">
        <f t="shared" si="139"/>
        <v>13990628.631511686</v>
      </c>
    </row>
    <row r="4446" spans="2:4" x14ac:dyDescent="0.25">
      <c r="B4446" s="90">
        <v>4442</v>
      </c>
      <c r="C4446" s="39">
        <f t="shared" si="138"/>
        <v>13515078.12139648</v>
      </c>
      <c r="D4446" s="39">
        <f t="shared" si="139"/>
        <v>13993778.964461813</v>
      </c>
    </row>
    <row r="4447" spans="2:4" x14ac:dyDescent="0.25">
      <c r="B4447" s="90">
        <v>4443</v>
      </c>
      <c r="C4447" s="39">
        <f t="shared" si="138"/>
        <v>13517725.460010033</v>
      </c>
      <c r="D4447" s="39">
        <f t="shared" si="139"/>
        <v>13996929.297411939</v>
      </c>
    </row>
    <row r="4448" spans="2:4" x14ac:dyDescent="0.25">
      <c r="B4448" s="90">
        <v>4444</v>
      </c>
      <c r="C4448" s="39">
        <f t="shared" si="138"/>
        <v>13520372.798623584</v>
      </c>
      <c r="D4448" s="39">
        <f t="shared" si="139"/>
        <v>14000079.630362066</v>
      </c>
    </row>
    <row r="4449" spans="2:4" x14ac:dyDescent="0.25">
      <c r="B4449" s="90">
        <v>4445</v>
      </c>
      <c r="C4449" s="39">
        <f t="shared" si="138"/>
        <v>13523020.137237135</v>
      </c>
      <c r="D4449" s="39">
        <f t="shared" si="139"/>
        <v>14003229.963312192</v>
      </c>
    </row>
    <row r="4450" spans="2:4" x14ac:dyDescent="0.25">
      <c r="B4450" s="90">
        <v>4446</v>
      </c>
      <c r="C4450" s="39">
        <f t="shared" si="138"/>
        <v>13525667.475850688</v>
      </c>
      <c r="D4450" s="39">
        <f t="shared" si="139"/>
        <v>14006380.296262318</v>
      </c>
    </row>
    <row r="4451" spans="2:4" x14ac:dyDescent="0.25">
      <c r="B4451" s="90">
        <v>4447</v>
      </c>
      <c r="C4451" s="39">
        <f t="shared" si="138"/>
        <v>13528314.814464239</v>
      </c>
      <c r="D4451" s="39">
        <f t="shared" si="139"/>
        <v>14009530.629212445</v>
      </c>
    </row>
    <row r="4452" spans="2:4" x14ac:dyDescent="0.25">
      <c r="B4452" s="90">
        <v>4448</v>
      </c>
      <c r="C4452" s="39">
        <f t="shared" si="138"/>
        <v>13530962.153077791</v>
      </c>
      <c r="D4452" s="39">
        <f t="shared" si="139"/>
        <v>14012680.962162571</v>
      </c>
    </row>
    <row r="4453" spans="2:4" x14ac:dyDescent="0.25">
      <c r="B4453" s="90">
        <v>4449</v>
      </c>
      <c r="C4453" s="39">
        <f t="shared" si="138"/>
        <v>13533609.491691343</v>
      </c>
      <c r="D4453" s="39">
        <f t="shared" si="139"/>
        <v>14015831.295112699</v>
      </c>
    </row>
    <row r="4454" spans="2:4" x14ac:dyDescent="0.25">
      <c r="B4454" s="90">
        <v>4450</v>
      </c>
      <c r="C4454" s="39">
        <f t="shared" si="138"/>
        <v>13536256.830304895</v>
      </c>
      <c r="D4454" s="39">
        <f t="shared" si="139"/>
        <v>14018981.628062826</v>
      </c>
    </row>
    <row r="4455" spans="2:4" x14ac:dyDescent="0.25">
      <c r="B4455" s="90">
        <v>4451</v>
      </c>
      <c r="C4455" s="39">
        <f t="shared" si="138"/>
        <v>13538904.168918446</v>
      </c>
      <c r="D4455" s="39">
        <f t="shared" si="139"/>
        <v>14022131.961012952</v>
      </c>
    </row>
    <row r="4456" spans="2:4" x14ac:dyDescent="0.25">
      <c r="B4456" s="90">
        <v>4452</v>
      </c>
      <c r="C4456" s="39">
        <f t="shared" si="138"/>
        <v>13541551.507531997</v>
      </c>
      <c r="D4456" s="39">
        <f t="shared" si="139"/>
        <v>14025282.293963078</v>
      </c>
    </row>
    <row r="4457" spans="2:4" x14ac:dyDescent="0.25">
      <c r="B4457" s="90">
        <v>4453</v>
      </c>
      <c r="C4457" s="39">
        <f t="shared" si="138"/>
        <v>13544198.84614555</v>
      </c>
      <c r="D4457" s="39">
        <f t="shared" si="139"/>
        <v>14028432.626913205</v>
      </c>
    </row>
    <row r="4458" spans="2:4" x14ac:dyDescent="0.25">
      <c r="B4458" s="90">
        <v>4454</v>
      </c>
      <c r="C4458" s="39">
        <f t="shared" si="138"/>
        <v>13546846.184759101</v>
      </c>
      <c r="D4458" s="39">
        <f t="shared" si="139"/>
        <v>14031582.959863331</v>
      </c>
    </row>
    <row r="4459" spans="2:4" x14ac:dyDescent="0.25">
      <c r="B4459" s="90">
        <v>4455</v>
      </c>
      <c r="C4459" s="39">
        <f t="shared" si="138"/>
        <v>13549493.523372652</v>
      </c>
      <c r="D4459" s="39">
        <f t="shared" si="139"/>
        <v>14034733.292813458</v>
      </c>
    </row>
    <row r="4460" spans="2:4" x14ac:dyDescent="0.25">
      <c r="B4460" s="90">
        <v>4456</v>
      </c>
      <c r="C4460" s="39">
        <f t="shared" si="138"/>
        <v>13552140.861986205</v>
      </c>
      <c r="D4460" s="39">
        <f t="shared" si="139"/>
        <v>14037883.625763584</v>
      </c>
    </row>
    <row r="4461" spans="2:4" x14ac:dyDescent="0.25">
      <c r="B4461" s="90">
        <v>4457</v>
      </c>
      <c r="C4461" s="39">
        <f t="shared" si="138"/>
        <v>13554788.200599756</v>
      </c>
      <c r="D4461" s="39">
        <f t="shared" si="139"/>
        <v>14041033.95871371</v>
      </c>
    </row>
    <row r="4462" spans="2:4" x14ac:dyDescent="0.25">
      <c r="B4462" s="90">
        <v>4458</v>
      </c>
      <c r="C4462" s="39">
        <f t="shared" si="138"/>
        <v>13557435.539213307</v>
      </c>
      <c r="D4462" s="39">
        <f t="shared" si="139"/>
        <v>14044184.291663837</v>
      </c>
    </row>
    <row r="4463" spans="2:4" x14ac:dyDescent="0.25">
      <c r="B4463" s="90">
        <v>4459</v>
      </c>
      <c r="C4463" s="39">
        <f t="shared" si="138"/>
        <v>13560082.877826858</v>
      </c>
      <c r="D4463" s="39">
        <f t="shared" si="139"/>
        <v>14047334.624613963</v>
      </c>
    </row>
    <row r="4464" spans="2:4" x14ac:dyDescent="0.25">
      <c r="B4464" s="90">
        <v>4460</v>
      </c>
      <c r="C4464" s="39">
        <f t="shared" si="138"/>
        <v>13562730.216440411</v>
      </c>
      <c r="D4464" s="39">
        <f t="shared" si="139"/>
        <v>14050484.957564089</v>
      </c>
    </row>
    <row r="4465" spans="2:4" x14ac:dyDescent="0.25">
      <c r="B4465" s="90">
        <v>4461</v>
      </c>
      <c r="C4465" s="39">
        <f t="shared" ref="C4465:C4528" si="140">($C$2*B4465)+$C$1</f>
        <v>13565377.555053962</v>
      </c>
      <c r="D4465" s="39">
        <f t="shared" ref="D4465:D4528" si="141">$D$2*B4465</f>
        <v>14053635.290514216</v>
      </c>
    </row>
    <row r="4466" spans="2:4" x14ac:dyDescent="0.25">
      <c r="B4466" s="90">
        <v>4462</v>
      </c>
      <c r="C4466" s="39">
        <f t="shared" si="140"/>
        <v>13568024.893667514</v>
      </c>
      <c r="D4466" s="39">
        <f t="shared" si="141"/>
        <v>14056785.623464342</v>
      </c>
    </row>
    <row r="4467" spans="2:4" x14ac:dyDescent="0.25">
      <c r="B4467" s="90">
        <v>4463</v>
      </c>
      <c r="C4467" s="39">
        <f t="shared" si="140"/>
        <v>13570672.232281066</v>
      </c>
      <c r="D4467" s="39">
        <f t="shared" si="141"/>
        <v>14059935.956414469</v>
      </c>
    </row>
    <row r="4468" spans="2:4" x14ac:dyDescent="0.25">
      <c r="B4468" s="90">
        <v>4464</v>
      </c>
      <c r="C4468" s="39">
        <f t="shared" si="140"/>
        <v>13573319.570894618</v>
      </c>
      <c r="D4468" s="39">
        <f t="shared" si="141"/>
        <v>14063086.289364595</v>
      </c>
    </row>
    <row r="4469" spans="2:4" x14ac:dyDescent="0.25">
      <c r="B4469" s="90">
        <v>4465</v>
      </c>
      <c r="C4469" s="39">
        <f t="shared" si="140"/>
        <v>13575966.909508169</v>
      </c>
      <c r="D4469" s="39">
        <f t="shared" si="141"/>
        <v>14066236.622314721</v>
      </c>
    </row>
    <row r="4470" spans="2:4" x14ac:dyDescent="0.25">
      <c r="B4470" s="90">
        <v>4466</v>
      </c>
      <c r="C4470" s="39">
        <f t="shared" si="140"/>
        <v>13578614.248121722</v>
      </c>
      <c r="D4470" s="39">
        <f t="shared" si="141"/>
        <v>14069386.955264848</v>
      </c>
    </row>
    <row r="4471" spans="2:4" x14ac:dyDescent="0.25">
      <c r="B4471" s="90">
        <v>4467</v>
      </c>
      <c r="C4471" s="39">
        <f t="shared" si="140"/>
        <v>13581261.586735273</v>
      </c>
      <c r="D4471" s="39">
        <f t="shared" si="141"/>
        <v>14072537.288214974</v>
      </c>
    </row>
    <row r="4472" spans="2:4" x14ac:dyDescent="0.25">
      <c r="B4472" s="90">
        <v>4468</v>
      </c>
      <c r="C4472" s="39">
        <f t="shared" si="140"/>
        <v>13583908.925348824</v>
      </c>
      <c r="D4472" s="39">
        <f t="shared" si="141"/>
        <v>14075687.621165102</v>
      </c>
    </row>
    <row r="4473" spans="2:4" x14ac:dyDescent="0.25">
      <c r="B4473" s="90">
        <v>4469</v>
      </c>
      <c r="C4473" s="39">
        <f t="shared" si="140"/>
        <v>13586556.263962375</v>
      </c>
      <c r="D4473" s="39">
        <f t="shared" si="141"/>
        <v>14078837.954115229</v>
      </c>
    </row>
    <row r="4474" spans="2:4" x14ac:dyDescent="0.25">
      <c r="B4474" s="90">
        <v>4470</v>
      </c>
      <c r="C4474" s="39">
        <f t="shared" si="140"/>
        <v>13589203.602575928</v>
      </c>
      <c r="D4474" s="39">
        <f t="shared" si="141"/>
        <v>14081988.287065355</v>
      </c>
    </row>
    <row r="4475" spans="2:4" x14ac:dyDescent="0.25">
      <c r="B4475" s="90">
        <v>4471</v>
      </c>
      <c r="C4475" s="39">
        <f t="shared" si="140"/>
        <v>13591850.941189479</v>
      </c>
      <c r="D4475" s="39">
        <f t="shared" si="141"/>
        <v>14085138.620015481</v>
      </c>
    </row>
    <row r="4476" spans="2:4" x14ac:dyDescent="0.25">
      <c r="B4476" s="90">
        <v>4472</v>
      </c>
      <c r="C4476" s="39">
        <f t="shared" si="140"/>
        <v>13594498.27980303</v>
      </c>
      <c r="D4476" s="39">
        <f t="shared" si="141"/>
        <v>14088288.952965608</v>
      </c>
    </row>
    <row r="4477" spans="2:4" x14ac:dyDescent="0.25">
      <c r="B4477" s="90">
        <v>4473</v>
      </c>
      <c r="C4477" s="39">
        <f t="shared" si="140"/>
        <v>13597145.618416583</v>
      </c>
      <c r="D4477" s="39">
        <f t="shared" si="141"/>
        <v>14091439.285915734</v>
      </c>
    </row>
    <row r="4478" spans="2:4" x14ac:dyDescent="0.25">
      <c r="B4478" s="90">
        <v>4474</v>
      </c>
      <c r="C4478" s="39">
        <f t="shared" si="140"/>
        <v>13599792.957030134</v>
      </c>
      <c r="D4478" s="39">
        <f t="shared" si="141"/>
        <v>14094589.618865861</v>
      </c>
    </row>
    <row r="4479" spans="2:4" x14ac:dyDescent="0.25">
      <c r="B4479" s="90">
        <v>4475</v>
      </c>
      <c r="C4479" s="39">
        <f t="shared" si="140"/>
        <v>13602440.295643685</v>
      </c>
      <c r="D4479" s="39">
        <f t="shared" si="141"/>
        <v>14097739.951815987</v>
      </c>
    </row>
    <row r="4480" spans="2:4" x14ac:dyDescent="0.25">
      <c r="B4480" s="90">
        <v>4476</v>
      </c>
      <c r="C4480" s="39">
        <f t="shared" si="140"/>
        <v>13605087.634257238</v>
      </c>
      <c r="D4480" s="39">
        <f t="shared" si="141"/>
        <v>14100890.284766113</v>
      </c>
    </row>
    <row r="4481" spans="2:4" x14ac:dyDescent="0.25">
      <c r="B4481" s="90">
        <v>4477</v>
      </c>
      <c r="C4481" s="39">
        <f t="shared" si="140"/>
        <v>13607734.972870789</v>
      </c>
      <c r="D4481" s="39">
        <f t="shared" si="141"/>
        <v>14104040.61771624</v>
      </c>
    </row>
    <row r="4482" spans="2:4" x14ac:dyDescent="0.25">
      <c r="B4482" s="90">
        <v>4478</v>
      </c>
      <c r="C4482" s="39">
        <f t="shared" si="140"/>
        <v>13610382.311484341</v>
      </c>
      <c r="D4482" s="39">
        <f t="shared" si="141"/>
        <v>14107190.950666366</v>
      </c>
    </row>
    <row r="4483" spans="2:4" x14ac:dyDescent="0.25">
      <c r="B4483" s="90">
        <v>4479</v>
      </c>
      <c r="C4483" s="39">
        <f t="shared" si="140"/>
        <v>13613029.650097892</v>
      </c>
      <c r="D4483" s="39">
        <f t="shared" si="141"/>
        <v>14110341.283616493</v>
      </c>
    </row>
    <row r="4484" spans="2:4" x14ac:dyDescent="0.25">
      <c r="B4484" s="90">
        <v>4480</v>
      </c>
      <c r="C4484" s="39">
        <f t="shared" si="140"/>
        <v>13615676.988711445</v>
      </c>
      <c r="D4484" s="39">
        <f t="shared" si="141"/>
        <v>14113491.616566619</v>
      </c>
    </row>
    <row r="4485" spans="2:4" x14ac:dyDescent="0.25">
      <c r="B4485" s="90">
        <v>4481</v>
      </c>
      <c r="C4485" s="39">
        <f t="shared" si="140"/>
        <v>13618324.327324996</v>
      </c>
      <c r="D4485" s="39">
        <f t="shared" si="141"/>
        <v>14116641.949516745</v>
      </c>
    </row>
    <row r="4486" spans="2:4" x14ac:dyDescent="0.25">
      <c r="B4486" s="90">
        <v>4482</v>
      </c>
      <c r="C4486" s="39">
        <f t="shared" si="140"/>
        <v>13620971.665938547</v>
      </c>
      <c r="D4486" s="39">
        <f t="shared" si="141"/>
        <v>14119792.282466872</v>
      </c>
    </row>
    <row r="4487" spans="2:4" x14ac:dyDescent="0.25">
      <c r="B4487" s="90">
        <v>4483</v>
      </c>
      <c r="C4487" s="39">
        <f t="shared" si="140"/>
        <v>13623619.0045521</v>
      </c>
      <c r="D4487" s="39">
        <f t="shared" si="141"/>
        <v>14122942.615416998</v>
      </c>
    </row>
    <row r="4488" spans="2:4" x14ac:dyDescent="0.25">
      <c r="B4488" s="90">
        <v>4484</v>
      </c>
      <c r="C4488" s="39">
        <f t="shared" si="140"/>
        <v>13626266.343165651</v>
      </c>
      <c r="D4488" s="39">
        <f t="shared" si="141"/>
        <v>14126092.948367124</v>
      </c>
    </row>
    <row r="4489" spans="2:4" x14ac:dyDescent="0.25">
      <c r="B4489" s="90">
        <v>4485</v>
      </c>
      <c r="C4489" s="39">
        <f t="shared" si="140"/>
        <v>13628913.681779202</v>
      </c>
      <c r="D4489" s="39">
        <f t="shared" si="141"/>
        <v>14129243.281317251</v>
      </c>
    </row>
    <row r="4490" spans="2:4" x14ac:dyDescent="0.25">
      <c r="B4490" s="90">
        <v>4486</v>
      </c>
      <c r="C4490" s="39">
        <f t="shared" si="140"/>
        <v>13631561.020392753</v>
      </c>
      <c r="D4490" s="39">
        <f t="shared" si="141"/>
        <v>14132393.614267377</v>
      </c>
    </row>
    <row r="4491" spans="2:4" x14ac:dyDescent="0.25">
      <c r="B4491" s="90">
        <v>4487</v>
      </c>
      <c r="C4491" s="39">
        <f t="shared" si="140"/>
        <v>13634208.359006306</v>
      </c>
      <c r="D4491" s="39">
        <f t="shared" si="141"/>
        <v>14135543.947217505</v>
      </c>
    </row>
    <row r="4492" spans="2:4" x14ac:dyDescent="0.25">
      <c r="B4492" s="90">
        <v>4488</v>
      </c>
      <c r="C4492" s="39">
        <f t="shared" si="140"/>
        <v>13636855.697619857</v>
      </c>
      <c r="D4492" s="39">
        <f t="shared" si="141"/>
        <v>14138694.280167632</v>
      </c>
    </row>
    <row r="4493" spans="2:4" x14ac:dyDescent="0.25">
      <c r="B4493" s="90">
        <v>4489</v>
      </c>
      <c r="C4493" s="39">
        <f t="shared" si="140"/>
        <v>13639503.036233408</v>
      </c>
      <c r="D4493" s="39">
        <f t="shared" si="141"/>
        <v>14141844.613117758</v>
      </c>
    </row>
    <row r="4494" spans="2:4" x14ac:dyDescent="0.25">
      <c r="B4494" s="90">
        <v>4490</v>
      </c>
      <c r="C4494" s="39">
        <f t="shared" si="140"/>
        <v>13642150.374846961</v>
      </c>
      <c r="D4494" s="39">
        <f t="shared" si="141"/>
        <v>14144994.946067885</v>
      </c>
    </row>
    <row r="4495" spans="2:4" x14ac:dyDescent="0.25">
      <c r="B4495" s="90">
        <v>4491</v>
      </c>
      <c r="C4495" s="39">
        <f t="shared" si="140"/>
        <v>13644797.713460512</v>
      </c>
      <c r="D4495" s="39">
        <f t="shared" si="141"/>
        <v>14148145.279018011</v>
      </c>
    </row>
    <row r="4496" spans="2:4" x14ac:dyDescent="0.25">
      <c r="B4496" s="90">
        <v>4492</v>
      </c>
      <c r="C4496" s="39">
        <f t="shared" si="140"/>
        <v>13647445.052074064</v>
      </c>
      <c r="D4496" s="39">
        <f t="shared" si="141"/>
        <v>14151295.611968137</v>
      </c>
    </row>
    <row r="4497" spans="2:4" x14ac:dyDescent="0.25">
      <c r="B4497" s="90">
        <v>4493</v>
      </c>
      <c r="C4497" s="39">
        <f t="shared" si="140"/>
        <v>13650092.390687617</v>
      </c>
      <c r="D4497" s="39">
        <f t="shared" si="141"/>
        <v>14154445.944918264</v>
      </c>
    </row>
    <row r="4498" spans="2:4" x14ac:dyDescent="0.25">
      <c r="B4498" s="90">
        <v>4494</v>
      </c>
      <c r="C4498" s="39">
        <f t="shared" si="140"/>
        <v>13652739.729301168</v>
      </c>
      <c r="D4498" s="39">
        <f t="shared" si="141"/>
        <v>14157596.27786839</v>
      </c>
    </row>
    <row r="4499" spans="2:4" x14ac:dyDescent="0.25">
      <c r="B4499" s="90">
        <v>4495</v>
      </c>
      <c r="C4499" s="39">
        <f t="shared" si="140"/>
        <v>13655387.067914719</v>
      </c>
      <c r="D4499" s="39">
        <f t="shared" si="141"/>
        <v>14160746.610818516</v>
      </c>
    </row>
    <row r="4500" spans="2:4" x14ac:dyDescent="0.25">
      <c r="B4500" s="90">
        <v>4496</v>
      </c>
      <c r="C4500" s="39">
        <f t="shared" si="140"/>
        <v>13658034.40652827</v>
      </c>
      <c r="D4500" s="39">
        <f t="shared" si="141"/>
        <v>14163896.943768643</v>
      </c>
    </row>
    <row r="4501" spans="2:4" x14ac:dyDescent="0.25">
      <c r="B4501" s="90">
        <v>4497</v>
      </c>
      <c r="C4501" s="39">
        <f t="shared" si="140"/>
        <v>13660681.745141823</v>
      </c>
      <c r="D4501" s="39">
        <f t="shared" si="141"/>
        <v>14167047.276718769</v>
      </c>
    </row>
    <row r="4502" spans="2:4" x14ac:dyDescent="0.25">
      <c r="B4502" s="90">
        <v>4498</v>
      </c>
      <c r="C4502" s="39">
        <f t="shared" si="140"/>
        <v>13663329.083755374</v>
      </c>
      <c r="D4502" s="39">
        <f t="shared" si="141"/>
        <v>14170197.609668896</v>
      </c>
    </row>
    <row r="4503" spans="2:4" x14ac:dyDescent="0.25">
      <c r="B4503" s="90">
        <v>4499</v>
      </c>
      <c r="C4503" s="39">
        <f t="shared" si="140"/>
        <v>13665976.422368925</v>
      </c>
      <c r="D4503" s="39">
        <f t="shared" si="141"/>
        <v>14173347.942619022</v>
      </c>
    </row>
    <row r="4504" spans="2:4" x14ac:dyDescent="0.25">
      <c r="B4504" s="90">
        <v>4500</v>
      </c>
      <c r="C4504" s="39">
        <f t="shared" si="140"/>
        <v>13668623.760982478</v>
      </c>
      <c r="D4504" s="39">
        <f t="shared" si="141"/>
        <v>14176498.275569148</v>
      </c>
    </row>
    <row r="4505" spans="2:4" x14ac:dyDescent="0.25">
      <c r="B4505" s="90">
        <v>4501</v>
      </c>
      <c r="C4505" s="39">
        <f t="shared" si="140"/>
        <v>13671271.099596029</v>
      </c>
      <c r="D4505" s="39">
        <f t="shared" si="141"/>
        <v>14179648.608519275</v>
      </c>
    </row>
    <row r="4506" spans="2:4" x14ac:dyDescent="0.25">
      <c r="B4506" s="90">
        <v>4502</v>
      </c>
      <c r="C4506" s="39">
        <f t="shared" si="140"/>
        <v>13673918.43820958</v>
      </c>
      <c r="D4506" s="39">
        <f t="shared" si="141"/>
        <v>14182798.941469401</v>
      </c>
    </row>
    <row r="4507" spans="2:4" x14ac:dyDescent="0.25">
      <c r="B4507" s="90">
        <v>4503</v>
      </c>
      <c r="C4507" s="39">
        <f t="shared" si="140"/>
        <v>13676565.776823133</v>
      </c>
      <c r="D4507" s="39">
        <f t="shared" si="141"/>
        <v>14185949.274419528</v>
      </c>
    </row>
    <row r="4508" spans="2:4" x14ac:dyDescent="0.25">
      <c r="B4508" s="90">
        <v>4504</v>
      </c>
      <c r="C4508" s="39">
        <f t="shared" si="140"/>
        <v>13679213.115436684</v>
      </c>
      <c r="D4508" s="39">
        <f t="shared" si="141"/>
        <v>14189099.607369654</v>
      </c>
    </row>
    <row r="4509" spans="2:4" x14ac:dyDescent="0.25">
      <c r="B4509" s="90">
        <v>4505</v>
      </c>
      <c r="C4509" s="39">
        <f t="shared" si="140"/>
        <v>13681860.454050235</v>
      </c>
      <c r="D4509" s="39">
        <f t="shared" si="141"/>
        <v>14192249.94031978</v>
      </c>
    </row>
    <row r="4510" spans="2:4" x14ac:dyDescent="0.25">
      <c r="B4510" s="90">
        <v>4506</v>
      </c>
      <c r="C4510" s="39">
        <f t="shared" si="140"/>
        <v>13684507.792663787</v>
      </c>
      <c r="D4510" s="39">
        <f t="shared" si="141"/>
        <v>14195400.273269909</v>
      </c>
    </row>
    <row r="4511" spans="2:4" x14ac:dyDescent="0.25">
      <c r="B4511" s="90">
        <v>4507</v>
      </c>
      <c r="C4511" s="39">
        <f t="shared" si="140"/>
        <v>13687155.13127734</v>
      </c>
      <c r="D4511" s="39">
        <f t="shared" si="141"/>
        <v>14198550.606220035</v>
      </c>
    </row>
    <row r="4512" spans="2:4" x14ac:dyDescent="0.25">
      <c r="B4512" s="90">
        <v>4508</v>
      </c>
      <c r="C4512" s="39">
        <f t="shared" si="140"/>
        <v>13689802.469890891</v>
      </c>
      <c r="D4512" s="39">
        <f t="shared" si="141"/>
        <v>14201700.939170161</v>
      </c>
    </row>
    <row r="4513" spans="2:4" x14ac:dyDescent="0.25">
      <c r="B4513" s="90">
        <v>4509</v>
      </c>
      <c r="C4513" s="39">
        <f t="shared" si="140"/>
        <v>13692449.808504442</v>
      </c>
      <c r="D4513" s="39">
        <f t="shared" si="141"/>
        <v>14204851.272120288</v>
      </c>
    </row>
    <row r="4514" spans="2:4" x14ac:dyDescent="0.25">
      <c r="B4514" s="90">
        <v>4510</v>
      </c>
      <c r="C4514" s="39">
        <f t="shared" si="140"/>
        <v>13695097.147117995</v>
      </c>
      <c r="D4514" s="39">
        <f t="shared" si="141"/>
        <v>14208001.605070414</v>
      </c>
    </row>
    <row r="4515" spans="2:4" x14ac:dyDescent="0.25">
      <c r="B4515" s="90">
        <v>4511</v>
      </c>
      <c r="C4515" s="39">
        <f t="shared" si="140"/>
        <v>13697744.485731546</v>
      </c>
      <c r="D4515" s="39">
        <f t="shared" si="141"/>
        <v>14211151.93802054</v>
      </c>
    </row>
    <row r="4516" spans="2:4" x14ac:dyDescent="0.25">
      <c r="B4516" s="90">
        <v>4512</v>
      </c>
      <c r="C4516" s="39">
        <f t="shared" si="140"/>
        <v>13700391.824345097</v>
      </c>
      <c r="D4516" s="39">
        <f t="shared" si="141"/>
        <v>14214302.270970667</v>
      </c>
    </row>
    <row r="4517" spans="2:4" x14ac:dyDescent="0.25">
      <c r="B4517" s="90">
        <v>4513</v>
      </c>
      <c r="C4517" s="39">
        <f t="shared" si="140"/>
        <v>13703039.162958648</v>
      </c>
      <c r="D4517" s="39">
        <f t="shared" si="141"/>
        <v>14217452.603920793</v>
      </c>
    </row>
    <row r="4518" spans="2:4" x14ac:dyDescent="0.25">
      <c r="B4518" s="90">
        <v>4514</v>
      </c>
      <c r="C4518" s="39">
        <f t="shared" si="140"/>
        <v>13705686.501572201</v>
      </c>
      <c r="D4518" s="39">
        <f t="shared" si="141"/>
        <v>14220602.93687092</v>
      </c>
    </row>
    <row r="4519" spans="2:4" x14ac:dyDescent="0.25">
      <c r="B4519" s="90">
        <v>4515</v>
      </c>
      <c r="C4519" s="39">
        <f t="shared" si="140"/>
        <v>13708333.840185752</v>
      </c>
      <c r="D4519" s="39">
        <f t="shared" si="141"/>
        <v>14223753.269821046</v>
      </c>
    </row>
    <row r="4520" spans="2:4" x14ac:dyDescent="0.25">
      <c r="B4520" s="90">
        <v>4516</v>
      </c>
      <c r="C4520" s="39">
        <f t="shared" si="140"/>
        <v>13710981.178799303</v>
      </c>
      <c r="D4520" s="39">
        <f t="shared" si="141"/>
        <v>14226903.602771172</v>
      </c>
    </row>
    <row r="4521" spans="2:4" x14ac:dyDescent="0.25">
      <c r="B4521" s="90">
        <v>4517</v>
      </c>
      <c r="C4521" s="39">
        <f t="shared" si="140"/>
        <v>13713628.517412856</v>
      </c>
      <c r="D4521" s="39">
        <f t="shared" si="141"/>
        <v>14230053.935721299</v>
      </c>
    </row>
    <row r="4522" spans="2:4" x14ac:dyDescent="0.25">
      <c r="B4522" s="90">
        <v>4518</v>
      </c>
      <c r="C4522" s="39">
        <f t="shared" si="140"/>
        <v>13716275.856026407</v>
      </c>
      <c r="D4522" s="39">
        <f t="shared" si="141"/>
        <v>14233204.268671425</v>
      </c>
    </row>
    <row r="4523" spans="2:4" x14ac:dyDescent="0.25">
      <c r="B4523" s="90">
        <v>4519</v>
      </c>
      <c r="C4523" s="39">
        <f t="shared" si="140"/>
        <v>13718923.194639958</v>
      </c>
      <c r="D4523" s="39">
        <f t="shared" si="141"/>
        <v>14236354.601621551</v>
      </c>
    </row>
    <row r="4524" spans="2:4" x14ac:dyDescent="0.25">
      <c r="B4524" s="90">
        <v>4520</v>
      </c>
      <c r="C4524" s="39">
        <f t="shared" si="140"/>
        <v>13721570.533253511</v>
      </c>
      <c r="D4524" s="39">
        <f t="shared" si="141"/>
        <v>14239504.934571678</v>
      </c>
    </row>
    <row r="4525" spans="2:4" x14ac:dyDescent="0.25">
      <c r="B4525" s="90">
        <v>4521</v>
      </c>
      <c r="C4525" s="39">
        <f t="shared" si="140"/>
        <v>13724217.871867063</v>
      </c>
      <c r="D4525" s="39">
        <f t="shared" si="141"/>
        <v>14242655.267521804</v>
      </c>
    </row>
    <row r="4526" spans="2:4" x14ac:dyDescent="0.25">
      <c r="B4526" s="90">
        <v>4522</v>
      </c>
      <c r="C4526" s="39">
        <f t="shared" si="140"/>
        <v>13726865.210480614</v>
      </c>
      <c r="D4526" s="39">
        <f t="shared" si="141"/>
        <v>14245805.600471931</v>
      </c>
    </row>
    <row r="4527" spans="2:4" x14ac:dyDescent="0.25">
      <c r="B4527" s="90">
        <v>4523</v>
      </c>
      <c r="C4527" s="39">
        <f t="shared" si="140"/>
        <v>13729512.549094165</v>
      </c>
      <c r="D4527" s="39">
        <f t="shared" si="141"/>
        <v>14248955.933422057</v>
      </c>
    </row>
    <row r="4528" spans="2:4" x14ac:dyDescent="0.25">
      <c r="B4528" s="90">
        <v>4524</v>
      </c>
      <c r="C4528" s="39">
        <f t="shared" si="140"/>
        <v>13732159.887707718</v>
      </c>
      <c r="D4528" s="39">
        <f t="shared" si="141"/>
        <v>14252106.266372183</v>
      </c>
    </row>
    <row r="4529" spans="2:4" x14ac:dyDescent="0.25">
      <c r="B4529" s="90">
        <v>4525</v>
      </c>
      <c r="C4529" s="39">
        <f t="shared" ref="C4529:C4592" si="142">($C$2*B4529)+$C$1</f>
        <v>13734807.226321269</v>
      </c>
      <c r="D4529" s="39">
        <f t="shared" ref="D4529:D4592" si="143">$D$2*B4529</f>
        <v>14255256.599322312</v>
      </c>
    </row>
    <row r="4530" spans="2:4" x14ac:dyDescent="0.25">
      <c r="B4530" s="90">
        <v>4526</v>
      </c>
      <c r="C4530" s="39">
        <f t="shared" si="142"/>
        <v>13737454.56493482</v>
      </c>
      <c r="D4530" s="39">
        <f t="shared" si="143"/>
        <v>14258406.932272438</v>
      </c>
    </row>
    <row r="4531" spans="2:4" x14ac:dyDescent="0.25">
      <c r="B4531" s="90">
        <v>4527</v>
      </c>
      <c r="C4531" s="39">
        <f t="shared" si="142"/>
        <v>13740101.903548373</v>
      </c>
      <c r="D4531" s="39">
        <f t="shared" si="143"/>
        <v>14261557.265222564</v>
      </c>
    </row>
    <row r="4532" spans="2:4" x14ac:dyDescent="0.25">
      <c r="B4532" s="90">
        <v>4528</v>
      </c>
      <c r="C4532" s="39">
        <f t="shared" si="142"/>
        <v>13742749.242161924</v>
      </c>
      <c r="D4532" s="39">
        <f t="shared" si="143"/>
        <v>14264707.598172691</v>
      </c>
    </row>
    <row r="4533" spans="2:4" x14ac:dyDescent="0.25">
      <c r="B4533" s="90">
        <v>4529</v>
      </c>
      <c r="C4533" s="39">
        <f t="shared" si="142"/>
        <v>13745396.580775475</v>
      </c>
      <c r="D4533" s="39">
        <f t="shared" si="143"/>
        <v>14267857.931122817</v>
      </c>
    </row>
    <row r="4534" spans="2:4" x14ac:dyDescent="0.25">
      <c r="B4534" s="90">
        <v>4530</v>
      </c>
      <c r="C4534" s="39">
        <f t="shared" si="142"/>
        <v>13748043.919389028</v>
      </c>
      <c r="D4534" s="39">
        <f t="shared" si="143"/>
        <v>14271008.264072943</v>
      </c>
    </row>
    <row r="4535" spans="2:4" x14ac:dyDescent="0.25">
      <c r="B4535" s="90">
        <v>4531</v>
      </c>
      <c r="C4535" s="39">
        <f t="shared" si="142"/>
        <v>13750691.258002579</v>
      </c>
      <c r="D4535" s="39">
        <f t="shared" si="143"/>
        <v>14274158.59702307</v>
      </c>
    </row>
    <row r="4536" spans="2:4" x14ac:dyDescent="0.25">
      <c r="B4536" s="90">
        <v>4532</v>
      </c>
      <c r="C4536" s="39">
        <f t="shared" si="142"/>
        <v>13753338.59661613</v>
      </c>
      <c r="D4536" s="39">
        <f t="shared" si="143"/>
        <v>14277308.929973196</v>
      </c>
    </row>
    <row r="4537" spans="2:4" x14ac:dyDescent="0.25">
      <c r="B4537" s="90">
        <v>4533</v>
      </c>
      <c r="C4537" s="39">
        <f t="shared" si="142"/>
        <v>13755985.935229681</v>
      </c>
      <c r="D4537" s="39">
        <f t="shared" si="143"/>
        <v>14280459.262923323</v>
      </c>
    </row>
    <row r="4538" spans="2:4" x14ac:dyDescent="0.25">
      <c r="B4538" s="90">
        <v>4534</v>
      </c>
      <c r="C4538" s="39">
        <f t="shared" si="142"/>
        <v>13758633.273843234</v>
      </c>
      <c r="D4538" s="39">
        <f t="shared" si="143"/>
        <v>14283609.595873449</v>
      </c>
    </row>
    <row r="4539" spans="2:4" x14ac:dyDescent="0.25">
      <c r="B4539" s="90">
        <v>4535</v>
      </c>
      <c r="C4539" s="39">
        <f t="shared" si="142"/>
        <v>13761280.612456786</v>
      </c>
      <c r="D4539" s="39">
        <f t="shared" si="143"/>
        <v>14286759.928823575</v>
      </c>
    </row>
    <row r="4540" spans="2:4" x14ac:dyDescent="0.25">
      <c r="B4540" s="90">
        <v>4536</v>
      </c>
      <c r="C4540" s="39">
        <f t="shared" si="142"/>
        <v>13763927.951070337</v>
      </c>
      <c r="D4540" s="39">
        <f t="shared" si="143"/>
        <v>14289910.261773702</v>
      </c>
    </row>
    <row r="4541" spans="2:4" x14ac:dyDescent="0.25">
      <c r="B4541" s="90">
        <v>4537</v>
      </c>
      <c r="C4541" s="39">
        <f t="shared" si="142"/>
        <v>13766575.28968389</v>
      </c>
      <c r="D4541" s="39">
        <f t="shared" si="143"/>
        <v>14293060.594723828</v>
      </c>
    </row>
    <row r="4542" spans="2:4" x14ac:dyDescent="0.25">
      <c r="B4542" s="90">
        <v>4538</v>
      </c>
      <c r="C4542" s="39">
        <f t="shared" si="142"/>
        <v>13769222.628297441</v>
      </c>
      <c r="D4542" s="39">
        <f t="shared" si="143"/>
        <v>14296210.927673955</v>
      </c>
    </row>
    <row r="4543" spans="2:4" x14ac:dyDescent="0.25">
      <c r="B4543" s="90">
        <v>4539</v>
      </c>
      <c r="C4543" s="39">
        <f t="shared" si="142"/>
        <v>13771869.966910992</v>
      </c>
      <c r="D4543" s="39">
        <f t="shared" si="143"/>
        <v>14299361.260624081</v>
      </c>
    </row>
    <row r="4544" spans="2:4" x14ac:dyDescent="0.25">
      <c r="B4544" s="90">
        <v>4540</v>
      </c>
      <c r="C4544" s="39">
        <f t="shared" si="142"/>
        <v>13774517.305524543</v>
      </c>
      <c r="D4544" s="39">
        <f t="shared" si="143"/>
        <v>14302511.593574207</v>
      </c>
    </row>
    <row r="4545" spans="2:4" x14ac:dyDescent="0.25">
      <c r="B4545" s="90">
        <v>4541</v>
      </c>
      <c r="C4545" s="39">
        <f t="shared" si="142"/>
        <v>13777164.644138096</v>
      </c>
      <c r="D4545" s="39">
        <f t="shared" si="143"/>
        <v>14305661.926524334</v>
      </c>
    </row>
    <row r="4546" spans="2:4" x14ac:dyDescent="0.25">
      <c r="B4546" s="90">
        <v>4542</v>
      </c>
      <c r="C4546" s="39">
        <f t="shared" si="142"/>
        <v>13779811.982751647</v>
      </c>
      <c r="D4546" s="39">
        <f t="shared" si="143"/>
        <v>14308812.25947446</v>
      </c>
    </row>
    <row r="4547" spans="2:4" x14ac:dyDescent="0.25">
      <c r="B4547" s="90">
        <v>4543</v>
      </c>
      <c r="C4547" s="39">
        <f t="shared" si="142"/>
        <v>13782459.321365198</v>
      </c>
      <c r="D4547" s="39">
        <f t="shared" si="143"/>
        <v>14311962.592424586</v>
      </c>
    </row>
    <row r="4548" spans="2:4" x14ac:dyDescent="0.25">
      <c r="B4548" s="90">
        <v>4544</v>
      </c>
      <c r="C4548" s="39">
        <f t="shared" si="142"/>
        <v>13785106.659978751</v>
      </c>
      <c r="D4548" s="39">
        <f t="shared" si="143"/>
        <v>14315112.925374715</v>
      </c>
    </row>
    <row r="4549" spans="2:4" x14ac:dyDescent="0.25">
      <c r="B4549" s="90">
        <v>4545</v>
      </c>
      <c r="C4549" s="39">
        <f t="shared" si="142"/>
        <v>13787753.998592302</v>
      </c>
      <c r="D4549" s="39">
        <f t="shared" si="143"/>
        <v>14318263.258324841</v>
      </c>
    </row>
    <row r="4550" spans="2:4" x14ac:dyDescent="0.25">
      <c r="B4550" s="90">
        <v>4546</v>
      </c>
      <c r="C4550" s="39">
        <f t="shared" si="142"/>
        <v>13790401.337205853</v>
      </c>
      <c r="D4550" s="39">
        <f t="shared" si="143"/>
        <v>14321413.591274967</v>
      </c>
    </row>
    <row r="4551" spans="2:4" x14ac:dyDescent="0.25">
      <c r="B4551" s="90">
        <v>4547</v>
      </c>
      <c r="C4551" s="39">
        <f t="shared" si="142"/>
        <v>13793048.675819406</v>
      </c>
      <c r="D4551" s="39">
        <f t="shared" si="143"/>
        <v>14324563.924225094</v>
      </c>
    </row>
    <row r="4552" spans="2:4" x14ac:dyDescent="0.25">
      <c r="B4552" s="90">
        <v>4548</v>
      </c>
      <c r="C4552" s="39">
        <f t="shared" si="142"/>
        <v>13795696.014432957</v>
      </c>
      <c r="D4552" s="39">
        <f t="shared" si="143"/>
        <v>14327714.25717522</v>
      </c>
    </row>
    <row r="4553" spans="2:4" x14ac:dyDescent="0.25">
      <c r="B4553" s="90">
        <v>4549</v>
      </c>
      <c r="C4553" s="39">
        <f t="shared" si="142"/>
        <v>13798343.353046509</v>
      </c>
      <c r="D4553" s="39">
        <f t="shared" si="143"/>
        <v>14330864.590125347</v>
      </c>
    </row>
    <row r="4554" spans="2:4" x14ac:dyDescent="0.25">
      <c r="B4554" s="90">
        <v>4550</v>
      </c>
      <c r="C4554" s="39">
        <f t="shared" si="142"/>
        <v>13800990.69166006</v>
      </c>
      <c r="D4554" s="39">
        <f t="shared" si="143"/>
        <v>14334014.923075473</v>
      </c>
    </row>
    <row r="4555" spans="2:4" x14ac:dyDescent="0.25">
      <c r="B4555" s="90">
        <v>4551</v>
      </c>
      <c r="C4555" s="39">
        <f t="shared" si="142"/>
        <v>13803638.030273613</v>
      </c>
      <c r="D4555" s="39">
        <f t="shared" si="143"/>
        <v>14337165.256025599</v>
      </c>
    </row>
    <row r="4556" spans="2:4" x14ac:dyDescent="0.25">
      <c r="B4556" s="90">
        <v>4552</v>
      </c>
      <c r="C4556" s="39">
        <f t="shared" si="142"/>
        <v>13806285.368887164</v>
      </c>
      <c r="D4556" s="39">
        <f t="shared" si="143"/>
        <v>14340315.588975726</v>
      </c>
    </row>
    <row r="4557" spans="2:4" x14ac:dyDescent="0.25">
      <c r="B4557" s="90">
        <v>4553</v>
      </c>
      <c r="C4557" s="39">
        <f t="shared" si="142"/>
        <v>13808932.707500715</v>
      </c>
      <c r="D4557" s="39">
        <f t="shared" si="143"/>
        <v>14343465.921925852</v>
      </c>
    </row>
    <row r="4558" spans="2:4" x14ac:dyDescent="0.25">
      <c r="B4558" s="90">
        <v>4554</v>
      </c>
      <c r="C4558" s="39">
        <f t="shared" si="142"/>
        <v>13811580.046114268</v>
      </c>
      <c r="D4558" s="39">
        <f t="shared" si="143"/>
        <v>14346616.254875978</v>
      </c>
    </row>
    <row r="4559" spans="2:4" x14ac:dyDescent="0.25">
      <c r="B4559" s="90">
        <v>4555</v>
      </c>
      <c r="C4559" s="39">
        <f t="shared" si="142"/>
        <v>13814227.384727819</v>
      </c>
      <c r="D4559" s="39">
        <f t="shared" si="143"/>
        <v>14349766.587826105</v>
      </c>
    </row>
    <row r="4560" spans="2:4" x14ac:dyDescent="0.25">
      <c r="B4560" s="90">
        <v>4556</v>
      </c>
      <c r="C4560" s="39">
        <f t="shared" si="142"/>
        <v>13816874.72334137</v>
      </c>
      <c r="D4560" s="39">
        <f t="shared" si="143"/>
        <v>14352916.920776231</v>
      </c>
    </row>
    <row r="4561" spans="2:4" x14ac:dyDescent="0.25">
      <c r="B4561" s="90">
        <v>4557</v>
      </c>
      <c r="C4561" s="39">
        <f t="shared" si="142"/>
        <v>13819522.061954923</v>
      </c>
      <c r="D4561" s="39">
        <f t="shared" si="143"/>
        <v>14356067.253726358</v>
      </c>
    </row>
    <row r="4562" spans="2:4" x14ac:dyDescent="0.25">
      <c r="B4562" s="90">
        <v>4558</v>
      </c>
      <c r="C4562" s="39">
        <f t="shared" si="142"/>
        <v>13822169.400568474</v>
      </c>
      <c r="D4562" s="39">
        <f t="shared" si="143"/>
        <v>14359217.586676484</v>
      </c>
    </row>
    <row r="4563" spans="2:4" x14ac:dyDescent="0.25">
      <c r="B4563" s="90">
        <v>4559</v>
      </c>
      <c r="C4563" s="39">
        <f t="shared" si="142"/>
        <v>13824816.739182025</v>
      </c>
      <c r="D4563" s="39">
        <f t="shared" si="143"/>
        <v>14362367.91962661</v>
      </c>
    </row>
    <row r="4564" spans="2:4" x14ac:dyDescent="0.25">
      <c r="B4564" s="90">
        <v>4560</v>
      </c>
      <c r="C4564" s="39">
        <f t="shared" si="142"/>
        <v>13827464.077795576</v>
      </c>
      <c r="D4564" s="39">
        <f t="shared" si="143"/>
        <v>14365518.252576737</v>
      </c>
    </row>
    <row r="4565" spans="2:4" x14ac:dyDescent="0.25">
      <c r="B4565" s="90">
        <v>4561</v>
      </c>
      <c r="C4565" s="39">
        <f t="shared" si="142"/>
        <v>13830111.416409129</v>
      </c>
      <c r="D4565" s="39">
        <f t="shared" si="143"/>
        <v>14368668.585526863</v>
      </c>
    </row>
    <row r="4566" spans="2:4" x14ac:dyDescent="0.25">
      <c r="B4566" s="90">
        <v>4562</v>
      </c>
      <c r="C4566" s="39">
        <f t="shared" si="142"/>
        <v>13832758.75502268</v>
      </c>
      <c r="D4566" s="39">
        <f t="shared" si="143"/>
        <v>14371818.918476989</v>
      </c>
    </row>
    <row r="4567" spans="2:4" x14ac:dyDescent="0.25">
      <c r="B4567" s="90">
        <v>4563</v>
      </c>
      <c r="C4567" s="39">
        <f t="shared" si="142"/>
        <v>13835406.093636231</v>
      </c>
      <c r="D4567" s="39">
        <f t="shared" si="143"/>
        <v>14374969.251427118</v>
      </c>
    </row>
    <row r="4568" spans="2:4" x14ac:dyDescent="0.25">
      <c r="B4568" s="90">
        <v>4564</v>
      </c>
      <c r="C4568" s="39">
        <f t="shared" si="142"/>
        <v>13838053.432249784</v>
      </c>
      <c r="D4568" s="39">
        <f t="shared" si="143"/>
        <v>14378119.584377244</v>
      </c>
    </row>
    <row r="4569" spans="2:4" x14ac:dyDescent="0.25">
      <c r="B4569" s="90">
        <v>4565</v>
      </c>
      <c r="C4569" s="39">
        <f t="shared" si="142"/>
        <v>13840700.770863336</v>
      </c>
      <c r="D4569" s="39">
        <f t="shared" si="143"/>
        <v>14381269.91732737</v>
      </c>
    </row>
    <row r="4570" spans="2:4" x14ac:dyDescent="0.25">
      <c r="B4570" s="90">
        <v>4566</v>
      </c>
      <c r="C4570" s="39">
        <f t="shared" si="142"/>
        <v>13843348.109476887</v>
      </c>
      <c r="D4570" s="39">
        <f t="shared" si="143"/>
        <v>14384420.250277497</v>
      </c>
    </row>
    <row r="4571" spans="2:4" x14ac:dyDescent="0.25">
      <c r="B4571" s="90">
        <v>4567</v>
      </c>
      <c r="C4571" s="39">
        <f t="shared" si="142"/>
        <v>13845995.448090438</v>
      </c>
      <c r="D4571" s="39">
        <f t="shared" si="143"/>
        <v>14387570.583227623</v>
      </c>
    </row>
    <row r="4572" spans="2:4" x14ac:dyDescent="0.25">
      <c r="B4572" s="90">
        <v>4568</v>
      </c>
      <c r="C4572" s="39">
        <f t="shared" si="142"/>
        <v>13848642.786703991</v>
      </c>
      <c r="D4572" s="39">
        <f t="shared" si="143"/>
        <v>14390720.91617775</v>
      </c>
    </row>
    <row r="4573" spans="2:4" x14ac:dyDescent="0.25">
      <c r="B4573" s="90">
        <v>4569</v>
      </c>
      <c r="C4573" s="39">
        <f t="shared" si="142"/>
        <v>13851290.125317542</v>
      </c>
      <c r="D4573" s="39">
        <f t="shared" si="143"/>
        <v>14393871.249127876</v>
      </c>
    </row>
    <row r="4574" spans="2:4" x14ac:dyDescent="0.25">
      <c r="B4574" s="90">
        <v>4570</v>
      </c>
      <c r="C4574" s="39">
        <f t="shared" si="142"/>
        <v>13853937.463931093</v>
      </c>
      <c r="D4574" s="39">
        <f t="shared" si="143"/>
        <v>14397021.582078002</v>
      </c>
    </row>
    <row r="4575" spans="2:4" x14ac:dyDescent="0.25">
      <c r="B4575" s="90">
        <v>4571</v>
      </c>
      <c r="C4575" s="39">
        <f t="shared" si="142"/>
        <v>13856584.802544646</v>
      </c>
      <c r="D4575" s="39">
        <f t="shared" si="143"/>
        <v>14400171.915028129</v>
      </c>
    </row>
    <row r="4576" spans="2:4" x14ac:dyDescent="0.25">
      <c r="B4576" s="90">
        <v>4572</v>
      </c>
      <c r="C4576" s="39">
        <f t="shared" si="142"/>
        <v>13859232.141158197</v>
      </c>
      <c r="D4576" s="39">
        <f t="shared" si="143"/>
        <v>14403322.247978255</v>
      </c>
    </row>
    <row r="4577" spans="2:4" x14ac:dyDescent="0.25">
      <c r="B4577" s="90">
        <v>4573</v>
      </c>
      <c r="C4577" s="39">
        <f t="shared" si="142"/>
        <v>13861879.479771748</v>
      </c>
      <c r="D4577" s="39">
        <f t="shared" si="143"/>
        <v>14406472.580928382</v>
      </c>
    </row>
    <row r="4578" spans="2:4" x14ac:dyDescent="0.25">
      <c r="B4578" s="90">
        <v>4574</v>
      </c>
      <c r="C4578" s="39">
        <f t="shared" si="142"/>
        <v>13864526.818385301</v>
      </c>
      <c r="D4578" s="39">
        <f t="shared" si="143"/>
        <v>14409622.913878508</v>
      </c>
    </row>
    <row r="4579" spans="2:4" x14ac:dyDescent="0.25">
      <c r="B4579" s="90">
        <v>4575</v>
      </c>
      <c r="C4579" s="39">
        <f t="shared" si="142"/>
        <v>13867174.156998852</v>
      </c>
      <c r="D4579" s="39">
        <f t="shared" si="143"/>
        <v>14412773.246828634</v>
      </c>
    </row>
    <row r="4580" spans="2:4" x14ac:dyDescent="0.25">
      <c r="B4580" s="90">
        <v>4576</v>
      </c>
      <c r="C4580" s="39">
        <f t="shared" si="142"/>
        <v>13869821.495612403</v>
      </c>
      <c r="D4580" s="39">
        <f t="shared" si="143"/>
        <v>14415923.579778761</v>
      </c>
    </row>
    <row r="4581" spans="2:4" x14ac:dyDescent="0.25">
      <c r="B4581" s="90">
        <v>4577</v>
      </c>
      <c r="C4581" s="39">
        <f t="shared" si="142"/>
        <v>13872468.834225954</v>
      </c>
      <c r="D4581" s="39">
        <f t="shared" si="143"/>
        <v>14419073.912728887</v>
      </c>
    </row>
    <row r="4582" spans="2:4" x14ac:dyDescent="0.25">
      <c r="B4582" s="90">
        <v>4578</v>
      </c>
      <c r="C4582" s="39">
        <f t="shared" si="142"/>
        <v>13875116.172839507</v>
      </c>
      <c r="D4582" s="39">
        <f t="shared" si="143"/>
        <v>14422224.245679013</v>
      </c>
    </row>
    <row r="4583" spans="2:4" x14ac:dyDescent="0.25">
      <c r="B4583" s="90">
        <v>4579</v>
      </c>
      <c r="C4583" s="39">
        <f t="shared" si="142"/>
        <v>13877763.511453059</v>
      </c>
      <c r="D4583" s="39">
        <f t="shared" si="143"/>
        <v>14425374.57862914</v>
      </c>
    </row>
    <row r="4584" spans="2:4" x14ac:dyDescent="0.25">
      <c r="B4584" s="90">
        <v>4580</v>
      </c>
      <c r="C4584" s="39">
        <f t="shared" si="142"/>
        <v>13880410.85006661</v>
      </c>
      <c r="D4584" s="39">
        <f t="shared" si="143"/>
        <v>14428524.911579266</v>
      </c>
    </row>
    <row r="4585" spans="2:4" x14ac:dyDescent="0.25">
      <c r="B4585" s="90">
        <v>4581</v>
      </c>
      <c r="C4585" s="39">
        <f t="shared" si="142"/>
        <v>13883058.188680163</v>
      </c>
      <c r="D4585" s="39">
        <f t="shared" si="143"/>
        <v>14431675.244529393</v>
      </c>
    </row>
    <row r="4586" spans="2:4" x14ac:dyDescent="0.25">
      <c r="B4586" s="90">
        <v>4582</v>
      </c>
      <c r="C4586" s="39">
        <f t="shared" si="142"/>
        <v>13885705.527293714</v>
      </c>
      <c r="D4586" s="39">
        <f t="shared" si="143"/>
        <v>14434825.577479521</v>
      </c>
    </row>
    <row r="4587" spans="2:4" x14ac:dyDescent="0.25">
      <c r="B4587" s="90">
        <v>4583</v>
      </c>
      <c r="C4587" s="39">
        <f t="shared" si="142"/>
        <v>13888352.865907265</v>
      </c>
      <c r="D4587" s="39">
        <f t="shared" si="143"/>
        <v>14437975.910429647</v>
      </c>
    </row>
    <row r="4588" spans="2:4" x14ac:dyDescent="0.25">
      <c r="B4588" s="90">
        <v>4584</v>
      </c>
      <c r="C4588" s="39">
        <f t="shared" si="142"/>
        <v>13891000.204520818</v>
      </c>
      <c r="D4588" s="39">
        <f t="shared" si="143"/>
        <v>14441126.243379774</v>
      </c>
    </row>
    <row r="4589" spans="2:4" x14ac:dyDescent="0.25">
      <c r="B4589" s="90">
        <v>4585</v>
      </c>
      <c r="C4589" s="39">
        <f t="shared" si="142"/>
        <v>13893647.543134369</v>
      </c>
      <c r="D4589" s="39">
        <f t="shared" si="143"/>
        <v>14444276.5763299</v>
      </c>
    </row>
    <row r="4590" spans="2:4" x14ac:dyDescent="0.25">
      <c r="B4590" s="90">
        <v>4586</v>
      </c>
      <c r="C4590" s="39">
        <f t="shared" si="142"/>
        <v>13896294.88174792</v>
      </c>
      <c r="D4590" s="39">
        <f t="shared" si="143"/>
        <v>14447426.909280026</v>
      </c>
    </row>
    <row r="4591" spans="2:4" x14ac:dyDescent="0.25">
      <c r="B4591" s="90">
        <v>4587</v>
      </c>
      <c r="C4591" s="39">
        <f t="shared" si="142"/>
        <v>13898942.220361471</v>
      </c>
      <c r="D4591" s="39">
        <f t="shared" si="143"/>
        <v>14450577.242230153</v>
      </c>
    </row>
    <row r="4592" spans="2:4" x14ac:dyDescent="0.25">
      <c r="B4592" s="90">
        <v>4588</v>
      </c>
      <c r="C4592" s="39">
        <f t="shared" si="142"/>
        <v>13901589.558975024</v>
      </c>
      <c r="D4592" s="39">
        <f t="shared" si="143"/>
        <v>14453727.575180279</v>
      </c>
    </row>
    <row r="4593" spans="2:4" x14ac:dyDescent="0.25">
      <c r="B4593" s="90">
        <v>4589</v>
      </c>
      <c r="C4593" s="39">
        <f t="shared" ref="C4593:C4656" si="144">($C$2*B4593)+$C$1</f>
        <v>13904236.897588575</v>
      </c>
      <c r="D4593" s="39">
        <f t="shared" ref="D4593:D4656" si="145">$D$2*B4593</f>
        <v>14456877.908130405</v>
      </c>
    </row>
    <row r="4594" spans="2:4" x14ac:dyDescent="0.25">
      <c r="B4594" s="90">
        <v>4590</v>
      </c>
      <c r="C4594" s="39">
        <f t="shared" si="144"/>
        <v>13906884.236202126</v>
      </c>
      <c r="D4594" s="39">
        <f t="shared" si="145"/>
        <v>14460028.241080532</v>
      </c>
    </row>
    <row r="4595" spans="2:4" x14ac:dyDescent="0.25">
      <c r="B4595" s="90">
        <v>4591</v>
      </c>
      <c r="C4595" s="39">
        <f t="shared" si="144"/>
        <v>13909531.574815679</v>
      </c>
      <c r="D4595" s="39">
        <f t="shared" si="145"/>
        <v>14463178.574030658</v>
      </c>
    </row>
    <row r="4596" spans="2:4" x14ac:dyDescent="0.25">
      <c r="B4596" s="90">
        <v>4592</v>
      </c>
      <c r="C4596" s="39">
        <f t="shared" si="144"/>
        <v>13912178.91342923</v>
      </c>
      <c r="D4596" s="39">
        <f t="shared" si="145"/>
        <v>14466328.906980785</v>
      </c>
    </row>
    <row r="4597" spans="2:4" x14ac:dyDescent="0.25">
      <c r="B4597" s="90">
        <v>4593</v>
      </c>
      <c r="C4597" s="39">
        <f t="shared" si="144"/>
        <v>13914826.252042782</v>
      </c>
      <c r="D4597" s="39">
        <f t="shared" si="145"/>
        <v>14469479.239930911</v>
      </c>
    </row>
    <row r="4598" spans="2:4" x14ac:dyDescent="0.25">
      <c r="B4598" s="90">
        <v>4594</v>
      </c>
      <c r="C4598" s="39">
        <f t="shared" si="144"/>
        <v>13917473.590656333</v>
      </c>
      <c r="D4598" s="39">
        <f t="shared" si="145"/>
        <v>14472629.572881037</v>
      </c>
    </row>
    <row r="4599" spans="2:4" x14ac:dyDescent="0.25">
      <c r="B4599" s="90">
        <v>4595</v>
      </c>
      <c r="C4599" s="39">
        <f t="shared" si="144"/>
        <v>13920120.929269886</v>
      </c>
      <c r="D4599" s="39">
        <f t="shared" si="145"/>
        <v>14475779.905831164</v>
      </c>
    </row>
    <row r="4600" spans="2:4" x14ac:dyDescent="0.25">
      <c r="B4600" s="90">
        <v>4596</v>
      </c>
      <c r="C4600" s="39">
        <f t="shared" si="144"/>
        <v>13922768.267883437</v>
      </c>
      <c r="D4600" s="39">
        <f t="shared" si="145"/>
        <v>14478930.23878129</v>
      </c>
    </row>
    <row r="4601" spans="2:4" x14ac:dyDescent="0.25">
      <c r="B4601" s="90">
        <v>4597</v>
      </c>
      <c r="C4601" s="39">
        <f t="shared" si="144"/>
        <v>13925415.606496988</v>
      </c>
      <c r="D4601" s="39">
        <f t="shared" si="145"/>
        <v>14482080.571731417</v>
      </c>
    </row>
    <row r="4602" spans="2:4" x14ac:dyDescent="0.25">
      <c r="B4602" s="90">
        <v>4598</v>
      </c>
      <c r="C4602" s="39">
        <f t="shared" si="144"/>
        <v>13928062.945110541</v>
      </c>
      <c r="D4602" s="39">
        <f t="shared" si="145"/>
        <v>14485230.904681543</v>
      </c>
    </row>
    <row r="4603" spans="2:4" x14ac:dyDescent="0.25">
      <c r="B4603" s="90">
        <v>4599</v>
      </c>
      <c r="C4603" s="39">
        <f t="shared" si="144"/>
        <v>13930710.283724092</v>
      </c>
      <c r="D4603" s="39">
        <f t="shared" si="145"/>
        <v>14488381.237631669</v>
      </c>
    </row>
    <row r="4604" spans="2:4" x14ac:dyDescent="0.25">
      <c r="B4604" s="90">
        <v>4600</v>
      </c>
      <c r="C4604" s="39">
        <f t="shared" si="144"/>
        <v>13933357.622337643</v>
      </c>
      <c r="D4604" s="39">
        <f t="shared" si="145"/>
        <v>14491531.570581796</v>
      </c>
    </row>
    <row r="4605" spans="2:4" x14ac:dyDescent="0.25">
      <c r="B4605" s="90">
        <v>4601</v>
      </c>
      <c r="C4605" s="39">
        <f t="shared" si="144"/>
        <v>13936004.960951196</v>
      </c>
      <c r="D4605" s="39">
        <f t="shared" si="145"/>
        <v>14494681.903531924</v>
      </c>
    </row>
    <row r="4606" spans="2:4" x14ac:dyDescent="0.25">
      <c r="B4606" s="90">
        <v>4602</v>
      </c>
      <c r="C4606" s="39">
        <f t="shared" si="144"/>
        <v>13938652.299564747</v>
      </c>
      <c r="D4606" s="39">
        <f t="shared" si="145"/>
        <v>14497832.23648205</v>
      </c>
    </row>
    <row r="4607" spans="2:4" x14ac:dyDescent="0.25">
      <c r="B4607" s="90">
        <v>4603</v>
      </c>
      <c r="C4607" s="39">
        <f t="shared" si="144"/>
        <v>13941299.638178298</v>
      </c>
      <c r="D4607" s="39">
        <f t="shared" si="145"/>
        <v>14500982.569432177</v>
      </c>
    </row>
    <row r="4608" spans="2:4" x14ac:dyDescent="0.25">
      <c r="B4608" s="90">
        <v>4604</v>
      </c>
      <c r="C4608" s="39">
        <f t="shared" si="144"/>
        <v>13943946.976791849</v>
      </c>
      <c r="D4608" s="39">
        <f t="shared" si="145"/>
        <v>14504132.902382303</v>
      </c>
    </row>
    <row r="4609" spans="2:4" x14ac:dyDescent="0.25">
      <c r="B4609" s="90">
        <v>4605</v>
      </c>
      <c r="C4609" s="39">
        <f t="shared" si="144"/>
        <v>13946594.315405402</v>
      </c>
      <c r="D4609" s="39">
        <f t="shared" si="145"/>
        <v>14507283.235332429</v>
      </c>
    </row>
    <row r="4610" spans="2:4" x14ac:dyDescent="0.25">
      <c r="B4610" s="90">
        <v>4606</v>
      </c>
      <c r="C4610" s="39">
        <f t="shared" si="144"/>
        <v>13949241.654018953</v>
      </c>
      <c r="D4610" s="39">
        <f t="shared" si="145"/>
        <v>14510433.568282556</v>
      </c>
    </row>
    <row r="4611" spans="2:4" x14ac:dyDescent="0.25">
      <c r="B4611" s="90">
        <v>4607</v>
      </c>
      <c r="C4611" s="39">
        <f t="shared" si="144"/>
        <v>13951888.992632505</v>
      </c>
      <c r="D4611" s="39">
        <f t="shared" si="145"/>
        <v>14513583.901232682</v>
      </c>
    </row>
    <row r="4612" spans="2:4" x14ac:dyDescent="0.25">
      <c r="B4612" s="90">
        <v>4608</v>
      </c>
      <c r="C4612" s="39">
        <f t="shared" si="144"/>
        <v>13954536.331246058</v>
      </c>
      <c r="D4612" s="39">
        <f t="shared" si="145"/>
        <v>14516734.234182809</v>
      </c>
    </row>
    <row r="4613" spans="2:4" x14ac:dyDescent="0.25">
      <c r="B4613" s="90">
        <v>4609</v>
      </c>
      <c r="C4613" s="39">
        <f t="shared" si="144"/>
        <v>13957183.669859609</v>
      </c>
      <c r="D4613" s="39">
        <f t="shared" si="145"/>
        <v>14519884.567132935</v>
      </c>
    </row>
    <row r="4614" spans="2:4" x14ac:dyDescent="0.25">
      <c r="B4614" s="90">
        <v>4610</v>
      </c>
      <c r="C4614" s="39">
        <f t="shared" si="144"/>
        <v>13959831.00847316</v>
      </c>
      <c r="D4614" s="39">
        <f t="shared" si="145"/>
        <v>14523034.900083061</v>
      </c>
    </row>
    <row r="4615" spans="2:4" x14ac:dyDescent="0.25">
      <c r="B4615" s="90">
        <v>4611</v>
      </c>
      <c r="C4615" s="39">
        <f t="shared" si="144"/>
        <v>13962478.347086713</v>
      </c>
      <c r="D4615" s="39">
        <f t="shared" si="145"/>
        <v>14526185.233033188</v>
      </c>
    </row>
    <row r="4616" spans="2:4" x14ac:dyDescent="0.25">
      <c r="B4616" s="90">
        <v>4612</v>
      </c>
      <c r="C4616" s="39">
        <f t="shared" si="144"/>
        <v>13965125.685700264</v>
      </c>
      <c r="D4616" s="39">
        <f t="shared" si="145"/>
        <v>14529335.565983314</v>
      </c>
    </row>
    <row r="4617" spans="2:4" x14ac:dyDescent="0.25">
      <c r="B4617" s="90">
        <v>4613</v>
      </c>
      <c r="C4617" s="39">
        <f t="shared" si="144"/>
        <v>13967773.024313815</v>
      </c>
      <c r="D4617" s="39">
        <f t="shared" si="145"/>
        <v>14532485.89893344</v>
      </c>
    </row>
    <row r="4618" spans="2:4" x14ac:dyDescent="0.25">
      <c r="B4618" s="90">
        <v>4614</v>
      </c>
      <c r="C4618" s="39">
        <f t="shared" si="144"/>
        <v>13970420.362927366</v>
      </c>
      <c r="D4618" s="39">
        <f t="shared" si="145"/>
        <v>14535636.231883567</v>
      </c>
    </row>
    <row r="4619" spans="2:4" x14ac:dyDescent="0.25">
      <c r="B4619" s="90">
        <v>4615</v>
      </c>
      <c r="C4619" s="39">
        <f t="shared" si="144"/>
        <v>13973067.701540919</v>
      </c>
      <c r="D4619" s="39">
        <f t="shared" si="145"/>
        <v>14538786.564833693</v>
      </c>
    </row>
    <row r="4620" spans="2:4" x14ac:dyDescent="0.25">
      <c r="B4620" s="90">
        <v>4616</v>
      </c>
      <c r="C4620" s="39">
        <f t="shared" si="144"/>
        <v>13975715.04015447</v>
      </c>
      <c r="D4620" s="39">
        <f t="shared" si="145"/>
        <v>14541936.89778382</v>
      </c>
    </row>
    <row r="4621" spans="2:4" x14ac:dyDescent="0.25">
      <c r="B4621" s="90">
        <v>4617</v>
      </c>
      <c r="C4621" s="39">
        <f t="shared" si="144"/>
        <v>13978362.378768021</v>
      </c>
      <c r="D4621" s="39">
        <f t="shared" si="145"/>
        <v>14545087.230733946</v>
      </c>
    </row>
    <row r="4622" spans="2:4" x14ac:dyDescent="0.25">
      <c r="B4622" s="90">
        <v>4618</v>
      </c>
      <c r="C4622" s="39">
        <f t="shared" si="144"/>
        <v>13981009.717381574</v>
      </c>
      <c r="D4622" s="39">
        <f t="shared" si="145"/>
        <v>14548237.563684072</v>
      </c>
    </row>
    <row r="4623" spans="2:4" x14ac:dyDescent="0.25">
      <c r="B4623" s="90">
        <v>4619</v>
      </c>
      <c r="C4623" s="39">
        <f t="shared" si="144"/>
        <v>13983657.055995125</v>
      </c>
      <c r="D4623" s="39">
        <f t="shared" si="145"/>
        <v>14551387.896634199</v>
      </c>
    </row>
    <row r="4624" spans="2:4" x14ac:dyDescent="0.25">
      <c r="B4624" s="90">
        <v>4620</v>
      </c>
      <c r="C4624" s="39">
        <f t="shared" si="144"/>
        <v>13986304.394608676</v>
      </c>
      <c r="D4624" s="39">
        <f t="shared" si="145"/>
        <v>14554538.229584327</v>
      </c>
    </row>
    <row r="4625" spans="2:4" x14ac:dyDescent="0.25">
      <c r="B4625" s="90">
        <v>4621</v>
      </c>
      <c r="C4625" s="39">
        <f t="shared" si="144"/>
        <v>13988951.733222228</v>
      </c>
      <c r="D4625" s="39">
        <f t="shared" si="145"/>
        <v>14557688.562534453</v>
      </c>
    </row>
    <row r="4626" spans="2:4" x14ac:dyDescent="0.25">
      <c r="B4626" s="90">
        <v>4622</v>
      </c>
      <c r="C4626" s="39">
        <f t="shared" si="144"/>
        <v>13991599.071835781</v>
      </c>
      <c r="D4626" s="39">
        <f t="shared" si="145"/>
        <v>14560838.89548458</v>
      </c>
    </row>
    <row r="4627" spans="2:4" x14ac:dyDescent="0.25">
      <c r="B4627" s="90">
        <v>4623</v>
      </c>
      <c r="C4627" s="39">
        <f t="shared" si="144"/>
        <v>13994246.410449332</v>
      </c>
      <c r="D4627" s="39">
        <f t="shared" si="145"/>
        <v>14563989.228434706</v>
      </c>
    </row>
    <row r="4628" spans="2:4" x14ac:dyDescent="0.25">
      <c r="B4628" s="90">
        <v>4624</v>
      </c>
      <c r="C4628" s="39">
        <f t="shared" si="144"/>
        <v>13996893.749062883</v>
      </c>
      <c r="D4628" s="39">
        <f t="shared" si="145"/>
        <v>14567139.561384832</v>
      </c>
    </row>
    <row r="4629" spans="2:4" x14ac:dyDescent="0.25">
      <c r="B4629" s="90">
        <v>4625</v>
      </c>
      <c r="C4629" s="39">
        <f t="shared" si="144"/>
        <v>13999541.087676436</v>
      </c>
      <c r="D4629" s="39">
        <f t="shared" si="145"/>
        <v>14570289.894334959</v>
      </c>
    </row>
    <row r="4630" spans="2:4" x14ac:dyDescent="0.25">
      <c r="B4630" s="90">
        <v>4626</v>
      </c>
      <c r="C4630" s="39">
        <f t="shared" si="144"/>
        <v>14002188.426289987</v>
      </c>
      <c r="D4630" s="39">
        <f t="shared" si="145"/>
        <v>14573440.227285085</v>
      </c>
    </row>
    <row r="4631" spans="2:4" x14ac:dyDescent="0.25">
      <c r="B4631" s="90">
        <v>4627</v>
      </c>
      <c r="C4631" s="39">
        <f t="shared" si="144"/>
        <v>14004835.764903538</v>
      </c>
      <c r="D4631" s="39">
        <f t="shared" si="145"/>
        <v>14576590.560235212</v>
      </c>
    </row>
    <row r="4632" spans="2:4" x14ac:dyDescent="0.25">
      <c r="B4632" s="90">
        <v>4628</v>
      </c>
      <c r="C4632" s="39">
        <f t="shared" si="144"/>
        <v>14007483.103517091</v>
      </c>
      <c r="D4632" s="39">
        <f t="shared" si="145"/>
        <v>14579740.893185338</v>
      </c>
    </row>
    <row r="4633" spans="2:4" x14ac:dyDescent="0.25">
      <c r="B4633" s="90">
        <v>4629</v>
      </c>
      <c r="C4633" s="39">
        <f t="shared" si="144"/>
        <v>14010130.442130642</v>
      </c>
      <c r="D4633" s="39">
        <f t="shared" si="145"/>
        <v>14582891.226135464</v>
      </c>
    </row>
    <row r="4634" spans="2:4" x14ac:dyDescent="0.25">
      <c r="B4634" s="90">
        <v>4630</v>
      </c>
      <c r="C4634" s="39">
        <f t="shared" si="144"/>
        <v>14012777.780744193</v>
      </c>
      <c r="D4634" s="39">
        <f t="shared" si="145"/>
        <v>14586041.559085591</v>
      </c>
    </row>
    <row r="4635" spans="2:4" x14ac:dyDescent="0.25">
      <c r="B4635" s="90">
        <v>4631</v>
      </c>
      <c r="C4635" s="39">
        <f t="shared" si="144"/>
        <v>14015425.119357744</v>
      </c>
      <c r="D4635" s="39">
        <f t="shared" si="145"/>
        <v>14589191.892035717</v>
      </c>
    </row>
    <row r="4636" spans="2:4" x14ac:dyDescent="0.25">
      <c r="B4636" s="90">
        <v>4632</v>
      </c>
      <c r="C4636" s="39">
        <f t="shared" si="144"/>
        <v>14018072.457971297</v>
      </c>
      <c r="D4636" s="39">
        <f t="shared" si="145"/>
        <v>14592342.224985844</v>
      </c>
    </row>
    <row r="4637" spans="2:4" x14ac:dyDescent="0.25">
      <c r="B4637" s="90">
        <v>4633</v>
      </c>
      <c r="C4637" s="39">
        <f t="shared" si="144"/>
        <v>14020719.796584848</v>
      </c>
      <c r="D4637" s="39">
        <f t="shared" si="145"/>
        <v>14595492.55793597</v>
      </c>
    </row>
    <row r="4638" spans="2:4" x14ac:dyDescent="0.25">
      <c r="B4638" s="90">
        <v>4634</v>
      </c>
      <c r="C4638" s="39">
        <f t="shared" si="144"/>
        <v>14023367.135198399</v>
      </c>
      <c r="D4638" s="39">
        <f t="shared" si="145"/>
        <v>14598642.890886096</v>
      </c>
    </row>
    <row r="4639" spans="2:4" x14ac:dyDescent="0.25">
      <c r="B4639" s="90">
        <v>4635</v>
      </c>
      <c r="C4639" s="39">
        <f t="shared" si="144"/>
        <v>14026014.473811952</v>
      </c>
      <c r="D4639" s="39">
        <f t="shared" si="145"/>
        <v>14601793.223836223</v>
      </c>
    </row>
    <row r="4640" spans="2:4" x14ac:dyDescent="0.25">
      <c r="B4640" s="90">
        <v>4636</v>
      </c>
      <c r="C4640" s="39">
        <f t="shared" si="144"/>
        <v>14028661.812425504</v>
      </c>
      <c r="D4640" s="39">
        <f t="shared" si="145"/>
        <v>14604943.556786349</v>
      </c>
    </row>
    <row r="4641" spans="2:4" x14ac:dyDescent="0.25">
      <c r="B4641" s="90">
        <v>4637</v>
      </c>
      <c r="C4641" s="39">
        <f t="shared" si="144"/>
        <v>14031309.151039055</v>
      </c>
      <c r="D4641" s="39">
        <f t="shared" si="145"/>
        <v>14608093.889736475</v>
      </c>
    </row>
    <row r="4642" spans="2:4" x14ac:dyDescent="0.25">
      <c r="B4642" s="90">
        <v>4638</v>
      </c>
      <c r="C4642" s="39">
        <f t="shared" si="144"/>
        <v>14033956.489652608</v>
      </c>
      <c r="D4642" s="39">
        <f t="shared" si="145"/>
        <v>14611244.222686602</v>
      </c>
    </row>
    <row r="4643" spans="2:4" x14ac:dyDescent="0.25">
      <c r="B4643" s="90">
        <v>4639</v>
      </c>
      <c r="C4643" s="39">
        <f t="shared" si="144"/>
        <v>14036603.828266159</v>
      </c>
      <c r="D4643" s="39">
        <f t="shared" si="145"/>
        <v>14614394.55563673</v>
      </c>
    </row>
    <row r="4644" spans="2:4" x14ac:dyDescent="0.25">
      <c r="B4644" s="90">
        <v>4640</v>
      </c>
      <c r="C4644" s="39">
        <f t="shared" si="144"/>
        <v>14039251.16687971</v>
      </c>
      <c r="D4644" s="39">
        <f t="shared" si="145"/>
        <v>14617544.888586856</v>
      </c>
    </row>
    <row r="4645" spans="2:4" x14ac:dyDescent="0.25">
      <c r="B4645" s="90">
        <v>4641</v>
      </c>
      <c r="C4645" s="39">
        <f t="shared" si="144"/>
        <v>14041898.505493261</v>
      </c>
      <c r="D4645" s="39">
        <f t="shared" si="145"/>
        <v>14620695.221536983</v>
      </c>
    </row>
    <row r="4646" spans="2:4" x14ac:dyDescent="0.25">
      <c r="B4646" s="90">
        <v>4642</v>
      </c>
      <c r="C4646" s="39">
        <f t="shared" si="144"/>
        <v>14044545.844106814</v>
      </c>
      <c r="D4646" s="39">
        <f t="shared" si="145"/>
        <v>14623845.554487109</v>
      </c>
    </row>
    <row r="4647" spans="2:4" x14ac:dyDescent="0.25">
      <c r="B4647" s="90">
        <v>4643</v>
      </c>
      <c r="C4647" s="39">
        <f t="shared" si="144"/>
        <v>14047193.182720365</v>
      </c>
      <c r="D4647" s="39">
        <f t="shared" si="145"/>
        <v>14626995.887437236</v>
      </c>
    </row>
    <row r="4648" spans="2:4" x14ac:dyDescent="0.25">
      <c r="B4648" s="90">
        <v>4644</v>
      </c>
      <c r="C4648" s="39">
        <f t="shared" si="144"/>
        <v>14049840.521333916</v>
      </c>
      <c r="D4648" s="39">
        <f t="shared" si="145"/>
        <v>14630146.220387362</v>
      </c>
    </row>
    <row r="4649" spans="2:4" x14ac:dyDescent="0.25">
      <c r="B4649" s="90">
        <v>4645</v>
      </c>
      <c r="C4649" s="39">
        <f t="shared" si="144"/>
        <v>14052487.859947469</v>
      </c>
      <c r="D4649" s="39">
        <f t="shared" si="145"/>
        <v>14633296.553337488</v>
      </c>
    </row>
    <row r="4650" spans="2:4" x14ac:dyDescent="0.25">
      <c r="B4650" s="90">
        <v>4646</v>
      </c>
      <c r="C4650" s="39">
        <f t="shared" si="144"/>
        <v>14055135.19856102</v>
      </c>
      <c r="D4650" s="39">
        <f t="shared" si="145"/>
        <v>14636446.886287615</v>
      </c>
    </row>
    <row r="4651" spans="2:4" x14ac:dyDescent="0.25">
      <c r="B4651" s="90">
        <v>4647</v>
      </c>
      <c r="C4651" s="39">
        <f t="shared" si="144"/>
        <v>14057782.537174571</v>
      </c>
      <c r="D4651" s="39">
        <f t="shared" si="145"/>
        <v>14639597.219237741</v>
      </c>
    </row>
    <row r="4652" spans="2:4" x14ac:dyDescent="0.25">
      <c r="B4652" s="90">
        <v>4648</v>
      </c>
      <c r="C4652" s="39">
        <f t="shared" si="144"/>
        <v>14060429.875788122</v>
      </c>
      <c r="D4652" s="39">
        <f t="shared" si="145"/>
        <v>14642747.552187867</v>
      </c>
    </row>
    <row r="4653" spans="2:4" x14ac:dyDescent="0.25">
      <c r="B4653" s="90">
        <v>4649</v>
      </c>
      <c r="C4653" s="39">
        <f t="shared" si="144"/>
        <v>14063077.214401675</v>
      </c>
      <c r="D4653" s="39">
        <f t="shared" si="145"/>
        <v>14645897.885137994</v>
      </c>
    </row>
    <row r="4654" spans="2:4" x14ac:dyDescent="0.25">
      <c r="B4654" s="90">
        <v>4650</v>
      </c>
      <c r="C4654" s="39">
        <f t="shared" si="144"/>
        <v>14065724.553015226</v>
      </c>
      <c r="D4654" s="39">
        <f t="shared" si="145"/>
        <v>14649048.21808812</v>
      </c>
    </row>
    <row r="4655" spans="2:4" x14ac:dyDescent="0.25">
      <c r="B4655" s="90">
        <v>4651</v>
      </c>
      <c r="C4655" s="39">
        <f t="shared" si="144"/>
        <v>14068371.891628778</v>
      </c>
      <c r="D4655" s="39">
        <f t="shared" si="145"/>
        <v>14652198.551038247</v>
      </c>
    </row>
    <row r="4656" spans="2:4" x14ac:dyDescent="0.25">
      <c r="B4656" s="90">
        <v>4652</v>
      </c>
      <c r="C4656" s="39">
        <f t="shared" si="144"/>
        <v>14071019.230242331</v>
      </c>
      <c r="D4656" s="39">
        <f t="shared" si="145"/>
        <v>14655348.883988373</v>
      </c>
    </row>
    <row r="4657" spans="2:4" x14ac:dyDescent="0.25">
      <c r="B4657" s="90">
        <v>4653</v>
      </c>
      <c r="C4657" s="39">
        <f t="shared" ref="C4657:C4720" si="146">($C$2*B4657)+$C$1</f>
        <v>14073666.568855882</v>
      </c>
      <c r="D4657" s="39">
        <f t="shared" ref="D4657:D4720" si="147">$D$2*B4657</f>
        <v>14658499.216938499</v>
      </c>
    </row>
    <row r="4658" spans="2:4" x14ac:dyDescent="0.25">
      <c r="B4658" s="90">
        <v>4654</v>
      </c>
      <c r="C4658" s="39">
        <f t="shared" si="146"/>
        <v>14076313.907469433</v>
      </c>
      <c r="D4658" s="39">
        <f t="shared" si="147"/>
        <v>14661649.549888626</v>
      </c>
    </row>
    <row r="4659" spans="2:4" x14ac:dyDescent="0.25">
      <c r="B4659" s="90">
        <v>4655</v>
      </c>
      <c r="C4659" s="39">
        <f t="shared" si="146"/>
        <v>14078961.246082986</v>
      </c>
      <c r="D4659" s="39">
        <f t="shared" si="147"/>
        <v>14664799.882838752</v>
      </c>
    </row>
    <row r="4660" spans="2:4" x14ac:dyDescent="0.25">
      <c r="B4660" s="90">
        <v>4656</v>
      </c>
      <c r="C4660" s="39">
        <f t="shared" si="146"/>
        <v>14081608.584696537</v>
      </c>
      <c r="D4660" s="39">
        <f t="shared" si="147"/>
        <v>14667950.215788879</v>
      </c>
    </row>
    <row r="4661" spans="2:4" x14ac:dyDescent="0.25">
      <c r="B4661" s="90">
        <v>4657</v>
      </c>
      <c r="C4661" s="39">
        <f t="shared" si="146"/>
        <v>14084255.923310088</v>
      </c>
      <c r="D4661" s="39">
        <f t="shared" si="147"/>
        <v>14671100.548739005</v>
      </c>
    </row>
    <row r="4662" spans="2:4" x14ac:dyDescent="0.25">
      <c r="B4662" s="90">
        <v>4658</v>
      </c>
      <c r="C4662" s="39">
        <f t="shared" si="146"/>
        <v>14086903.261923639</v>
      </c>
      <c r="D4662" s="39">
        <f t="shared" si="147"/>
        <v>14674250.881689131</v>
      </c>
    </row>
    <row r="4663" spans="2:4" x14ac:dyDescent="0.25">
      <c r="B4663" s="90">
        <v>4659</v>
      </c>
      <c r="C4663" s="39">
        <f t="shared" si="146"/>
        <v>14089550.600537192</v>
      </c>
      <c r="D4663" s="39">
        <f t="shared" si="147"/>
        <v>14677401.21463926</v>
      </c>
    </row>
    <row r="4664" spans="2:4" x14ac:dyDescent="0.25">
      <c r="B4664" s="90">
        <v>4660</v>
      </c>
      <c r="C4664" s="39">
        <f t="shared" si="146"/>
        <v>14092197.939150743</v>
      </c>
      <c r="D4664" s="39">
        <f t="shared" si="147"/>
        <v>14680551.547589386</v>
      </c>
    </row>
    <row r="4665" spans="2:4" x14ac:dyDescent="0.25">
      <c r="B4665" s="90">
        <v>4661</v>
      </c>
      <c r="C4665" s="39">
        <f t="shared" si="146"/>
        <v>14094845.277764294</v>
      </c>
      <c r="D4665" s="39">
        <f t="shared" si="147"/>
        <v>14683701.880539512</v>
      </c>
    </row>
    <row r="4666" spans="2:4" x14ac:dyDescent="0.25">
      <c r="B4666" s="90">
        <v>4662</v>
      </c>
      <c r="C4666" s="39">
        <f t="shared" si="146"/>
        <v>14097492.616377847</v>
      </c>
      <c r="D4666" s="39">
        <f t="shared" si="147"/>
        <v>14686852.213489639</v>
      </c>
    </row>
    <row r="4667" spans="2:4" x14ac:dyDescent="0.25">
      <c r="B4667" s="90">
        <v>4663</v>
      </c>
      <c r="C4667" s="39">
        <f t="shared" si="146"/>
        <v>14100139.954991398</v>
      </c>
      <c r="D4667" s="39">
        <f t="shared" si="147"/>
        <v>14690002.546439765</v>
      </c>
    </row>
    <row r="4668" spans="2:4" x14ac:dyDescent="0.25">
      <c r="B4668" s="90">
        <v>4664</v>
      </c>
      <c r="C4668" s="39">
        <f t="shared" si="146"/>
        <v>14102787.293604949</v>
      </c>
      <c r="D4668" s="39">
        <f t="shared" si="147"/>
        <v>14693152.879389891</v>
      </c>
    </row>
    <row r="4669" spans="2:4" x14ac:dyDescent="0.25">
      <c r="B4669" s="90">
        <v>4665</v>
      </c>
      <c r="C4669" s="39">
        <f t="shared" si="146"/>
        <v>14105434.632218502</v>
      </c>
      <c r="D4669" s="39">
        <f t="shared" si="147"/>
        <v>14696303.212340018</v>
      </c>
    </row>
    <row r="4670" spans="2:4" x14ac:dyDescent="0.25">
      <c r="B4670" s="90">
        <v>4666</v>
      </c>
      <c r="C4670" s="39">
        <f t="shared" si="146"/>
        <v>14108081.970832054</v>
      </c>
      <c r="D4670" s="39">
        <f t="shared" si="147"/>
        <v>14699453.545290144</v>
      </c>
    </row>
    <row r="4671" spans="2:4" x14ac:dyDescent="0.25">
      <c r="B4671" s="90">
        <v>4667</v>
      </c>
      <c r="C4671" s="39">
        <f t="shared" si="146"/>
        <v>14110729.309445605</v>
      </c>
      <c r="D4671" s="39">
        <f t="shared" si="147"/>
        <v>14702603.878240271</v>
      </c>
    </row>
    <row r="4672" spans="2:4" x14ac:dyDescent="0.25">
      <c r="B4672" s="90">
        <v>4668</v>
      </c>
      <c r="C4672" s="39">
        <f t="shared" si="146"/>
        <v>14113376.648059156</v>
      </c>
      <c r="D4672" s="39">
        <f t="shared" si="147"/>
        <v>14705754.211190397</v>
      </c>
    </row>
    <row r="4673" spans="2:4" x14ac:dyDescent="0.25">
      <c r="B4673" s="90">
        <v>4669</v>
      </c>
      <c r="C4673" s="39">
        <f t="shared" si="146"/>
        <v>14116023.986672709</v>
      </c>
      <c r="D4673" s="39">
        <f t="shared" si="147"/>
        <v>14708904.544140523</v>
      </c>
    </row>
    <row r="4674" spans="2:4" x14ac:dyDescent="0.25">
      <c r="B4674" s="90">
        <v>4670</v>
      </c>
      <c r="C4674" s="39">
        <f t="shared" si="146"/>
        <v>14118671.32528626</v>
      </c>
      <c r="D4674" s="39">
        <f t="shared" si="147"/>
        <v>14712054.87709065</v>
      </c>
    </row>
    <row r="4675" spans="2:4" x14ac:dyDescent="0.25">
      <c r="B4675" s="90">
        <v>4671</v>
      </c>
      <c r="C4675" s="39">
        <f t="shared" si="146"/>
        <v>14121318.663899811</v>
      </c>
      <c r="D4675" s="39">
        <f t="shared" si="147"/>
        <v>14715205.210040776</v>
      </c>
    </row>
    <row r="4676" spans="2:4" x14ac:dyDescent="0.25">
      <c r="B4676" s="90">
        <v>4672</v>
      </c>
      <c r="C4676" s="39">
        <f t="shared" si="146"/>
        <v>14123966.002513364</v>
      </c>
      <c r="D4676" s="39">
        <f t="shared" si="147"/>
        <v>14718355.542990902</v>
      </c>
    </row>
    <row r="4677" spans="2:4" x14ac:dyDescent="0.25">
      <c r="B4677" s="90">
        <v>4673</v>
      </c>
      <c r="C4677" s="39">
        <f t="shared" si="146"/>
        <v>14126613.341126915</v>
      </c>
      <c r="D4677" s="39">
        <f t="shared" si="147"/>
        <v>14721505.875941029</v>
      </c>
    </row>
    <row r="4678" spans="2:4" x14ac:dyDescent="0.25">
      <c r="B4678" s="90">
        <v>4674</v>
      </c>
      <c r="C4678" s="39">
        <f t="shared" si="146"/>
        <v>14129260.679740466</v>
      </c>
      <c r="D4678" s="39">
        <f t="shared" si="147"/>
        <v>14724656.208891155</v>
      </c>
    </row>
    <row r="4679" spans="2:4" x14ac:dyDescent="0.25">
      <c r="B4679" s="90">
        <v>4675</v>
      </c>
      <c r="C4679" s="39">
        <f t="shared" si="146"/>
        <v>14131908.018354017</v>
      </c>
      <c r="D4679" s="39">
        <f t="shared" si="147"/>
        <v>14727806.541841282</v>
      </c>
    </row>
    <row r="4680" spans="2:4" x14ac:dyDescent="0.25">
      <c r="B4680" s="90">
        <v>4676</v>
      </c>
      <c r="C4680" s="39">
        <f t="shared" si="146"/>
        <v>14134555.35696757</v>
      </c>
      <c r="D4680" s="39">
        <f t="shared" si="147"/>
        <v>14730956.874791408</v>
      </c>
    </row>
    <row r="4681" spans="2:4" x14ac:dyDescent="0.25">
      <c r="B4681" s="90">
        <v>4677</v>
      </c>
      <c r="C4681" s="39">
        <f t="shared" si="146"/>
        <v>14137202.695581121</v>
      </c>
      <c r="D4681" s="39">
        <f t="shared" si="147"/>
        <v>14734107.207741534</v>
      </c>
    </row>
    <row r="4682" spans="2:4" x14ac:dyDescent="0.25">
      <c r="B4682" s="90">
        <v>4678</v>
      </c>
      <c r="C4682" s="39">
        <f t="shared" si="146"/>
        <v>14139850.034194672</v>
      </c>
      <c r="D4682" s="39">
        <f t="shared" si="147"/>
        <v>14737257.540691663</v>
      </c>
    </row>
    <row r="4683" spans="2:4" x14ac:dyDescent="0.25">
      <c r="B4683" s="90">
        <v>4679</v>
      </c>
      <c r="C4683" s="39">
        <f t="shared" si="146"/>
        <v>14142497.372808225</v>
      </c>
      <c r="D4683" s="39">
        <f t="shared" si="147"/>
        <v>14740407.873641789</v>
      </c>
    </row>
    <row r="4684" spans="2:4" x14ac:dyDescent="0.25">
      <c r="B4684" s="90">
        <v>4680</v>
      </c>
      <c r="C4684" s="39">
        <f t="shared" si="146"/>
        <v>14145144.711421777</v>
      </c>
      <c r="D4684" s="39">
        <f t="shared" si="147"/>
        <v>14743558.206591915</v>
      </c>
    </row>
    <row r="4685" spans="2:4" x14ac:dyDescent="0.25">
      <c r="B4685" s="90">
        <v>4681</v>
      </c>
      <c r="C4685" s="39">
        <f t="shared" si="146"/>
        <v>14147792.050035328</v>
      </c>
      <c r="D4685" s="39">
        <f t="shared" si="147"/>
        <v>14746708.539542042</v>
      </c>
    </row>
    <row r="4686" spans="2:4" x14ac:dyDescent="0.25">
      <c r="B4686" s="90">
        <v>4682</v>
      </c>
      <c r="C4686" s="39">
        <f t="shared" si="146"/>
        <v>14150439.388648881</v>
      </c>
      <c r="D4686" s="39">
        <f t="shared" si="147"/>
        <v>14749858.872492168</v>
      </c>
    </row>
    <row r="4687" spans="2:4" x14ac:dyDescent="0.25">
      <c r="B4687" s="90">
        <v>4683</v>
      </c>
      <c r="C4687" s="39">
        <f t="shared" si="146"/>
        <v>14153086.727262432</v>
      </c>
      <c r="D4687" s="39">
        <f t="shared" si="147"/>
        <v>14753009.205442294</v>
      </c>
    </row>
    <row r="4688" spans="2:4" x14ac:dyDescent="0.25">
      <c r="B4688" s="90">
        <v>4684</v>
      </c>
      <c r="C4688" s="39">
        <f t="shared" si="146"/>
        <v>14155734.065875983</v>
      </c>
      <c r="D4688" s="39">
        <f t="shared" si="147"/>
        <v>14756159.538392421</v>
      </c>
    </row>
    <row r="4689" spans="2:4" x14ac:dyDescent="0.25">
      <c r="B4689" s="90">
        <v>4685</v>
      </c>
      <c r="C4689" s="39">
        <f t="shared" si="146"/>
        <v>14158381.404489534</v>
      </c>
      <c r="D4689" s="39">
        <f t="shared" si="147"/>
        <v>14759309.871342547</v>
      </c>
    </row>
    <row r="4690" spans="2:4" x14ac:dyDescent="0.25">
      <c r="B4690" s="90">
        <v>4686</v>
      </c>
      <c r="C4690" s="39">
        <f t="shared" si="146"/>
        <v>14161028.743103087</v>
      </c>
      <c r="D4690" s="39">
        <f t="shared" si="147"/>
        <v>14762460.204292674</v>
      </c>
    </row>
    <row r="4691" spans="2:4" x14ac:dyDescent="0.25">
      <c r="B4691" s="90">
        <v>4687</v>
      </c>
      <c r="C4691" s="39">
        <f t="shared" si="146"/>
        <v>14163676.081716638</v>
      </c>
      <c r="D4691" s="39">
        <f t="shared" si="147"/>
        <v>14765610.5372428</v>
      </c>
    </row>
    <row r="4692" spans="2:4" x14ac:dyDescent="0.25">
      <c r="B4692" s="90">
        <v>4688</v>
      </c>
      <c r="C4692" s="39">
        <f t="shared" si="146"/>
        <v>14166323.420330189</v>
      </c>
      <c r="D4692" s="39">
        <f t="shared" si="147"/>
        <v>14768760.870192926</v>
      </c>
    </row>
    <row r="4693" spans="2:4" x14ac:dyDescent="0.25">
      <c r="B4693" s="90">
        <v>4689</v>
      </c>
      <c r="C4693" s="39">
        <f t="shared" si="146"/>
        <v>14168970.758943742</v>
      </c>
      <c r="D4693" s="39">
        <f t="shared" si="147"/>
        <v>14771911.203143053</v>
      </c>
    </row>
    <row r="4694" spans="2:4" x14ac:dyDescent="0.25">
      <c r="B4694" s="90">
        <v>4690</v>
      </c>
      <c r="C4694" s="39">
        <f t="shared" si="146"/>
        <v>14171618.097557293</v>
      </c>
      <c r="D4694" s="39">
        <f t="shared" si="147"/>
        <v>14775061.536093179</v>
      </c>
    </row>
    <row r="4695" spans="2:4" x14ac:dyDescent="0.25">
      <c r="B4695" s="90">
        <v>4691</v>
      </c>
      <c r="C4695" s="39">
        <f t="shared" si="146"/>
        <v>14174265.436170844</v>
      </c>
      <c r="D4695" s="39">
        <f t="shared" si="147"/>
        <v>14778211.869043306</v>
      </c>
    </row>
    <row r="4696" spans="2:4" x14ac:dyDescent="0.25">
      <c r="B4696" s="90">
        <v>4692</v>
      </c>
      <c r="C4696" s="39">
        <f t="shared" si="146"/>
        <v>14176912.774784397</v>
      </c>
      <c r="D4696" s="39">
        <f t="shared" si="147"/>
        <v>14781362.201993432</v>
      </c>
    </row>
    <row r="4697" spans="2:4" x14ac:dyDescent="0.25">
      <c r="B4697" s="90">
        <v>4693</v>
      </c>
      <c r="C4697" s="39">
        <f t="shared" si="146"/>
        <v>14179560.113397948</v>
      </c>
      <c r="D4697" s="39">
        <f t="shared" si="147"/>
        <v>14784512.534943558</v>
      </c>
    </row>
    <row r="4698" spans="2:4" x14ac:dyDescent="0.25">
      <c r="B4698" s="90">
        <v>4694</v>
      </c>
      <c r="C4698" s="39">
        <f t="shared" si="146"/>
        <v>14182207.4520115</v>
      </c>
      <c r="D4698" s="39">
        <f t="shared" si="147"/>
        <v>14787662.867893685</v>
      </c>
    </row>
    <row r="4699" spans="2:4" x14ac:dyDescent="0.25">
      <c r="B4699" s="90">
        <v>4695</v>
      </c>
      <c r="C4699" s="39">
        <f t="shared" si="146"/>
        <v>14184854.790625051</v>
      </c>
      <c r="D4699" s="39">
        <f t="shared" si="147"/>
        <v>14790813.200843811</v>
      </c>
    </row>
    <row r="4700" spans="2:4" x14ac:dyDescent="0.25">
      <c r="B4700" s="90">
        <v>4696</v>
      </c>
      <c r="C4700" s="39">
        <f t="shared" si="146"/>
        <v>14187502.129238604</v>
      </c>
      <c r="D4700" s="39">
        <f t="shared" si="147"/>
        <v>14793963.533793937</v>
      </c>
    </row>
    <row r="4701" spans="2:4" x14ac:dyDescent="0.25">
      <c r="B4701" s="90">
        <v>4697</v>
      </c>
      <c r="C4701" s="39">
        <f t="shared" si="146"/>
        <v>14190149.467852155</v>
      </c>
      <c r="D4701" s="39">
        <f t="shared" si="147"/>
        <v>14797113.866744066</v>
      </c>
    </row>
    <row r="4702" spans="2:4" x14ac:dyDescent="0.25">
      <c r="B4702" s="90">
        <v>4698</v>
      </c>
      <c r="C4702" s="39">
        <f t="shared" si="146"/>
        <v>14192796.806465706</v>
      </c>
      <c r="D4702" s="39">
        <f t="shared" si="147"/>
        <v>14800264.199694192</v>
      </c>
    </row>
    <row r="4703" spans="2:4" x14ac:dyDescent="0.25">
      <c r="B4703" s="90">
        <v>4699</v>
      </c>
      <c r="C4703" s="39">
        <f t="shared" si="146"/>
        <v>14195444.145079259</v>
      </c>
      <c r="D4703" s="39">
        <f t="shared" si="147"/>
        <v>14803414.532644318</v>
      </c>
    </row>
    <row r="4704" spans="2:4" x14ac:dyDescent="0.25">
      <c r="B4704" s="90">
        <v>4700</v>
      </c>
      <c r="C4704" s="39">
        <f t="shared" si="146"/>
        <v>14198091.48369281</v>
      </c>
      <c r="D4704" s="39">
        <f t="shared" si="147"/>
        <v>14806564.865594445</v>
      </c>
    </row>
    <row r="4705" spans="2:4" x14ac:dyDescent="0.25">
      <c r="B4705" s="90">
        <v>4701</v>
      </c>
      <c r="C4705" s="39">
        <f t="shared" si="146"/>
        <v>14200738.822306361</v>
      </c>
      <c r="D4705" s="39">
        <f t="shared" si="147"/>
        <v>14809715.198544571</v>
      </c>
    </row>
    <row r="4706" spans="2:4" x14ac:dyDescent="0.25">
      <c r="B4706" s="90">
        <v>4702</v>
      </c>
      <c r="C4706" s="39">
        <f t="shared" si="146"/>
        <v>14203386.160919912</v>
      </c>
      <c r="D4706" s="39">
        <f t="shared" si="147"/>
        <v>14812865.531494698</v>
      </c>
    </row>
    <row r="4707" spans="2:4" x14ac:dyDescent="0.25">
      <c r="B4707" s="90">
        <v>4703</v>
      </c>
      <c r="C4707" s="39">
        <f t="shared" si="146"/>
        <v>14206033.499533465</v>
      </c>
      <c r="D4707" s="39">
        <f t="shared" si="147"/>
        <v>14816015.864444824</v>
      </c>
    </row>
    <row r="4708" spans="2:4" x14ac:dyDescent="0.25">
      <c r="B4708" s="90">
        <v>4704</v>
      </c>
      <c r="C4708" s="39">
        <f t="shared" si="146"/>
        <v>14208680.838147016</v>
      </c>
      <c r="D4708" s="39">
        <f t="shared" si="147"/>
        <v>14819166.19739495</v>
      </c>
    </row>
    <row r="4709" spans="2:4" x14ac:dyDescent="0.25">
      <c r="B4709" s="90">
        <v>4705</v>
      </c>
      <c r="C4709" s="39">
        <f t="shared" si="146"/>
        <v>14211328.176760567</v>
      </c>
      <c r="D4709" s="39">
        <f t="shared" si="147"/>
        <v>14822316.530345077</v>
      </c>
    </row>
    <row r="4710" spans="2:4" x14ac:dyDescent="0.25">
      <c r="B4710" s="90">
        <v>4706</v>
      </c>
      <c r="C4710" s="39">
        <f t="shared" si="146"/>
        <v>14213975.51537412</v>
      </c>
      <c r="D4710" s="39">
        <f t="shared" si="147"/>
        <v>14825466.863295203</v>
      </c>
    </row>
    <row r="4711" spans="2:4" x14ac:dyDescent="0.25">
      <c r="B4711" s="90">
        <v>4707</v>
      </c>
      <c r="C4711" s="39">
        <f t="shared" si="146"/>
        <v>14216622.853987671</v>
      </c>
      <c r="D4711" s="39">
        <f t="shared" si="147"/>
        <v>14828617.196245329</v>
      </c>
    </row>
    <row r="4712" spans="2:4" x14ac:dyDescent="0.25">
      <c r="B4712" s="90">
        <v>4708</v>
      </c>
      <c r="C4712" s="39">
        <f t="shared" si="146"/>
        <v>14219270.192601223</v>
      </c>
      <c r="D4712" s="39">
        <f t="shared" si="147"/>
        <v>14831767.529195456</v>
      </c>
    </row>
    <row r="4713" spans="2:4" x14ac:dyDescent="0.25">
      <c r="B4713" s="90">
        <v>4709</v>
      </c>
      <c r="C4713" s="39">
        <f t="shared" si="146"/>
        <v>14221917.531214776</v>
      </c>
      <c r="D4713" s="39">
        <f t="shared" si="147"/>
        <v>14834917.862145582</v>
      </c>
    </row>
    <row r="4714" spans="2:4" x14ac:dyDescent="0.25">
      <c r="B4714" s="90">
        <v>4710</v>
      </c>
      <c r="C4714" s="39">
        <f t="shared" si="146"/>
        <v>14224564.869828327</v>
      </c>
      <c r="D4714" s="39">
        <f t="shared" si="147"/>
        <v>14838068.195095709</v>
      </c>
    </row>
    <row r="4715" spans="2:4" x14ac:dyDescent="0.25">
      <c r="B4715" s="90">
        <v>4711</v>
      </c>
      <c r="C4715" s="39">
        <f t="shared" si="146"/>
        <v>14227212.208441878</v>
      </c>
      <c r="D4715" s="39">
        <f t="shared" si="147"/>
        <v>14841218.528045835</v>
      </c>
    </row>
    <row r="4716" spans="2:4" x14ac:dyDescent="0.25">
      <c r="B4716" s="90">
        <v>4712</v>
      </c>
      <c r="C4716" s="39">
        <f t="shared" si="146"/>
        <v>14229859.547055429</v>
      </c>
      <c r="D4716" s="39">
        <f t="shared" si="147"/>
        <v>14844368.860995961</v>
      </c>
    </row>
    <row r="4717" spans="2:4" x14ac:dyDescent="0.25">
      <c r="B4717" s="90">
        <v>4713</v>
      </c>
      <c r="C4717" s="39">
        <f t="shared" si="146"/>
        <v>14232506.885668982</v>
      </c>
      <c r="D4717" s="39">
        <f t="shared" si="147"/>
        <v>14847519.193946088</v>
      </c>
    </row>
    <row r="4718" spans="2:4" x14ac:dyDescent="0.25">
      <c r="B4718" s="90">
        <v>4714</v>
      </c>
      <c r="C4718" s="39">
        <f t="shared" si="146"/>
        <v>14235154.224282533</v>
      </c>
      <c r="D4718" s="39">
        <f t="shared" si="147"/>
        <v>14850669.526896214</v>
      </c>
    </row>
    <row r="4719" spans="2:4" x14ac:dyDescent="0.25">
      <c r="B4719" s="90">
        <v>4715</v>
      </c>
      <c r="C4719" s="39">
        <f t="shared" si="146"/>
        <v>14237801.562896084</v>
      </c>
      <c r="D4719" s="39">
        <f t="shared" si="147"/>
        <v>14853819.85984634</v>
      </c>
    </row>
    <row r="4720" spans="2:4" x14ac:dyDescent="0.25">
      <c r="B4720" s="90">
        <v>4716</v>
      </c>
      <c r="C4720" s="39">
        <f t="shared" si="146"/>
        <v>14240448.901509637</v>
      </c>
      <c r="D4720" s="39">
        <f t="shared" si="147"/>
        <v>14856970.192796469</v>
      </c>
    </row>
    <row r="4721" spans="2:4" x14ac:dyDescent="0.25">
      <c r="B4721" s="90">
        <v>4717</v>
      </c>
      <c r="C4721" s="39">
        <f t="shared" ref="C4721:C4784" si="148">($C$2*B4721)+$C$1</f>
        <v>14243096.240123188</v>
      </c>
      <c r="D4721" s="39">
        <f t="shared" ref="D4721:D4784" si="149">$D$2*B4721</f>
        <v>14860120.525746595</v>
      </c>
    </row>
    <row r="4722" spans="2:4" x14ac:dyDescent="0.25">
      <c r="B4722" s="90">
        <v>4718</v>
      </c>
      <c r="C4722" s="39">
        <f t="shared" si="148"/>
        <v>14245743.578736739</v>
      </c>
      <c r="D4722" s="39">
        <f t="shared" si="149"/>
        <v>14863270.858696721</v>
      </c>
    </row>
    <row r="4723" spans="2:4" x14ac:dyDescent="0.25">
      <c r="B4723" s="90">
        <v>4719</v>
      </c>
      <c r="C4723" s="39">
        <f t="shared" si="148"/>
        <v>14248390.91735029</v>
      </c>
      <c r="D4723" s="39">
        <f t="shared" si="149"/>
        <v>14866421.191646848</v>
      </c>
    </row>
    <row r="4724" spans="2:4" x14ac:dyDescent="0.25">
      <c r="B4724" s="90">
        <v>4720</v>
      </c>
      <c r="C4724" s="39">
        <f t="shared" si="148"/>
        <v>14251038.255963843</v>
      </c>
      <c r="D4724" s="39">
        <f t="shared" si="149"/>
        <v>14869571.524596974</v>
      </c>
    </row>
    <row r="4725" spans="2:4" x14ac:dyDescent="0.25">
      <c r="B4725" s="90">
        <v>4721</v>
      </c>
      <c r="C4725" s="39">
        <f t="shared" si="148"/>
        <v>14253685.594577394</v>
      </c>
      <c r="D4725" s="39">
        <f t="shared" si="149"/>
        <v>14872721.857547101</v>
      </c>
    </row>
    <row r="4726" spans="2:4" x14ac:dyDescent="0.25">
      <c r="B4726" s="90">
        <v>4722</v>
      </c>
      <c r="C4726" s="39">
        <f t="shared" si="148"/>
        <v>14256332.933190946</v>
      </c>
      <c r="D4726" s="39">
        <f t="shared" si="149"/>
        <v>14875872.190497227</v>
      </c>
    </row>
    <row r="4727" spans="2:4" x14ac:dyDescent="0.25">
      <c r="B4727" s="90">
        <v>4723</v>
      </c>
      <c r="C4727" s="39">
        <f t="shared" si="148"/>
        <v>14258980.271804499</v>
      </c>
      <c r="D4727" s="39">
        <f t="shared" si="149"/>
        <v>14879022.523447353</v>
      </c>
    </row>
    <row r="4728" spans="2:4" x14ac:dyDescent="0.25">
      <c r="B4728" s="90">
        <v>4724</v>
      </c>
      <c r="C4728" s="39">
        <f t="shared" si="148"/>
        <v>14261627.61041805</v>
      </c>
      <c r="D4728" s="39">
        <f t="shared" si="149"/>
        <v>14882172.85639748</v>
      </c>
    </row>
    <row r="4729" spans="2:4" x14ac:dyDescent="0.25">
      <c r="B4729" s="90">
        <v>4725</v>
      </c>
      <c r="C4729" s="39">
        <f t="shared" si="148"/>
        <v>14264274.949031601</v>
      </c>
      <c r="D4729" s="39">
        <f t="shared" si="149"/>
        <v>14885323.189347606</v>
      </c>
    </row>
    <row r="4730" spans="2:4" x14ac:dyDescent="0.25">
      <c r="B4730" s="90">
        <v>4726</v>
      </c>
      <c r="C4730" s="39">
        <f t="shared" si="148"/>
        <v>14266922.287645154</v>
      </c>
      <c r="D4730" s="39">
        <f t="shared" si="149"/>
        <v>14888473.522297733</v>
      </c>
    </row>
    <row r="4731" spans="2:4" x14ac:dyDescent="0.25">
      <c r="B4731" s="90">
        <v>4727</v>
      </c>
      <c r="C4731" s="39">
        <f t="shared" si="148"/>
        <v>14269569.626258705</v>
      </c>
      <c r="D4731" s="39">
        <f t="shared" si="149"/>
        <v>14891623.855247859</v>
      </c>
    </row>
    <row r="4732" spans="2:4" x14ac:dyDescent="0.25">
      <c r="B4732" s="90">
        <v>4728</v>
      </c>
      <c r="C4732" s="39">
        <f t="shared" si="148"/>
        <v>14272216.964872256</v>
      </c>
      <c r="D4732" s="39">
        <f t="shared" si="149"/>
        <v>14894774.188197985</v>
      </c>
    </row>
    <row r="4733" spans="2:4" x14ac:dyDescent="0.25">
      <c r="B4733" s="90">
        <v>4729</v>
      </c>
      <c r="C4733" s="39">
        <f t="shared" si="148"/>
        <v>14274864.303485807</v>
      </c>
      <c r="D4733" s="39">
        <f t="shared" si="149"/>
        <v>14897924.521148112</v>
      </c>
    </row>
    <row r="4734" spans="2:4" x14ac:dyDescent="0.25">
      <c r="B4734" s="90">
        <v>4730</v>
      </c>
      <c r="C4734" s="39">
        <f t="shared" si="148"/>
        <v>14277511.64209936</v>
      </c>
      <c r="D4734" s="39">
        <f t="shared" si="149"/>
        <v>14901074.854098238</v>
      </c>
    </row>
    <row r="4735" spans="2:4" x14ac:dyDescent="0.25">
      <c r="B4735" s="90">
        <v>4731</v>
      </c>
      <c r="C4735" s="39">
        <f t="shared" si="148"/>
        <v>14280158.980712911</v>
      </c>
      <c r="D4735" s="39">
        <f t="shared" si="149"/>
        <v>14904225.187048364</v>
      </c>
    </row>
    <row r="4736" spans="2:4" x14ac:dyDescent="0.25">
      <c r="B4736" s="90">
        <v>4732</v>
      </c>
      <c r="C4736" s="39">
        <f t="shared" si="148"/>
        <v>14282806.319326462</v>
      </c>
      <c r="D4736" s="39">
        <f t="shared" si="149"/>
        <v>14907375.519998491</v>
      </c>
    </row>
    <row r="4737" spans="2:4" x14ac:dyDescent="0.25">
      <c r="B4737" s="90">
        <v>4733</v>
      </c>
      <c r="C4737" s="39">
        <f t="shared" si="148"/>
        <v>14285453.657940015</v>
      </c>
      <c r="D4737" s="39">
        <f t="shared" si="149"/>
        <v>14910525.852948617</v>
      </c>
    </row>
    <row r="4738" spans="2:4" x14ac:dyDescent="0.25">
      <c r="B4738" s="90">
        <v>4734</v>
      </c>
      <c r="C4738" s="39">
        <f t="shared" si="148"/>
        <v>14288100.996553566</v>
      </c>
      <c r="D4738" s="39">
        <f t="shared" si="149"/>
        <v>14913676.185898744</v>
      </c>
    </row>
    <row r="4739" spans="2:4" x14ac:dyDescent="0.25">
      <c r="B4739" s="90">
        <v>4735</v>
      </c>
      <c r="C4739" s="39">
        <f t="shared" si="148"/>
        <v>14290748.335167117</v>
      </c>
      <c r="D4739" s="39">
        <f t="shared" si="149"/>
        <v>14916826.518848872</v>
      </c>
    </row>
    <row r="4740" spans="2:4" x14ac:dyDescent="0.25">
      <c r="B4740" s="90">
        <v>4736</v>
      </c>
      <c r="C4740" s="39">
        <f t="shared" si="148"/>
        <v>14293395.67378067</v>
      </c>
      <c r="D4740" s="39">
        <f t="shared" si="149"/>
        <v>14919976.851798998</v>
      </c>
    </row>
    <row r="4741" spans="2:4" x14ac:dyDescent="0.25">
      <c r="B4741" s="90">
        <v>4737</v>
      </c>
      <c r="C4741" s="39">
        <f t="shared" si="148"/>
        <v>14296043.012394221</v>
      </c>
      <c r="D4741" s="39">
        <f t="shared" si="149"/>
        <v>14923127.184749125</v>
      </c>
    </row>
    <row r="4742" spans="2:4" x14ac:dyDescent="0.25">
      <c r="B4742" s="90">
        <v>4738</v>
      </c>
      <c r="C4742" s="39">
        <f t="shared" si="148"/>
        <v>14298690.351007773</v>
      </c>
      <c r="D4742" s="39">
        <f t="shared" si="149"/>
        <v>14926277.517699251</v>
      </c>
    </row>
    <row r="4743" spans="2:4" x14ac:dyDescent="0.25">
      <c r="B4743" s="90">
        <v>4739</v>
      </c>
      <c r="C4743" s="39">
        <f t="shared" si="148"/>
        <v>14301337.689621324</v>
      </c>
      <c r="D4743" s="39">
        <f t="shared" si="149"/>
        <v>14929427.850649377</v>
      </c>
    </row>
    <row r="4744" spans="2:4" x14ac:dyDescent="0.25">
      <c r="B4744" s="90">
        <v>4740</v>
      </c>
      <c r="C4744" s="39">
        <f t="shared" si="148"/>
        <v>14303985.028234877</v>
      </c>
      <c r="D4744" s="39">
        <f t="shared" si="149"/>
        <v>14932578.183599504</v>
      </c>
    </row>
    <row r="4745" spans="2:4" x14ac:dyDescent="0.25">
      <c r="B4745" s="90">
        <v>4741</v>
      </c>
      <c r="C4745" s="39">
        <f t="shared" si="148"/>
        <v>14306632.366848428</v>
      </c>
      <c r="D4745" s="39">
        <f t="shared" si="149"/>
        <v>14935728.51654963</v>
      </c>
    </row>
    <row r="4746" spans="2:4" x14ac:dyDescent="0.25">
      <c r="B4746" s="90">
        <v>4742</v>
      </c>
      <c r="C4746" s="39">
        <f t="shared" si="148"/>
        <v>14309279.705461979</v>
      </c>
      <c r="D4746" s="39">
        <f t="shared" si="149"/>
        <v>14938878.849499756</v>
      </c>
    </row>
    <row r="4747" spans="2:4" x14ac:dyDescent="0.25">
      <c r="B4747" s="90">
        <v>4743</v>
      </c>
      <c r="C4747" s="39">
        <f t="shared" si="148"/>
        <v>14311927.044075532</v>
      </c>
      <c r="D4747" s="39">
        <f t="shared" si="149"/>
        <v>14942029.182449883</v>
      </c>
    </row>
    <row r="4748" spans="2:4" x14ac:dyDescent="0.25">
      <c r="B4748" s="90">
        <v>4744</v>
      </c>
      <c r="C4748" s="39">
        <f t="shared" si="148"/>
        <v>14314574.382689083</v>
      </c>
      <c r="D4748" s="39">
        <f t="shared" si="149"/>
        <v>14945179.515400009</v>
      </c>
    </row>
    <row r="4749" spans="2:4" x14ac:dyDescent="0.25">
      <c r="B4749" s="90">
        <v>4745</v>
      </c>
      <c r="C4749" s="39">
        <f t="shared" si="148"/>
        <v>14317221.721302634</v>
      </c>
      <c r="D4749" s="39">
        <f t="shared" si="149"/>
        <v>14948329.848350136</v>
      </c>
    </row>
    <row r="4750" spans="2:4" x14ac:dyDescent="0.25">
      <c r="B4750" s="90">
        <v>4746</v>
      </c>
      <c r="C4750" s="39">
        <f t="shared" si="148"/>
        <v>14319869.059916185</v>
      </c>
      <c r="D4750" s="39">
        <f t="shared" si="149"/>
        <v>14951480.181300262</v>
      </c>
    </row>
    <row r="4751" spans="2:4" x14ac:dyDescent="0.25">
      <c r="B4751" s="90">
        <v>4747</v>
      </c>
      <c r="C4751" s="39">
        <f t="shared" si="148"/>
        <v>14322516.398529738</v>
      </c>
      <c r="D4751" s="39">
        <f t="shared" si="149"/>
        <v>14954630.514250388</v>
      </c>
    </row>
    <row r="4752" spans="2:4" x14ac:dyDescent="0.25">
      <c r="B4752" s="90">
        <v>4748</v>
      </c>
      <c r="C4752" s="39">
        <f t="shared" si="148"/>
        <v>14325163.737143289</v>
      </c>
      <c r="D4752" s="39">
        <f t="shared" si="149"/>
        <v>14957780.847200515</v>
      </c>
    </row>
    <row r="4753" spans="2:4" x14ac:dyDescent="0.25">
      <c r="B4753" s="90">
        <v>4749</v>
      </c>
      <c r="C4753" s="39">
        <f t="shared" si="148"/>
        <v>14327811.07575684</v>
      </c>
      <c r="D4753" s="39">
        <f t="shared" si="149"/>
        <v>14960931.180150641</v>
      </c>
    </row>
    <row r="4754" spans="2:4" x14ac:dyDescent="0.25">
      <c r="B4754" s="90">
        <v>4750</v>
      </c>
      <c r="C4754" s="39">
        <f t="shared" si="148"/>
        <v>14330458.414370393</v>
      </c>
      <c r="D4754" s="39">
        <f t="shared" si="149"/>
        <v>14964081.513100768</v>
      </c>
    </row>
    <row r="4755" spans="2:4" x14ac:dyDescent="0.25">
      <c r="B4755" s="90">
        <v>4751</v>
      </c>
      <c r="C4755" s="39">
        <f t="shared" si="148"/>
        <v>14333105.752983944</v>
      </c>
      <c r="D4755" s="39">
        <f t="shared" si="149"/>
        <v>14967231.846050894</v>
      </c>
    </row>
    <row r="4756" spans="2:4" x14ac:dyDescent="0.25">
      <c r="B4756" s="90">
        <v>4752</v>
      </c>
      <c r="C4756" s="39">
        <f t="shared" si="148"/>
        <v>14335753.091597496</v>
      </c>
      <c r="D4756" s="39">
        <f t="shared" si="149"/>
        <v>14970382.17900102</v>
      </c>
    </row>
    <row r="4757" spans="2:4" x14ac:dyDescent="0.25">
      <c r="B4757" s="90">
        <v>4753</v>
      </c>
      <c r="C4757" s="39">
        <f t="shared" si="148"/>
        <v>14338400.430211049</v>
      </c>
      <c r="D4757" s="39">
        <f t="shared" si="149"/>
        <v>14973532.511951147</v>
      </c>
    </row>
    <row r="4758" spans="2:4" x14ac:dyDescent="0.25">
      <c r="B4758" s="90">
        <v>4754</v>
      </c>
      <c r="C4758" s="39">
        <f t="shared" si="148"/>
        <v>14341047.7688246</v>
      </c>
      <c r="D4758" s="39">
        <f t="shared" si="149"/>
        <v>14976682.844901275</v>
      </c>
    </row>
    <row r="4759" spans="2:4" x14ac:dyDescent="0.25">
      <c r="B4759" s="90">
        <v>4755</v>
      </c>
      <c r="C4759" s="39">
        <f t="shared" si="148"/>
        <v>14343695.107438151</v>
      </c>
      <c r="D4759" s="39">
        <f t="shared" si="149"/>
        <v>14979833.177851401</v>
      </c>
    </row>
    <row r="4760" spans="2:4" x14ac:dyDescent="0.25">
      <c r="B4760" s="90">
        <v>4756</v>
      </c>
      <c r="C4760" s="39">
        <f t="shared" si="148"/>
        <v>14346342.446051702</v>
      </c>
      <c r="D4760" s="39">
        <f t="shared" si="149"/>
        <v>14982983.510801528</v>
      </c>
    </row>
    <row r="4761" spans="2:4" x14ac:dyDescent="0.25">
      <c r="B4761" s="90">
        <v>4757</v>
      </c>
      <c r="C4761" s="39">
        <f t="shared" si="148"/>
        <v>14348989.784665255</v>
      </c>
      <c r="D4761" s="39">
        <f t="shared" si="149"/>
        <v>14986133.843751654</v>
      </c>
    </row>
    <row r="4762" spans="2:4" x14ac:dyDescent="0.25">
      <c r="B4762" s="90">
        <v>4758</v>
      </c>
      <c r="C4762" s="39">
        <f t="shared" si="148"/>
        <v>14351637.123278806</v>
      </c>
      <c r="D4762" s="39">
        <f t="shared" si="149"/>
        <v>14989284.17670178</v>
      </c>
    </row>
    <row r="4763" spans="2:4" x14ac:dyDescent="0.25">
      <c r="B4763" s="90">
        <v>4759</v>
      </c>
      <c r="C4763" s="39">
        <f t="shared" si="148"/>
        <v>14354284.461892357</v>
      </c>
      <c r="D4763" s="39">
        <f t="shared" si="149"/>
        <v>14992434.509651907</v>
      </c>
    </row>
    <row r="4764" spans="2:4" x14ac:dyDescent="0.25">
      <c r="B4764" s="90">
        <v>4760</v>
      </c>
      <c r="C4764" s="39">
        <f t="shared" si="148"/>
        <v>14356931.80050591</v>
      </c>
      <c r="D4764" s="39">
        <f t="shared" si="149"/>
        <v>14995584.842602033</v>
      </c>
    </row>
    <row r="4765" spans="2:4" x14ac:dyDescent="0.25">
      <c r="B4765" s="90">
        <v>4761</v>
      </c>
      <c r="C4765" s="39">
        <f t="shared" si="148"/>
        <v>14359579.139119461</v>
      </c>
      <c r="D4765" s="39">
        <f t="shared" si="149"/>
        <v>14998735.17555216</v>
      </c>
    </row>
    <row r="4766" spans="2:4" x14ac:dyDescent="0.25">
      <c r="B4766" s="90">
        <v>4762</v>
      </c>
      <c r="C4766" s="39">
        <f t="shared" si="148"/>
        <v>14362226.477733012</v>
      </c>
      <c r="D4766" s="39">
        <f t="shared" si="149"/>
        <v>15001885.508502286</v>
      </c>
    </row>
    <row r="4767" spans="2:4" x14ac:dyDescent="0.25">
      <c r="B4767" s="90">
        <v>4763</v>
      </c>
      <c r="C4767" s="39">
        <f t="shared" si="148"/>
        <v>14364873.816346565</v>
      </c>
      <c r="D4767" s="39">
        <f t="shared" si="149"/>
        <v>15005035.841452412</v>
      </c>
    </row>
    <row r="4768" spans="2:4" x14ac:dyDescent="0.25">
      <c r="B4768" s="90">
        <v>4764</v>
      </c>
      <c r="C4768" s="39">
        <f t="shared" si="148"/>
        <v>14367521.154960116</v>
      </c>
      <c r="D4768" s="39">
        <f t="shared" si="149"/>
        <v>15008186.174402539</v>
      </c>
    </row>
    <row r="4769" spans="2:4" x14ac:dyDescent="0.25">
      <c r="B4769" s="90">
        <v>4765</v>
      </c>
      <c r="C4769" s="39">
        <f t="shared" si="148"/>
        <v>14370168.493573667</v>
      </c>
      <c r="D4769" s="39">
        <f t="shared" si="149"/>
        <v>15011336.507352665</v>
      </c>
    </row>
    <row r="4770" spans="2:4" x14ac:dyDescent="0.25">
      <c r="B4770" s="90">
        <v>4766</v>
      </c>
      <c r="C4770" s="39">
        <f t="shared" si="148"/>
        <v>14372815.832187219</v>
      </c>
      <c r="D4770" s="39">
        <f t="shared" si="149"/>
        <v>15014486.840302791</v>
      </c>
    </row>
    <row r="4771" spans="2:4" x14ac:dyDescent="0.25">
      <c r="B4771" s="90">
        <v>4767</v>
      </c>
      <c r="C4771" s="39">
        <f t="shared" si="148"/>
        <v>14375463.170800772</v>
      </c>
      <c r="D4771" s="39">
        <f t="shared" si="149"/>
        <v>15017637.173252918</v>
      </c>
    </row>
    <row r="4772" spans="2:4" x14ac:dyDescent="0.25">
      <c r="B4772" s="90">
        <v>4768</v>
      </c>
      <c r="C4772" s="39">
        <f t="shared" si="148"/>
        <v>14378110.509414323</v>
      </c>
      <c r="D4772" s="39">
        <f t="shared" si="149"/>
        <v>15020787.506203044</v>
      </c>
    </row>
    <row r="4773" spans="2:4" x14ac:dyDescent="0.25">
      <c r="B4773" s="90">
        <v>4769</v>
      </c>
      <c r="C4773" s="39">
        <f t="shared" si="148"/>
        <v>14380757.848027874</v>
      </c>
      <c r="D4773" s="39">
        <f t="shared" si="149"/>
        <v>15023937.839153171</v>
      </c>
    </row>
    <row r="4774" spans="2:4" x14ac:dyDescent="0.25">
      <c r="B4774" s="90">
        <v>4770</v>
      </c>
      <c r="C4774" s="39">
        <f t="shared" si="148"/>
        <v>14383405.186641427</v>
      </c>
      <c r="D4774" s="39">
        <f t="shared" si="149"/>
        <v>15027088.172103297</v>
      </c>
    </row>
    <row r="4775" spans="2:4" x14ac:dyDescent="0.25">
      <c r="B4775" s="90">
        <v>4771</v>
      </c>
      <c r="C4775" s="39">
        <f t="shared" si="148"/>
        <v>14386052.525254978</v>
      </c>
      <c r="D4775" s="39">
        <f t="shared" si="149"/>
        <v>15030238.505053423</v>
      </c>
    </row>
    <row r="4776" spans="2:4" x14ac:dyDescent="0.25">
      <c r="B4776" s="90">
        <v>4772</v>
      </c>
      <c r="C4776" s="39">
        <f t="shared" si="148"/>
        <v>14388699.863868529</v>
      </c>
      <c r="D4776" s="39">
        <f t="shared" si="149"/>
        <v>15033388.83800355</v>
      </c>
    </row>
    <row r="4777" spans="2:4" x14ac:dyDescent="0.25">
      <c r="B4777" s="90">
        <v>4773</v>
      </c>
      <c r="C4777" s="39">
        <f t="shared" si="148"/>
        <v>14391347.20248208</v>
      </c>
      <c r="D4777" s="39">
        <f t="shared" si="149"/>
        <v>15036539.170953678</v>
      </c>
    </row>
    <row r="4778" spans="2:4" x14ac:dyDescent="0.25">
      <c r="B4778" s="90">
        <v>4774</v>
      </c>
      <c r="C4778" s="39">
        <f t="shared" si="148"/>
        <v>14393994.541095633</v>
      </c>
      <c r="D4778" s="39">
        <f t="shared" si="149"/>
        <v>15039689.503903804</v>
      </c>
    </row>
    <row r="4779" spans="2:4" x14ac:dyDescent="0.25">
      <c r="B4779" s="90">
        <v>4775</v>
      </c>
      <c r="C4779" s="39">
        <f t="shared" si="148"/>
        <v>14396641.879709184</v>
      </c>
      <c r="D4779" s="39">
        <f t="shared" si="149"/>
        <v>15042839.836853931</v>
      </c>
    </row>
    <row r="4780" spans="2:4" x14ac:dyDescent="0.25">
      <c r="B4780" s="90">
        <v>4776</v>
      </c>
      <c r="C4780" s="39">
        <f t="shared" si="148"/>
        <v>14399289.218322735</v>
      </c>
      <c r="D4780" s="39">
        <f t="shared" si="149"/>
        <v>15045990.169804057</v>
      </c>
    </row>
    <row r="4781" spans="2:4" x14ac:dyDescent="0.25">
      <c r="B4781" s="90">
        <v>4777</v>
      </c>
      <c r="C4781" s="39">
        <f t="shared" si="148"/>
        <v>14401936.556936288</v>
      </c>
      <c r="D4781" s="39">
        <f t="shared" si="149"/>
        <v>15049140.502754183</v>
      </c>
    </row>
    <row r="4782" spans="2:4" x14ac:dyDescent="0.25">
      <c r="B4782" s="90">
        <v>4778</v>
      </c>
      <c r="C4782" s="39">
        <f t="shared" si="148"/>
        <v>14404583.895549839</v>
      </c>
      <c r="D4782" s="39">
        <f t="shared" si="149"/>
        <v>15052290.83570431</v>
      </c>
    </row>
    <row r="4783" spans="2:4" x14ac:dyDescent="0.25">
      <c r="B4783" s="90">
        <v>4779</v>
      </c>
      <c r="C4783" s="39">
        <f t="shared" si="148"/>
        <v>14407231.23416339</v>
      </c>
      <c r="D4783" s="39">
        <f t="shared" si="149"/>
        <v>15055441.168654436</v>
      </c>
    </row>
    <row r="4784" spans="2:4" x14ac:dyDescent="0.25">
      <c r="B4784" s="90">
        <v>4780</v>
      </c>
      <c r="C4784" s="39">
        <f t="shared" si="148"/>
        <v>14409878.572776943</v>
      </c>
      <c r="D4784" s="39">
        <f t="shared" si="149"/>
        <v>15058591.501604563</v>
      </c>
    </row>
    <row r="4785" spans="2:4" x14ac:dyDescent="0.25">
      <c r="B4785" s="90">
        <v>4781</v>
      </c>
      <c r="C4785" s="39">
        <f t="shared" ref="C4785:C4848" si="150">($C$2*B4785)+$C$1</f>
        <v>14412525.911390495</v>
      </c>
      <c r="D4785" s="39">
        <f t="shared" ref="D4785:D4848" si="151">$D$2*B4785</f>
        <v>15061741.834554689</v>
      </c>
    </row>
    <row r="4786" spans="2:4" x14ac:dyDescent="0.25">
      <c r="B4786" s="90">
        <v>4782</v>
      </c>
      <c r="C4786" s="39">
        <f t="shared" si="150"/>
        <v>14415173.250004046</v>
      </c>
      <c r="D4786" s="39">
        <f t="shared" si="151"/>
        <v>15064892.167504815</v>
      </c>
    </row>
    <row r="4787" spans="2:4" x14ac:dyDescent="0.25">
      <c r="B4787" s="90">
        <v>4783</v>
      </c>
      <c r="C4787" s="39">
        <f t="shared" si="150"/>
        <v>14417820.588617597</v>
      </c>
      <c r="D4787" s="39">
        <f t="shared" si="151"/>
        <v>15068042.500454942</v>
      </c>
    </row>
    <row r="4788" spans="2:4" x14ac:dyDescent="0.25">
      <c r="B4788" s="90">
        <v>4784</v>
      </c>
      <c r="C4788" s="39">
        <f t="shared" si="150"/>
        <v>14420467.92723115</v>
      </c>
      <c r="D4788" s="39">
        <f t="shared" si="151"/>
        <v>15071192.833405068</v>
      </c>
    </row>
    <row r="4789" spans="2:4" x14ac:dyDescent="0.25">
      <c r="B4789" s="90">
        <v>4785</v>
      </c>
      <c r="C4789" s="39">
        <f t="shared" si="150"/>
        <v>14423115.265844701</v>
      </c>
      <c r="D4789" s="39">
        <f t="shared" si="151"/>
        <v>15074343.166355195</v>
      </c>
    </row>
    <row r="4790" spans="2:4" x14ac:dyDescent="0.25">
      <c r="B4790" s="90">
        <v>4786</v>
      </c>
      <c r="C4790" s="39">
        <f t="shared" si="150"/>
        <v>14425762.604458252</v>
      </c>
      <c r="D4790" s="39">
        <f t="shared" si="151"/>
        <v>15077493.499305321</v>
      </c>
    </row>
    <row r="4791" spans="2:4" x14ac:dyDescent="0.25">
      <c r="B4791" s="90">
        <v>4787</v>
      </c>
      <c r="C4791" s="39">
        <f t="shared" si="150"/>
        <v>14428409.943071805</v>
      </c>
      <c r="D4791" s="39">
        <f t="shared" si="151"/>
        <v>15080643.832255447</v>
      </c>
    </row>
    <row r="4792" spans="2:4" x14ac:dyDescent="0.25">
      <c r="B4792" s="90">
        <v>4788</v>
      </c>
      <c r="C4792" s="39">
        <f t="shared" si="150"/>
        <v>14431057.281685356</v>
      </c>
      <c r="D4792" s="39">
        <f t="shared" si="151"/>
        <v>15083794.165205574</v>
      </c>
    </row>
    <row r="4793" spans="2:4" x14ac:dyDescent="0.25">
      <c r="B4793" s="90">
        <v>4789</v>
      </c>
      <c r="C4793" s="39">
        <f t="shared" si="150"/>
        <v>14433704.620298907</v>
      </c>
      <c r="D4793" s="39">
        <f t="shared" si="151"/>
        <v>15086944.4981557</v>
      </c>
    </row>
    <row r="4794" spans="2:4" x14ac:dyDescent="0.25">
      <c r="B4794" s="90">
        <v>4790</v>
      </c>
      <c r="C4794" s="39">
        <f t="shared" si="150"/>
        <v>14436351.95891246</v>
      </c>
      <c r="D4794" s="39">
        <f t="shared" si="151"/>
        <v>15090094.831105826</v>
      </c>
    </row>
    <row r="4795" spans="2:4" x14ac:dyDescent="0.25">
      <c r="B4795" s="90">
        <v>4791</v>
      </c>
      <c r="C4795" s="39">
        <f t="shared" si="150"/>
        <v>14438999.297526011</v>
      </c>
      <c r="D4795" s="39">
        <f t="shared" si="151"/>
        <v>15093245.164055953</v>
      </c>
    </row>
    <row r="4796" spans="2:4" x14ac:dyDescent="0.25">
      <c r="B4796" s="90">
        <v>4792</v>
      </c>
      <c r="C4796" s="39">
        <f t="shared" si="150"/>
        <v>14441646.636139562</v>
      </c>
      <c r="D4796" s="39">
        <f t="shared" si="151"/>
        <v>15096395.497006081</v>
      </c>
    </row>
    <row r="4797" spans="2:4" x14ac:dyDescent="0.25">
      <c r="B4797" s="90">
        <v>4793</v>
      </c>
      <c r="C4797" s="39">
        <f t="shared" si="150"/>
        <v>14444293.974753113</v>
      </c>
      <c r="D4797" s="39">
        <f t="shared" si="151"/>
        <v>15099545.829956207</v>
      </c>
    </row>
    <row r="4798" spans="2:4" x14ac:dyDescent="0.25">
      <c r="B4798" s="90">
        <v>4794</v>
      </c>
      <c r="C4798" s="39">
        <f t="shared" si="150"/>
        <v>14446941.313366666</v>
      </c>
      <c r="D4798" s="39">
        <f t="shared" si="151"/>
        <v>15102696.162906334</v>
      </c>
    </row>
    <row r="4799" spans="2:4" x14ac:dyDescent="0.25">
      <c r="B4799" s="90">
        <v>4795</v>
      </c>
      <c r="C4799" s="39">
        <f t="shared" si="150"/>
        <v>14449588.651980218</v>
      </c>
      <c r="D4799" s="39">
        <f t="shared" si="151"/>
        <v>15105846.49585646</v>
      </c>
    </row>
    <row r="4800" spans="2:4" x14ac:dyDescent="0.25">
      <c r="B4800" s="90">
        <v>4796</v>
      </c>
      <c r="C4800" s="39">
        <f t="shared" si="150"/>
        <v>14452235.990593769</v>
      </c>
      <c r="D4800" s="39">
        <f t="shared" si="151"/>
        <v>15108996.828806587</v>
      </c>
    </row>
    <row r="4801" spans="2:4" x14ac:dyDescent="0.25">
      <c r="B4801" s="90">
        <v>4797</v>
      </c>
      <c r="C4801" s="39">
        <f t="shared" si="150"/>
        <v>14454883.329207322</v>
      </c>
      <c r="D4801" s="39">
        <f t="shared" si="151"/>
        <v>15112147.161756713</v>
      </c>
    </row>
    <row r="4802" spans="2:4" x14ac:dyDescent="0.25">
      <c r="B4802" s="90">
        <v>4798</v>
      </c>
      <c r="C4802" s="39">
        <f t="shared" si="150"/>
        <v>14457530.667820873</v>
      </c>
      <c r="D4802" s="39">
        <f t="shared" si="151"/>
        <v>15115297.494706839</v>
      </c>
    </row>
    <row r="4803" spans="2:4" x14ac:dyDescent="0.25">
      <c r="B4803" s="90">
        <v>4799</v>
      </c>
      <c r="C4803" s="39">
        <f t="shared" si="150"/>
        <v>14460178.006434424</v>
      </c>
      <c r="D4803" s="39">
        <f t="shared" si="151"/>
        <v>15118447.827656966</v>
      </c>
    </row>
    <row r="4804" spans="2:4" x14ac:dyDescent="0.25">
      <c r="B4804" s="90">
        <v>4800</v>
      </c>
      <c r="C4804" s="39">
        <f t="shared" si="150"/>
        <v>14462825.345047975</v>
      </c>
      <c r="D4804" s="39">
        <f t="shared" si="151"/>
        <v>15121598.160607092</v>
      </c>
    </row>
    <row r="4805" spans="2:4" x14ac:dyDescent="0.25">
      <c r="B4805" s="90">
        <v>4801</v>
      </c>
      <c r="C4805" s="39">
        <f t="shared" si="150"/>
        <v>14465472.683661528</v>
      </c>
      <c r="D4805" s="39">
        <f t="shared" si="151"/>
        <v>15124748.493557218</v>
      </c>
    </row>
    <row r="4806" spans="2:4" x14ac:dyDescent="0.25">
      <c r="B4806" s="90">
        <v>4802</v>
      </c>
      <c r="C4806" s="39">
        <f t="shared" si="150"/>
        <v>14468120.022275079</v>
      </c>
      <c r="D4806" s="39">
        <f t="shared" si="151"/>
        <v>15127898.826507345</v>
      </c>
    </row>
    <row r="4807" spans="2:4" x14ac:dyDescent="0.25">
      <c r="B4807" s="90">
        <v>4803</v>
      </c>
      <c r="C4807" s="39">
        <f t="shared" si="150"/>
        <v>14470767.36088863</v>
      </c>
      <c r="D4807" s="39">
        <f t="shared" si="151"/>
        <v>15131049.159457471</v>
      </c>
    </row>
    <row r="4808" spans="2:4" x14ac:dyDescent="0.25">
      <c r="B4808" s="90">
        <v>4804</v>
      </c>
      <c r="C4808" s="39">
        <f t="shared" si="150"/>
        <v>14473414.699502183</v>
      </c>
      <c r="D4808" s="39">
        <f t="shared" si="151"/>
        <v>15134199.492407598</v>
      </c>
    </row>
    <row r="4809" spans="2:4" x14ac:dyDescent="0.25">
      <c r="B4809" s="90">
        <v>4805</v>
      </c>
      <c r="C4809" s="39">
        <f t="shared" si="150"/>
        <v>14476062.038115734</v>
      </c>
      <c r="D4809" s="39">
        <f t="shared" si="151"/>
        <v>15137349.825357724</v>
      </c>
    </row>
    <row r="4810" spans="2:4" x14ac:dyDescent="0.25">
      <c r="B4810" s="90">
        <v>4806</v>
      </c>
      <c r="C4810" s="39">
        <f t="shared" si="150"/>
        <v>14478709.376729285</v>
      </c>
      <c r="D4810" s="39">
        <f t="shared" si="151"/>
        <v>15140500.15830785</v>
      </c>
    </row>
    <row r="4811" spans="2:4" x14ac:dyDescent="0.25">
      <c r="B4811" s="90">
        <v>4807</v>
      </c>
      <c r="C4811" s="39">
        <f t="shared" si="150"/>
        <v>14481356.715342838</v>
      </c>
      <c r="D4811" s="39">
        <f t="shared" si="151"/>
        <v>15143650.491257977</v>
      </c>
    </row>
    <row r="4812" spans="2:4" x14ac:dyDescent="0.25">
      <c r="B4812" s="90">
        <v>4808</v>
      </c>
      <c r="C4812" s="39">
        <f t="shared" si="150"/>
        <v>14484004.053956389</v>
      </c>
      <c r="D4812" s="39">
        <f t="shared" si="151"/>
        <v>15146800.824208103</v>
      </c>
    </row>
    <row r="4813" spans="2:4" x14ac:dyDescent="0.25">
      <c r="B4813" s="90">
        <v>4809</v>
      </c>
      <c r="C4813" s="39">
        <f t="shared" si="150"/>
        <v>14486651.392569941</v>
      </c>
      <c r="D4813" s="39">
        <f t="shared" si="151"/>
        <v>15149951.15715823</v>
      </c>
    </row>
    <row r="4814" spans="2:4" x14ac:dyDescent="0.25">
      <c r="B4814" s="90">
        <v>4810</v>
      </c>
      <c r="C4814" s="39">
        <f t="shared" si="150"/>
        <v>14489298.731183492</v>
      </c>
      <c r="D4814" s="39">
        <f t="shared" si="151"/>
        <v>15153101.490108356</v>
      </c>
    </row>
    <row r="4815" spans="2:4" x14ac:dyDescent="0.25">
      <c r="B4815" s="90">
        <v>4811</v>
      </c>
      <c r="C4815" s="39">
        <f t="shared" si="150"/>
        <v>14491946.069797045</v>
      </c>
      <c r="D4815" s="39">
        <f t="shared" si="151"/>
        <v>15156251.823058484</v>
      </c>
    </row>
    <row r="4816" spans="2:4" x14ac:dyDescent="0.25">
      <c r="B4816" s="90">
        <v>4812</v>
      </c>
      <c r="C4816" s="39">
        <f t="shared" si="150"/>
        <v>14494593.408410596</v>
      </c>
      <c r="D4816" s="39">
        <f t="shared" si="151"/>
        <v>15159402.156008611</v>
      </c>
    </row>
    <row r="4817" spans="2:4" x14ac:dyDescent="0.25">
      <c r="B4817" s="90">
        <v>4813</v>
      </c>
      <c r="C4817" s="39">
        <f t="shared" si="150"/>
        <v>14497240.747024147</v>
      </c>
      <c r="D4817" s="39">
        <f t="shared" si="151"/>
        <v>15162552.488958737</v>
      </c>
    </row>
    <row r="4818" spans="2:4" x14ac:dyDescent="0.25">
      <c r="B4818" s="90">
        <v>4814</v>
      </c>
      <c r="C4818" s="39">
        <f t="shared" si="150"/>
        <v>14499888.0856377</v>
      </c>
      <c r="D4818" s="39">
        <f t="shared" si="151"/>
        <v>15165702.821908863</v>
      </c>
    </row>
    <row r="4819" spans="2:4" x14ac:dyDescent="0.25">
      <c r="B4819" s="90">
        <v>4815</v>
      </c>
      <c r="C4819" s="39">
        <f t="shared" si="150"/>
        <v>14502535.424251251</v>
      </c>
      <c r="D4819" s="39">
        <f t="shared" si="151"/>
        <v>15168853.15485899</v>
      </c>
    </row>
    <row r="4820" spans="2:4" x14ac:dyDescent="0.25">
      <c r="B4820" s="90">
        <v>4816</v>
      </c>
      <c r="C4820" s="39">
        <f t="shared" si="150"/>
        <v>14505182.762864802</v>
      </c>
      <c r="D4820" s="39">
        <f t="shared" si="151"/>
        <v>15172003.487809116</v>
      </c>
    </row>
    <row r="4821" spans="2:4" x14ac:dyDescent="0.25">
      <c r="B4821" s="90">
        <v>4817</v>
      </c>
      <c r="C4821" s="39">
        <f t="shared" si="150"/>
        <v>14507830.101478355</v>
      </c>
      <c r="D4821" s="39">
        <f t="shared" si="151"/>
        <v>15175153.820759242</v>
      </c>
    </row>
    <row r="4822" spans="2:4" x14ac:dyDescent="0.25">
      <c r="B4822" s="90">
        <v>4818</v>
      </c>
      <c r="C4822" s="39">
        <f t="shared" si="150"/>
        <v>14510477.440091906</v>
      </c>
      <c r="D4822" s="39">
        <f t="shared" si="151"/>
        <v>15178304.153709369</v>
      </c>
    </row>
    <row r="4823" spans="2:4" x14ac:dyDescent="0.25">
      <c r="B4823" s="90">
        <v>4819</v>
      </c>
      <c r="C4823" s="39">
        <f t="shared" si="150"/>
        <v>14513124.778705457</v>
      </c>
      <c r="D4823" s="39">
        <f t="shared" si="151"/>
        <v>15181454.486659495</v>
      </c>
    </row>
    <row r="4824" spans="2:4" x14ac:dyDescent="0.25">
      <c r="B4824" s="90">
        <v>4820</v>
      </c>
      <c r="C4824" s="39">
        <f t="shared" si="150"/>
        <v>14515772.117319008</v>
      </c>
      <c r="D4824" s="39">
        <f t="shared" si="151"/>
        <v>15184604.819609622</v>
      </c>
    </row>
    <row r="4825" spans="2:4" x14ac:dyDescent="0.25">
      <c r="B4825" s="90">
        <v>4821</v>
      </c>
      <c r="C4825" s="39">
        <f t="shared" si="150"/>
        <v>14518419.455932561</v>
      </c>
      <c r="D4825" s="39">
        <f t="shared" si="151"/>
        <v>15187755.152559748</v>
      </c>
    </row>
    <row r="4826" spans="2:4" x14ac:dyDescent="0.25">
      <c r="B4826" s="90">
        <v>4822</v>
      </c>
      <c r="C4826" s="39">
        <f t="shared" si="150"/>
        <v>14521066.794546112</v>
      </c>
      <c r="D4826" s="39">
        <f t="shared" si="151"/>
        <v>15190905.485509874</v>
      </c>
    </row>
    <row r="4827" spans="2:4" x14ac:dyDescent="0.25">
      <c r="B4827" s="90">
        <v>4823</v>
      </c>
      <c r="C4827" s="39">
        <f t="shared" si="150"/>
        <v>14523714.133159664</v>
      </c>
      <c r="D4827" s="39">
        <f t="shared" si="151"/>
        <v>15194055.818460001</v>
      </c>
    </row>
    <row r="4828" spans="2:4" x14ac:dyDescent="0.25">
      <c r="B4828" s="90">
        <v>4824</v>
      </c>
      <c r="C4828" s="39">
        <f t="shared" si="150"/>
        <v>14526361.471773217</v>
      </c>
      <c r="D4828" s="39">
        <f t="shared" si="151"/>
        <v>15197206.151410127</v>
      </c>
    </row>
    <row r="4829" spans="2:4" x14ac:dyDescent="0.25">
      <c r="B4829" s="90">
        <v>4825</v>
      </c>
      <c r="C4829" s="39">
        <f t="shared" si="150"/>
        <v>14529008.810386768</v>
      </c>
      <c r="D4829" s="39">
        <f t="shared" si="151"/>
        <v>15200356.484360253</v>
      </c>
    </row>
    <row r="4830" spans="2:4" x14ac:dyDescent="0.25">
      <c r="B4830" s="90">
        <v>4826</v>
      </c>
      <c r="C4830" s="39">
        <f t="shared" si="150"/>
        <v>14531656.149000319</v>
      </c>
      <c r="D4830" s="39">
        <f t="shared" si="151"/>
        <v>15203506.81731038</v>
      </c>
    </row>
    <row r="4831" spans="2:4" x14ac:dyDescent="0.25">
      <c r="B4831" s="90">
        <v>4827</v>
      </c>
      <c r="C4831" s="39">
        <f t="shared" si="150"/>
        <v>14534303.48761387</v>
      </c>
      <c r="D4831" s="39">
        <f t="shared" si="151"/>
        <v>15206657.150260506</v>
      </c>
    </row>
    <row r="4832" spans="2:4" x14ac:dyDescent="0.25">
      <c r="B4832" s="90">
        <v>4828</v>
      </c>
      <c r="C4832" s="39">
        <f t="shared" si="150"/>
        <v>14536950.826227423</v>
      </c>
      <c r="D4832" s="39">
        <f t="shared" si="151"/>
        <v>15209807.483210633</v>
      </c>
    </row>
    <row r="4833" spans="2:4" x14ac:dyDescent="0.25">
      <c r="B4833" s="90">
        <v>4829</v>
      </c>
      <c r="C4833" s="39">
        <f t="shared" si="150"/>
        <v>14539598.164840974</v>
      </c>
      <c r="D4833" s="39">
        <f t="shared" si="151"/>
        <v>15212957.816160759</v>
      </c>
    </row>
    <row r="4834" spans="2:4" x14ac:dyDescent="0.25">
      <c r="B4834" s="90">
        <v>4830</v>
      </c>
      <c r="C4834" s="39">
        <f t="shared" si="150"/>
        <v>14542245.503454525</v>
      </c>
      <c r="D4834" s="39">
        <f t="shared" si="151"/>
        <v>15216108.149110887</v>
      </c>
    </row>
    <row r="4835" spans="2:4" x14ac:dyDescent="0.25">
      <c r="B4835" s="90">
        <v>4831</v>
      </c>
      <c r="C4835" s="39">
        <f t="shared" si="150"/>
        <v>14544892.842068078</v>
      </c>
      <c r="D4835" s="39">
        <f t="shared" si="151"/>
        <v>15219258.482061014</v>
      </c>
    </row>
    <row r="4836" spans="2:4" x14ac:dyDescent="0.25">
      <c r="B4836" s="90">
        <v>4832</v>
      </c>
      <c r="C4836" s="39">
        <f t="shared" si="150"/>
        <v>14547540.180681629</v>
      </c>
      <c r="D4836" s="39">
        <f t="shared" si="151"/>
        <v>15222408.81501114</v>
      </c>
    </row>
    <row r="4837" spans="2:4" x14ac:dyDescent="0.25">
      <c r="B4837" s="90">
        <v>4833</v>
      </c>
      <c r="C4837" s="39">
        <f t="shared" si="150"/>
        <v>14550187.51929518</v>
      </c>
      <c r="D4837" s="39">
        <f t="shared" si="151"/>
        <v>15225559.147961266</v>
      </c>
    </row>
    <row r="4838" spans="2:4" x14ac:dyDescent="0.25">
      <c r="B4838" s="90">
        <v>4834</v>
      </c>
      <c r="C4838" s="39">
        <f t="shared" si="150"/>
        <v>14552834.857908733</v>
      </c>
      <c r="D4838" s="39">
        <f t="shared" si="151"/>
        <v>15228709.480911393</v>
      </c>
    </row>
    <row r="4839" spans="2:4" x14ac:dyDescent="0.25">
      <c r="B4839" s="90">
        <v>4835</v>
      </c>
      <c r="C4839" s="39">
        <f t="shared" si="150"/>
        <v>14555482.196522284</v>
      </c>
      <c r="D4839" s="39">
        <f t="shared" si="151"/>
        <v>15231859.813861519</v>
      </c>
    </row>
    <row r="4840" spans="2:4" x14ac:dyDescent="0.25">
      <c r="B4840" s="90">
        <v>4836</v>
      </c>
      <c r="C4840" s="39">
        <f t="shared" si="150"/>
        <v>14558129.535135835</v>
      </c>
      <c r="D4840" s="39">
        <f t="shared" si="151"/>
        <v>15235010.146811645</v>
      </c>
    </row>
    <row r="4841" spans="2:4" x14ac:dyDescent="0.25">
      <c r="B4841" s="90">
        <v>4837</v>
      </c>
      <c r="C4841" s="39">
        <f t="shared" si="150"/>
        <v>14560776.873749387</v>
      </c>
      <c r="D4841" s="39">
        <f t="shared" si="151"/>
        <v>15238160.479761772</v>
      </c>
    </row>
    <row r="4842" spans="2:4" x14ac:dyDescent="0.25">
      <c r="B4842" s="90">
        <v>4838</v>
      </c>
      <c r="C4842" s="39">
        <f t="shared" si="150"/>
        <v>14563424.212362939</v>
      </c>
      <c r="D4842" s="39">
        <f t="shared" si="151"/>
        <v>15241310.812711898</v>
      </c>
    </row>
    <row r="4843" spans="2:4" x14ac:dyDescent="0.25">
      <c r="B4843" s="90">
        <v>4839</v>
      </c>
      <c r="C4843" s="39">
        <f t="shared" si="150"/>
        <v>14566071.550976491</v>
      </c>
      <c r="D4843" s="39">
        <f t="shared" si="151"/>
        <v>15244461.145662025</v>
      </c>
    </row>
    <row r="4844" spans="2:4" x14ac:dyDescent="0.25">
      <c r="B4844" s="90">
        <v>4840</v>
      </c>
      <c r="C4844" s="39">
        <f t="shared" si="150"/>
        <v>14568718.889590042</v>
      </c>
      <c r="D4844" s="39">
        <f t="shared" si="151"/>
        <v>15247611.478612151</v>
      </c>
    </row>
    <row r="4845" spans="2:4" x14ac:dyDescent="0.25">
      <c r="B4845" s="90">
        <v>4841</v>
      </c>
      <c r="C4845" s="39">
        <f t="shared" si="150"/>
        <v>14571366.228203595</v>
      </c>
      <c r="D4845" s="39">
        <f t="shared" si="151"/>
        <v>15250761.811562277</v>
      </c>
    </row>
    <row r="4846" spans="2:4" x14ac:dyDescent="0.25">
      <c r="B4846" s="90">
        <v>4842</v>
      </c>
      <c r="C4846" s="39">
        <f t="shared" si="150"/>
        <v>14574013.566817146</v>
      </c>
      <c r="D4846" s="39">
        <f t="shared" si="151"/>
        <v>15253912.144512404</v>
      </c>
    </row>
    <row r="4847" spans="2:4" x14ac:dyDescent="0.25">
      <c r="B4847" s="90">
        <v>4843</v>
      </c>
      <c r="C4847" s="39">
        <f t="shared" si="150"/>
        <v>14576660.905430697</v>
      </c>
      <c r="D4847" s="39">
        <f t="shared" si="151"/>
        <v>15257062.47746253</v>
      </c>
    </row>
    <row r="4848" spans="2:4" x14ac:dyDescent="0.25">
      <c r="B4848" s="90">
        <v>4844</v>
      </c>
      <c r="C4848" s="39">
        <f t="shared" si="150"/>
        <v>14579308.24404425</v>
      </c>
      <c r="D4848" s="39">
        <f t="shared" si="151"/>
        <v>15260212.810412657</v>
      </c>
    </row>
    <row r="4849" spans="2:4" x14ac:dyDescent="0.25">
      <c r="B4849" s="90">
        <v>4845</v>
      </c>
      <c r="C4849" s="39">
        <f t="shared" ref="C4849:C4912" si="152">($C$2*B4849)+$C$1</f>
        <v>14581955.582657801</v>
      </c>
      <c r="D4849" s="39">
        <f t="shared" ref="D4849:D4912" si="153">$D$2*B4849</f>
        <v>15263363.143362783</v>
      </c>
    </row>
    <row r="4850" spans="2:4" x14ac:dyDescent="0.25">
      <c r="B4850" s="90">
        <v>4846</v>
      </c>
      <c r="C4850" s="39">
        <f t="shared" si="152"/>
        <v>14584602.921271352</v>
      </c>
      <c r="D4850" s="39">
        <f t="shared" si="153"/>
        <v>15266513.476312909</v>
      </c>
    </row>
    <row r="4851" spans="2:4" x14ac:dyDescent="0.25">
      <c r="B4851" s="90">
        <v>4847</v>
      </c>
      <c r="C4851" s="39">
        <f t="shared" si="152"/>
        <v>14587250.259884903</v>
      </c>
      <c r="D4851" s="39">
        <f t="shared" si="153"/>
        <v>15269663.809263036</v>
      </c>
    </row>
    <row r="4852" spans="2:4" x14ac:dyDescent="0.25">
      <c r="B4852" s="90">
        <v>4848</v>
      </c>
      <c r="C4852" s="39">
        <f t="shared" si="152"/>
        <v>14589897.598498456</v>
      </c>
      <c r="D4852" s="39">
        <f t="shared" si="153"/>
        <v>15272814.142213162</v>
      </c>
    </row>
    <row r="4853" spans="2:4" x14ac:dyDescent="0.25">
      <c r="B4853" s="90">
        <v>4849</v>
      </c>
      <c r="C4853" s="39">
        <f t="shared" si="152"/>
        <v>14592544.937112007</v>
      </c>
      <c r="D4853" s="39">
        <f t="shared" si="153"/>
        <v>15275964.47516329</v>
      </c>
    </row>
    <row r="4854" spans="2:4" x14ac:dyDescent="0.25">
      <c r="B4854" s="90">
        <v>4850</v>
      </c>
      <c r="C4854" s="39">
        <f t="shared" si="152"/>
        <v>14595192.275725558</v>
      </c>
      <c r="D4854" s="39">
        <f t="shared" si="153"/>
        <v>15279114.808113417</v>
      </c>
    </row>
    <row r="4855" spans="2:4" x14ac:dyDescent="0.25">
      <c r="B4855" s="90">
        <v>4851</v>
      </c>
      <c r="C4855" s="39">
        <f t="shared" si="152"/>
        <v>14597839.614339111</v>
      </c>
      <c r="D4855" s="39">
        <f t="shared" si="153"/>
        <v>15282265.141063543</v>
      </c>
    </row>
    <row r="4856" spans="2:4" x14ac:dyDescent="0.25">
      <c r="B4856" s="90">
        <v>4852</v>
      </c>
      <c r="C4856" s="39">
        <f t="shared" si="152"/>
        <v>14600486.952952662</v>
      </c>
      <c r="D4856" s="39">
        <f t="shared" si="153"/>
        <v>15285415.474013669</v>
      </c>
    </row>
    <row r="4857" spans="2:4" x14ac:dyDescent="0.25">
      <c r="B4857" s="90">
        <v>4853</v>
      </c>
      <c r="C4857" s="39">
        <f t="shared" si="152"/>
        <v>14603134.291566214</v>
      </c>
      <c r="D4857" s="39">
        <f t="shared" si="153"/>
        <v>15288565.806963796</v>
      </c>
    </row>
    <row r="4858" spans="2:4" x14ac:dyDescent="0.25">
      <c r="B4858" s="90">
        <v>4854</v>
      </c>
      <c r="C4858" s="39">
        <f t="shared" si="152"/>
        <v>14605781.630179765</v>
      </c>
      <c r="D4858" s="39">
        <f t="shared" si="153"/>
        <v>15291716.139913922</v>
      </c>
    </row>
    <row r="4859" spans="2:4" x14ac:dyDescent="0.25">
      <c r="B4859" s="90">
        <v>4855</v>
      </c>
      <c r="C4859" s="39">
        <f t="shared" si="152"/>
        <v>14608428.968793318</v>
      </c>
      <c r="D4859" s="39">
        <f t="shared" si="153"/>
        <v>15294866.472864049</v>
      </c>
    </row>
    <row r="4860" spans="2:4" x14ac:dyDescent="0.25">
      <c r="B4860" s="90">
        <v>4856</v>
      </c>
      <c r="C4860" s="39">
        <f t="shared" si="152"/>
        <v>14611076.307406869</v>
      </c>
      <c r="D4860" s="39">
        <f t="shared" si="153"/>
        <v>15298016.805814175</v>
      </c>
    </row>
    <row r="4861" spans="2:4" x14ac:dyDescent="0.25">
      <c r="B4861" s="90">
        <v>4857</v>
      </c>
      <c r="C4861" s="39">
        <f t="shared" si="152"/>
        <v>14613723.64602042</v>
      </c>
      <c r="D4861" s="39">
        <f t="shared" si="153"/>
        <v>15301167.138764301</v>
      </c>
    </row>
    <row r="4862" spans="2:4" x14ac:dyDescent="0.25">
      <c r="B4862" s="90">
        <v>4858</v>
      </c>
      <c r="C4862" s="39">
        <f t="shared" si="152"/>
        <v>14616370.984633973</v>
      </c>
      <c r="D4862" s="39">
        <f t="shared" si="153"/>
        <v>15304317.471714428</v>
      </c>
    </row>
    <row r="4863" spans="2:4" x14ac:dyDescent="0.25">
      <c r="B4863" s="90">
        <v>4859</v>
      </c>
      <c r="C4863" s="39">
        <f t="shared" si="152"/>
        <v>14619018.323247524</v>
      </c>
      <c r="D4863" s="39">
        <f t="shared" si="153"/>
        <v>15307467.804664554</v>
      </c>
    </row>
    <row r="4864" spans="2:4" x14ac:dyDescent="0.25">
      <c r="B4864" s="90">
        <v>4860</v>
      </c>
      <c r="C4864" s="39">
        <f t="shared" si="152"/>
        <v>14621665.661861075</v>
      </c>
      <c r="D4864" s="39">
        <f t="shared" si="153"/>
        <v>15310618.13761468</v>
      </c>
    </row>
    <row r="4865" spans="2:4" x14ac:dyDescent="0.25">
      <c r="B4865" s="90">
        <v>4861</v>
      </c>
      <c r="C4865" s="39">
        <f t="shared" si="152"/>
        <v>14624313.000474628</v>
      </c>
      <c r="D4865" s="39">
        <f t="shared" si="153"/>
        <v>15313768.470564807</v>
      </c>
    </row>
    <row r="4866" spans="2:4" x14ac:dyDescent="0.25">
      <c r="B4866" s="90">
        <v>4862</v>
      </c>
      <c r="C4866" s="39">
        <f t="shared" si="152"/>
        <v>14626960.339088179</v>
      </c>
      <c r="D4866" s="39">
        <f t="shared" si="153"/>
        <v>15316918.803514933</v>
      </c>
    </row>
    <row r="4867" spans="2:4" x14ac:dyDescent="0.25">
      <c r="B4867" s="90">
        <v>4863</v>
      </c>
      <c r="C4867" s="39">
        <f t="shared" si="152"/>
        <v>14629607.67770173</v>
      </c>
      <c r="D4867" s="39">
        <f t="shared" si="153"/>
        <v>15320069.13646506</v>
      </c>
    </row>
    <row r="4868" spans="2:4" x14ac:dyDescent="0.25">
      <c r="B4868" s="90">
        <v>4864</v>
      </c>
      <c r="C4868" s="39">
        <f t="shared" si="152"/>
        <v>14632255.016315281</v>
      </c>
      <c r="D4868" s="39">
        <f t="shared" si="153"/>
        <v>15323219.469415186</v>
      </c>
    </row>
    <row r="4869" spans="2:4" x14ac:dyDescent="0.25">
      <c r="B4869" s="90">
        <v>4865</v>
      </c>
      <c r="C4869" s="39">
        <f t="shared" si="152"/>
        <v>14634902.354928834</v>
      </c>
      <c r="D4869" s="39">
        <f t="shared" si="153"/>
        <v>15326369.802365312</v>
      </c>
    </row>
    <row r="4870" spans="2:4" x14ac:dyDescent="0.25">
      <c r="B4870" s="90">
        <v>4866</v>
      </c>
      <c r="C4870" s="39">
        <f t="shared" si="152"/>
        <v>14637549.693542385</v>
      </c>
      <c r="D4870" s="39">
        <f t="shared" si="153"/>
        <v>15329520.135315439</v>
      </c>
    </row>
    <row r="4871" spans="2:4" x14ac:dyDescent="0.25">
      <c r="B4871" s="90">
        <v>4867</v>
      </c>
      <c r="C4871" s="39">
        <f t="shared" si="152"/>
        <v>14640197.032155937</v>
      </c>
      <c r="D4871" s="39">
        <f t="shared" si="153"/>
        <v>15332670.468265565</v>
      </c>
    </row>
    <row r="4872" spans="2:4" x14ac:dyDescent="0.25">
      <c r="B4872" s="90">
        <v>4868</v>
      </c>
      <c r="C4872" s="39">
        <f t="shared" si="152"/>
        <v>14642844.37076949</v>
      </c>
      <c r="D4872" s="39">
        <f t="shared" si="153"/>
        <v>15335820.801215693</v>
      </c>
    </row>
    <row r="4873" spans="2:4" x14ac:dyDescent="0.25">
      <c r="B4873" s="90">
        <v>4869</v>
      </c>
      <c r="C4873" s="39">
        <f t="shared" si="152"/>
        <v>14645491.709383041</v>
      </c>
      <c r="D4873" s="39">
        <f t="shared" si="153"/>
        <v>15338971.13416582</v>
      </c>
    </row>
    <row r="4874" spans="2:4" x14ac:dyDescent="0.25">
      <c r="B4874" s="90">
        <v>4870</v>
      </c>
      <c r="C4874" s="39">
        <f t="shared" si="152"/>
        <v>14648139.047996592</v>
      </c>
      <c r="D4874" s="39">
        <f t="shared" si="153"/>
        <v>15342121.467115946</v>
      </c>
    </row>
    <row r="4875" spans="2:4" x14ac:dyDescent="0.25">
      <c r="B4875" s="90">
        <v>4871</v>
      </c>
      <c r="C4875" s="39">
        <f t="shared" si="152"/>
        <v>14650786.386610145</v>
      </c>
      <c r="D4875" s="39">
        <f t="shared" si="153"/>
        <v>15345271.800066072</v>
      </c>
    </row>
    <row r="4876" spans="2:4" x14ac:dyDescent="0.25">
      <c r="B4876" s="90">
        <v>4872</v>
      </c>
      <c r="C4876" s="39">
        <f t="shared" si="152"/>
        <v>14653433.725223696</v>
      </c>
      <c r="D4876" s="39">
        <f t="shared" si="153"/>
        <v>15348422.133016199</v>
      </c>
    </row>
    <row r="4877" spans="2:4" x14ac:dyDescent="0.25">
      <c r="B4877" s="90">
        <v>4873</v>
      </c>
      <c r="C4877" s="39">
        <f t="shared" si="152"/>
        <v>14656081.063837247</v>
      </c>
      <c r="D4877" s="39">
        <f t="shared" si="153"/>
        <v>15351572.465966325</v>
      </c>
    </row>
    <row r="4878" spans="2:4" x14ac:dyDescent="0.25">
      <c r="B4878" s="90">
        <v>4874</v>
      </c>
      <c r="C4878" s="39">
        <f t="shared" si="152"/>
        <v>14658728.402450798</v>
      </c>
      <c r="D4878" s="39">
        <f t="shared" si="153"/>
        <v>15354722.798916452</v>
      </c>
    </row>
    <row r="4879" spans="2:4" x14ac:dyDescent="0.25">
      <c r="B4879" s="90">
        <v>4875</v>
      </c>
      <c r="C4879" s="39">
        <f t="shared" si="152"/>
        <v>14661375.741064351</v>
      </c>
      <c r="D4879" s="39">
        <f t="shared" si="153"/>
        <v>15357873.131866578</v>
      </c>
    </row>
    <row r="4880" spans="2:4" x14ac:dyDescent="0.25">
      <c r="B4880" s="90">
        <v>4876</v>
      </c>
      <c r="C4880" s="39">
        <f t="shared" si="152"/>
        <v>14664023.079677902</v>
      </c>
      <c r="D4880" s="39">
        <f t="shared" si="153"/>
        <v>15361023.464816704</v>
      </c>
    </row>
    <row r="4881" spans="2:4" x14ac:dyDescent="0.25">
      <c r="B4881" s="90">
        <v>4877</v>
      </c>
      <c r="C4881" s="39">
        <f t="shared" si="152"/>
        <v>14666670.418291453</v>
      </c>
      <c r="D4881" s="39">
        <f t="shared" si="153"/>
        <v>15364173.797766831</v>
      </c>
    </row>
    <row r="4882" spans="2:4" x14ac:dyDescent="0.25">
      <c r="B4882" s="90">
        <v>4878</v>
      </c>
      <c r="C4882" s="39">
        <f t="shared" si="152"/>
        <v>14669317.756905006</v>
      </c>
      <c r="D4882" s="39">
        <f t="shared" si="153"/>
        <v>15367324.130716957</v>
      </c>
    </row>
    <row r="4883" spans="2:4" x14ac:dyDescent="0.25">
      <c r="B4883" s="90">
        <v>4879</v>
      </c>
      <c r="C4883" s="39">
        <f t="shared" si="152"/>
        <v>14671965.095518557</v>
      </c>
      <c r="D4883" s="39">
        <f t="shared" si="153"/>
        <v>15370474.463667084</v>
      </c>
    </row>
    <row r="4884" spans="2:4" x14ac:dyDescent="0.25">
      <c r="B4884" s="90">
        <v>4880</v>
      </c>
      <c r="C4884" s="39">
        <f t="shared" si="152"/>
        <v>14674612.434132108</v>
      </c>
      <c r="D4884" s="39">
        <f t="shared" si="153"/>
        <v>15373624.79661721</v>
      </c>
    </row>
    <row r="4885" spans="2:4" x14ac:dyDescent="0.25">
      <c r="B4885" s="90">
        <v>4881</v>
      </c>
      <c r="C4885" s="39">
        <f t="shared" si="152"/>
        <v>14677259.77274566</v>
      </c>
      <c r="D4885" s="39">
        <f t="shared" si="153"/>
        <v>15376775.129567336</v>
      </c>
    </row>
    <row r="4886" spans="2:4" x14ac:dyDescent="0.25">
      <c r="B4886" s="90">
        <v>4882</v>
      </c>
      <c r="C4886" s="39">
        <f t="shared" si="152"/>
        <v>14679907.111359213</v>
      </c>
      <c r="D4886" s="39">
        <f t="shared" si="153"/>
        <v>15379925.462517463</v>
      </c>
    </row>
    <row r="4887" spans="2:4" x14ac:dyDescent="0.25">
      <c r="B4887" s="90">
        <v>4883</v>
      </c>
      <c r="C4887" s="39">
        <f t="shared" si="152"/>
        <v>14682554.449972764</v>
      </c>
      <c r="D4887" s="39">
        <f t="shared" si="153"/>
        <v>15383075.795467589</v>
      </c>
    </row>
    <row r="4888" spans="2:4" x14ac:dyDescent="0.25">
      <c r="B4888" s="90">
        <v>4884</v>
      </c>
      <c r="C4888" s="39">
        <f t="shared" si="152"/>
        <v>14685201.788586315</v>
      </c>
      <c r="D4888" s="39">
        <f t="shared" si="153"/>
        <v>15386226.128417715</v>
      </c>
    </row>
    <row r="4889" spans="2:4" x14ac:dyDescent="0.25">
      <c r="B4889" s="90">
        <v>4885</v>
      </c>
      <c r="C4889" s="39">
        <f t="shared" si="152"/>
        <v>14687849.127199868</v>
      </c>
      <c r="D4889" s="39">
        <f t="shared" si="153"/>
        <v>15389376.461367842</v>
      </c>
    </row>
    <row r="4890" spans="2:4" x14ac:dyDescent="0.25">
      <c r="B4890" s="90">
        <v>4886</v>
      </c>
      <c r="C4890" s="39">
        <f t="shared" si="152"/>
        <v>14690496.465813419</v>
      </c>
      <c r="D4890" s="39">
        <f t="shared" si="153"/>
        <v>15392526.794317968</v>
      </c>
    </row>
    <row r="4891" spans="2:4" x14ac:dyDescent="0.25">
      <c r="B4891" s="90">
        <v>4887</v>
      </c>
      <c r="C4891" s="39">
        <f t="shared" si="152"/>
        <v>14693143.80442697</v>
      </c>
      <c r="D4891" s="39">
        <f t="shared" si="153"/>
        <v>15395677.127268096</v>
      </c>
    </row>
    <row r="4892" spans="2:4" x14ac:dyDescent="0.25">
      <c r="B4892" s="90">
        <v>4888</v>
      </c>
      <c r="C4892" s="39">
        <f t="shared" si="152"/>
        <v>14695791.143040523</v>
      </c>
      <c r="D4892" s="39">
        <f t="shared" si="153"/>
        <v>15398827.460218223</v>
      </c>
    </row>
    <row r="4893" spans="2:4" x14ac:dyDescent="0.25">
      <c r="B4893" s="90">
        <v>4889</v>
      </c>
      <c r="C4893" s="39">
        <f t="shared" si="152"/>
        <v>14698438.481654074</v>
      </c>
      <c r="D4893" s="39">
        <f t="shared" si="153"/>
        <v>15401977.793168349</v>
      </c>
    </row>
    <row r="4894" spans="2:4" x14ac:dyDescent="0.25">
      <c r="B4894" s="90">
        <v>4890</v>
      </c>
      <c r="C4894" s="39">
        <f t="shared" si="152"/>
        <v>14701085.820267625</v>
      </c>
      <c r="D4894" s="39">
        <f t="shared" si="153"/>
        <v>15405128.126118476</v>
      </c>
    </row>
    <row r="4895" spans="2:4" x14ac:dyDescent="0.25">
      <c r="B4895" s="90">
        <v>4891</v>
      </c>
      <c r="C4895" s="39">
        <f t="shared" si="152"/>
        <v>14703733.158881176</v>
      </c>
      <c r="D4895" s="39">
        <f t="shared" si="153"/>
        <v>15408278.459068602</v>
      </c>
    </row>
    <row r="4896" spans="2:4" x14ac:dyDescent="0.25">
      <c r="B4896" s="90">
        <v>4892</v>
      </c>
      <c r="C4896" s="39">
        <f t="shared" si="152"/>
        <v>14706380.497494729</v>
      </c>
      <c r="D4896" s="39">
        <f t="shared" si="153"/>
        <v>15411428.792018728</v>
      </c>
    </row>
    <row r="4897" spans="2:4" x14ac:dyDescent="0.25">
      <c r="B4897" s="90">
        <v>4893</v>
      </c>
      <c r="C4897" s="39">
        <f t="shared" si="152"/>
        <v>14709027.83610828</v>
      </c>
      <c r="D4897" s="39">
        <f t="shared" si="153"/>
        <v>15414579.124968855</v>
      </c>
    </row>
    <row r="4898" spans="2:4" x14ac:dyDescent="0.25">
      <c r="B4898" s="90">
        <v>4894</v>
      </c>
      <c r="C4898" s="39">
        <f t="shared" si="152"/>
        <v>14711675.174721831</v>
      </c>
      <c r="D4898" s="39">
        <f t="shared" si="153"/>
        <v>15417729.457918981</v>
      </c>
    </row>
    <row r="4899" spans="2:4" x14ac:dyDescent="0.25">
      <c r="B4899" s="90">
        <v>4895</v>
      </c>
      <c r="C4899" s="39">
        <f t="shared" si="152"/>
        <v>14714322.513335384</v>
      </c>
      <c r="D4899" s="39">
        <f t="shared" si="153"/>
        <v>15420879.790869107</v>
      </c>
    </row>
    <row r="4900" spans="2:4" x14ac:dyDescent="0.25">
      <c r="B4900" s="90">
        <v>4896</v>
      </c>
      <c r="C4900" s="39">
        <f t="shared" si="152"/>
        <v>14716969.851948936</v>
      </c>
      <c r="D4900" s="39">
        <f t="shared" si="153"/>
        <v>15424030.123819234</v>
      </c>
    </row>
    <row r="4901" spans="2:4" x14ac:dyDescent="0.25">
      <c r="B4901" s="90">
        <v>4897</v>
      </c>
      <c r="C4901" s="39">
        <f t="shared" si="152"/>
        <v>14719617.190562487</v>
      </c>
      <c r="D4901" s="39">
        <f t="shared" si="153"/>
        <v>15427180.45676936</v>
      </c>
    </row>
    <row r="4902" spans="2:4" x14ac:dyDescent="0.25">
      <c r="B4902" s="90">
        <v>4898</v>
      </c>
      <c r="C4902" s="39">
        <f t="shared" si="152"/>
        <v>14722264.52917604</v>
      </c>
      <c r="D4902" s="39">
        <f t="shared" si="153"/>
        <v>15430330.789719487</v>
      </c>
    </row>
    <row r="4903" spans="2:4" x14ac:dyDescent="0.25">
      <c r="B4903" s="90">
        <v>4899</v>
      </c>
      <c r="C4903" s="39">
        <f t="shared" si="152"/>
        <v>14724911.867789591</v>
      </c>
      <c r="D4903" s="39">
        <f t="shared" si="153"/>
        <v>15433481.122669613</v>
      </c>
    </row>
    <row r="4904" spans="2:4" x14ac:dyDescent="0.25">
      <c r="B4904" s="90">
        <v>4900</v>
      </c>
      <c r="C4904" s="39">
        <f t="shared" si="152"/>
        <v>14727559.206403142</v>
      </c>
      <c r="D4904" s="39">
        <f t="shared" si="153"/>
        <v>15436631.455619739</v>
      </c>
    </row>
    <row r="4905" spans="2:4" x14ac:dyDescent="0.25">
      <c r="B4905" s="90">
        <v>4901</v>
      </c>
      <c r="C4905" s="39">
        <f t="shared" si="152"/>
        <v>14730206.545016693</v>
      </c>
      <c r="D4905" s="39">
        <f t="shared" si="153"/>
        <v>15439781.788569866</v>
      </c>
    </row>
    <row r="4906" spans="2:4" x14ac:dyDescent="0.25">
      <c r="B4906" s="90">
        <v>4902</v>
      </c>
      <c r="C4906" s="39">
        <f t="shared" si="152"/>
        <v>14732853.883630246</v>
      </c>
      <c r="D4906" s="39">
        <f t="shared" si="153"/>
        <v>15442932.121519992</v>
      </c>
    </row>
    <row r="4907" spans="2:4" x14ac:dyDescent="0.25">
      <c r="B4907" s="90">
        <v>4903</v>
      </c>
      <c r="C4907" s="39">
        <f t="shared" si="152"/>
        <v>14735501.222243797</v>
      </c>
      <c r="D4907" s="39">
        <f t="shared" si="153"/>
        <v>15446082.454470119</v>
      </c>
    </row>
    <row r="4908" spans="2:4" x14ac:dyDescent="0.25">
      <c r="B4908" s="90">
        <v>4904</v>
      </c>
      <c r="C4908" s="39">
        <f t="shared" si="152"/>
        <v>14738148.560857348</v>
      </c>
      <c r="D4908" s="39">
        <f t="shared" si="153"/>
        <v>15449232.787420245</v>
      </c>
    </row>
    <row r="4909" spans="2:4" x14ac:dyDescent="0.25">
      <c r="B4909" s="90">
        <v>4905</v>
      </c>
      <c r="C4909" s="39">
        <f t="shared" si="152"/>
        <v>14740795.899470901</v>
      </c>
      <c r="D4909" s="39">
        <f t="shared" si="153"/>
        <v>15452383.120370371</v>
      </c>
    </row>
    <row r="4910" spans="2:4" x14ac:dyDescent="0.25">
      <c r="B4910" s="90">
        <v>4906</v>
      </c>
      <c r="C4910" s="39">
        <f t="shared" si="152"/>
        <v>14743443.238084452</v>
      </c>
      <c r="D4910" s="39">
        <f t="shared" si="153"/>
        <v>15455533.4533205</v>
      </c>
    </row>
    <row r="4911" spans="2:4" x14ac:dyDescent="0.25">
      <c r="B4911" s="90">
        <v>4907</v>
      </c>
      <c r="C4911" s="39">
        <f t="shared" si="152"/>
        <v>14746090.576698003</v>
      </c>
      <c r="D4911" s="39">
        <f t="shared" si="153"/>
        <v>15458683.786270626</v>
      </c>
    </row>
    <row r="4912" spans="2:4" x14ac:dyDescent="0.25">
      <c r="B4912" s="90">
        <v>4908</v>
      </c>
      <c r="C4912" s="39">
        <f t="shared" si="152"/>
        <v>14748737.915311554</v>
      </c>
      <c r="D4912" s="39">
        <f t="shared" si="153"/>
        <v>15461834.119220752</v>
      </c>
    </row>
    <row r="4913" spans="2:4" x14ac:dyDescent="0.25">
      <c r="B4913" s="90">
        <v>4909</v>
      </c>
      <c r="C4913" s="39">
        <f t="shared" ref="C4913:C4976" si="154">($C$2*B4913)+$C$1</f>
        <v>14751385.253925107</v>
      </c>
      <c r="D4913" s="39">
        <f t="shared" ref="D4913:D4976" si="155">$D$2*B4913</f>
        <v>15464984.452170879</v>
      </c>
    </row>
    <row r="4914" spans="2:4" x14ac:dyDescent="0.25">
      <c r="B4914" s="90">
        <v>4910</v>
      </c>
      <c r="C4914" s="39">
        <f t="shared" si="154"/>
        <v>14754032.592538659</v>
      </c>
      <c r="D4914" s="39">
        <f t="shared" si="155"/>
        <v>15468134.785121005</v>
      </c>
    </row>
    <row r="4915" spans="2:4" x14ac:dyDescent="0.25">
      <c r="B4915" s="90">
        <v>4911</v>
      </c>
      <c r="C4915" s="39">
        <f t="shared" si="154"/>
        <v>14756679.93115221</v>
      </c>
      <c r="D4915" s="39">
        <f t="shared" si="155"/>
        <v>15471285.118071131</v>
      </c>
    </row>
    <row r="4916" spans="2:4" x14ac:dyDescent="0.25">
      <c r="B4916" s="90">
        <v>4912</v>
      </c>
      <c r="C4916" s="39">
        <f t="shared" si="154"/>
        <v>14759327.269765763</v>
      </c>
      <c r="D4916" s="39">
        <f t="shared" si="155"/>
        <v>15474435.451021258</v>
      </c>
    </row>
    <row r="4917" spans="2:4" x14ac:dyDescent="0.25">
      <c r="B4917" s="90">
        <v>4913</v>
      </c>
      <c r="C4917" s="39">
        <f t="shared" si="154"/>
        <v>14761974.608379314</v>
      </c>
      <c r="D4917" s="39">
        <f t="shared" si="155"/>
        <v>15477585.783971384</v>
      </c>
    </row>
    <row r="4918" spans="2:4" x14ac:dyDescent="0.25">
      <c r="B4918" s="90">
        <v>4914</v>
      </c>
      <c r="C4918" s="39">
        <f t="shared" si="154"/>
        <v>14764621.946992865</v>
      </c>
      <c r="D4918" s="39">
        <f t="shared" si="155"/>
        <v>15480736.116921511</v>
      </c>
    </row>
    <row r="4919" spans="2:4" x14ac:dyDescent="0.25">
      <c r="B4919" s="90">
        <v>4915</v>
      </c>
      <c r="C4919" s="39">
        <f t="shared" si="154"/>
        <v>14767269.285606418</v>
      </c>
      <c r="D4919" s="39">
        <f t="shared" si="155"/>
        <v>15483886.449871637</v>
      </c>
    </row>
    <row r="4920" spans="2:4" x14ac:dyDescent="0.25">
      <c r="B4920" s="90">
        <v>4916</v>
      </c>
      <c r="C4920" s="39">
        <f t="shared" si="154"/>
        <v>14769916.624219969</v>
      </c>
      <c r="D4920" s="39">
        <f t="shared" si="155"/>
        <v>15487036.782821763</v>
      </c>
    </row>
    <row r="4921" spans="2:4" x14ac:dyDescent="0.25">
      <c r="B4921" s="90">
        <v>4917</v>
      </c>
      <c r="C4921" s="39">
        <f t="shared" si="154"/>
        <v>14772563.96283352</v>
      </c>
      <c r="D4921" s="39">
        <f t="shared" si="155"/>
        <v>15490187.11577189</v>
      </c>
    </row>
    <row r="4922" spans="2:4" x14ac:dyDescent="0.25">
      <c r="B4922" s="90">
        <v>4918</v>
      </c>
      <c r="C4922" s="39">
        <f t="shared" si="154"/>
        <v>14775211.301447071</v>
      </c>
      <c r="D4922" s="39">
        <f t="shared" si="155"/>
        <v>15493337.448722016</v>
      </c>
    </row>
    <row r="4923" spans="2:4" x14ac:dyDescent="0.25">
      <c r="B4923" s="90">
        <v>4919</v>
      </c>
      <c r="C4923" s="39">
        <f t="shared" si="154"/>
        <v>14777858.640060624</v>
      </c>
      <c r="D4923" s="39">
        <f t="shared" si="155"/>
        <v>15496487.781672142</v>
      </c>
    </row>
    <row r="4924" spans="2:4" x14ac:dyDescent="0.25">
      <c r="B4924" s="90">
        <v>4920</v>
      </c>
      <c r="C4924" s="39">
        <f t="shared" si="154"/>
        <v>14780505.978674175</v>
      </c>
      <c r="D4924" s="39">
        <f t="shared" si="155"/>
        <v>15499638.114622269</v>
      </c>
    </row>
    <row r="4925" spans="2:4" x14ac:dyDescent="0.25">
      <c r="B4925" s="90">
        <v>4921</v>
      </c>
      <c r="C4925" s="39">
        <f t="shared" si="154"/>
        <v>14783153.317287726</v>
      </c>
      <c r="D4925" s="39">
        <f t="shared" si="155"/>
        <v>15502788.447572395</v>
      </c>
    </row>
    <row r="4926" spans="2:4" x14ac:dyDescent="0.25">
      <c r="B4926" s="90">
        <v>4922</v>
      </c>
      <c r="C4926" s="39">
        <f t="shared" si="154"/>
        <v>14785800.655901279</v>
      </c>
      <c r="D4926" s="39">
        <f t="shared" si="155"/>
        <v>15505938.780522522</v>
      </c>
    </row>
    <row r="4927" spans="2:4" x14ac:dyDescent="0.25">
      <c r="B4927" s="90">
        <v>4923</v>
      </c>
      <c r="C4927" s="39">
        <f t="shared" si="154"/>
        <v>14788447.99451483</v>
      </c>
      <c r="D4927" s="39">
        <f t="shared" si="155"/>
        <v>15509089.113472648</v>
      </c>
    </row>
    <row r="4928" spans="2:4" x14ac:dyDescent="0.25">
      <c r="B4928" s="90">
        <v>4924</v>
      </c>
      <c r="C4928" s="39">
        <f t="shared" si="154"/>
        <v>14791095.333128382</v>
      </c>
      <c r="D4928" s="39">
        <f t="shared" si="155"/>
        <v>15512239.446422774</v>
      </c>
    </row>
    <row r="4929" spans="2:4" x14ac:dyDescent="0.25">
      <c r="B4929" s="90">
        <v>4925</v>
      </c>
      <c r="C4929" s="39">
        <f t="shared" si="154"/>
        <v>14793742.671741934</v>
      </c>
      <c r="D4929" s="39">
        <f t="shared" si="155"/>
        <v>15515389.779372903</v>
      </c>
    </row>
    <row r="4930" spans="2:4" x14ac:dyDescent="0.25">
      <c r="B4930" s="90">
        <v>4926</v>
      </c>
      <c r="C4930" s="39">
        <f t="shared" si="154"/>
        <v>14796390.010355486</v>
      </c>
      <c r="D4930" s="39">
        <f t="shared" si="155"/>
        <v>15518540.112323029</v>
      </c>
    </row>
    <row r="4931" spans="2:4" x14ac:dyDescent="0.25">
      <c r="B4931" s="90">
        <v>4927</v>
      </c>
      <c r="C4931" s="39">
        <f t="shared" si="154"/>
        <v>14799037.348969037</v>
      </c>
      <c r="D4931" s="39">
        <f t="shared" si="155"/>
        <v>15521690.445273155</v>
      </c>
    </row>
    <row r="4932" spans="2:4" x14ac:dyDescent="0.25">
      <c r="B4932" s="90">
        <v>4928</v>
      </c>
      <c r="C4932" s="39">
        <f t="shared" si="154"/>
        <v>14801684.687582588</v>
      </c>
      <c r="D4932" s="39">
        <f t="shared" si="155"/>
        <v>15524840.778223282</v>
      </c>
    </row>
    <row r="4933" spans="2:4" x14ac:dyDescent="0.25">
      <c r="B4933" s="90">
        <v>4929</v>
      </c>
      <c r="C4933" s="39">
        <f t="shared" si="154"/>
        <v>14804332.026196141</v>
      </c>
      <c r="D4933" s="39">
        <f t="shared" si="155"/>
        <v>15527991.111173408</v>
      </c>
    </row>
    <row r="4934" spans="2:4" x14ac:dyDescent="0.25">
      <c r="B4934" s="90">
        <v>4930</v>
      </c>
      <c r="C4934" s="39">
        <f t="shared" si="154"/>
        <v>14806979.364809692</v>
      </c>
      <c r="D4934" s="39">
        <f t="shared" si="155"/>
        <v>15531141.444123534</v>
      </c>
    </row>
    <row r="4935" spans="2:4" x14ac:dyDescent="0.25">
      <c r="B4935" s="90">
        <v>4931</v>
      </c>
      <c r="C4935" s="39">
        <f t="shared" si="154"/>
        <v>14809626.703423243</v>
      </c>
      <c r="D4935" s="39">
        <f t="shared" si="155"/>
        <v>15534291.777073661</v>
      </c>
    </row>
    <row r="4936" spans="2:4" x14ac:dyDescent="0.25">
      <c r="B4936" s="90">
        <v>4932</v>
      </c>
      <c r="C4936" s="39">
        <f t="shared" si="154"/>
        <v>14812274.042036796</v>
      </c>
      <c r="D4936" s="39">
        <f t="shared" si="155"/>
        <v>15537442.110023787</v>
      </c>
    </row>
    <row r="4937" spans="2:4" x14ac:dyDescent="0.25">
      <c r="B4937" s="90">
        <v>4933</v>
      </c>
      <c r="C4937" s="39">
        <f t="shared" si="154"/>
        <v>14814921.380650347</v>
      </c>
      <c r="D4937" s="39">
        <f t="shared" si="155"/>
        <v>15540592.442973914</v>
      </c>
    </row>
    <row r="4938" spans="2:4" x14ac:dyDescent="0.25">
      <c r="B4938" s="90">
        <v>4934</v>
      </c>
      <c r="C4938" s="39">
        <f t="shared" si="154"/>
        <v>14817568.719263898</v>
      </c>
      <c r="D4938" s="39">
        <f t="shared" si="155"/>
        <v>15543742.77592404</v>
      </c>
    </row>
    <row r="4939" spans="2:4" x14ac:dyDescent="0.25">
      <c r="B4939" s="90">
        <v>4935</v>
      </c>
      <c r="C4939" s="39">
        <f t="shared" si="154"/>
        <v>14820216.057877449</v>
      </c>
      <c r="D4939" s="39">
        <f t="shared" si="155"/>
        <v>15546893.108874166</v>
      </c>
    </row>
    <row r="4940" spans="2:4" x14ac:dyDescent="0.25">
      <c r="B4940" s="90">
        <v>4936</v>
      </c>
      <c r="C4940" s="39">
        <f t="shared" si="154"/>
        <v>14822863.396491002</v>
      </c>
      <c r="D4940" s="39">
        <f t="shared" si="155"/>
        <v>15550043.441824293</v>
      </c>
    </row>
    <row r="4941" spans="2:4" x14ac:dyDescent="0.25">
      <c r="B4941" s="90">
        <v>4937</v>
      </c>
      <c r="C4941" s="39">
        <f t="shared" si="154"/>
        <v>14825510.735104553</v>
      </c>
      <c r="D4941" s="39">
        <f t="shared" si="155"/>
        <v>15553193.774774419</v>
      </c>
    </row>
    <row r="4942" spans="2:4" x14ac:dyDescent="0.25">
      <c r="B4942" s="90">
        <v>4938</v>
      </c>
      <c r="C4942" s="39">
        <f t="shared" si="154"/>
        <v>14828158.073718105</v>
      </c>
      <c r="D4942" s="39">
        <f t="shared" si="155"/>
        <v>15556344.107724546</v>
      </c>
    </row>
    <row r="4943" spans="2:4" x14ac:dyDescent="0.25">
      <c r="B4943" s="90">
        <v>4939</v>
      </c>
      <c r="C4943" s="39">
        <f t="shared" si="154"/>
        <v>14830805.412331657</v>
      </c>
      <c r="D4943" s="39">
        <f t="shared" si="155"/>
        <v>15559494.440674672</v>
      </c>
    </row>
    <row r="4944" spans="2:4" x14ac:dyDescent="0.25">
      <c r="B4944" s="90">
        <v>4940</v>
      </c>
      <c r="C4944" s="39">
        <f t="shared" si="154"/>
        <v>14833452.750945209</v>
      </c>
      <c r="D4944" s="39">
        <f t="shared" si="155"/>
        <v>15562644.773624798</v>
      </c>
    </row>
    <row r="4945" spans="2:4" x14ac:dyDescent="0.25">
      <c r="B4945" s="90">
        <v>4941</v>
      </c>
      <c r="C4945" s="39">
        <f t="shared" si="154"/>
        <v>14836100.08955876</v>
      </c>
      <c r="D4945" s="39">
        <f t="shared" si="155"/>
        <v>15565795.106574925</v>
      </c>
    </row>
    <row r="4946" spans="2:4" x14ac:dyDescent="0.25">
      <c r="B4946" s="90">
        <v>4942</v>
      </c>
      <c r="C4946" s="39">
        <f t="shared" si="154"/>
        <v>14838747.428172313</v>
      </c>
      <c r="D4946" s="39">
        <f t="shared" si="155"/>
        <v>15568945.439525051</v>
      </c>
    </row>
    <row r="4947" spans="2:4" x14ac:dyDescent="0.25">
      <c r="B4947" s="90">
        <v>4943</v>
      </c>
      <c r="C4947" s="39">
        <f t="shared" si="154"/>
        <v>14841394.766785864</v>
      </c>
      <c r="D4947" s="39">
        <f t="shared" si="155"/>
        <v>15572095.772475177</v>
      </c>
    </row>
    <row r="4948" spans="2:4" x14ac:dyDescent="0.25">
      <c r="B4948" s="90">
        <v>4944</v>
      </c>
      <c r="C4948" s="39">
        <f t="shared" si="154"/>
        <v>14844042.105399415</v>
      </c>
      <c r="D4948" s="39">
        <f t="shared" si="155"/>
        <v>15575246.105425306</v>
      </c>
    </row>
    <row r="4949" spans="2:4" x14ac:dyDescent="0.25">
      <c r="B4949" s="90">
        <v>4945</v>
      </c>
      <c r="C4949" s="39">
        <f t="shared" si="154"/>
        <v>14846689.444012966</v>
      </c>
      <c r="D4949" s="39">
        <f t="shared" si="155"/>
        <v>15578396.438375432</v>
      </c>
    </row>
    <row r="4950" spans="2:4" x14ac:dyDescent="0.25">
      <c r="B4950" s="90">
        <v>4946</v>
      </c>
      <c r="C4950" s="39">
        <f t="shared" si="154"/>
        <v>14849336.782626519</v>
      </c>
      <c r="D4950" s="39">
        <f t="shared" si="155"/>
        <v>15581546.771325558</v>
      </c>
    </row>
    <row r="4951" spans="2:4" x14ac:dyDescent="0.25">
      <c r="B4951" s="90">
        <v>4947</v>
      </c>
      <c r="C4951" s="39">
        <f t="shared" si="154"/>
        <v>14851984.12124007</v>
      </c>
      <c r="D4951" s="39">
        <f t="shared" si="155"/>
        <v>15584697.104275685</v>
      </c>
    </row>
    <row r="4952" spans="2:4" x14ac:dyDescent="0.25">
      <c r="B4952" s="90">
        <v>4948</v>
      </c>
      <c r="C4952" s="39">
        <f t="shared" si="154"/>
        <v>14854631.459853621</v>
      </c>
      <c r="D4952" s="39">
        <f t="shared" si="155"/>
        <v>15587847.437225811</v>
      </c>
    </row>
    <row r="4953" spans="2:4" x14ac:dyDescent="0.25">
      <c r="B4953" s="90">
        <v>4949</v>
      </c>
      <c r="C4953" s="39">
        <f t="shared" si="154"/>
        <v>14857278.798467174</v>
      </c>
      <c r="D4953" s="39">
        <f t="shared" si="155"/>
        <v>15590997.770175938</v>
      </c>
    </row>
    <row r="4954" spans="2:4" x14ac:dyDescent="0.25">
      <c r="B4954" s="90">
        <v>4950</v>
      </c>
      <c r="C4954" s="39">
        <f t="shared" si="154"/>
        <v>14859926.137080725</v>
      </c>
      <c r="D4954" s="39">
        <f t="shared" si="155"/>
        <v>15594148.103126064</v>
      </c>
    </row>
    <row r="4955" spans="2:4" x14ac:dyDescent="0.25">
      <c r="B4955" s="90">
        <v>4951</v>
      </c>
      <c r="C4955" s="39">
        <f t="shared" si="154"/>
        <v>14862573.475694276</v>
      </c>
      <c r="D4955" s="39">
        <f t="shared" si="155"/>
        <v>15597298.43607619</v>
      </c>
    </row>
    <row r="4956" spans="2:4" x14ac:dyDescent="0.25">
      <c r="B4956" s="90">
        <v>4952</v>
      </c>
      <c r="C4956" s="39">
        <f t="shared" si="154"/>
        <v>14865220.814307828</v>
      </c>
      <c r="D4956" s="39">
        <f t="shared" si="155"/>
        <v>15600448.769026317</v>
      </c>
    </row>
    <row r="4957" spans="2:4" x14ac:dyDescent="0.25">
      <c r="B4957" s="90">
        <v>4953</v>
      </c>
      <c r="C4957" s="39">
        <f t="shared" si="154"/>
        <v>14867868.15292138</v>
      </c>
      <c r="D4957" s="39">
        <f t="shared" si="155"/>
        <v>15603599.101976443</v>
      </c>
    </row>
    <row r="4958" spans="2:4" x14ac:dyDescent="0.25">
      <c r="B4958" s="90">
        <v>4954</v>
      </c>
      <c r="C4958" s="39">
        <f t="shared" si="154"/>
        <v>14870515.491534932</v>
      </c>
      <c r="D4958" s="39">
        <f t="shared" si="155"/>
        <v>15606749.434926569</v>
      </c>
    </row>
    <row r="4959" spans="2:4" x14ac:dyDescent="0.25">
      <c r="B4959" s="90">
        <v>4955</v>
      </c>
      <c r="C4959" s="39">
        <f t="shared" si="154"/>
        <v>14873162.830148483</v>
      </c>
      <c r="D4959" s="39">
        <f t="shared" si="155"/>
        <v>15609899.767876696</v>
      </c>
    </row>
    <row r="4960" spans="2:4" x14ac:dyDescent="0.25">
      <c r="B4960" s="90">
        <v>4956</v>
      </c>
      <c r="C4960" s="39">
        <f t="shared" si="154"/>
        <v>14875810.168762036</v>
      </c>
      <c r="D4960" s="39">
        <f t="shared" si="155"/>
        <v>15613050.100826822</v>
      </c>
    </row>
    <row r="4961" spans="2:4" x14ac:dyDescent="0.25">
      <c r="B4961" s="90">
        <v>4957</v>
      </c>
      <c r="C4961" s="39">
        <f t="shared" si="154"/>
        <v>14878457.507375587</v>
      </c>
      <c r="D4961" s="39">
        <f t="shared" si="155"/>
        <v>15616200.433776949</v>
      </c>
    </row>
    <row r="4962" spans="2:4" x14ac:dyDescent="0.25">
      <c r="B4962" s="90">
        <v>4958</v>
      </c>
      <c r="C4962" s="39">
        <f t="shared" si="154"/>
        <v>14881104.845989138</v>
      </c>
      <c r="D4962" s="39">
        <f t="shared" si="155"/>
        <v>15619350.766727075</v>
      </c>
    </row>
    <row r="4963" spans="2:4" x14ac:dyDescent="0.25">
      <c r="B4963" s="90">
        <v>4959</v>
      </c>
      <c r="C4963" s="39">
        <f t="shared" si="154"/>
        <v>14883752.184602691</v>
      </c>
      <c r="D4963" s="39">
        <f t="shared" si="155"/>
        <v>15622501.099677201</v>
      </c>
    </row>
    <row r="4964" spans="2:4" x14ac:dyDescent="0.25">
      <c r="B4964" s="90">
        <v>4960</v>
      </c>
      <c r="C4964" s="39">
        <f t="shared" si="154"/>
        <v>14886399.523216242</v>
      </c>
      <c r="D4964" s="39">
        <f t="shared" si="155"/>
        <v>15625651.432627328</v>
      </c>
    </row>
    <row r="4965" spans="2:4" x14ac:dyDescent="0.25">
      <c r="B4965" s="90">
        <v>4961</v>
      </c>
      <c r="C4965" s="39">
        <f t="shared" si="154"/>
        <v>14889046.861829793</v>
      </c>
      <c r="D4965" s="39">
        <f t="shared" si="155"/>
        <v>15628801.765577454</v>
      </c>
    </row>
    <row r="4966" spans="2:4" x14ac:dyDescent="0.25">
      <c r="B4966" s="90">
        <v>4962</v>
      </c>
      <c r="C4966" s="39">
        <f t="shared" si="154"/>
        <v>14891694.200443344</v>
      </c>
      <c r="D4966" s="39">
        <f t="shared" si="155"/>
        <v>15631952.09852758</v>
      </c>
    </row>
    <row r="4967" spans="2:4" x14ac:dyDescent="0.25">
      <c r="B4967" s="90">
        <v>4963</v>
      </c>
      <c r="C4967" s="39">
        <f t="shared" si="154"/>
        <v>14894341.539056897</v>
      </c>
      <c r="D4967" s="39">
        <f t="shared" si="155"/>
        <v>15635102.431477709</v>
      </c>
    </row>
    <row r="4968" spans="2:4" x14ac:dyDescent="0.25">
      <c r="B4968" s="90">
        <v>4964</v>
      </c>
      <c r="C4968" s="39">
        <f t="shared" si="154"/>
        <v>14896988.877670448</v>
      </c>
      <c r="D4968" s="39">
        <f t="shared" si="155"/>
        <v>15638252.764427835</v>
      </c>
    </row>
    <row r="4969" spans="2:4" x14ac:dyDescent="0.25">
      <c r="B4969" s="90">
        <v>4965</v>
      </c>
      <c r="C4969" s="39">
        <f t="shared" si="154"/>
        <v>14899636.216283999</v>
      </c>
      <c r="D4969" s="39">
        <f t="shared" si="155"/>
        <v>15641403.097377962</v>
      </c>
    </row>
    <row r="4970" spans="2:4" x14ac:dyDescent="0.25">
      <c r="B4970" s="90">
        <v>4966</v>
      </c>
      <c r="C4970" s="39">
        <f t="shared" si="154"/>
        <v>14902283.554897552</v>
      </c>
      <c r="D4970" s="39">
        <f t="shared" si="155"/>
        <v>15644553.430328088</v>
      </c>
    </row>
    <row r="4971" spans="2:4" x14ac:dyDescent="0.25">
      <c r="B4971" s="90">
        <v>4967</v>
      </c>
      <c r="C4971" s="39">
        <f t="shared" si="154"/>
        <v>14904930.893511103</v>
      </c>
      <c r="D4971" s="39">
        <f t="shared" si="155"/>
        <v>15647703.763278214</v>
      </c>
    </row>
    <row r="4972" spans="2:4" x14ac:dyDescent="0.25">
      <c r="B4972" s="90">
        <v>4968</v>
      </c>
      <c r="C4972" s="39">
        <f t="shared" si="154"/>
        <v>14907578.232124655</v>
      </c>
      <c r="D4972" s="39">
        <f t="shared" si="155"/>
        <v>15650854.096228341</v>
      </c>
    </row>
    <row r="4973" spans="2:4" x14ac:dyDescent="0.25">
      <c r="B4973" s="90">
        <v>4969</v>
      </c>
      <c r="C4973" s="39">
        <f t="shared" si="154"/>
        <v>14910225.570738208</v>
      </c>
      <c r="D4973" s="39">
        <f t="shared" si="155"/>
        <v>15654004.429178467</v>
      </c>
    </row>
    <row r="4974" spans="2:4" x14ac:dyDescent="0.25">
      <c r="B4974" s="90">
        <v>4970</v>
      </c>
      <c r="C4974" s="39">
        <f t="shared" si="154"/>
        <v>14912872.909351759</v>
      </c>
      <c r="D4974" s="39">
        <f t="shared" si="155"/>
        <v>15657154.762128593</v>
      </c>
    </row>
    <row r="4975" spans="2:4" x14ac:dyDescent="0.25">
      <c r="B4975" s="90">
        <v>4971</v>
      </c>
      <c r="C4975" s="39">
        <f t="shared" si="154"/>
        <v>14915520.24796531</v>
      </c>
      <c r="D4975" s="39">
        <f t="shared" si="155"/>
        <v>15660305.09507872</v>
      </c>
    </row>
    <row r="4976" spans="2:4" x14ac:dyDescent="0.25">
      <c r="B4976" s="90">
        <v>4972</v>
      </c>
      <c r="C4976" s="39">
        <f t="shared" si="154"/>
        <v>14918167.586578861</v>
      </c>
      <c r="D4976" s="39">
        <f t="shared" si="155"/>
        <v>15663455.428028846</v>
      </c>
    </row>
    <row r="4977" spans="2:4" x14ac:dyDescent="0.25">
      <c r="B4977" s="90">
        <v>4973</v>
      </c>
      <c r="C4977" s="39">
        <f t="shared" ref="C4977:C5004" si="156">($C$2*B4977)+$C$1</f>
        <v>14920814.925192414</v>
      </c>
      <c r="D4977" s="39">
        <f t="shared" ref="D4977:D5004" si="157">$D$2*B4977</f>
        <v>15666605.760978973</v>
      </c>
    </row>
    <row r="4978" spans="2:4" x14ac:dyDescent="0.25">
      <c r="B4978" s="90">
        <v>4974</v>
      </c>
      <c r="C4978" s="39">
        <f t="shared" si="156"/>
        <v>14923462.263805965</v>
      </c>
      <c r="D4978" s="39">
        <f t="shared" si="157"/>
        <v>15669756.093929099</v>
      </c>
    </row>
    <row r="4979" spans="2:4" x14ac:dyDescent="0.25">
      <c r="B4979" s="90">
        <v>4975</v>
      </c>
      <c r="C4979" s="39">
        <f t="shared" si="156"/>
        <v>14926109.602419516</v>
      </c>
      <c r="D4979" s="39">
        <f t="shared" si="157"/>
        <v>15672906.426879225</v>
      </c>
    </row>
    <row r="4980" spans="2:4" x14ac:dyDescent="0.25">
      <c r="B4980" s="90">
        <v>4976</v>
      </c>
      <c r="C4980" s="39">
        <f t="shared" si="156"/>
        <v>14928756.941033069</v>
      </c>
      <c r="D4980" s="39">
        <f t="shared" si="157"/>
        <v>15676056.759829352</v>
      </c>
    </row>
    <row r="4981" spans="2:4" x14ac:dyDescent="0.25">
      <c r="B4981" s="90">
        <v>4977</v>
      </c>
      <c r="C4981" s="39">
        <f t="shared" si="156"/>
        <v>14931404.27964662</v>
      </c>
      <c r="D4981" s="39">
        <f t="shared" si="157"/>
        <v>15679207.092779478</v>
      </c>
    </row>
    <row r="4982" spans="2:4" x14ac:dyDescent="0.25">
      <c r="B4982" s="90">
        <v>4978</v>
      </c>
      <c r="C4982" s="39">
        <f t="shared" si="156"/>
        <v>14934051.618260171</v>
      </c>
      <c r="D4982" s="39">
        <f t="shared" si="157"/>
        <v>15682357.425729604</v>
      </c>
    </row>
    <row r="4983" spans="2:4" x14ac:dyDescent="0.25">
      <c r="B4983" s="90">
        <v>4979</v>
      </c>
      <c r="C4983" s="39">
        <f t="shared" si="156"/>
        <v>14936698.956873722</v>
      </c>
      <c r="D4983" s="39">
        <f t="shared" si="157"/>
        <v>15685507.758679731</v>
      </c>
    </row>
    <row r="4984" spans="2:4" x14ac:dyDescent="0.25">
      <c r="B4984" s="90">
        <v>4980</v>
      </c>
      <c r="C4984" s="39">
        <f t="shared" si="156"/>
        <v>14939346.295487275</v>
      </c>
      <c r="D4984" s="39">
        <f t="shared" si="157"/>
        <v>15688658.091629857</v>
      </c>
    </row>
    <row r="4985" spans="2:4" x14ac:dyDescent="0.25">
      <c r="B4985" s="90">
        <v>4981</v>
      </c>
      <c r="C4985" s="39">
        <f t="shared" si="156"/>
        <v>14941993.634100826</v>
      </c>
      <c r="D4985" s="39">
        <f t="shared" si="157"/>
        <v>15691808.424579984</v>
      </c>
    </row>
    <row r="4986" spans="2:4" x14ac:dyDescent="0.25">
      <c r="B4986" s="90">
        <v>4982</v>
      </c>
      <c r="C4986" s="39">
        <f t="shared" si="156"/>
        <v>14944640.972714378</v>
      </c>
      <c r="D4986" s="39">
        <f t="shared" si="157"/>
        <v>15694958.757530112</v>
      </c>
    </row>
    <row r="4987" spans="2:4" x14ac:dyDescent="0.25">
      <c r="B4987" s="90">
        <v>4983</v>
      </c>
      <c r="C4987" s="39">
        <f t="shared" si="156"/>
        <v>14947288.311327931</v>
      </c>
      <c r="D4987" s="39">
        <f t="shared" si="157"/>
        <v>15698109.090480238</v>
      </c>
    </row>
    <row r="4988" spans="2:4" x14ac:dyDescent="0.25">
      <c r="B4988" s="90">
        <v>4984</v>
      </c>
      <c r="C4988" s="39">
        <f t="shared" si="156"/>
        <v>14949935.649941482</v>
      </c>
      <c r="D4988" s="39">
        <f t="shared" si="157"/>
        <v>15701259.423430365</v>
      </c>
    </row>
    <row r="4989" spans="2:4" x14ac:dyDescent="0.25">
      <c r="B4989" s="90">
        <v>4985</v>
      </c>
      <c r="C4989" s="39">
        <f t="shared" si="156"/>
        <v>14952582.988555033</v>
      </c>
      <c r="D4989" s="39">
        <f t="shared" si="157"/>
        <v>15704409.756380491</v>
      </c>
    </row>
    <row r="4990" spans="2:4" x14ac:dyDescent="0.25">
      <c r="B4990" s="90">
        <v>4986</v>
      </c>
      <c r="C4990" s="39">
        <f t="shared" si="156"/>
        <v>14955230.327168586</v>
      </c>
      <c r="D4990" s="39">
        <f t="shared" si="157"/>
        <v>15707560.089330617</v>
      </c>
    </row>
    <row r="4991" spans="2:4" x14ac:dyDescent="0.25">
      <c r="B4991" s="90">
        <v>4987</v>
      </c>
      <c r="C4991" s="39">
        <f t="shared" si="156"/>
        <v>14957877.665782137</v>
      </c>
      <c r="D4991" s="39">
        <f t="shared" si="157"/>
        <v>15710710.422280744</v>
      </c>
    </row>
    <row r="4992" spans="2:4" x14ac:dyDescent="0.25">
      <c r="B4992" s="90">
        <v>4988</v>
      </c>
      <c r="C4992" s="39">
        <f t="shared" si="156"/>
        <v>14960525.004395688</v>
      </c>
      <c r="D4992" s="39">
        <f t="shared" si="157"/>
        <v>15713860.75523087</v>
      </c>
    </row>
    <row r="4993" spans="2:4" x14ac:dyDescent="0.25">
      <c r="B4993" s="90">
        <v>4989</v>
      </c>
      <c r="C4993" s="39">
        <f t="shared" si="156"/>
        <v>14963172.343009239</v>
      </c>
      <c r="D4993" s="39">
        <f t="shared" si="157"/>
        <v>15717011.088180996</v>
      </c>
    </row>
    <row r="4994" spans="2:4" x14ac:dyDescent="0.25">
      <c r="B4994" s="90">
        <v>4990</v>
      </c>
      <c r="C4994" s="39">
        <f t="shared" si="156"/>
        <v>14965819.681622792</v>
      </c>
      <c r="D4994" s="39">
        <f t="shared" si="157"/>
        <v>15720161.421131123</v>
      </c>
    </row>
    <row r="4995" spans="2:4" x14ac:dyDescent="0.25">
      <c r="B4995" s="90">
        <v>4991</v>
      </c>
      <c r="C4995" s="39">
        <f t="shared" si="156"/>
        <v>14968467.020236343</v>
      </c>
      <c r="D4995" s="39">
        <f t="shared" si="157"/>
        <v>15723311.754081249</v>
      </c>
    </row>
    <row r="4996" spans="2:4" x14ac:dyDescent="0.25">
      <c r="B4996" s="90">
        <v>4992</v>
      </c>
      <c r="C4996" s="39">
        <f t="shared" si="156"/>
        <v>14971114.358849894</v>
      </c>
      <c r="D4996" s="39">
        <f t="shared" si="157"/>
        <v>15726462.087031376</v>
      </c>
    </row>
    <row r="4997" spans="2:4" x14ac:dyDescent="0.25">
      <c r="B4997" s="90">
        <v>4993</v>
      </c>
      <c r="C4997" s="39">
        <f t="shared" si="156"/>
        <v>14973761.697463447</v>
      </c>
      <c r="D4997" s="39">
        <f t="shared" si="157"/>
        <v>15729612.419981502</v>
      </c>
    </row>
    <row r="4998" spans="2:4" x14ac:dyDescent="0.25">
      <c r="B4998" s="90">
        <v>4994</v>
      </c>
      <c r="C4998" s="39">
        <f t="shared" si="156"/>
        <v>14976409.036076998</v>
      </c>
      <c r="D4998" s="39">
        <f t="shared" si="157"/>
        <v>15732762.752931628</v>
      </c>
    </row>
    <row r="4999" spans="2:4" x14ac:dyDescent="0.25">
      <c r="B4999" s="90">
        <v>4995</v>
      </c>
      <c r="C4999" s="39">
        <f t="shared" si="156"/>
        <v>14979056.374690549</v>
      </c>
      <c r="D4999" s="39">
        <f t="shared" si="157"/>
        <v>15735913.085881755</v>
      </c>
    </row>
    <row r="5000" spans="2:4" x14ac:dyDescent="0.25">
      <c r="B5000" s="90">
        <v>4996</v>
      </c>
      <c r="C5000" s="39">
        <f t="shared" si="156"/>
        <v>14981703.713304102</v>
      </c>
      <c r="D5000" s="39">
        <f t="shared" si="157"/>
        <v>15739063.418831881</v>
      </c>
    </row>
    <row r="5001" spans="2:4" x14ac:dyDescent="0.25">
      <c r="B5001" s="90">
        <v>4997</v>
      </c>
      <c r="C5001" s="39">
        <f t="shared" si="156"/>
        <v>14984351.051917654</v>
      </c>
      <c r="D5001" s="39">
        <f t="shared" si="157"/>
        <v>15742213.751782008</v>
      </c>
    </row>
    <row r="5002" spans="2:4" x14ac:dyDescent="0.25">
      <c r="B5002" s="90">
        <v>4998</v>
      </c>
      <c r="C5002" s="39">
        <f t="shared" si="156"/>
        <v>14986998.390531205</v>
      </c>
      <c r="D5002" s="39">
        <f t="shared" si="157"/>
        <v>15745364.084732134</v>
      </c>
    </row>
    <row r="5003" spans="2:4" x14ac:dyDescent="0.25">
      <c r="B5003" s="90">
        <v>4999</v>
      </c>
      <c r="C5003" s="39">
        <f t="shared" si="156"/>
        <v>14989645.729144756</v>
      </c>
      <c r="D5003" s="39">
        <f t="shared" si="157"/>
        <v>15748514.41768226</v>
      </c>
    </row>
    <row r="5004" spans="2:4" x14ac:dyDescent="0.25">
      <c r="B5004" s="90">
        <v>5000</v>
      </c>
      <c r="C5004" s="39">
        <f t="shared" si="156"/>
        <v>14992293.067758309</v>
      </c>
      <c r="D5004" s="39">
        <f t="shared" si="157"/>
        <v>15751664.750632387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M9"/>
  <sheetViews>
    <sheetView showGridLines="0" tabSelected="1" topLeftCell="B1" zoomScale="115" zoomScaleNormal="115" workbookViewId="0">
      <selection activeCell="B31" sqref="B31"/>
    </sheetView>
  </sheetViews>
  <sheetFormatPr baseColWidth="10" defaultRowHeight="15" x14ac:dyDescent="0.25"/>
  <cols>
    <col min="2" max="2" width="28.28515625" customWidth="1"/>
    <col min="10" max="10" width="16.28515625" customWidth="1"/>
    <col min="12" max="12" width="14.42578125" customWidth="1"/>
    <col min="13" max="13" width="16.85546875" customWidth="1"/>
  </cols>
  <sheetData>
    <row r="1" spans="2:13" ht="15.75" thickBot="1" x14ac:dyDescent="0.3"/>
    <row r="2" spans="2:13" ht="15.75" thickBot="1" x14ac:dyDescent="0.3">
      <c r="B2" s="238" t="s">
        <v>155</v>
      </c>
      <c r="C2" s="239"/>
      <c r="D2" s="239"/>
      <c r="E2" s="239"/>
      <c r="F2" s="239"/>
      <c r="G2" s="240"/>
      <c r="I2" s="241" t="s">
        <v>156</v>
      </c>
      <c r="J2" s="242"/>
      <c r="L2" s="241" t="s">
        <v>157</v>
      </c>
      <c r="M2" s="242"/>
    </row>
    <row r="3" spans="2:13" x14ac:dyDescent="0.25">
      <c r="B3" s="76" t="s">
        <v>76</v>
      </c>
      <c r="C3" s="76" t="s">
        <v>47</v>
      </c>
      <c r="D3" s="76" t="s">
        <v>48</v>
      </c>
      <c r="E3" s="76" t="s">
        <v>49</v>
      </c>
      <c r="F3" s="76" t="s">
        <v>50</v>
      </c>
      <c r="G3" s="76" t="s">
        <v>51</v>
      </c>
      <c r="I3" s="99" t="s">
        <v>76</v>
      </c>
      <c r="J3" s="99" t="s">
        <v>67</v>
      </c>
      <c r="L3" s="99" t="s">
        <v>162</v>
      </c>
      <c r="M3" s="99" t="s">
        <v>2</v>
      </c>
    </row>
    <row r="4" spans="2:13" x14ac:dyDescent="0.25">
      <c r="B4" s="95" t="s">
        <v>150</v>
      </c>
      <c r="C4" s="93">
        <f>'Balance General'!D8/'Balance General'!D22</f>
        <v>1.156897442730686</v>
      </c>
      <c r="D4" s="93">
        <f>'Balance General'!E8/'Balance General'!E22</f>
        <v>1.3541726425173295</v>
      </c>
      <c r="E4" s="93">
        <f>'Balance General'!F8/'Balance General'!F22</f>
        <v>1.5850242574472071</v>
      </c>
      <c r="F4" s="93">
        <f>'Balance General'!G8/'Balance General'!G22</f>
        <v>1.9099798642433425</v>
      </c>
      <c r="G4" s="93">
        <f>'Balance General'!H8/'Balance General'!H22</f>
        <v>2.3866372316283502</v>
      </c>
      <c r="I4" s="98" t="s">
        <v>46</v>
      </c>
      <c r="J4" s="3">
        <f>'Estado de Resultados'!C23</f>
        <v>-36091000</v>
      </c>
      <c r="L4" s="98" t="s">
        <v>158</v>
      </c>
      <c r="M4" s="59">
        <v>0.15</v>
      </c>
    </row>
    <row r="5" spans="2:13" x14ac:dyDescent="0.25">
      <c r="B5" s="95" t="s">
        <v>151</v>
      </c>
      <c r="C5" s="94">
        <f>'Balance General'!D28/'Balance General'!D16</f>
        <v>0.84214952537400412</v>
      </c>
      <c r="D5" s="94">
        <f>'Balance General'!E28/'Balance General'!E16</f>
        <v>0.72711789920779324</v>
      </c>
      <c r="E5" s="94">
        <f>'Balance General'!F28/'Balance General'!F16</f>
        <v>0.62639195863875319</v>
      </c>
      <c r="F5" s="94">
        <f>'Balance General'!G28/'Balance General'!G16</f>
        <v>0.52347410290741014</v>
      </c>
      <c r="G5" s="94">
        <f>'Balance General'!H28/'Balance General'!H16</f>
        <v>0.40940333549158658</v>
      </c>
      <c r="I5" s="98" t="s">
        <v>47</v>
      </c>
      <c r="J5" s="3">
        <f>'Estado de Resultados'!D23</f>
        <v>10573966.528793691</v>
      </c>
      <c r="L5" s="98" t="s">
        <v>159</v>
      </c>
      <c r="M5" s="3">
        <f>NPV(M4,J5:J9)</f>
        <v>222295096.90680233</v>
      </c>
    </row>
    <row r="6" spans="2:13" x14ac:dyDescent="0.25">
      <c r="B6" s="95" t="s">
        <v>152</v>
      </c>
      <c r="C6" s="94">
        <f>'Estado de Resultados'!D13/'Estado de Resultados'!D6</f>
        <v>0.13561914560062707</v>
      </c>
      <c r="D6" s="94">
        <f>'Estado de Resultados'!E13/'Estado de Resultados'!E6</f>
        <v>0.26154172030749556</v>
      </c>
      <c r="E6" s="94">
        <f>'Estado de Resultados'!F13/'Estado de Resultados'!F6</f>
        <v>0.36909482911600988</v>
      </c>
      <c r="F6" s="94">
        <f>'Estado de Resultados'!G13/'Estado de Resultados'!G6</f>
        <v>0.47643427099889346</v>
      </c>
      <c r="G6" s="94">
        <f>'Estado de Resultados'!H13/'Estado de Resultados'!H6</f>
        <v>0.58100041902148569</v>
      </c>
      <c r="I6" s="98" t="s">
        <v>48</v>
      </c>
      <c r="J6" s="3">
        <f>'Estado de Resultados'!E23</f>
        <v>31129703.288793676</v>
      </c>
      <c r="L6" s="98" t="s">
        <v>160</v>
      </c>
      <c r="M6" s="59">
        <f>IRR(J4:J9)</f>
        <v>0.9367569429628233</v>
      </c>
    </row>
    <row r="7" spans="2:13" x14ac:dyDescent="0.25">
      <c r="B7" s="96" t="s">
        <v>153</v>
      </c>
      <c r="C7" s="97">
        <f>'Estado de Resultados'!D23/'Estado de Resultados'!D6</f>
        <v>6.4753371355046607E-2</v>
      </c>
      <c r="D7" s="97">
        <f>'Estado de Resultados'!E23/'Estado de Resultados'!E6</f>
        <v>0.15141667476431928</v>
      </c>
      <c r="E7" s="97">
        <f>'Estado de Resultados'!F23/'Estado de Resultados'!F6</f>
        <v>0.22547073493507791</v>
      </c>
      <c r="F7" s="97">
        <f>'Estado de Resultados'!G23/'Estado de Resultados'!G6</f>
        <v>0.29878348068488181</v>
      </c>
      <c r="G7" s="97">
        <f>'Estado de Resultados'!H23/'Estado de Resultados'!H6</f>
        <v>0.3776502723639657</v>
      </c>
      <c r="I7" s="98" t="s">
        <v>49</v>
      </c>
      <c r="J7" s="3">
        <f>'Estado de Resultados'!F23</f>
        <v>59658180.543993674</v>
      </c>
      <c r="L7" s="98" t="s">
        <v>161</v>
      </c>
      <c r="M7" s="245">
        <f>-NPV(M4,J5:J9)/J4</f>
        <v>6.1592944752653658</v>
      </c>
    </row>
    <row r="8" spans="2:13" x14ac:dyDescent="0.25">
      <c r="B8" s="95" t="s">
        <v>154</v>
      </c>
      <c r="C8" s="94">
        <f>'Estado de Resultados'!D23/'Balance General'!C37</f>
        <v>0.29298070235775375</v>
      </c>
      <c r="D8" s="94">
        <f>'Estado de Resultados'!E23/'Balance General'!D37</f>
        <v>0.1783048181639737</v>
      </c>
      <c r="E8" s="94">
        <f>'Estado de Resultados'!F23/'Balance General'!E37</f>
        <v>0.27507376380954679</v>
      </c>
      <c r="F8" s="94">
        <f>'Estado de Resultados'!G23/'Balance General'!F37</f>
        <v>0.37968580177396255</v>
      </c>
      <c r="G8" s="94">
        <f>'Estado de Resultados'!H23/'Balance General'!G37</f>
        <v>0.50270147366614515</v>
      </c>
      <c r="I8" s="98" t="s">
        <v>50</v>
      </c>
      <c r="J8" s="3">
        <f>'Estado de Resultados'!G23</f>
        <v>104749578.5304336</v>
      </c>
    </row>
    <row r="9" spans="2:13" x14ac:dyDescent="0.25">
      <c r="I9" s="98" t="s">
        <v>51</v>
      </c>
      <c r="J9" s="3">
        <f>'Estado de Resultados'!H23</f>
        <v>181916560.79458046</v>
      </c>
    </row>
  </sheetData>
  <mergeCells count="3">
    <mergeCell ref="B2:G2"/>
    <mergeCell ref="I2:J2"/>
    <mergeCell ref="L2:M2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Inversión Inicial</vt:lpstr>
      <vt:lpstr>Proyección de Ventas e Incremen</vt:lpstr>
      <vt:lpstr>Costos de Operación Gravables</vt:lpstr>
      <vt:lpstr>Amortización y Depreciación</vt:lpstr>
      <vt:lpstr>Balance General</vt:lpstr>
      <vt:lpstr>Estado de Resultados</vt:lpstr>
      <vt:lpstr>Flujo de Caja</vt:lpstr>
      <vt:lpstr>Flujo de Efectivo</vt:lpstr>
      <vt:lpstr>Costos Fijos y Punto de Equil.</vt:lpstr>
      <vt:lpstr>Grafica Punto de Equilibrio</vt:lpstr>
      <vt:lpstr>Indicadores Financieros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Leonardo Rincon Ovalle</dc:creator>
  <cp:lastModifiedBy>David Leonardo Rincon Ovalle</cp:lastModifiedBy>
  <dcterms:created xsi:type="dcterms:W3CDTF">2026-01-05T20:41:20Z</dcterms:created>
  <dcterms:modified xsi:type="dcterms:W3CDTF">2026-01-20T23:20:50Z</dcterms:modified>
</cp:coreProperties>
</file>